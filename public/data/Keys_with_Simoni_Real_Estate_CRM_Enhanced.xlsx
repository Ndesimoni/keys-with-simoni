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c83110656734498f" /></Relationships>
</file>

<file path=xl/workbook.xml><?xml version="1.0" encoding="utf-8"?>
<x:workbook xmlns:x="http://schemas.openxmlformats.org/spreadsheetml/2006/main">
  <x:sheets>
    <x:sheet xmlns:r="http://schemas.openxmlformats.org/officeDocument/2006/relationships" name="Dashboard" sheetId="1" r:id="Ref022d91b9164f2a"/>
    <x:sheet xmlns:r="http://schemas.openxmlformats.org/officeDocument/2006/relationships" name="Deals" sheetId="2" r:id="R662e65c44b924530"/>
    <x:sheet xmlns:r="http://schemas.openxmlformats.org/officeDocument/2006/relationships" name="Clients" sheetId="3" r:id="Radd6ed5d475f4ef5"/>
    <x:sheet xmlns:r="http://schemas.openxmlformats.org/officeDocument/2006/relationships" name="Contacts" sheetId="4" r:id="Rb7896f06f6b44094"/>
    <x:sheet xmlns:r="http://schemas.openxmlformats.org/officeDocument/2006/relationships" name="Properties" sheetId="5" r:id="R8018095bd95d429e"/>
    <x:sheet xmlns:r="http://schemas.openxmlformats.org/officeDocument/2006/relationships" name="Follow-ups" sheetId="6" r:id="Rdfa5ad5d6ba548ea"/>
    <x:sheet xmlns:r="http://schemas.openxmlformats.org/officeDocument/2006/relationships" name="Viewings" sheetId="7" r:id="R49b77ad9ecc84fbf"/>
    <x:sheet xmlns:r="http://schemas.openxmlformats.org/officeDocument/2006/relationships" name="Payments" sheetId="8" r:id="Rea82dcf2f8a446b8"/>
    <x:sheet xmlns:r="http://schemas.openxmlformats.org/officeDocument/2006/relationships" name="Expenses" sheetId="9" r:id="Rab7df78c143b41cf"/>
    <x:sheet xmlns:r="http://schemas.openxmlformats.org/officeDocument/2006/relationships" name="Guide" sheetId="10" r:id="Rf6b6b2cf64224458"/>
    <x:sheet xmlns:r="http://schemas.openxmlformats.org/officeDocument/2006/relationships" name="Shortlist" sheetId="11" r:id="Ref8a4461eb5b46ec"/>
    <x:sheet xmlns:r="http://schemas.openxmlformats.org/officeDocument/2006/relationships" name="Client desk" sheetId="12" r:id="R8ac3b79677df4f6c"/>
    <x:sheet xmlns:r="http://schemas.openxmlformats.org/officeDocument/2006/relationships" name="Date search" sheetId="13" r:id="R669422a3efb7436e"/>
    <x:sheet xmlns:r="http://schemas.openxmlformats.org/officeDocument/2006/relationships" name="Performance" sheetId="14" r:id="Rc6037b5518d04e75"/>
    <x:sheet xmlns:r="http://schemas.openxmlformats.org/officeDocument/2006/relationships" name="Interaction log" sheetId="15" r:id="R9668c73a3cbd4495"/>
    <x:sheet xmlns:r="http://schemas.openxmlformats.org/officeDocument/2006/relationships" name="Client care" sheetId="16" r:id="R8c482158cc8e4ce0"/>
    <x:sheet xmlns:r="http://schemas.openxmlformats.org/officeDocument/2006/relationships" name="CRM insights" sheetId="17" r:id="R539f35ab88b6421b"/>
  </x:sheets>
</x:workbook>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
    <x:numFmt numFmtId="201" formatCode="#,##0.00;[Red](#,##0.00);–"/>
    <x:numFmt numFmtId="202" formatCode="dd mmm yyyy"/>
    <x:numFmt numFmtId="203" formatCode="dd mmm yyyy hh:mm"/>
    <x:numFmt numFmtId="204" formatCode="0.0%"/>
    <x:numFmt numFmtId="205" formatCode="#,##0;[Red](#,##0);&quot;0&quot;"/>
    <x:numFmt numFmtId="206" formatCode="#,##0.00;[Red](#,##0.00);&quot;0.00&quot;"/>
    <x:numFmt numFmtId="207" formatCode="#,##0.0"/>
    <x:numFmt numFmtId="208" formatCode="dddd, dd mmm yyyy"/>
    <x:numFmt numFmtId="209" formatCode="0"/>
    <x:numFmt numFmtId="210" formatCode="ddd, dd mmm yyyy"/>
    <x:numFmt numFmtId="211" formatCode="mmm yyyy"/>
    <x:numFmt numFmtId="212" formatCode="0%"/>
  </x:numFmts>
  <x:fonts count="47">
    <x:font>
      <x:sz val="11"/>
      <x:name val="Carlito"/>
    </x:font>
    <x:font>
      <x:sz val="10"/>
      <x:color rgb="FF243746"/>
      <x:name val="Arial"/>
    </x:font>
    <x:font>
      <x:b/>
      <x:sz val="16"/>
      <x:color rgb="FF20354A"/>
      <x:name val="Arial"/>
    </x:font>
    <x:font>
      <x:i/>
      <x:sz val="10"/>
      <x:color rgb="FF637184"/>
      <x:name val="Arial"/>
    </x:font>
    <x:font>
      <x:b/>
      <x:sz val="10"/>
      <x:color rgb="FFFFFFFF"/>
      <x:name val="Arial"/>
    </x:font>
    <x:font>
      <x:sz val="10"/>
      <x:color rgb="FF273847"/>
      <x:name val="Arial"/>
    </x:font>
    <x:font>
      <x:b/>
      <x:sz val="10"/>
      <x:color rgb="FF273847"/>
      <x:name val="Arial"/>
    </x:font>
    <x:font>
      <x:i/>
      <x:sz val="10"/>
      <x:color rgb="FF273847"/>
      <x:name val="Arial"/>
    </x:font>
    <x:font>
      <x:sz val="10"/>
      <x:color rgb="FF192D40"/>
      <x:name val="Arial"/>
    </x:font>
    <x:font>
      <x:b/>
      <x:sz val="9"/>
      <x:color rgb="FFA0804B"/>
      <x:name val="Arial"/>
    </x:font>
    <x:font>
      <x:b/>
      <x:sz val="18"/>
      <x:color rgb="FF192D40"/>
      <x:name val="Arial"/>
    </x:font>
    <x:font>
      <x:sz val="9"/>
      <x:color rgb="FF64727B"/>
      <x:name val="Arial"/>
    </x:font>
    <x:font>
      <x:i/>
      <x:sz val="10"/>
      <x:color rgb="FF64727B"/>
      <x:name val="Arial"/>
    </x:font>
    <x:font>
      <x:sz val="10"/>
      <x:color rgb="FF64727B"/>
      <x:name val="Arial"/>
    </x:font>
    <x:font>
      <x:b/>
      <x:sz val="10"/>
      <x:color rgb="FF192D40"/>
      <x:name val="Arial"/>
    </x:font>
    <x:font>
      <x:sz val="11"/>
      <x:color rgb="FF273847"/>
      <x:name val="Arial"/>
    </x:font>
    <x:font>
      <x:b/>
      <x:sz val="10"/>
      <x:color rgb="FFA0804B"/>
      <x:name val="Arial"/>
    </x:font>
    <x:font>
      <x:b/>
      <x:sz val="22"/>
      <x:color rgb="FF192D40"/>
      <x:name val="Arial"/>
    </x:font>
    <x:font>
      <x:b/>
      <x:sz val="10"/>
      <x:color rgb="FF64727B"/>
      <x:name val="Arial"/>
    </x:font>
    <x:font>
      <x:b/>
      <x:sz val="26"/>
      <x:color rgb="FF192D40"/>
      <x:name val="Arial"/>
    </x:font>
    <x:font>
      <x:b/>
      <x:sz val="11"/>
      <x:color rgb="FFFFFFFF"/>
      <x:name val="Arial"/>
    </x:font>
    <x:font>
      <x:b/>
      <x:sz val="11"/>
      <x:color rgb="FF273847"/>
      <x:name val="Arial"/>
    </x:font>
    <x:font>
      <x:b/>
      <x:sz val="11"/>
      <x:color rgb="FF192D40"/>
      <x:name val="Arial"/>
    </x:font>
    <x:font>
      <x:sz val="10"/>
      <x:color rgb="FF2C3E4C"/>
      <x:name val="Arial"/>
    </x:font>
    <x:font>
      <x:b/>
      <x:sz val="10"/>
      <x:color rgb="FF2C3E4C"/>
      <x:name val="Arial"/>
    </x:font>
    <x:font>
      <x:b/>
      <x:sz val="9"/>
      <x:color rgb="FFA18350"/>
      <x:name val="Arial"/>
    </x:font>
    <x:font>
      <x:b/>
      <x:sz val="18"/>
      <x:color rgb="FF173044"/>
      <x:name val="Arial"/>
    </x:font>
    <x:font>
      <x:sz val="9"/>
      <x:color rgb="FF6E7B84"/>
      <x:name val="Arial"/>
    </x:font>
    <x:font>
      <x:sz val="10"/>
      <x:color rgb="FF6E7B84"/>
      <x:name val="Arial"/>
    </x:font>
    <x:font>
      <x:b/>
      <x:sz val="10"/>
      <x:color rgb="FF173044"/>
      <x:name val="Arial"/>
    </x:font>
    <x:font>
      <x:b/>
      <x:sz val="10"/>
      <x:color rgb="FFA18350"/>
      <x:name val="Arial"/>
    </x:font>
    <x:font>
      <x:b/>
      <x:sz val="22"/>
      <x:color rgb="FF173044"/>
      <x:name val="Arial"/>
    </x:font>
    <x:font>
      <x:b/>
      <x:sz val="25"/>
      <x:color rgb="FF173044"/>
      <x:name val="Arial"/>
    </x:font>
    <x:font>
      <x:b/>
      <x:sz val="21"/>
      <x:color rgb="FF173044"/>
      <x:name val="Arial"/>
    </x:font>
    <x:font>
      <x:sz val="10"/>
      <x:color rgb="FF173044"/>
      <x:name val="Arial"/>
    </x:font>
    <x:font>
      <x:sz val="9"/>
      <x:color rgb="FF6E7B84"/>
      <x:name val="Carlito"/>
    </x:font>
    <x:font>
      <x:sz val="10"/>
      <x:color rgb="FF102B3B"/>
      <x:name val="Arial"/>
    </x:font>
    <x:font>
      <x:b/>
      <x:sz val="10"/>
      <x:color rgb="FF102B3B"/>
      <x:name val="Arial"/>
    </x:font>
    <x:font>
      <x:b/>
      <x:sz val="14"/>
      <x:color rgb="FFFFFFFF"/>
      <x:name val="Arial"/>
    </x:font>
    <x:font>
      <x:b/>
      <x:sz val="16"/>
      <x:color rgb="FF102B3B"/>
      <x:name val="Arial"/>
    </x:font>
    <x:font>
      <x:sz val="10"/>
      <x:color rgb="FF5C7280"/>
      <x:name val="Arial"/>
    </x:font>
    <x:font>
      <x:b/>
      <x:sz val="15"/>
      <x:color rgb="FFFFFFFF"/>
      <x:name val="Arial"/>
    </x:font>
    <x:font>
      <x:sz val="11"/>
      <x:color rgb="FF102B3B"/>
      <x:name val="Arial"/>
    </x:font>
    <x:font>
      <x:b/>
      <x:sz val="9"/>
      <x:color rgb="FFFFFFFF"/>
      <x:name val="Arial"/>
    </x:font>
    <x:font>
      <x:b/>
      <x:sz val="24"/>
      <x:color rgb="FF102B3B"/>
      <x:name val="Arial"/>
    </x:font>
    <x:font>
      <x:b/>
      <x:sz val="22"/>
      <x:color rgb="FF102B3B"/>
      <x:name val="Arial"/>
    </x:font>
    <x:font>
      <x:b/>
      <x:sz val="12"/>
      <x:color rgb="FFFFFFFF"/>
      <x:name val="Arial"/>
    </x:font>
  </x:fonts>
  <x:fills count="32">
    <x:fill>
      <x:patternFill patternType="none"/>
    </x:fill>
    <x:fill>
      <x:patternFill patternType="gray125"/>
    </x:fill>
    <x:fill>
      <x:patternFill patternType="solid">
        <x:fgColor rgb="FFFFF8E8"/>
      </x:patternFill>
    </x:fill>
    <x:fill>
      <x:patternFill patternType="solid">
        <x:fgColor rgb="FF20354A"/>
      </x:patternFill>
    </x:fill>
    <x:fill>
      <x:patternFill patternType="solid">
        <x:fgColor rgb="FFEEF2F5"/>
      </x:patternFill>
    </x:fill>
    <x:fill>
      <x:patternFill patternType="solid">
        <x:fgColor rgb="FFFFFFFF"/>
      </x:patternFill>
    </x:fill>
    <x:fill>
      <x:patternFill patternType="solid">
        <x:fgColor rgb="FFFAF8F3"/>
      </x:patternFill>
    </x:fill>
    <x:fill>
      <x:patternFill patternType="solid">
        <x:fgColor rgb="FFEBF0F4"/>
      </x:patternFill>
    </x:fill>
    <x:fill>
      <x:patternFill patternType="solid">
        <x:fgColor rgb="FF192D40"/>
      </x:patternFill>
    </x:fill>
    <x:fill>
      <x:patternFill patternType="solid">
        <x:fgColor rgb="FFFFFFFF"/>
      </x:patternFill>
    </x:fill>
    <x:fill>
      <x:patternFill patternType="solid">
        <x:fgColor rgb="FFEDF2F6"/>
      </x:patternFill>
    </x:fill>
    <x:fill>
      <x:patternFill patternType="solid">
        <x:fgColor rgb="FFFAF8F3"/>
      </x:patternFill>
    </x:fill>
    <x:fill>
      <x:patternFill patternType="solid">
        <x:fgColor rgb="FF173044"/>
      </x:patternFill>
    </x:fill>
    <x:fill>
      <x:patternFill patternType="solid">
        <x:fgColor rgb="FFFFF2D8"/>
      </x:patternFill>
    </x:fill>
    <x:fill>
      <x:patternFill patternType="solid">
        <x:fgColor rgb="FFFFF2D8"/>
      </x:patternFill>
    </x:fill>
    <x:fill>
      <x:patternFill patternType="solid">
        <x:fgColor rgb="FF173044"/>
      </x:patternFill>
    </x:fill>
    <x:fill>
      <x:patternFill patternType="solid">
        <x:fgColor rgb="FFEDF2F6"/>
      </x:patternFill>
    </x:fill>
    <x:fill>
      <x:patternFill patternType="solid">
        <x:fgColor rgb="FFFAF8F3"/>
      </x:patternFill>
    </x:fill>
    <x:fill>
      <x:patternFill patternType="solid">
        <x:fgColor rgb="FFFFFFFF"/>
      </x:patternFill>
    </x:fill>
    <x:fill>
      <x:patternFill patternType="solid">
        <x:fgColor rgb="FF254B5A"/>
      </x:patternFill>
    </x:fill>
    <x:fill>
      <x:patternFill patternType="solid">
        <x:fgColor rgb="FF173044"/>
      </x:patternFill>
    </x:fill>
    <x:fill>
      <x:patternFill patternType="solid">
        <x:fgColor rgb="FFFFFFFF"/>
      </x:patternFill>
    </x:fill>
    <x:fill>
      <x:patternFill patternType="solid">
        <x:fgColor rgb="FFE8F2F4"/>
      </x:patternFill>
    </x:fill>
    <x:fill>
      <x:patternFill patternType="solid">
        <x:fgColor rgb="FFE4ECEF"/>
      </x:patternFill>
    </x:fill>
    <x:fill>
      <x:patternFill patternType="solid">
        <x:fgColor rgb="FFF5F8FA"/>
      </x:patternFill>
    </x:fill>
    <x:fill>
      <x:patternFill patternType="solid">
        <x:fgColor rgb="FFEEF4F6"/>
      </x:patternFill>
    </x:fill>
    <x:fill>
      <x:patternFill patternType="solid">
        <x:fgColor rgb="FFEDF3F5"/>
      </x:patternFill>
    </x:fill>
    <x:fill>
      <x:patternFill patternType="solid">
        <x:fgColor rgb="FFE8F0F4"/>
      </x:patternFill>
    </x:fill>
    <x:fill>
      <x:patternFill patternType="solid">
        <x:fgColor rgb="FFEAF1F3"/>
      </x:patternFill>
    </x:fill>
    <x:fill>
      <x:patternFill patternType="solid">
        <x:fgColor rgb="FFF4F7F9"/>
      </x:patternFill>
    </x:fill>
    <x:fill>
      <x:patternFill patternType="solid">
        <x:fgColor rgb="FFF2F6F8"/>
      </x:patternFill>
    </x:fill>
    <x:fill>
      <x:patternFill patternType="solid">
        <x:fgColor rgb="FFE9F0F3"/>
      </x:patternFill>
    </x:fill>
  </x:fills>
  <x:borders count="45">
    <x:border/>
    <x:border diagonalUp="0" diagonalDown="0">
      <x:left style="none"/>
      <x:top style="none"/>
    </x:border>
    <x:border diagonalUp="0" diagonalDown="0">
      <x:top style="none"/>
    </x:border>
    <x:border diagonalUp="0" diagonalDown="0">
      <x:right style="none"/>
      <x:top style="none"/>
    </x:border>
    <x:border diagonalUp="0" diagonalDown="0">
      <x:left style="none"/>
    </x:border>
    <x:border diagonalUp="0" diagonalDown="0">
      <x:right style="none"/>
    </x:border>
    <x:border diagonalUp="0" diagonalDown="0">
      <x:left style="none"/>
      <x:bottom style="none"/>
    </x:border>
    <x:border diagonalUp="0" diagonalDown="0">
      <x:bottom style="none"/>
    </x:border>
    <x:border diagonalUp="0" diagonalDown="0">
      <x:right style="none"/>
      <x:bottom style="none"/>
    </x:border>
    <x:border diagonalUp="0" diagonalDown="0">
      <x:left style="none"/>
      <x:bottom style="thin">
        <x:color rgb="FFA0804B"/>
      </x:bottom>
    </x:border>
    <x:border diagonalUp="0" diagonalDown="0">
      <x:bottom style="thin">
        <x:color rgb="FFA0804B"/>
      </x:bottom>
    </x:border>
    <x:border diagonalUp="0" diagonalDown="0">
      <x:left style="none"/>
      <x:bottom style="thin">
        <x:color rgb="FFDFE3E5"/>
      </x:bottom>
    </x:border>
    <x:border diagonalUp="0" diagonalDown="0">
      <x:bottom style="thin">
        <x:color rgb="FFDFE3E5"/>
      </x:bottom>
    </x:border>
    <x:border>
      <x:bottom style="thin">
        <x:color rgb="FFDFE3E5"/>
      </x:bottom>
    </x:border>
    <x:border diagonalUp="0" diagonalDown="0">
      <x:right style="none"/>
      <x:bottom style="thin">
        <x:color rgb="FFDFE3E5"/>
      </x:bottom>
    </x:border>
    <x:border diagonalUp="0" diagonalDown="0">
      <x:left style="none"/>
      <x:right style="thin">
        <x:color rgb="FF425365"/>
      </x:right>
    </x:border>
    <x:border diagonalUp="0" diagonalDown="0">
      <x:left style="thin">
        <x:color rgb="FF425365"/>
      </x:left>
      <x:right style="thin">
        <x:color rgb="FF425365"/>
      </x:right>
    </x:border>
    <x:border diagonalUp="0" diagonalDown="0">
      <x:left style="thin">
        <x:color rgb="FF425365"/>
      </x:left>
      <x:right style="none"/>
    </x:border>
    <x:border>
      <x:bottom style="thin">
        <x:color rgb="FFA0804B"/>
      </x:bottom>
    </x:border>
    <x:border>
      <x:top style="medium">
        <x:color rgb="FFA0804B"/>
      </x:top>
    </x:border>
    <x:border>
      <x:top style="thin">
        <x:color rgb="FFDFE3E5"/>
      </x:top>
    </x:border>
    <x:border diagonalUp="0" diagonalDown="0">
      <x:left style="none"/>
      <x:bottom style="thin">
        <x:color rgb="FFA18350"/>
      </x:bottom>
    </x:border>
    <x:border diagonalUp="0" diagonalDown="0">
      <x:bottom style="thin">
        <x:color rgb="FFA18350"/>
      </x:bottom>
    </x:border>
    <x:border diagonalUp="0" diagonalDown="0">
      <x:left style="none"/>
      <x:bottom style="thin">
        <x:color rgb="FFDDE3E7"/>
      </x:bottom>
    </x:border>
    <x:border diagonalUp="0" diagonalDown="0">
      <x:bottom style="thin">
        <x:color rgb="FFDDE3E7"/>
      </x:bottom>
    </x:border>
    <x:border>
      <x:bottom style="thin">
        <x:color rgb="FFDDE3E7"/>
      </x:bottom>
    </x:border>
    <x:border diagonalUp="0" diagonalDown="0">
      <x:right style="none"/>
      <x:bottom style="thin">
        <x:color rgb="FFDDE3E7"/>
      </x:bottom>
    </x:border>
    <x:border diagonalUp="0" diagonalDown="0">
      <x:left style="none"/>
      <x:right style="thin">
        <x:color rgb="FF435969"/>
      </x:right>
    </x:border>
    <x:border diagonalUp="0" diagonalDown="0">
      <x:left style="thin">
        <x:color rgb="FF435969"/>
      </x:left>
      <x:right style="thin">
        <x:color rgb="FF435969"/>
      </x:right>
    </x:border>
    <x:border diagonalUp="0" diagonalDown="0">
      <x:left style="thin">
        <x:color rgb="FF435969"/>
      </x:left>
      <x:right style="thin">
        <x:color rgb="FF425365"/>
      </x:right>
    </x:border>
    <x:border diagonalUp="0" diagonalDown="0">
      <x:left style="thin">
        <x:color rgb="FF435969"/>
      </x:left>
      <x:right style="none"/>
    </x:border>
    <x:border>
      <x:bottom style="thin">
        <x:color rgb="FFA18350"/>
      </x:bottom>
    </x:border>
    <x:border>
      <x:top style="medium">
        <x:color rgb="FFA18350"/>
      </x:top>
    </x:border>
    <x:border>
      <x:top style="thin">
        <x:color rgb="FFDDE3E7"/>
      </x:top>
    </x:border>
    <x:border>
      <x:left style="thin">
        <x:color rgb="FFFFFFFF"/>
      </x:left>
      <x:bottom style="thin">
        <x:color rgb="FFA18350"/>
      </x:bottom>
    </x:border>
    <x:border>
      <x:right style="thin">
        <x:color rgb="FFFFFFFF"/>
      </x:right>
      <x:bottom style="thin">
        <x:color rgb="FFA18350"/>
      </x:bottom>
    </x:border>
    <x:border>
      <x:right style="thin">
        <x:color rgb="FFF1E6D1"/>
      </x:right>
      <x:bottom style="thin">
        <x:color rgb="FFF1E6D1"/>
      </x:bottom>
    </x:border>
    <x:border>
      <x:left style="thin">
        <x:color rgb="FFF1E6D1"/>
      </x:left>
      <x:right style="thin">
        <x:color rgb="FFF1E6D1"/>
      </x:right>
      <x:bottom style="thin">
        <x:color rgb="FFF1E6D1"/>
      </x:bottom>
    </x:border>
    <x:border>
      <x:left style="thin">
        <x:color rgb="FFF1E6D1"/>
      </x:left>
      <x:bottom style="thin">
        <x:color rgb="FFF1E6D1"/>
      </x:bottom>
    </x:border>
    <x:border>
      <x:right style="thin">
        <x:color rgb="FFF1E6D1"/>
      </x:right>
      <x:top style="thin">
        <x:color rgb="FFF1E6D1"/>
      </x:top>
      <x:bottom style="thin">
        <x:color rgb="FFF1E6D1"/>
      </x:bottom>
    </x:border>
    <x:border>
      <x:left style="thin">
        <x:color rgb="FFF1E6D1"/>
      </x:left>
      <x:right style="thin">
        <x:color rgb="FFF1E6D1"/>
      </x:right>
      <x:top style="thin">
        <x:color rgb="FFF1E6D1"/>
      </x:top>
      <x:bottom style="thin">
        <x:color rgb="FFF1E6D1"/>
      </x:bottom>
    </x:border>
    <x:border>
      <x:left style="thin">
        <x:color rgb="FFF1E6D1"/>
      </x:left>
      <x:top style="thin">
        <x:color rgb="FFF1E6D1"/>
      </x:top>
      <x:bottom style="thin">
        <x:color rgb="FFF1E6D1"/>
      </x:bottom>
    </x:border>
    <x:border>
      <x:right style="thin">
        <x:color rgb="FFF1E6D1"/>
      </x:right>
      <x:top style="thin">
        <x:color rgb="FFF1E6D1"/>
      </x:top>
    </x:border>
    <x:border>
      <x:left style="thin">
        <x:color rgb="FFF1E6D1"/>
      </x:left>
      <x:right style="thin">
        <x:color rgb="FFF1E6D1"/>
      </x:right>
      <x:top style="thin">
        <x:color rgb="FFF1E6D1"/>
      </x:top>
    </x:border>
    <x:border>
      <x:left style="thin">
        <x:color rgb="FFF1E6D1"/>
      </x:left>
      <x:top style="thin">
        <x:color rgb="FFF1E6D1"/>
      </x:top>
    </x:border>
  </x:borders>
  <x:cellStyleXfs count="1">
    <x:xf numFmtId="0" fontId="0" fillId="0" borderId="0"/>
  </x:cellStyleXfs>
  <x:cellXfs count="8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200" fontId="1" fillId="2" borderId="0" xfId="0" applyNumberFormat="1" applyFont="1" applyFill="1" applyBorder="1" applyAlignment="1">
      <x:alignment vertical="center"/>
    </x:xf>
    <x:xf numFmtId="201" fontId="1" fillId="2" borderId="0" xfId="0" applyNumberFormat="1" applyFont="1" applyFill="1" applyBorder="1" applyAlignment="1">
      <x:alignment vertical="center"/>
    </x:xf>
    <x:xf numFmtId="202" fontId="1" fillId="2" borderId="0" xfId="0" applyNumberFormat="1" applyFont="1" applyFill="1" applyBorder="1" applyAlignment="1">
      <x:alignment vertical="center"/>
    </x:xf>
    <x:xf numFmtId="203" fontId="1" fillId="2" borderId="0" xfId="0" applyNumberFormat="1" applyFont="1" applyFill="1" applyBorder="1" applyAlignment="1">
      <x:alignment vertical="center"/>
    </x:xf>
    <x:xf numFmtId="204" fontId="1" fillId="2" borderId="0" xfId="0" applyNumberFormat="1" applyFont="1" applyFill="1" applyBorder="1" applyAlignment="1">
      <x:alignment vertical="center"/>
    </x:xf>
    <x:xf numFmtId="0" fontId="1" fillId="4" borderId="0" xfId="0" applyNumberFormat="1" applyFont="1" applyFill="1" applyBorder="1" applyAlignment="1">
      <x:alignment vertical="center"/>
    </x:xf>
    <x:xf numFmtId="201" fontId="1" fillId="4"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6" fillId="3" borderId="0" xfId="0" applyNumberFormat="1" applyFont="1" applyFill="1" applyBorder="1" applyAlignment="1">
      <x:alignment horizontal="center" vertical="center" wrapText="1"/>
    </x:xf>
    <x:xf numFmtId="200" fontId="5"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201" fontId="5" fillId="2" borderId="0" xfId="0" applyNumberFormat="1" applyFont="1" applyFill="1" applyBorder="1" applyAlignment="1">
      <x:alignment vertical="center"/>
    </x:xf>
    <x:xf numFmtId="204" fontId="5" fillId="2" borderId="0" xfId="0" applyNumberFormat="1" applyFont="1" applyFill="1" applyBorder="1" applyAlignment="1">
      <x:alignment vertical="center"/>
    </x:xf>
    <x:xf numFmtId="201" fontId="5" fillId="4" borderId="0" xfId="0" applyNumberFormat="1" applyFont="1" applyFill="1" applyBorder="1" applyAlignment="1">
      <x:alignment vertical="center"/>
    </x:xf>
    <x:xf numFmtId="202" fontId="5" fillId="2"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2" xfId="0" applyNumberFormat="1" applyFont="1" applyFill="1" applyBorder="1" applyAlignment="1">
      <x:alignment vertical="center"/>
    </x:xf>
    <x:xf numFmtId="0" fontId="5"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0" fontId="5" fillId="0" xfId="0" applyNumberFormat="1" applyFont="1" applyFill="1" applyBorder="0" applyAlignment="1">
      <x:alignment vertical="center"/>
    </x:xf>
    <x:xf numFmtId="0" fontId="5" fillId="0" borderId="5" xfId="0" applyNumberFormat="1" applyFont="1" applyFill="1" applyBorder="1" applyAlignment="1">
      <x:alignment vertical="center"/>
    </x:xf>
    <x:xf numFmtId="0" fontId="7" fillId="0" borderId="4" xfId="0" applyNumberFormat="1" applyFont="1" applyFill="1" applyBorder="1" applyAlignment="1">
      <x:alignment vertical="center"/>
    </x:xf>
    <x:xf numFmtId="0" fontId="5" fillId="0" borderId="4" xfId="0" applyNumberFormat="1" applyFont="1" applyFill="1" applyBorder="1" applyAlignment="1">
      <x:alignment vertical="center"/>
    </x:xf>
    <x:xf numFmtId="0" fontId="6" fillId="3" borderId="4" xfId="0" applyNumberFormat="1" applyFont="1" applyFill="1" applyBorder="1" applyAlignment="1">
      <x:alignment horizontal="center" vertical="center" wrapText="1"/>
    </x:xf>
    <x:xf numFmtId="0" fontId="6" fillId="3" xfId="0" applyNumberFormat="1" applyFont="1" applyFill="1" applyBorder="0" applyAlignment="1">
      <x:alignment horizontal="center" vertical="center" wrapText="1"/>
    </x:xf>
    <x:xf numFmtId="0" fontId="6" fillId="3" borderId="5" xfId="0" applyNumberFormat="1" applyFont="1" applyFill="1" applyBorder="1" applyAlignment="1">
      <x:alignment horizontal="center" vertical="center" wrapText="1"/>
    </x:xf>
    <x:xf numFmtId="200" fontId="5" fillId="2" borderId="4" xfId="0" applyNumberFormat="1" applyFont="1" applyFill="1" applyBorder="1" applyAlignment="1">
      <x:alignment vertical="center"/>
    </x:xf>
    <x:xf numFmtId="0" fontId="5" fillId="2" xfId="0" applyNumberFormat="1" applyFont="1" applyFill="1" applyBorder="0" applyAlignment="1">
      <x:alignment vertical="center"/>
    </x:xf>
    <x:xf numFmtId="201" fontId="5" fillId="2" xfId="0" applyNumberFormat="1" applyFont="1" applyFill="1" applyBorder="0" applyAlignment="1">
      <x:alignment vertical="center"/>
    </x:xf>
    <x:xf numFmtId="204" fontId="5" fillId="2" xfId="0" applyNumberFormat="1" applyFont="1" applyFill="1" applyBorder="0" applyAlignment="1">
      <x:alignment vertical="center"/>
    </x:xf>
    <x:xf numFmtId="201" fontId="5" fillId="4" xfId="0" applyNumberFormat="1" applyFont="1" applyFill="1" applyBorder="0" applyAlignment="1">
      <x:alignment vertical="center"/>
    </x:xf>
    <x:xf numFmtId="202" fontId="5" fillId="2" xfId="0" applyNumberFormat="1" applyFont="1" applyFill="1" applyBorder="0" applyAlignment="1">
      <x:alignment vertical="center"/>
    </x:xf>
    <x:xf numFmtId="0" fontId="5" fillId="4" xfId="0" applyNumberFormat="1" applyFont="1" applyFill="1" applyBorder="0" applyAlignment="1">
      <x:alignment vertical="center"/>
    </x:xf>
    <x:xf numFmtId="0" fontId="5" fillId="2" borderId="5" xfId="0" applyNumberFormat="1" applyFont="1" applyFill="1" applyBorder="1" applyAlignment="1">
      <x:alignment vertical="center"/>
    </x:xf>
    <x:xf numFmtId="200" fontId="5" fillId="2" borderId="6" xfId="0" applyNumberFormat="1" applyFont="1" applyFill="1" applyBorder="1" applyAlignment="1">
      <x:alignment vertical="center"/>
    </x:xf>
    <x:xf numFmtId="0" fontId="5" fillId="2" borderId="7" xfId="0" applyNumberFormat="1" applyFont="1" applyFill="1" applyBorder="1" applyAlignment="1">
      <x:alignment vertical="center"/>
    </x:xf>
    <x:xf numFmtId="201" fontId="5" fillId="2" borderId="7" xfId="0" applyNumberFormat="1" applyFont="1" applyFill="1" applyBorder="1" applyAlignment="1">
      <x:alignment vertical="center"/>
    </x:xf>
    <x:xf numFmtId="204" fontId="5" fillId="2" borderId="7" xfId="0" applyNumberFormat="1" applyFont="1" applyFill="1" applyBorder="1" applyAlignment="1">
      <x:alignment vertical="center"/>
    </x:xf>
    <x:xf numFmtId="201" fontId="5" fillId="4" borderId="7" xfId="0" applyNumberFormat="1" applyFont="1" applyFill="1" applyBorder="1" applyAlignment="1">
      <x:alignment vertical="center"/>
    </x:xf>
    <x:xf numFmtId="202" fontId="5" fillId="2" borderId="7" xfId="0" applyNumberFormat="1" applyFont="1" applyFill="1" applyBorder="1" applyAlignment="1">
      <x:alignment vertical="center"/>
    </x:xf>
    <x:xf numFmtId="0" fontId="5" fillId="4" borderId="7" xfId="0" applyNumberFormat="1" applyFont="1" applyFill="1" applyBorder="1" applyAlignment="1">
      <x:alignment vertical="center"/>
    </x:xf>
    <x:xf numFmtId="0" fontId="5" fillId="2" borderId="8" xfId="0" applyNumberFormat="1" applyFont="1" applyFill="1" applyBorder="1" applyAlignment="1">
      <x:alignment vertical="center"/>
    </x:xf>
    <x:xf numFmtId="0" fontId="5" fillId="5" borderId="1" xfId="0" applyNumberFormat="1" applyFont="1" applyFill="1" applyBorder="1" applyAlignment="1">
      <x:alignment vertical="center"/>
    </x:xf>
    <x:xf numFmtId="0" fontId="5" fillId="5" borderId="2" xfId="0" applyNumberFormat="1" applyFont="1" applyFill="1" applyBorder="1" applyAlignment="1">
      <x:alignment vertical="center"/>
    </x:xf>
    <x:xf numFmtId="0" fontId="5" fillId="5" borderId="3" xfId="0" applyNumberFormat="1" applyFont="1" applyFill="1" applyBorder="1" applyAlignment="1">
      <x:alignment vertical="center"/>
    </x:xf>
    <x:xf numFmtId="0" fontId="6" fillId="5" borderId="4" xfId="0" applyNumberFormat="1" applyFont="1" applyFill="1" applyBorder="1" applyAlignment="1">
      <x:alignment vertical="center"/>
    </x:xf>
    <x:xf numFmtId="0" fontId="5" fillId="5" xfId="0" applyNumberFormat="1" applyFont="1" applyFill="1" applyBorder="0" applyAlignment="1">
      <x:alignment vertical="center"/>
    </x:xf>
    <x:xf numFmtId="0" fontId="5" fillId="5" borderId="5" xfId="0" applyNumberFormat="1" applyFont="1" applyFill="1" applyBorder="1" applyAlignment="1">
      <x:alignment vertical="center"/>
    </x:xf>
    <x:xf numFmtId="0" fontId="7" fillId="5" borderId="4" xfId="0" applyNumberFormat="1" applyFont="1" applyFill="1" applyBorder="1" applyAlignment="1">
      <x:alignment vertical="center"/>
    </x:xf>
    <x:xf numFmtId="0" fontId="5" fillId="5" borderId="4" xfId="0" applyNumberFormat="1" applyFont="1" applyFill="1" applyBorder="1" applyAlignment="1">
      <x:alignment vertical="center"/>
    </x:xf>
    <x:xf numFmtId="0" fontId="6" fillId="5" borderId="4" xfId="0" applyNumberFormat="1" applyFont="1" applyFill="1" applyBorder="1" applyAlignment="1">
      <x:alignment horizontal="center" vertical="center" wrapText="1"/>
    </x:xf>
    <x:xf numFmtId="0" fontId="6" fillId="5" xfId="0" applyNumberFormat="1" applyFont="1" applyFill="1" applyBorder="0" applyAlignment="1">
      <x:alignment horizontal="center" vertical="center" wrapText="1"/>
    </x:xf>
    <x:xf numFmtId="0" fontId="6" fillId="5" borderId="5" xfId="0" applyNumberFormat="1" applyFont="1" applyFill="1" applyBorder="1" applyAlignment="1">
      <x:alignment horizontal="center" vertical="center" wrapText="1"/>
    </x:xf>
    <x:xf numFmtId="200" fontId="5" fillId="5" borderId="4" xfId="0" applyNumberFormat="1" applyFont="1" applyFill="1" applyBorder="1" applyAlignment="1">
      <x:alignment vertical="center"/>
    </x:xf>
    <x:xf numFmtId="201" fontId="5" fillId="5" xfId="0" applyNumberFormat="1" applyFont="1" applyFill="1" applyBorder="0" applyAlignment="1">
      <x:alignment vertical="center"/>
    </x:xf>
    <x:xf numFmtId="204" fontId="5" fillId="5" xfId="0" applyNumberFormat="1" applyFont="1" applyFill="1" applyBorder="0" applyAlignment="1">
      <x:alignment vertical="center"/>
    </x:xf>
    <x:xf numFmtId="202" fontId="5" fillId="5" xfId="0" applyNumberFormat="1" applyFont="1" applyFill="1" applyBorder="0" applyAlignment="1">
      <x:alignment vertical="center"/>
    </x:xf>
    <x:xf numFmtId="200" fontId="5" fillId="5" borderId="6" xfId="0" applyNumberFormat="1" applyFont="1" applyFill="1" applyBorder="1" applyAlignment="1">
      <x:alignment vertical="center"/>
    </x:xf>
    <x:xf numFmtId="0" fontId="5" fillId="5" borderId="7" xfId="0" applyNumberFormat="1" applyFont="1" applyFill="1" applyBorder="1" applyAlignment="1">
      <x:alignment vertical="center"/>
    </x:xf>
    <x:xf numFmtId="201" fontId="5" fillId="5" borderId="7" xfId="0" applyNumberFormat="1" applyFont="1" applyFill="1" applyBorder="1" applyAlignment="1">
      <x:alignment vertical="center"/>
    </x:xf>
    <x:xf numFmtId="204" fontId="5" fillId="5" borderId="7" xfId="0" applyNumberFormat="1" applyFont="1" applyFill="1" applyBorder="1" applyAlignment="1">
      <x:alignment vertical="center"/>
    </x:xf>
    <x:xf numFmtId="202" fontId="5" fillId="5" borderId="7" xfId="0" applyNumberFormat="1" applyFont="1" applyFill="1" applyBorder="1" applyAlignment="1">
      <x:alignment vertical="center"/>
    </x:xf>
    <x:xf numFmtId="0" fontId="5" fillId="5" borderId="8" xfId="0" applyNumberFormat="1" applyFont="1" applyFill="1" applyBorder="1" applyAlignment="1">
      <x:alignment vertical="center"/>
    </x:xf>
    <x:xf numFmtId="200" fontId="5" fillId="6" borderId="4" xfId="0" applyNumberFormat="1" applyFont="1" applyFill="1" applyBorder="1" applyAlignment="1">
      <x:alignment vertical="center"/>
    </x:xf>
    <x:xf numFmtId="0" fontId="5" fillId="6" xfId="0" applyNumberFormat="1" applyFont="1" applyFill="1" applyBorder="0" applyAlignment="1">
      <x:alignment vertical="center"/>
    </x:xf>
    <x:xf numFmtId="201" fontId="5" fillId="6" xfId="0" applyNumberFormat="1" applyFont="1" applyFill="1" applyBorder="0" applyAlignment="1">
      <x:alignment vertical="center"/>
    </x:xf>
    <x:xf numFmtId="204" fontId="5" fillId="6" xfId="0" applyNumberFormat="1" applyFont="1" applyFill="1" applyBorder="0" applyAlignment="1">
      <x:alignment vertical="center"/>
    </x:xf>
    <x:xf numFmtId="202" fontId="5" fillId="6" xfId="0" applyNumberFormat="1" applyFont="1" applyFill="1" applyBorder="0" applyAlignment="1">
      <x:alignment vertical="center"/>
    </x:xf>
    <x:xf numFmtId="0" fontId="5" fillId="6" borderId="5" xfId="0" applyNumberFormat="1" applyFont="1" applyFill="1" applyBorder="1" applyAlignment="1">
      <x:alignment vertical="center"/>
    </x:xf>
    <x:xf numFmtId="200" fontId="5" fillId="6" borderId="6" xfId="0" applyNumberFormat="1" applyFont="1" applyFill="1" applyBorder="1" applyAlignment="1">
      <x:alignment vertical="center"/>
    </x:xf>
    <x:xf numFmtId="0" fontId="5" fillId="6" borderId="7" xfId="0" applyNumberFormat="1" applyFont="1" applyFill="1" applyBorder="1" applyAlignment="1">
      <x:alignment vertical="center"/>
    </x:xf>
    <x:xf numFmtId="201" fontId="5" fillId="6" borderId="7" xfId="0" applyNumberFormat="1" applyFont="1" applyFill="1" applyBorder="1" applyAlignment="1">
      <x:alignment vertical="center"/>
    </x:xf>
    <x:xf numFmtId="204" fontId="5" fillId="6" borderId="7" xfId="0" applyNumberFormat="1" applyFont="1" applyFill="1" applyBorder="1" applyAlignment="1">
      <x:alignment vertical="center"/>
    </x:xf>
    <x:xf numFmtId="202" fontId="5" fillId="6" borderId="7" xfId="0" applyNumberFormat="1" applyFont="1" applyFill="1" applyBorder="1" applyAlignment="1">
      <x:alignment vertical="center"/>
    </x:xf>
    <x:xf numFmtId="0" fontId="5" fillId="6" borderId="8" xfId="0" applyNumberFormat="1" applyFont="1" applyFill="1" applyBorder="1" applyAlignment="1">
      <x:alignment vertical="center"/>
    </x:xf>
    <x:xf numFmtId="201" fontId="5" fillId="7" xfId="0" applyNumberFormat="1" applyFont="1" applyFill="1" applyBorder="0" applyAlignment="1">
      <x:alignment vertical="center"/>
    </x:xf>
    <x:xf numFmtId="201" fontId="5" fillId="7" borderId="7" xfId="0" applyNumberFormat="1" applyFont="1" applyFill="1" applyBorder="1" applyAlignment="1">
      <x:alignment vertical="center"/>
    </x:xf>
    <x:xf numFmtId="0" fontId="5" fillId="7" xfId="0" applyNumberFormat="1" applyFont="1" applyFill="1" applyBorder="0" applyAlignment="1">
      <x:alignment vertical="center"/>
    </x:xf>
    <x:xf numFmtId="0" fontId="5" fillId="7" borderId="7" xfId="0" applyNumberFormat="1" applyFont="1" applyFill="1" applyBorder="1" applyAlignment="1">
      <x:alignment vertical="center"/>
    </x:xf>
    <x:xf numFmtId="0" fontId="5" fillId="6" borderId="1" xfId="0" applyNumberFormat="1" applyFont="1" applyFill="1" applyBorder="1" applyAlignment="1">
      <x:alignment vertical="center"/>
    </x:xf>
    <x:xf numFmtId="0" fontId="5" fillId="6" borderId="2" xfId="0" applyNumberFormat="1" applyFont="1" applyFill="1" applyBorder="1" applyAlignment="1">
      <x:alignment vertical="center"/>
    </x:xf>
    <x:xf numFmtId="0" fontId="8" fillId="6" borderId="1" xfId="0" applyNumberFormat="1" applyFont="1" applyFill="1" applyBorder="1" applyAlignment="1">
      <x:alignment vertical="center"/>
    </x:xf>
    <x:xf numFmtId="0" fontId="8" fillId="6" borderId="2" xfId="0" applyNumberFormat="1" applyFont="1" applyFill="1" applyBorder="1" applyAlignment="1">
      <x:alignment vertical="center"/>
    </x:xf>
    <x:xf numFmtId="0" fontId="8" fillId="6" borderId="1" xfId="0" applyNumberFormat="1" applyFont="1" applyFill="1" applyBorder="1" applyAlignment="1">
      <x:alignment horizontal="center" vertical="center"/>
    </x:xf>
    <x:xf numFmtId="0" fontId="8" fillId="6" borderId="2" xfId="0" applyNumberFormat="1" applyFont="1" applyFill="1" applyBorder="1" applyAlignment="1">
      <x:alignment horizontal="center" vertical="center"/>
    </x:xf>
    <x:xf numFmtId="0" fontId="9" fillId="5" borderId="2" xfId="0" applyNumberFormat="1" applyFont="1" applyFill="1" applyBorder="1" applyAlignment="1">
      <x:alignment vertical="center"/>
    </x:xf>
    <x:xf numFmtId="0" fontId="9" fillId="5" borderId="2" xfId="0" applyNumberFormat="1" applyFont="1" applyFill="1" applyBorder="1" applyAlignment="1">
      <x:alignment horizontal="right" vertical="center"/>
    </x:xf>
    <x:xf numFmtId="0" fontId="10" fillId="5" borderId="4" xfId="0" applyNumberFormat="1" applyFont="1" applyFill="1" applyBorder="1" applyAlignment="1">
      <x:alignment vertical="center"/>
    </x:xf>
    <x:xf numFmtId="0" fontId="10" fillId="5" xfId="0" applyNumberFormat="1" applyFont="1" applyFill="1" applyBorder="0" applyAlignment="1">
      <x:alignment vertical="center"/>
    </x:xf>
    <x:xf numFmtId="0" fontId="10" fillId="5" borderId="9" xfId="0" applyNumberFormat="1" applyFont="1" applyFill="1" applyBorder="1" applyAlignment="1">
      <x:alignment vertical="center"/>
    </x:xf>
    <x:xf numFmtId="0" fontId="10" fillId="5" borderId="10" xfId="0" applyNumberFormat="1" applyFont="1" applyFill="1" applyBorder="1" applyAlignment="1">
      <x:alignment vertical="center"/>
    </x:xf>
    <x:xf numFmtId="0" fontId="11" fillId="7" xfId="0" applyNumberFormat="1" applyFont="1" applyFill="1" applyBorder="0" applyAlignment="1">
      <x:alignment vertical="center"/>
    </x:xf>
    <x:xf numFmtId="0" fontId="11" fillId="7" xfId="0" applyNumberFormat="1" applyFont="1" applyFill="1" applyBorder="0" applyAlignment="1">
      <x:alignment horizontal="center" vertical="center"/>
    </x:xf>
    <x:xf numFmtId="0" fontId="12" fillId="5" borderId="4" xfId="0" applyNumberFormat="1" applyFont="1" applyFill="1" applyBorder="1" applyAlignment="1">
      <x:alignment vertical="center"/>
    </x:xf>
    <x:xf numFmtId="0" fontId="13" fillId="5" xfId="0" applyNumberFormat="1" applyFont="1" applyFill="1" applyBorder="0" applyAlignment="1">
      <x:alignment vertical="center"/>
    </x:xf>
    <x:xf numFmtId="0" fontId="12" fillId="5" borderId="4" xfId="0" applyNumberFormat="1" applyFont="1" applyFill="1" applyBorder="1" applyAlignment="1">
      <x:alignment vertical="center" wrapText="1"/>
    </x:xf>
    <x:xf numFmtId="0" fontId="13" fillId="5" xfId="0" applyNumberFormat="1" applyFont="1" applyFill="1" applyBorder="0" applyAlignment="1">
      <x:alignment vertical="center" wrapText="1"/>
    </x:xf>
    <x:xf numFmtId="0" fontId="5" fillId="6" borderId="4" xfId="0" applyNumberFormat="1" applyFont="1" applyFill="1" applyBorder="1" applyAlignment="1">
      <x:alignment vertical="center"/>
    </x:xf>
    <x:xf numFmtId="0" fontId="9" fillId="6" borderId="4" xfId="0" applyNumberFormat="1" applyFont="1" applyFill="1" applyBorder="1" applyAlignment="1">
      <x:alignment vertical="center"/>
    </x:xf>
    <x:xf numFmtId="0" fontId="9" fillId="6" xfId="0" applyNumberFormat="1" applyFont="1" applyFill="1" applyBorder="0" applyAlignment="1">
      <x:alignment vertical="center"/>
    </x:xf>
    <x:xf numFmtId="0" fontId="9" fillId="6" borderId="11" xfId="0" applyNumberFormat="1" applyFont="1" applyFill="1" applyBorder="1" applyAlignment="1">
      <x:alignment vertical="center"/>
    </x:xf>
    <x:xf numFmtId="0" fontId="9" fillId="6" borderId="12" xfId="0" applyNumberFormat="1" applyFont="1" applyFill="1" applyBorder="1" applyAlignment="1">
      <x:alignment vertical="center"/>
    </x:xf>
    <x:xf numFmtId="0" fontId="9" fillId="6" borderId="13" xfId="0" applyNumberFormat="1" applyFont="1" applyFill="1" applyBorder="1" applyAlignment="1">
      <x:alignment vertical="center"/>
    </x:xf>
    <x:xf numFmtId="0" fontId="9" fillId="6" borderId="5" xfId="0" applyNumberFormat="1" applyFont="1" applyFill="1" applyBorder="1" applyAlignment="1">
      <x:alignment vertical="center"/>
    </x:xf>
    <x:xf numFmtId="0" fontId="9" fillId="6" borderId="14" xfId="0" applyNumberFormat="1" applyFont="1" applyFill="1" applyBorder="1" applyAlignment="1">
      <x:alignment vertical="center"/>
    </x:xf>
    <x:xf numFmtId="0" fontId="6" fillId="8" borderId="4" xfId="0" applyNumberFormat="1" applyFont="1" applyFill="1" applyBorder="1" applyAlignment="1">
      <x:alignment horizontal="center" vertical="center" wrapText="1"/>
    </x:xf>
    <x:xf numFmtId="0" fontId="6" fillId="8" xfId="0" applyNumberFormat="1" applyFont="1" applyFill="1" applyBorder="0" applyAlignment="1">
      <x:alignment horizontal="center" vertical="center" wrapText="1"/>
    </x:xf>
    <x:xf numFmtId="0" fontId="6" fillId="8" borderId="5" xfId="0" applyNumberFormat="1" applyFont="1" applyFill="1" applyBorder="1" applyAlignment="1">
      <x:alignment horizontal="center" vertical="center" wrapText="1"/>
    </x:xf>
    <x:xf numFmtId="0" fontId="4" fillId="8" borderId="4" xfId="0" applyNumberFormat="1" applyFont="1" applyFill="1" applyBorder="1" applyAlignment="1">
      <x:alignment horizontal="center" vertical="center" wrapText="1"/>
    </x:xf>
    <x:xf numFmtId="0" fontId="4" fillId="8" xfId="0" applyNumberFormat="1" applyFont="1" applyFill="1" applyBorder="0" applyAlignment="1">
      <x:alignment horizontal="center" vertical="center" wrapText="1"/>
    </x:xf>
    <x:xf numFmtId="0" fontId="4" fillId="8" borderId="5" xfId="0" applyNumberFormat="1" applyFont="1" applyFill="1" applyBorder="1" applyAlignment="1">
      <x:alignment horizontal="center" vertical="center" wrapText="1"/>
    </x:xf>
    <x:xf numFmtId="0" fontId="4" fillId="8" borderId="15" xfId="0" applyNumberFormat="1" applyFont="1" applyFill="1" applyBorder="1" applyAlignment="1">
      <x:alignment horizontal="center" vertical="center" wrapText="1"/>
    </x:xf>
    <x:xf numFmtId="0" fontId="4" fillId="8" borderId="16" xfId="0" applyNumberFormat="1" applyFont="1" applyFill="1" applyBorder="1" applyAlignment="1">
      <x:alignment horizontal="center" vertical="center" wrapText="1"/>
    </x:xf>
    <x:xf numFmtId="0" fontId="4" fillId="8" borderId="17" xfId="0" applyNumberFormat="1" applyFont="1" applyFill="1" applyBorder="1" applyAlignment="1">
      <x:alignment horizontal="center" vertical="center" wrapText="1"/>
    </x:xf>
    <x:xf numFmtId="200" fontId="14" fillId="5" borderId="4" xfId="0" applyNumberFormat="1" applyFont="1" applyFill="1" applyBorder="1" applyAlignment="1">
      <x:alignment vertical="center"/>
    </x:xf>
    <x:xf numFmtId="0" fontId="14" fillId="5" xfId="0" applyNumberFormat="1" applyFont="1" applyFill="1" applyBorder="0" applyAlignment="1">
      <x:alignment vertical="center"/>
    </x:xf>
    <x:xf numFmtId="200" fontId="14" fillId="6" borderId="4" xfId="0" applyNumberFormat="1" applyFont="1" applyFill="1" applyBorder="1" applyAlignment="1">
      <x:alignment vertical="center"/>
    </x:xf>
    <x:xf numFmtId="0" fontId="14" fillId="6" xfId="0" applyNumberFormat="1" applyFont="1" applyFill="1" applyBorder="0" applyAlignment="1">
      <x:alignment vertical="center"/>
    </x:xf>
    <x:xf numFmtId="200" fontId="14" fillId="6" borderId="6" xfId="0" applyNumberFormat="1" applyFont="1" applyFill="1" applyBorder="1" applyAlignment="1">
      <x:alignment vertical="center"/>
    </x:xf>
    <x:xf numFmtId="0" fontId="14" fillId="6" borderId="7" xfId="0" applyNumberFormat="1" applyFont="1" applyFill="1" applyBorder="1" applyAlignment="1">
      <x:alignment vertical="center"/>
    </x:xf>
    <x:xf numFmtId="200" fontId="5" fillId="2" xfId="0" applyNumberFormat="1" applyFont="1" applyFill="1" applyBorder="0" applyAlignment="1">
      <x:alignment vertical="center"/>
    </x:xf>
    <x:xf numFmtId="0" fontId="5" fillId="4" borderId="5" xfId="0" applyNumberFormat="1" applyFont="1" applyFill="1" applyBorder="1" applyAlignment="1">
      <x:alignment vertical="center"/>
    </x:xf>
    <x:xf numFmtId="200" fontId="5" fillId="2" borderId="7" xfId="0" applyNumberFormat="1" applyFont="1" applyFill="1" applyBorder="1" applyAlignment="1">
      <x:alignment vertical="center"/>
    </x:xf>
    <x:xf numFmtId="0" fontId="5" fillId="4" borderId="8" xfId="0" applyNumberFormat="1" applyFont="1" applyFill="1" applyBorder="1" applyAlignment="1">
      <x:alignment vertical="center"/>
    </x:xf>
    <x:xf numFmtId="200" fontId="5" fillId="5" xfId="0" applyNumberFormat="1" applyFont="1" applyFill="1" applyBorder="0" applyAlignment="1">
      <x:alignment vertical="center"/>
    </x:xf>
    <x:xf numFmtId="200" fontId="5" fillId="5" borderId="7" xfId="0" applyNumberFormat="1" applyFont="1" applyFill="1" applyBorder="1" applyAlignment="1">
      <x:alignment vertical="center"/>
    </x:xf>
    <x:xf numFmtId="200" fontId="5" fillId="6" xfId="0" applyNumberFormat="1" applyFont="1" applyFill="1" applyBorder="0" applyAlignment="1">
      <x:alignment vertical="center"/>
    </x:xf>
    <x:xf numFmtId="200" fontId="5" fillId="6" borderId="7" xfId="0" applyNumberFormat="1" applyFont="1" applyFill="1" applyBorder="1" applyAlignment="1">
      <x:alignment vertical="center"/>
    </x:xf>
    <x:xf numFmtId="0" fontId="5" fillId="7" borderId="5" xfId="0" applyNumberFormat="1" applyFont="1" applyFill="1" applyBorder="1" applyAlignment="1">
      <x:alignment vertical="center"/>
    </x:xf>
    <x:xf numFmtId="0" fontId="5" fillId="7" borderId="8" xfId="0" applyNumberFormat="1" applyFont="1" applyFill="1" applyBorder="1" applyAlignment="1">
      <x:alignment vertical="center"/>
    </x:xf>
    <x:xf numFmtId="0" fontId="11" fillId="7" borderId="5" xfId="0" applyNumberFormat="1" applyFont="1" applyFill="1" applyBorder="1" applyAlignment="1">
      <x:alignment vertical="center"/>
    </x:xf>
    <x:xf numFmtId="0" fontId="11" fillId="7" borderId="5" xfId="0" applyNumberFormat="1" applyFont="1" applyFill="1" applyBorder="1" applyAlignment="1">
      <x:alignment horizontal="center" vertical="center"/>
    </x:xf>
    <x:xf numFmtId="0" fontId="13" fillId="5" borderId="5" xfId="0" applyNumberFormat="1" applyFont="1" applyFill="1" applyBorder="1" applyAlignment="1">
      <x:alignment vertical="center"/>
    </x:xf>
    <x:xf numFmtId="0" fontId="13" fillId="5" borderId="5" xfId="0" applyNumberFormat="1" applyFont="1" applyFill="1" applyBorder="1" applyAlignment="1">
      <x:alignment vertical="center" wrapText="1"/>
    </x:xf>
    <x:xf numFmtId="203" fontId="5" fillId="2" borderId="0" xfId="0" applyNumberFormat="1" applyFont="1" applyFill="1" applyBorder="1" applyAlignment="1">
      <x:alignment vertical="center"/>
    </x:xf>
    <x:xf numFmtId="203" fontId="5" fillId="2" xfId="0" applyNumberFormat="1" applyFont="1" applyFill="1" applyBorder="0" applyAlignment="1">
      <x:alignment vertical="center"/>
    </x:xf>
    <x:xf numFmtId="203" fontId="5" fillId="2" borderId="7" xfId="0" applyNumberFormat="1" applyFont="1" applyFill="1" applyBorder="1" applyAlignment="1">
      <x:alignment vertical="center"/>
    </x:xf>
    <x:xf numFmtId="203" fontId="5" fillId="5" xfId="0" applyNumberFormat="1" applyFont="1" applyFill="1" applyBorder="0" applyAlignment="1">
      <x:alignment vertical="center"/>
    </x:xf>
    <x:xf numFmtId="203" fontId="5" fillId="5" borderId="7" xfId="0" applyNumberFormat="1" applyFont="1" applyFill="1" applyBorder="1" applyAlignment="1">
      <x:alignment vertical="center"/>
    </x:xf>
    <x:xf numFmtId="203" fontId="5" fillId="6" xfId="0" applyNumberFormat="1" applyFont="1" applyFill="1" applyBorder="0" applyAlignment="1">
      <x:alignment vertical="center"/>
    </x:xf>
    <x:xf numFmtId="203" fontId="5" fillId="6" borderId="7" xfId="0" applyNumberFormat="1" applyFont="1" applyFill="1" applyBorder="1" applyAlignment="1">
      <x:alignment vertical="center"/>
    </x:xf>
    <x:xf numFmtId="202" fontId="14" fillId="5" xfId="0" applyNumberFormat="1" applyFont="1" applyFill="1" applyBorder="0" applyAlignment="1">
      <x:alignment vertical="center"/>
    </x:xf>
    <x:xf numFmtId="202" fontId="14" fillId="6" xfId="0" applyNumberFormat="1" applyFont="1" applyFill="1" applyBorder="0" applyAlignment="1">
      <x:alignment vertical="center"/>
    </x:xf>
    <x:xf numFmtId="202" fontId="14" fillId="6" borderId="7" xfId="0" applyNumberFormat="1" applyFont="1" applyFill="1" applyBorder="1" applyAlignment="1">
      <x:alignment vertical="center"/>
    </x:xf>
    <x:xf numFmtId="205" fontId="5" fillId="5" xfId="0" applyNumberFormat="1" applyFont="1" applyFill="1" applyBorder="0" applyAlignment="1">
      <x:alignment vertical="center"/>
    </x:xf>
    <x:xf numFmtId="205" fontId="5" fillId="6" xfId="0" applyNumberFormat="1" applyFont="1" applyFill="1" applyBorder="0" applyAlignment="1">
      <x:alignment vertical="center"/>
    </x:xf>
    <x:xf numFmtId="205" fontId="5" fillId="6" borderId="7" xfId="0" applyNumberFormat="1" applyFont="1" applyFill="1" applyBorder="1" applyAlignment="1">
      <x:alignment vertical="center"/>
    </x:xf>
    <x:xf numFmtId="206" fontId="5" fillId="5" xfId="0" applyNumberFormat="1" applyFont="1" applyFill="1" applyBorder="0" applyAlignment="1">
      <x:alignment vertical="center"/>
    </x:xf>
    <x:xf numFmtId="206" fontId="5" fillId="6" xfId="0" applyNumberFormat="1" applyFont="1" applyFill="1" applyBorder="0" applyAlignment="1">
      <x:alignment vertical="center"/>
    </x:xf>
    <x:xf numFmtId="206" fontId="5" fillId="6" borderId="7" xfId="0" applyNumberFormat="1" applyFont="1" applyFill="1" applyBorder="1" applyAlignment="1">
      <x:alignment vertical="center"/>
    </x:xf>
    <x:xf numFmtId="206" fontId="5" fillId="7" xfId="0" applyNumberFormat="1" applyFont="1" applyFill="1" applyBorder="0" applyAlignment="1">
      <x:alignment vertical="center"/>
    </x:xf>
    <x:xf numFmtId="206" fontId="5" fillId="7" borderId="7" xfId="0" applyNumberFormat="1" applyFont="1" applyFill="1" applyBorder="1" applyAlignment="1">
      <x:alignment vertical="center"/>
    </x:xf>
    <x:xf numFmtId="207" fontId="5" fillId="5" xfId="0" applyNumberFormat="1" applyFont="1" applyFill="1" applyBorder="0" applyAlignment="1">
      <x:alignment vertical="center"/>
    </x:xf>
    <x:xf numFmtId="207" fontId="5" fillId="6" xfId="0" applyNumberFormat="1" applyFont="1" applyFill="1" applyBorder="0" applyAlignment="1">
      <x:alignment vertical="center"/>
    </x:xf>
    <x:xf numFmtId="207" fontId="5" fillId="6" borderId="7" xfId="0" applyNumberFormat="1" applyFont="1" applyFill="1" applyBorder="1" applyAlignment="1">
      <x:alignment vertical="center"/>
    </x:xf>
    <x:xf numFmtId="0" fontId="0" fillId="5" borderId="0" xfId="0" applyNumberFormat="1" applyFont="1" applyFill="1" applyBorder="1"/>
    <x:xf numFmtId="0" fontId="15" fillId="5" borderId="0" xfId="0" applyNumberFormat="1" applyFont="1" applyFill="1" applyBorder="1"/>
    <x:xf numFmtId="0" fontId="15" fillId="5" borderId="0" xfId="0" applyNumberFormat="1" applyFont="1" applyFill="1" applyBorder="1" applyAlignment="1">
      <x:alignment vertical="center"/>
    </x:xf>
    <x:xf numFmtId="0" fontId="16" fillId="5" borderId="0" xfId="0" applyNumberFormat="1" applyFont="1" applyFill="1" applyBorder="1" applyAlignment="1">
      <x:alignment vertical="center"/>
    </x:xf>
    <x:xf numFmtId="0" fontId="17" fillId="5" borderId="0" xfId="0" applyNumberFormat="1" applyFont="1" applyFill="1" applyBorder="1" applyAlignment="1">
      <x:alignment vertical="center"/>
    </x:xf>
    <x:xf numFmtId="0" fontId="13" fillId="5" borderId="0" xfId="0" applyNumberFormat="1" applyFont="1" applyFill="1" applyBorder="1" applyAlignment="1">
      <x:alignment vertical="center"/>
    </x:xf>
    <x:xf numFmtId="0" fontId="13" fillId="5" borderId="0" xfId="0" applyNumberFormat="1" applyFont="1" applyFill="1" applyBorder="1" applyAlignment="1">
      <x:alignment horizontal="right" vertical="center"/>
    </x:xf>
    <x:xf numFmtId="208" fontId="13" fillId="5" borderId="0" xfId="0" applyNumberFormat="1" applyFont="1" applyFill="1" applyBorder="1" applyAlignment="1">
      <x:alignment horizontal="right" vertical="center"/>
    </x:xf>
    <x:xf numFmtId="0" fontId="13" fillId="5" borderId="18" xfId="0" applyNumberFormat="1" applyFont="1" applyFill="1" applyBorder="1" applyAlignment="1">
      <x:alignment vertical="center"/>
    </x:xf>
    <x:xf numFmtId="0" fontId="15" fillId="6" borderId="0" xfId="0" applyNumberFormat="1" applyFont="1" applyFill="1" applyBorder="1" applyAlignment="1">
      <x:alignment vertical="center"/>
    </x:xf>
    <x:xf numFmtId="0" fontId="8" fillId="6" borderId="0" xfId="0" applyNumberFormat="1" applyFont="1" applyFill="1" applyBorder="1" applyAlignment="1">
      <x:alignment vertical="center"/>
    </x:xf>
    <x:xf numFmtId="0" fontId="8" fillId="6" borderId="0" xfId="0" applyNumberFormat="1" applyFont="1" applyFill="1" applyBorder="1" applyAlignment="1">
      <x:alignment horizontal="center" vertical="center"/>
    </x:xf>
    <x:xf numFmtId="0" fontId="11" fillId="5" borderId="0" xfId="0" applyNumberFormat="1" applyFont="1" applyFill="1" applyBorder="1" applyAlignment="1">
      <x:alignment vertical="center"/>
    </x:xf>
    <x:xf numFmtId="0" fontId="18" fillId="6" borderId="0" xfId="0" applyNumberFormat="1" applyFont="1" applyFill="1" applyBorder="1" applyAlignment="1">
      <x:alignment vertical="center"/>
    </x:xf>
    <x:xf numFmtId="0" fontId="18" fillId="6" borderId="19" xfId="0" applyNumberFormat="1" applyFont="1" applyFill="1" applyBorder="1" applyAlignment="1">
      <x:alignment vertical="center"/>
    </x:xf>
    <x:xf numFmtId="0" fontId="19" fillId="6" borderId="0" xfId="0" applyNumberFormat="1" applyFont="1" applyFill="1" applyBorder="1" applyAlignment="1">
      <x:alignment vertical="center"/>
    </x:xf>
    <x:xf numFmtId="205" fontId="19" fillId="6" borderId="0" xfId="0" applyNumberFormat="1" applyFont="1" applyFill="1" applyBorder="1" applyAlignment="1">
      <x:alignment vertical="center"/>
    </x:xf>
    <x:xf numFmtId="0" fontId="11" fillId="6" borderId="0" xfId="0" applyNumberFormat="1" applyFont="1" applyFill="1" applyBorder="1" applyAlignment="1">
      <x:alignment vertical="center"/>
    </x:xf>
    <x:xf numFmtId="206" fontId="19" fillId="6" borderId="0" xfId="0" applyNumberFormat="1" applyFont="1" applyFill="1" applyBorder="1" applyAlignment="1">
      <x:alignment vertical="center"/>
    </x:xf>
    <x:xf numFmtId="0" fontId="15" fillId="8" borderId="0" xfId="0" applyNumberFormat="1" applyFont="1" applyFill="1" applyBorder="1" applyAlignment="1">
      <x:alignment vertical="center"/>
    </x:xf>
    <x:xf numFmtId="0" fontId="20" fillId="8" borderId="0" xfId="0" applyNumberFormat="1" applyFont="1" applyFill="1" applyBorder="1" applyAlignment="1">
      <x:alignment vertical="center"/>
    </x:xf>
    <x:xf numFmtId="205" fontId="15" fillId="5" borderId="0" xfId="0" applyNumberFormat="1" applyFont="1" applyFill="1" applyBorder="1" applyAlignment="1">
      <x:alignment vertical="center"/>
    </x:xf>
    <x:xf numFmtId="205" fontId="15" fillId="6" borderId="0" xfId="0" applyNumberFormat="1" applyFont="1" applyFill="1" applyBorder="1" applyAlignment="1">
      <x:alignment vertical="center"/>
    </x:xf>
    <x:xf numFmtId="206" fontId="15" fillId="5" borderId="0" xfId="0" applyNumberFormat="1" applyFont="1" applyFill="1" applyBorder="1" applyAlignment="1">
      <x:alignment vertical="center"/>
    </x:xf>
    <x:xf numFmtId="206" fontId="15" fillId="6" borderId="0" xfId="0" applyNumberFormat="1" applyFont="1" applyFill="1" applyBorder="1" applyAlignment="1">
      <x:alignment vertical="center"/>
    </x:xf>
    <x:xf numFmtId="0" fontId="21" fillId="6" borderId="0" xfId="0" applyNumberFormat="1" applyFont="1" applyFill="1" applyBorder="1" applyAlignment="1">
      <x:alignment vertical="center"/>
    </x:xf>
    <x:xf numFmtId="206" fontId="21" fillId="6" borderId="0" xfId="0" applyNumberFormat="1" applyFont="1" applyFill="1" applyBorder="1" applyAlignment="1">
      <x:alignment vertical="center"/>
    </x:xf>
    <x:xf numFmtId="206" fontId="5" fillId="6" borderId="0" xfId="0" applyNumberFormat="1" applyFont="1" applyFill="1" applyBorder="1" applyAlignment="1">
      <x:alignment vertical="center"/>
    </x:xf>
    <x:xf numFmtId="206" fontId="5" fillId="5" borderId="0" xfId="0" applyNumberFormat="1" applyFont="1" applyFill="1" applyBorder="1" applyAlignment="1">
      <x:alignment vertical="center"/>
    </x:xf>
    <x:xf numFmtId="206" fontId="6" fillId="6" borderId="0" xfId="0" applyNumberFormat="1" applyFont="1" applyFill="1" applyBorder="1" applyAlignment="1">
      <x:alignment vertical="center"/>
    </x:xf>
    <x:xf numFmtId="0" fontId="11" fillId="5" borderId="0" xfId="0" applyNumberFormat="1" applyFont="1" applyFill="1" applyBorder="1" applyAlignment="1">
      <x:alignment vertical="center" wrapText="1"/>
    </x:xf>
    <x:xf numFmtId="0" fontId="13" fillId="6" borderId="0" xfId="0" applyNumberFormat="1" applyFont="1" applyFill="1" applyBorder="1" applyAlignment="1">
      <x:alignment vertical="center"/>
    </x:xf>
    <x:xf numFmtId="0" fontId="13" fillId="6" borderId="0" xfId="0" applyNumberFormat="1" applyFont="1" applyFill="1" applyBorder="1" applyAlignment="1">
      <x:alignment vertical="center" wrapText="1"/>
    </x:xf>
    <x:xf numFmtId="0" fontId="11" fillId="5" borderId="20" xfId="0" applyNumberFormat="1" applyFont="1" applyFill="1" applyBorder="1" applyAlignment="1">
      <x:alignment vertical="center"/>
    </x:xf>
    <x:xf numFmtId="0" fontId="17" fillId="5" borderId="18" xfId="0" applyNumberFormat="1" applyFont="1" applyFill="1" applyBorder="1" applyAlignment="1">
      <x:alignment vertical="center"/>
    </x:xf>
    <x:xf numFmtId="200" fontId="20" fillId="8" borderId="0" xfId="0" applyNumberFormat="1" applyFont="1" applyFill="1" applyBorder="1" applyAlignment="1">
      <x:alignment vertical="center"/>
    </x:xf>
    <x:xf numFmtId="200" fontId="20" fillId="8" borderId="0" xfId="0" applyNumberFormat="1" applyFont="1" applyFill="1" applyBorder="1" applyAlignment="1">
      <x:alignment horizontal="center" vertical="center"/>
    </x:xf>
    <x:xf numFmtId="0" fontId="22" fillId="5"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0" fontId="14" fillId="6" borderId="0" xfId="0" applyNumberFormat="1" applyFont="1" applyFill="1" applyBorder="1" applyAlignment="1">
      <x:alignment vertical="center"/>
    </x:xf>
    <x:xf numFmtId="0" fontId="14" fillId="5" borderId="0" xfId="0" applyNumberFormat="1" applyFont="1" applyFill="1" applyBorder="1" applyAlignment="1">
      <x:alignment vertical="center"/>
    </x:xf>
    <x:xf numFmtId="0" fontId="0" fillId="9" borderId="0" xfId="0" applyNumberFormat="1" applyFont="1" applyFill="1" applyBorder="1"/>
    <x:xf numFmtId="0" fontId="4" fillId="9" borderId="15" xfId="0" applyNumberFormat="1" applyFont="1" applyFill="1" applyBorder="1" applyAlignment="1">
      <x:alignment horizontal="center" vertical="center" wrapText="1"/>
    </x:xf>
    <x:xf numFmtId="0" fontId="4" fillId="9" borderId="16" xfId="0" applyNumberFormat="1" applyFont="1" applyFill="1" applyBorder="1" applyAlignment="1">
      <x:alignment horizontal="center" vertical="center" wrapText="1"/>
    </x:xf>
    <x:xf numFmtId="0" fontId="4" fillId="9" borderId="17" xfId="0" applyNumberFormat="1" applyFont="1" applyFill="1" applyBorder="1" applyAlignment="1">
      <x:alignment horizontal="center" vertical="center" wrapText="1"/>
    </x:xf>
    <x:xf numFmtId="200" fontId="14" fillId="9" borderId="4" xfId="0" applyNumberFormat="1" applyFont="1" applyFill="1" applyBorder="1" applyAlignment="1">
      <x:alignment vertical="center"/>
    </x:xf>
    <x:xf numFmtId="0" fontId="14" fillId="9" xfId="0" applyNumberFormat="1" applyFont="1" applyFill="1" applyBorder="0" applyAlignment="1">
      <x:alignment vertical="center"/>
    </x:xf>
    <x:xf numFmtId="0" fontId="5" fillId="9" xfId="0" applyNumberFormat="1" applyFont="1" applyFill="1" applyBorder="0" applyAlignment="1">
      <x:alignment vertical="center"/>
    </x:xf>
    <x:xf numFmtId="206" fontId="5" fillId="9" xfId="0" applyNumberFormat="1" applyFont="1" applyFill="1" applyBorder="0" applyAlignment="1">
      <x:alignment vertical="center"/>
    </x:xf>
    <x:xf numFmtId="204" fontId="5" fillId="9" xfId="0" applyNumberFormat="1" applyFont="1" applyFill="1" applyBorder="0" applyAlignment="1">
      <x:alignment vertical="center"/>
    </x:xf>
    <x:xf numFmtId="202" fontId="5" fillId="9" xfId="0" applyNumberFormat="1" applyFont="1" applyFill="1" applyBorder="0" applyAlignment="1">
      <x:alignment vertical="center"/>
    </x:xf>
    <x:xf numFmtId="0" fontId="5" fillId="9" borderId="5" xfId="0" applyNumberFormat="1" applyFont="1" applyFill="1" applyBorder="1" applyAlignment="1">
      <x:alignment vertical="center"/>
    </x:xf>
    <x:xf numFmtId="200" fontId="14" fillId="9" borderId="6" xfId="0" applyNumberFormat="1" applyFont="1" applyFill="1" applyBorder="1" applyAlignment="1">
      <x:alignment vertical="center"/>
    </x:xf>
    <x:xf numFmtId="0" fontId="14" fillId="9" borderId="7" xfId="0" applyNumberFormat="1" applyFont="1" applyFill="1" applyBorder="1" applyAlignment="1">
      <x:alignment vertical="center"/>
    </x:xf>
    <x:xf numFmtId="0" fontId="5" fillId="9" borderId="7" xfId="0" applyNumberFormat="1" applyFont="1" applyFill="1" applyBorder="1" applyAlignment="1">
      <x:alignment vertical="center"/>
    </x:xf>
    <x:xf numFmtId="206" fontId="5" fillId="9" borderId="7" xfId="0" applyNumberFormat="1" applyFont="1" applyFill="1" applyBorder="1" applyAlignment="1">
      <x:alignment vertical="center"/>
    </x:xf>
    <x:xf numFmtId="204" fontId="5" fillId="9" borderId="7" xfId="0" applyNumberFormat="1" applyFont="1" applyFill="1" applyBorder="1" applyAlignment="1">
      <x:alignment vertical="center"/>
    </x:xf>
    <x:xf numFmtId="202" fontId="5" fillId="9" borderId="7" xfId="0" applyNumberFormat="1" applyFont="1" applyFill="1" applyBorder="1" applyAlignment="1">
      <x:alignment vertical="center"/>
    </x:xf>
    <x:xf numFmtId="0" fontId="5" fillId="9" borderId="8" xfId="0" applyNumberFormat="1" applyFont="1" applyFill="1" applyBorder="1" applyAlignment="1">
      <x:alignment vertical="center"/>
    </x:xf>
    <x:xf numFmtId="0" fontId="23" fillId="9" borderId="0" xfId="0" applyNumberFormat="1" applyFont="1" applyFill="1" applyBorder="1"/>
    <x:xf numFmtId="0" fontId="24" fillId="9" borderId="15" xfId="0" applyNumberFormat="1" applyFont="1" applyFill="1" applyBorder="1" applyAlignment="1">
      <x:alignment horizontal="center" vertical="center" wrapText="1"/>
    </x:xf>
    <x:xf numFmtId="0" fontId="24" fillId="9" borderId="16" xfId="0" applyNumberFormat="1" applyFont="1" applyFill="1" applyBorder="1" applyAlignment="1">
      <x:alignment horizontal="center" vertical="center" wrapText="1"/>
    </x:xf>
    <x:xf numFmtId="0" fontId="24" fillId="9" borderId="17" xfId="0" applyNumberFormat="1" applyFont="1" applyFill="1" applyBorder="1" applyAlignment="1">
      <x:alignment horizontal="center" vertical="center" wrapText="1"/>
    </x:xf>
    <x:xf numFmtId="200" fontId="24" fillId="9" borderId="4" xfId="0" applyNumberFormat="1" applyFont="1" applyFill="1" applyBorder="1" applyAlignment="1">
      <x:alignment vertical="center"/>
    </x:xf>
    <x:xf numFmtId="0" fontId="24" fillId="9" xfId="0" applyNumberFormat="1" applyFont="1" applyFill="1" applyBorder="0" applyAlignment="1">
      <x:alignment vertical="center"/>
    </x:xf>
    <x:xf numFmtId="0" fontId="23" fillId="9" xfId="0" applyNumberFormat="1" applyFont="1" applyFill="1" applyBorder="0" applyAlignment="1">
      <x:alignment vertical="center"/>
    </x:xf>
    <x:xf numFmtId="206" fontId="23" fillId="9" xfId="0" applyNumberFormat="1" applyFont="1" applyFill="1" applyBorder="0" applyAlignment="1">
      <x:alignment vertical="center"/>
    </x:xf>
    <x:xf numFmtId="204" fontId="23" fillId="9" xfId="0" applyNumberFormat="1" applyFont="1" applyFill="1" applyBorder="0" applyAlignment="1">
      <x:alignment vertical="center"/>
    </x:xf>
    <x:xf numFmtId="202" fontId="23" fillId="9" xfId="0" applyNumberFormat="1" applyFont="1" applyFill="1" applyBorder="0" applyAlignment="1">
      <x:alignment vertical="center"/>
    </x:xf>
    <x:xf numFmtId="0" fontId="23" fillId="9" borderId="5" xfId="0" applyNumberFormat="1" applyFont="1" applyFill="1" applyBorder="1" applyAlignment="1">
      <x:alignment vertical="center"/>
    </x:xf>
    <x:xf numFmtId="200" fontId="24" fillId="9" borderId="6" xfId="0" applyNumberFormat="1" applyFont="1" applyFill="1" applyBorder="1" applyAlignment="1">
      <x:alignment vertical="center"/>
    </x:xf>
    <x:xf numFmtId="0" fontId="24" fillId="9" borderId="7" xfId="0" applyNumberFormat="1" applyFont="1" applyFill="1" applyBorder="1" applyAlignment="1">
      <x:alignment vertical="center"/>
    </x:xf>
    <x:xf numFmtId="0" fontId="23" fillId="9" borderId="7" xfId="0" applyNumberFormat="1" applyFont="1" applyFill="1" applyBorder="1" applyAlignment="1">
      <x:alignment vertical="center"/>
    </x:xf>
    <x:xf numFmtId="206" fontId="23" fillId="9" borderId="7" xfId="0" applyNumberFormat="1" applyFont="1" applyFill="1" applyBorder="1" applyAlignment="1">
      <x:alignment vertical="center"/>
    </x:xf>
    <x:xf numFmtId="204" fontId="23" fillId="9" borderId="7" xfId="0" applyNumberFormat="1" applyFont="1" applyFill="1" applyBorder="1" applyAlignment="1">
      <x:alignment vertical="center"/>
    </x:xf>
    <x:xf numFmtId="202" fontId="23" fillId="9" borderId="7" xfId="0" applyNumberFormat="1" applyFont="1" applyFill="1" applyBorder="1" applyAlignment="1">
      <x:alignment vertical="center"/>
    </x:xf>
    <x:xf numFmtId="0" fontId="23" fillId="9" borderId="8" xfId="0" applyNumberFormat="1" applyFont="1" applyFill="1" applyBorder="1" applyAlignment="1">
      <x:alignment vertical="center"/>
    </x:xf>
    <x:xf numFmtId="0" fontId="23" fillId="9" borderId="1" xfId="0" applyNumberFormat="1" applyFont="1" applyFill="1" applyBorder="1"/>
    <x:xf numFmtId="0" fontId="23" fillId="9" borderId="2" xfId="0" applyNumberFormat="1" applyFont="1" applyFill="1" applyBorder="1"/>
    <x:xf numFmtId="0" fontId="23" fillId="9" borderId="3" xfId="0" applyNumberFormat="1" applyFont="1" applyFill="1" applyBorder="1"/>
    <x:xf numFmtId="0" fontId="23" fillId="9" borderId="4" xfId="0" applyNumberFormat="1" applyFont="1" applyFill="1" applyBorder="1"/>
    <x:xf numFmtId="0" fontId="23" fillId="9" xfId="0" applyNumberFormat="1" applyFont="1" applyFill="1" applyBorder="0"/>
    <x:xf numFmtId="0" fontId="23" fillId="9" borderId="5" xfId="0" applyNumberFormat="1" applyFont="1" applyFill="1" applyBorder="1"/>
    <x:xf numFmtId="0" fontId="23" fillId="9" borderId="7" xfId="0" applyNumberFormat="1" applyFont="1" applyFill="1" applyBorder="1"/>
    <x:xf numFmtId="0" fontId="23" fillId="9" borderId="8" xfId="0" applyNumberFormat="1" applyFont="1" applyFill="1" applyBorder="1"/>
    <x:xf numFmtId="0" fontId="23" fillId="9" borderId="1" xfId="0" applyNumberFormat="1" applyFont="1" applyFill="1" applyBorder="1" applyAlignment="1">
      <x:alignment vertical="center"/>
    </x:xf>
    <x:xf numFmtId="0" fontId="23" fillId="9" borderId="2" xfId="0" applyNumberFormat="1" applyFont="1" applyFill="1" applyBorder="1" applyAlignment="1">
      <x:alignment vertical="center"/>
    </x:xf>
    <x:xf numFmtId="0" fontId="23" fillId="9" borderId="3" xfId="0" applyNumberFormat="1" applyFont="1" applyFill="1" applyBorder="1" applyAlignment="1">
      <x:alignment vertical="center"/>
    </x:xf>
    <x:xf numFmtId="0" fontId="23" fillId="9" borderId="4" xfId="0" applyNumberFormat="1" applyFont="1" applyFill="1" applyBorder="1" applyAlignment="1">
      <x:alignment vertical="center"/>
    </x:xf>
    <x:xf numFmtId="0" fontId="25" fillId="9" borderId="1" xfId="0" applyNumberFormat="1" applyFont="1" applyFill="1" applyBorder="1" applyAlignment="1">
      <x:alignment vertical="center"/>
    </x:xf>
    <x:xf numFmtId="0" fontId="25" fillId="9" borderId="2" xfId="0" applyNumberFormat="1" applyFont="1" applyFill="1" applyBorder="1" applyAlignment="1">
      <x:alignment vertical="center"/>
    </x:xf>
    <x:xf numFmtId="0" fontId="26" fillId="9" borderId="4" xfId="0" applyNumberFormat="1" applyFont="1" applyFill="1" applyBorder="1" applyAlignment="1">
      <x:alignment vertical="center"/>
    </x:xf>
    <x:xf numFmtId="0" fontId="26" fillId="9" xfId="0" applyNumberFormat="1" applyFont="1" applyFill="1" applyBorder="0" applyAlignment="1">
      <x:alignment vertical="center"/>
    </x:xf>
    <x:xf numFmtId="0" fontId="26" fillId="9" borderId="21" xfId="0" applyNumberFormat="1" applyFont="1" applyFill="1" applyBorder="1" applyAlignment="1">
      <x:alignment vertical="center"/>
    </x:xf>
    <x:xf numFmtId="0" fontId="26" fillId="9" borderId="22" xfId="0" applyNumberFormat="1" applyFont="1" applyFill="1" applyBorder="1" applyAlignment="1">
      <x:alignment vertical="center"/>
    </x:xf>
    <x:xf numFmtId="0" fontId="23" fillId="10" xfId="0" applyNumberFormat="1" applyFont="1" applyFill="1" applyBorder="0" applyAlignment="1">
      <x:alignment vertical="center"/>
    </x:xf>
    <x:xf numFmtId="0" fontId="27" fillId="10" xfId="0" applyNumberFormat="1" applyFont="1" applyFill="1" applyBorder="0" applyAlignment="1">
      <x:alignment vertical="center"/>
    </x:xf>
    <x:xf numFmtId="0" fontId="27" fillId="10" xfId="0" applyNumberFormat="1" applyFont="1" applyFill="1" applyBorder="0" applyAlignment="1">
      <x:alignment vertical="center" wrapText="1"/>
    </x:xf>
    <x:xf numFmtId="0" fontId="27" fillId="10" xfId="0" applyNumberFormat="1" applyFont="1" applyFill="1" applyBorder="0" applyAlignment="1">
      <x:alignment horizontal="center" vertical="center" wrapText="1"/>
    </x:xf>
    <x:xf numFmtId="0" fontId="28" fillId="9" borderId="4" xfId="0" applyNumberFormat="1" applyFont="1" applyFill="1" applyBorder="1" applyAlignment="1">
      <x:alignment vertical="center"/>
    </x:xf>
    <x:xf numFmtId="0" fontId="28" fillId="9" xfId="0" applyNumberFormat="1" applyFont="1" applyFill="1" applyBorder="0" applyAlignment="1">
      <x:alignment vertical="center"/>
    </x:xf>
    <x:xf numFmtId="0" fontId="28" fillId="9" borderId="4" xfId="0" applyNumberFormat="1" applyFont="1" applyFill="1" applyBorder="1" applyAlignment="1">
      <x:alignment vertical="center" wrapText="1"/>
    </x:xf>
    <x:xf numFmtId="0" fontId="28" fillId="9" xfId="0" applyNumberFormat="1" applyFont="1" applyFill="1" applyBorder="0" applyAlignment="1">
      <x:alignment vertical="center" wrapText="1"/>
    </x:xf>
    <x:xf numFmtId="0" fontId="23" fillId="11" borderId="4" xfId="0" applyNumberFormat="1" applyFont="1" applyFill="1" applyBorder="1" applyAlignment="1">
      <x:alignment vertical="center"/>
    </x:xf>
    <x:xf numFmtId="0" fontId="23" fillId="11" xfId="0" applyNumberFormat="1" applyFont="1" applyFill="1" applyBorder="0" applyAlignment="1">
      <x:alignment vertical="center"/>
    </x:xf>
    <x:xf numFmtId="0" fontId="25" fillId="11" borderId="4" xfId="0" applyNumberFormat="1" applyFont="1" applyFill="1" applyBorder="1" applyAlignment="1">
      <x:alignment vertical="center"/>
    </x:xf>
    <x:xf numFmtId="0" fontId="25" fillId="11" xfId="0" applyNumberFormat="1" applyFont="1" applyFill="1" applyBorder="0" applyAlignment="1">
      <x:alignment vertical="center"/>
    </x:xf>
    <x:xf numFmtId="0" fontId="25" fillId="11" borderId="23" xfId="0" applyNumberFormat="1" applyFont="1" applyFill="1" applyBorder="1" applyAlignment="1">
      <x:alignment vertical="center"/>
    </x:xf>
    <x:xf numFmtId="0" fontId="25" fillId="11" borderId="24" xfId="0" applyNumberFormat="1" applyFont="1" applyFill="1" applyBorder="1" applyAlignment="1">
      <x:alignment vertical="center"/>
    </x:xf>
    <x:xf numFmtId="0" fontId="25" fillId="11" borderId="25" xfId="0" applyNumberFormat="1" applyFont="1" applyFill="1" applyBorder="1" applyAlignment="1">
      <x:alignment vertical="center"/>
    </x:xf>
    <x:xf numFmtId="0" fontId="23" fillId="11" borderId="5" xfId="0" applyNumberFormat="1" applyFont="1" applyFill="1" applyBorder="1" applyAlignment="1">
      <x:alignment vertical="center"/>
    </x:xf>
    <x:xf numFmtId="0" fontId="25" fillId="11" borderId="5" xfId="0" applyNumberFormat="1" applyFont="1" applyFill="1" applyBorder="1" applyAlignment="1">
      <x:alignment vertical="center"/>
    </x:xf>
    <x:xf numFmtId="0" fontId="25" fillId="11" borderId="26" xfId="0" applyNumberFormat="1" applyFont="1" applyFill="1" applyBorder="1" applyAlignment="1">
      <x:alignment vertical="center"/>
    </x:xf>
    <x:xf numFmtId="0" fontId="24" fillId="12" borderId="15" xfId="0" applyNumberFormat="1" applyFont="1" applyFill="1" applyBorder="1" applyAlignment="1">
      <x:alignment horizontal="center" vertical="center" wrapText="1"/>
    </x:xf>
    <x:xf numFmtId="0" fontId="24" fillId="12" borderId="16" xfId="0" applyNumberFormat="1" applyFont="1" applyFill="1" applyBorder="1" applyAlignment="1">
      <x:alignment horizontal="center" vertical="center" wrapText="1"/>
    </x:xf>
    <x:xf numFmtId="0" fontId="24" fillId="12" borderId="17" xfId="0" applyNumberFormat="1" applyFont="1" applyFill="1" applyBorder="1" applyAlignment="1">
      <x:alignment horizontal="center" vertical="center" wrapText="1"/>
    </x:xf>
    <x:xf numFmtId="0" fontId="23" fillId="12" xfId="0" applyNumberFormat="1" applyFont="1" applyFill="1" applyBorder="0" applyAlignment="1">
      <x:alignment vertical="center"/>
    </x:xf>
    <x:xf numFmtId="0" fontId="23" fillId="12" borderId="5" xfId="0" applyNumberFormat="1" applyFont="1" applyFill="1" applyBorder="1" applyAlignment="1">
      <x:alignment vertical="center"/>
    </x:xf>
    <x:xf numFmtId="0" fontId="4" fillId="12" borderId="15" xfId="0" applyNumberFormat="1" applyFont="1" applyFill="1" applyBorder="1" applyAlignment="1">
      <x:alignment horizontal="center" vertical="center" wrapText="1"/>
    </x:xf>
    <x:xf numFmtId="0" fontId="4" fillId="12" borderId="16" xfId="0" applyNumberFormat="1" applyFont="1" applyFill="1" applyBorder="1" applyAlignment="1">
      <x:alignment horizontal="center" vertical="center" wrapText="1"/>
    </x:xf>
    <x:xf numFmtId="0" fontId="4" fillId="12" borderId="17" xfId="0" applyNumberFormat="1" applyFont="1" applyFill="1" applyBorder="1" applyAlignment="1">
      <x:alignment horizontal="center" vertical="center" wrapText="1"/>
    </x:xf>
    <x:xf numFmtId="0" fontId="4" fillId="12" xfId="0" applyNumberFormat="1" applyFont="1" applyFill="1" applyBorder="0" applyAlignment="1">
      <x:alignment vertical="center"/>
    </x:xf>
    <x:xf numFmtId="0" fontId="4" fillId="12" borderId="5" xfId="0" applyNumberFormat="1" applyFont="1" applyFill="1" applyBorder="1" applyAlignment="1">
      <x:alignment vertical="center"/>
    </x:xf>
    <x:xf numFmtId="0" fontId="4" fillId="12" borderId="27" xfId="0" applyNumberFormat="1" applyFont="1" applyFill="1" applyBorder="1" applyAlignment="1">
      <x:alignment horizontal="center" vertical="center" wrapText="1"/>
    </x:xf>
    <x:xf numFmtId="0" fontId="4" fillId="12" borderId="28" xfId="0" applyNumberFormat="1" applyFont="1" applyFill="1" applyBorder="1" applyAlignment="1">
      <x:alignment horizontal="center" vertical="center" wrapText="1"/>
    </x:xf>
    <x:xf numFmtId="0" fontId="4" fillId="12" borderId="28" xfId="0" applyNumberFormat="1" applyFont="1" applyFill="1" applyBorder="1" applyAlignment="1">
      <x:alignment vertical="center"/>
    </x:xf>
    <x:xf numFmtId="0" fontId="4" fillId="12" borderId="29" xfId="0" applyNumberFormat="1" applyFont="1" applyFill="1" applyBorder="1" applyAlignment="1">
      <x:alignment vertical="center"/>
    </x:xf>
    <x:xf numFmtId="0" fontId="4" fillId="12" borderId="28" xfId="0" applyNumberFormat="1" applyFont="1" applyFill="1" applyBorder="1" applyAlignment="1">
      <x:alignment vertical="center" wrapText="1"/>
    </x:xf>
    <x:xf numFmtId="0" fontId="4" fillId="12" borderId="29" xfId="0" applyNumberFormat="1" applyFont="1" applyFill="1" applyBorder="1" applyAlignment="1">
      <x:alignment vertical="center" wrapText="1"/>
    </x:xf>
    <x:xf numFmtId="0" fontId="4" fillId="12" borderId="29" xfId="0" applyNumberFormat="1" applyFont="1" applyFill="1" applyBorder="1" applyAlignment="1">
      <x:alignment horizontal="center" vertical="center" wrapText="1"/>
    </x:xf>
    <x:xf numFmtId="200" fontId="24" fillId="11" borderId="4" xfId="0" applyNumberFormat="1" applyFont="1" applyFill="1" applyBorder="1" applyAlignment="1">
      <x:alignment vertical="center"/>
    </x:xf>
    <x:xf numFmtId="0" fontId="24" fillId="11" xfId="0" applyNumberFormat="1" applyFont="1" applyFill="1" applyBorder="0" applyAlignment="1">
      <x:alignment vertical="center"/>
    </x:xf>
    <x:xf numFmtId="206" fontId="23" fillId="11" xfId="0" applyNumberFormat="1" applyFont="1" applyFill="1" applyBorder="0" applyAlignment="1">
      <x:alignment vertical="center"/>
    </x:xf>
    <x:xf numFmtId="204" fontId="23" fillId="11" xfId="0" applyNumberFormat="1" applyFont="1" applyFill="1" applyBorder="0" applyAlignment="1">
      <x:alignment vertical="center"/>
    </x:xf>
    <x:xf numFmtId="202" fontId="23" fillId="11" xfId="0" applyNumberFormat="1" applyFont="1" applyFill="1" applyBorder="0" applyAlignment="1">
      <x:alignment vertical="center"/>
    </x:xf>
    <x:xf numFmtId="200" fontId="24" fillId="11" borderId="6" xfId="0" applyNumberFormat="1" applyFont="1" applyFill="1" applyBorder="1" applyAlignment="1">
      <x:alignment vertical="center"/>
    </x:xf>
    <x:xf numFmtId="0" fontId="24" fillId="11" borderId="7" xfId="0" applyNumberFormat="1" applyFont="1" applyFill="1" applyBorder="1" applyAlignment="1">
      <x:alignment vertical="center"/>
    </x:xf>
    <x:xf numFmtId="0" fontId="23" fillId="11" borderId="7" xfId="0" applyNumberFormat="1" applyFont="1" applyFill="1" applyBorder="1" applyAlignment="1">
      <x:alignment vertical="center"/>
    </x:xf>
    <x:xf numFmtId="206" fontId="23" fillId="11" borderId="7" xfId="0" applyNumberFormat="1" applyFont="1" applyFill="1" applyBorder="1" applyAlignment="1">
      <x:alignment vertical="center"/>
    </x:xf>
    <x:xf numFmtId="204" fontId="23" fillId="11" borderId="7" xfId="0" applyNumberFormat="1" applyFont="1" applyFill="1" applyBorder="1" applyAlignment="1">
      <x:alignment vertical="center"/>
    </x:xf>
    <x:xf numFmtId="202" fontId="23" fillId="11" borderId="7" xfId="0" applyNumberFormat="1" applyFont="1" applyFill="1" applyBorder="1" applyAlignment="1">
      <x:alignment vertical="center"/>
    </x:xf>
    <x:xf numFmtId="0" fontId="23" fillId="11" borderId="8" xfId="0" applyNumberFormat="1" applyFont="1" applyFill="1" applyBorder="1" applyAlignment="1">
      <x:alignment vertical="center"/>
    </x:xf>
    <x:xf numFmtId="206" fontId="23" fillId="10" xfId="0" applyNumberFormat="1" applyFont="1" applyFill="1" applyBorder="0" applyAlignment="1">
      <x:alignment vertical="center"/>
    </x:xf>
    <x:xf numFmtId="206" fontId="23" fillId="10" borderId="7" xfId="0" applyNumberFormat="1" applyFont="1" applyFill="1" applyBorder="1" applyAlignment="1">
      <x:alignment vertical="center"/>
    </x:xf>
    <x:xf numFmtId="0" fontId="23" fillId="10" borderId="7" xfId="0" applyNumberFormat="1" applyFont="1" applyFill="1" applyBorder="1" applyAlignment="1">
      <x:alignment vertical="center"/>
    </x:xf>
    <x:xf numFmtId="0" fontId="23" fillId="10" borderId="5" xfId="0" applyNumberFormat="1" applyFont="1" applyFill="1" applyBorder="1" applyAlignment="1">
      <x:alignment vertical="center"/>
    </x:xf>
    <x:xf numFmtId="0" fontId="23" fillId="10" borderId="8" xfId="0" applyNumberFormat="1" applyFont="1" applyFill="1" applyBorder="1" applyAlignment="1">
      <x:alignment vertical="center"/>
    </x:xf>
    <x:xf numFmtId="200" fontId="29" fillId="9" borderId="4" xfId="0" applyNumberFormat="1" applyFont="1" applyFill="1" applyBorder="1" applyAlignment="1">
      <x:alignment vertical="center"/>
    </x:xf>
    <x:xf numFmtId="0" fontId="29" fillId="9" xfId="0" applyNumberFormat="1" applyFont="1" applyFill="1" applyBorder="0" applyAlignment="1">
      <x:alignment vertical="center"/>
    </x:xf>
    <x:xf numFmtId="200" fontId="29" fillId="11" borderId="4" xfId="0" applyNumberFormat="1" applyFont="1" applyFill="1" applyBorder="1" applyAlignment="1">
      <x:alignment vertical="center"/>
    </x:xf>
    <x:xf numFmtId="0" fontId="29" fillId="11" xfId="0" applyNumberFormat="1" applyFont="1" applyFill="1" applyBorder="0" applyAlignment="1">
      <x:alignment vertical="center"/>
    </x:xf>
    <x:xf numFmtId="200" fontId="29" fillId="11" borderId="6" xfId="0" applyNumberFormat="1" applyFont="1" applyFill="1" applyBorder="1" applyAlignment="1">
      <x:alignment vertical="center"/>
    </x:xf>
    <x:xf numFmtId="0" fontId="29" fillId="11" borderId="7" xfId="0" applyNumberFormat="1" applyFont="1" applyFill="1" applyBorder="1" applyAlignment="1">
      <x:alignment vertical="center"/>
    </x:xf>
    <x:xf numFmtId="200" fontId="5" fillId="9" xfId="0" applyNumberFormat="1" applyFont="1" applyFill="1" applyBorder="0" applyAlignment="1">
      <x:alignment vertical="center"/>
    </x:xf>
    <x:xf numFmtId="205" fontId="5" fillId="9" xfId="0" applyNumberFormat="1" applyFont="1" applyFill="1" applyBorder="0" applyAlignment="1">
      <x:alignment vertical="center"/>
    </x:xf>
    <x:xf numFmtId="200" fontId="5" fillId="9" borderId="7" xfId="0" applyNumberFormat="1" applyFont="1" applyFill="1" applyBorder="1" applyAlignment="1">
      <x:alignment vertical="center"/>
    </x:xf>
    <x:xf numFmtId="205" fontId="5" fillId="9" borderId="7" xfId="0" applyNumberFormat="1" applyFont="1" applyFill="1" applyBorder="1" applyAlignment="1">
      <x:alignment vertical="center"/>
    </x:xf>
    <x:xf numFmtId="200" fontId="23" fillId="9" xfId="0" applyNumberFormat="1" applyFont="1" applyFill="1" applyBorder="0" applyAlignment="1">
      <x:alignment vertical="center"/>
    </x:xf>
    <x:xf numFmtId="205" fontId="23" fillId="9" xfId="0" applyNumberFormat="1" applyFont="1" applyFill="1" applyBorder="0" applyAlignment="1">
      <x:alignment vertical="center"/>
    </x:xf>
    <x:xf numFmtId="200" fontId="23" fillId="9" borderId="7" xfId="0" applyNumberFormat="1" applyFont="1" applyFill="1" applyBorder="1" applyAlignment="1">
      <x:alignment vertical="center"/>
    </x:xf>
    <x:xf numFmtId="205" fontId="23" fillId="9" borderId="7" xfId="0" applyNumberFormat="1" applyFont="1" applyFill="1" applyBorder="1" applyAlignment="1">
      <x:alignment vertical="center"/>
    </x:xf>
    <x:xf numFmtId="200" fontId="23" fillId="11" xfId="0" applyNumberFormat="1" applyFont="1" applyFill="1" applyBorder="0" applyAlignment="1">
      <x:alignment vertical="center"/>
    </x:xf>
    <x:xf numFmtId="205" fontId="23" fillId="11" xfId="0" applyNumberFormat="1" applyFont="1" applyFill="1" applyBorder="0" applyAlignment="1">
      <x:alignment vertical="center"/>
    </x:xf>
    <x:xf numFmtId="200" fontId="23" fillId="11" borderId="7" xfId="0" applyNumberFormat="1" applyFont="1" applyFill="1" applyBorder="1" applyAlignment="1">
      <x:alignment vertical="center"/>
    </x:xf>
    <x:xf numFmtId="205" fontId="23" fillId="11" borderId="7" xfId="0" applyNumberFormat="1" applyFont="1" applyFill="1" applyBorder="1" applyAlignment="1">
      <x:alignment vertical="center"/>
    </x:xf>
    <x:xf numFmtId="0" fontId="27" fillId="10" borderId="5" xfId="0" applyNumberFormat="1" applyFont="1" applyFill="1" applyBorder="1" applyAlignment="1">
      <x:alignment vertical="center"/>
    </x:xf>
    <x:xf numFmtId="0" fontId="27" fillId="10" borderId="5" xfId="0" applyNumberFormat="1" applyFont="1" applyFill="1" applyBorder="1" applyAlignment="1">
      <x:alignment vertical="center" wrapText="1"/>
    </x:xf>
    <x:xf numFmtId="0" fontId="27" fillId="10" borderId="5" xfId="0" applyNumberFormat="1" applyFont="1" applyFill="1" applyBorder="1" applyAlignment="1">
      <x:alignment horizontal="center" vertical="center" wrapText="1"/>
    </x:xf>
    <x:xf numFmtId="0" fontId="28" fillId="9" borderId="5" xfId="0" applyNumberFormat="1" applyFont="1" applyFill="1" applyBorder="1" applyAlignment="1">
      <x:alignment vertical="center"/>
    </x:xf>
    <x:xf numFmtId="0" fontId="28" fillId="9" borderId="5" xfId="0" applyNumberFormat="1" applyFont="1" applyFill="1" applyBorder="1" applyAlignment="1">
      <x:alignment vertical="center" wrapText="1"/>
    </x:xf>
    <x:xf numFmtId="207" fontId="5" fillId="9" xfId="0" applyNumberFormat="1" applyFont="1" applyFill="1" applyBorder="0" applyAlignment="1">
      <x:alignment vertical="center"/>
    </x:xf>
    <x:xf numFmtId="207" fontId="5" fillId="9" borderId="7" xfId="0" applyNumberFormat="1" applyFont="1" applyFill="1" applyBorder="1" applyAlignment="1">
      <x:alignment vertical="center"/>
    </x:xf>
    <x:xf numFmtId="207" fontId="23" fillId="9" xfId="0" applyNumberFormat="1" applyFont="1" applyFill="1" applyBorder="0" applyAlignment="1">
      <x:alignment vertical="center"/>
    </x:xf>
    <x:xf numFmtId="207" fontId="23" fillId="9" borderId="7" xfId="0" applyNumberFormat="1" applyFont="1" applyFill="1" applyBorder="1" applyAlignment="1">
      <x:alignment vertical="center"/>
    </x:xf>
    <x:xf numFmtId="207" fontId="23" fillId="11" xfId="0" applyNumberFormat="1" applyFont="1" applyFill="1" applyBorder="0" applyAlignment="1">
      <x:alignment vertical="center"/>
    </x:xf>
    <x:xf numFmtId="207" fontId="23" fillId="11" borderId="7" xfId="0" applyNumberFormat="1" applyFont="1" applyFill="1" applyBorder="1" applyAlignment="1">
      <x:alignment vertical="center"/>
    </x:xf>
    <x:xf numFmtId="203" fontId="5" fillId="9" xfId="0" applyNumberFormat="1" applyFont="1" applyFill="1" applyBorder="0" applyAlignment="1">
      <x:alignment vertical="center"/>
    </x:xf>
    <x:xf numFmtId="203" fontId="5" fillId="9" borderId="7" xfId="0" applyNumberFormat="1" applyFont="1" applyFill="1" applyBorder="1" applyAlignment="1">
      <x:alignment vertical="center"/>
    </x:xf>
    <x:xf numFmtId="203" fontId="23" fillId="9" xfId="0" applyNumberFormat="1" applyFont="1" applyFill="1" applyBorder="0" applyAlignment="1">
      <x:alignment vertical="center"/>
    </x:xf>
    <x:xf numFmtId="203" fontId="23" fillId="9" borderId="7" xfId="0" applyNumberFormat="1" applyFont="1" applyFill="1" applyBorder="1" applyAlignment="1">
      <x:alignment vertical="center"/>
    </x:xf>
    <x:xf numFmtId="203" fontId="23" fillId="11" xfId="0" applyNumberFormat="1" applyFont="1" applyFill="1" applyBorder="0" applyAlignment="1">
      <x:alignment vertical="center"/>
    </x:xf>
    <x:xf numFmtId="203" fontId="23" fillId="11" borderId="7" xfId="0" applyNumberFormat="1" applyFont="1" applyFill="1" applyBorder="1" applyAlignment="1">
      <x:alignment vertical="center"/>
    </x:xf>
    <x:xf numFmtId="202" fontId="14" fillId="9" xfId="0" applyNumberFormat="1" applyFont="1" applyFill="1" applyBorder="0" applyAlignment="1">
      <x:alignment vertical="center"/>
    </x:xf>
    <x:xf numFmtId="202" fontId="14" fillId="9" borderId="7" xfId="0" applyNumberFormat="1" applyFont="1" applyFill="1" applyBorder="1" applyAlignment="1">
      <x:alignment vertical="center"/>
    </x:xf>
    <x:xf numFmtId="202" fontId="24" fillId="9" xfId="0" applyNumberFormat="1" applyFont="1" applyFill="1" applyBorder="0" applyAlignment="1">
      <x:alignment vertical="center"/>
    </x:xf>
    <x:xf numFmtId="202" fontId="24" fillId="9" borderId="7" xfId="0" applyNumberFormat="1" applyFont="1" applyFill="1" applyBorder="1" applyAlignment="1">
      <x:alignment vertical="center"/>
    </x:xf>
    <x:xf numFmtId="202" fontId="24" fillId="11" xfId="0" applyNumberFormat="1" applyFont="1" applyFill="1" applyBorder="0" applyAlignment="1">
      <x:alignment vertical="center"/>
    </x:xf>
    <x:xf numFmtId="202" fontId="24" fillId="11" borderId="7" xfId="0" applyNumberFormat="1" applyFont="1" applyFill="1" applyBorder="1" applyAlignment="1">
      <x:alignment vertical="center"/>
    </x:xf>
    <x:xf numFmtId="202" fontId="29" fillId="9" xfId="0" applyNumberFormat="1" applyFont="1" applyFill="1" applyBorder="0" applyAlignment="1">
      <x:alignment vertical="center"/>
    </x:xf>
    <x:xf numFmtId="202" fontId="29" fillId="11" xfId="0" applyNumberFormat="1" applyFont="1" applyFill="1" applyBorder="0" applyAlignment="1">
      <x:alignment vertical="center"/>
    </x:xf>
    <x:xf numFmtId="202" fontId="29" fillId="11" borderId="7" xfId="0" applyNumberFormat="1" applyFont="1" applyFill="1" applyBorder="1" applyAlignment="1">
      <x:alignment vertical="center"/>
    </x:xf>
    <x:xf numFmtId="0" fontId="23" fillId="9" borderId="6" xfId="0" applyNumberFormat="1" applyFont="1" applyFill="1" applyBorder="1"/>
    <x:xf numFmtId="0" fontId="23" fillId="9" borderId="6" xfId="0" applyNumberFormat="1" applyFont="1" applyFill="1" applyBorder="1" applyAlignment="1">
      <x:alignment vertical="center"/>
    </x:xf>
    <x:xf numFmtId="0" fontId="23" fillId="12" borderId="4" xfId="0" applyNumberFormat="1" applyFont="1" applyFill="1" applyBorder="1" applyAlignment="1">
      <x:alignment vertical="center"/>
    </x:xf>
    <x:xf numFmtId="0" fontId="4" fillId="12" borderId="4" xfId="0" applyNumberFormat="1" applyFont="1" applyFill="1" applyBorder="1" applyAlignment="1">
      <x:alignment vertical="center"/>
    </x:xf>
    <x:xf numFmtId="0" fontId="4" fillId="12" borderId="27" xfId="0" applyNumberFormat="1" applyFont="1" applyFill="1" applyBorder="1" applyAlignment="1">
      <x:alignment vertical="center"/>
    </x:xf>
    <x:xf numFmtId="0" fontId="4" fillId="12" borderId="30" xfId="0" applyNumberFormat="1" applyFont="1" applyFill="1" applyBorder="1" applyAlignment="1">
      <x:alignment vertical="center"/>
    </x:xf>
    <x:xf numFmtId="0" fontId="4" fillId="12" borderId="27" xfId="0" applyNumberFormat="1" applyFont="1" applyFill="1" applyBorder="1" applyAlignment="1">
      <x:alignment vertical="center" wrapText="1"/>
    </x:xf>
    <x:xf numFmtId="0" fontId="4" fillId="12" borderId="30" xfId="0" applyNumberFormat="1" applyFont="1" applyFill="1" applyBorder="1" applyAlignment="1">
      <x:alignment vertical="center" wrapText="1"/>
    </x:xf>
    <x:xf numFmtId="0" fontId="4" fillId="12" borderId="30" xfId="0" applyNumberFormat="1" applyFont="1" applyFill="1" applyBorder="1" applyAlignment="1">
      <x:alignment horizontal="center" vertical="center" wrapText="1"/>
    </x:xf>
    <x:xf numFmtId="0" fontId="23" fillId="11" borderId="6" xfId="0" applyNumberFormat="1" applyFont="1" applyFill="1" applyBorder="1" applyAlignment="1">
      <x:alignment vertical="center"/>
    </x:xf>
    <x:xf numFmtId="200" fontId="23" fillId="9" borderId="4" xfId="0" applyNumberFormat="1" applyFont="1" applyFill="1" applyBorder="1" applyAlignment="1">
      <x:alignment vertical="center"/>
    </x:xf>
    <x:xf numFmtId="200" fontId="23" fillId="11" borderId="4" xfId="0" applyNumberFormat="1" applyFont="1" applyFill="1" applyBorder="1" applyAlignment="1">
      <x:alignment vertical="center"/>
    </x:xf>
    <x:xf numFmtId="200" fontId="23" fillId="11" borderId="6" xfId="0" applyNumberFormat="1" applyFont="1" applyFill="1" applyBorder="1" applyAlignment="1">
      <x:alignment vertical="center"/>
    </x:xf>
    <x:xf numFmtId="202" fontId="23" fillId="10" xfId="0" applyNumberFormat="1" applyFont="1" applyFill="1" applyBorder="0" applyAlignment="1">
      <x:alignment vertical="center"/>
    </x:xf>
    <x:xf numFmtId="202" fontId="23" fillId="10" borderId="7" xfId="0" applyNumberFormat="1" applyFont="1" applyFill="1" applyBorder="1" applyAlignment="1">
      <x:alignment vertical="center"/>
    </x:xf>
    <x:xf numFmtId="209" fontId="23" fillId="9" xfId="0" applyNumberFormat="1" applyFont="1" applyFill="1" applyBorder="0" applyAlignment="1">
      <x:alignment vertical="center"/>
    </x:xf>
    <x:xf numFmtId="209" fontId="23" fillId="11" xfId="0" applyNumberFormat="1" applyFont="1" applyFill="1" applyBorder="0" applyAlignment="1">
      <x:alignment vertical="center"/>
    </x:xf>
    <x:xf numFmtId="209" fontId="23" fillId="11" borderId="7" xfId="0" applyNumberFormat="1" applyFont="1" applyFill="1" applyBorder="1" applyAlignment="1">
      <x:alignment vertical="center"/>
    </x:xf>
    <x:xf numFmtId="209" fontId="23" fillId="10" borderId="5" xfId="0" applyNumberFormat="1" applyFont="1" applyFill="1" applyBorder="1" applyAlignment="1">
      <x:alignment vertical="center"/>
    </x:xf>
    <x:xf numFmtId="209" fontId="23" fillId="10" borderId="8" xfId="0" applyNumberFormat="1" applyFont="1" applyFill="1" applyBorder="1" applyAlignment="1">
      <x:alignment vertical="center"/>
    </x:xf>
    <x:xf numFmtId="0" fontId="27" fillId="9" borderId="2" xfId="0" applyNumberFormat="1" applyFont="1" applyFill="1" applyBorder="1" applyAlignment="1">
      <x:alignment vertical="center"/>
    </x:xf>
    <x:xf numFmtId="0" fontId="27" fillId="9" borderId="2" xfId="0" applyNumberFormat="1" applyFont="1" applyFill="1" applyBorder="1" applyAlignment="1">
      <x:alignment horizontal="right" vertical="center"/>
    </x:xf>
    <x:xf numFmtId="209" fontId="23" fillId="9" borderId="2" xfId="0" applyNumberFormat="1" applyFont="1" applyFill="1" applyBorder="1" applyAlignment="1">
      <x:alignment vertical="center"/>
    </x:xf>
    <x:xf numFmtId="209" fontId="29" fillId="9" borderId="2" xfId="0" applyNumberFormat="1" applyFont="1" applyFill="1" applyBorder="1" applyAlignment="1">
      <x:alignment vertical="center"/>
    </x:xf>
    <x:xf numFmtId="209" fontId="29" fillId="9" borderId="2" xfId="0" applyNumberFormat="1" applyFont="1" applyFill="1" applyBorder="1" applyAlignment="1">
      <x:alignment horizontal="center" vertical="center"/>
    </x:xf>
    <x:xf numFmtId="209" fontId="23" fillId="9" borderId="3" xfId="0" applyNumberFormat="1" applyFont="1" applyFill="1" applyBorder="1" applyAlignment="1">
      <x:alignment vertical="center"/>
    </x:xf>
    <x:xf numFmtId="209" fontId="29" fillId="9" borderId="3" xfId="0" applyNumberFormat="1" applyFont="1" applyFill="1" applyBorder="1" applyAlignment="1">
      <x:alignment vertical="center"/>
    </x:xf>
    <x:xf numFmtId="209" fontId="29" fillId="9" borderId="3" xfId="0" applyNumberFormat="1" applyFont="1" applyFill="1" applyBorder="1" applyAlignment="1">
      <x:alignment horizontal="center" vertical="center"/>
    </x:xf>
    <x:xf numFmtId="0" fontId="23" fillId="9" borderId="0" xfId="0" applyNumberFormat="1" applyFont="1" applyFill="1" applyBorder="1" applyAlignment="1">
      <x:alignment vertical="center"/>
    </x:xf>
    <x:xf numFmtId="0" fontId="30" fillId="9" borderId="0" xfId="0" applyNumberFormat="1" applyFont="1" applyFill="1" applyBorder="1" applyAlignment="1">
      <x:alignment vertical="center"/>
    </x:xf>
    <x:xf numFmtId="0" fontId="31" fillId="9" borderId="0" xfId="0" applyNumberFormat="1" applyFont="1" applyFill="1" applyBorder="1" applyAlignment="1">
      <x:alignment vertical="center"/>
    </x:xf>
    <x:xf numFmtId="0" fontId="28" fillId="9" borderId="0" xfId="0" applyNumberFormat="1" applyFont="1" applyFill="1" applyBorder="1" applyAlignment="1">
      <x:alignment vertical="center"/>
    </x:xf>
    <x:xf numFmtId="0" fontId="28" fillId="9" borderId="0" xfId="0" applyNumberFormat="1" applyFont="1" applyFill="1" applyBorder="1" applyAlignment="1">
      <x:alignment horizontal="right" vertical="center"/>
    </x:xf>
    <x:xf numFmtId="210" fontId="28" fillId="9" borderId="0" xfId="0" applyNumberFormat="1" applyFont="1" applyFill="1" applyBorder="1" applyAlignment="1">
      <x:alignment horizontal="right" vertical="center"/>
    </x:xf>
    <x:xf numFmtId="0" fontId="28" fillId="9" borderId="31" xfId="0" applyNumberFormat="1" applyFont="1" applyFill="1" applyBorder="1" applyAlignment="1">
      <x:alignment vertical="center"/>
    </x:xf>
    <x:xf numFmtId="0" fontId="29" fillId="9" borderId="0" xfId="0" applyNumberFormat="1" applyFont="1" applyFill="1" applyBorder="1" applyAlignment="1">
      <x:alignment vertical="center"/>
    </x:xf>
    <x:xf numFmtId="0" fontId="29" fillId="9" borderId="0" xfId="0" applyNumberFormat="1" applyFont="1" applyFill="1" applyBorder="1" applyAlignment="1">
      <x:alignment horizontal="right" vertical="center"/>
    </x:xf>
    <x:xf numFmtId="0" fontId="23" fillId="13" borderId="0" xfId="0" applyNumberFormat="1" applyFont="1" applyFill="1" applyBorder="1" applyAlignment="1">
      <x:alignment vertical="center"/>
    </x:xf>
    <x:xf numFmtId="0" fontId="29" fillId="13" borderId="0" xfId="0" applyNumberFormat="1" applyFont="1" applyFill="1" applyBorder="1" applyAlignment="1">
      <x:alignment vertical="center"/>
    </x:xf>
    <x:xf numFmtId="0" fontId="29" fillId="13" borderId="31" xfId="0" applyNumberFormat="1" applyFont="1" applyFill="1" applyBorder="1" applyAlignment="1">
      <x:alignment vertical="center"/>
    </x:xf>
    <x:xf numFmtId="211" fontId="29" fillId="13" borderId="31" xfId="0" applyNumberFormat="1" applyFont="1" applyFill="1" applyBorder="1" applyAlignment="1">
      <x:alignment vertical="center"/>
    </x:xf>
    <x:xf numFmtId="211" fontId="29" fillId="13" borderId="31" xfId="0" applyNumberFormat="1" applyFont="1" applyFill="1" applyBorder="1" applyAlignment="1">
      <x:alignment horizontal="center" vertical="center"/>
    </x:xf>
    <x:xf numFmtId="0" fontId="23" fillId="11" borderId="0" xfId="0" applyNumberFormat="1" applyFont="1" applyFill="1" applyBorder="1" applyAlignment="1">
      <x:alignment vertical="center"/>
    </x:xf>
    <x:xf numFmtId="0" fontId="29" fillId="11" borderId="0" xfId="0" applyNumberFormat="1" applyFont="1" applyFill="1" applyBorder="1" applyAlignment="1">
      <x:alignment vertical="center"/>
    </x:xf>
    <x:xf numFmtId="0" fontId="29" fillId="11" borderId="32" xfId="0" applyNumberFormat="1" applyFont="1" applyFill="1" applyBorder="1" applyAlignment="1">
      <x:alignment vertical="center"/>
    </x:xf>
    <x:xf numFmtId="0" fontId="32" fillId="11" borderId="0" xfId="0" applyNumberFormat="1" applyFont="1" applyFill="1" applyBorder="1" applyAlignment="1">
      <x:alignment vertical="center"/>
    </x:xf>
    <x:xf numFmtId="205" fontId="32" fillId="11" borderId="0" xfId="0" applyNumberFormat="1" applyFont="1" applyFill="1" applyBorder="1" applyAlignment="1">
      <x:alignment vertical="center"/>
    </x:xf>
    <x:xf numFmtId="205" fontId="32" fillId="11" borderId="0" xfId="0" applyNumberFormat="1" applyFont="1" applyFill="1" applyBorder="1" applyAlignment="1">
      <x:alignment horizontal="right" vertical="center"/>
    </x:xf>
    <x:xf numFmtId="0" fontId="27" fillId="11" borderId="0" xfId="0" applyNumberFormat="1" applyFont="1" applyFill="1" applyBorder="1" applyAlignment="1">
      <x:alignment vertical="center"/>
    </x:xf>
    <x:xf numFmtId="0" fontId="23" fillId="12" borderId="0" xfId="0" applyNumberFormat="1" applyFont="1" applyFill="1" applyBorder="1" applyAlignment="1">
      <x:alignment vertical="center"/>
    </x:xf>
    <x:xf numFmtId="0" fontId="20" fillId="12" borderId="0" xfId="0" applyNumberFormat="1" applyFont="1" applyFill="1" applyBorder="1" applyAlignment="1">
      <x:alignment vertical="center"/>
    </x:xf>
    <x:xf numFmtId="209" fontId="23" fillId="9" borderId="0" xfId="0" applyNumberFormat="1" applyFont="1" applyFill="1" applyBorder="1" applyAlignment="1">
      <x:alignment vertical="center"/>
    </x:xf>
    <x:xf numFmtId="205" fontId="23" fillId="9" borderId="0" xfId="0" applyNumberFormat="1" applyFont="1" applyFill="1" applyBorder="1" applyAlignment="1">
      <x:alignment vertical="center"/>
    </x:xf>
    <x:xf numFmtId="205" fontId="23" fillId="9" borderId="0" xfId="0" applyNumberFormat="1" applyFont="1" applyFill="1" applyBorder="1" applyAlignment="1">
      <x:alignment horizontal="right" vertical="center"/>
    </x:xf>
    <x:xf numFmtId="209" fontId="23" fillId="11" borderId="0" xfId="0" applyNumberFormat="1" applyFont="1" applyFill="1" applyBorder="1" applyAlignment="1">
      <x:alignment vertical="center"/>
    </x:xf>
    <x:xf numFmtId="205" fontId="23" fillId="11" borderId="0" xfId="0" applyNumberFormat="1" applyFont="1" applyFill="1" applyBorder="1" applyAlignment="1">
      <x:alignment horizontal="right" vertical="center"/>
    </x:xf>
    <x:xf numFmtId="0" fontId="24" fillId="9" borderId="0" xfId="0" applyNumberFormat="1" applyFont="1" applyFill="1" applyBorder="1" applyAlignment="1">
      <x:alignment vertical="center"/>
    </x:xf>
    <x:xf numFmtId="205" fontId="24" fillId="9" borderId="0" xfId="0" applyNumberFormat="1" applyFont="1" applyFill="1" applyBorder="1" applyAlignment="1">
      <x:alignment horizontal="right" vertical="center"/>
    </x:xf>
    <x:xf numFmtId="205" fontId="29" fillId="9" borderId="0" xfId="0" applyNumberFormat="1" applyFont="1" applyFill="1" applyBorder="1" applyAlignment="1">
      <x:alignment vertical="center"/>
    </x:xf>
    <x:xf numFmtId="205" fontId="29" fillId="9" borderId="0" xfId="0" applyNumberFormat="1" applyFont="1" applyFill="1" applyBorder="1" applyAlignment="1">
      <x:alignment horizontal="right" vertical="center"/>
    </x:xf>
    <x:xf numFmtId="0" fontId="23" fillId="10" borderId="0" xfId="0" applyNumberFormat="1" applyFont="1" applyFill="1" applyBorder="1" applyAlignment="1">
      <x:alignment vertical="center"/>
    </x:xf>
    <x:xf numFmtId="0" fontId="29" fillId="10" borderId="0" xfId="0" applyNumberFormat="1" applyFont="1" applyFill="1" applyBorder="1" applyAlignment="1">
      <x:alignment vertical="center"/>
    </x:xf>
    <x:xf numFmtId="0" fontId="23" fillId="11" borderId="0" xfId="0" applyNumberFormat="1" applyFont="1" applyFill="1" applyBorder="1" applyAlignment="1">
      <x:alignment vertical="center" wrapText="1"/>
    </x:xf>
    <x:xf numFmtId="202" fontId="23" fillId="11" borderId="0" xfId="0" applyNumberFormat="1" applyFont="1" applyFill="1" applyBorder="1" applyAlignment="1">
      <x:alignment vertical="center" wrapText="1"/>
    </x:xf>
    <x:xf numFmtId="0" fontId="23" fillId="9" borderId="0" xfId="0" applyNumberFormat="1" applyFont="1" applyFill="1" applyBorder="1" applyAlignment="1">
      <x:alignment vertical="center" wrapText="1"/>
    </x:xf>
    <x:xf numFmtId="202" fontId="23" fillId="9" borderId="0" xfId="0" applyNumberFormat="1" applyFont="1" applyFill="1" applyBorder="1" applyAlignment="1">
      <x:alignment vertical="center" wrapText="1"/>
    </x:xf>
    <x:xf numFmtId="205" fontId="23" fillId="11" borderId="0" xfId="0" applyNumberFormat="1" applyFont="1" applyFill="1" applyBorder="1" applyAlignment="1">
      <x:alignment vertical="center"/>
    </x:xf>
    <x:xf numFmtId="0" fontId="27" fillId="9" borderId="0" xfId="0" applyNumberFormat="1" applyFont="1" applyFill="1" applyBorder="1" applyAlignment="1">
      <x:alignment vertical="center"/>
    </x:xf>
    <x:xf numFmtId="0" fontId="27" fillId="9" borderId="0" xfId="0" applyNumberFormat="1" applyFont="1" applyFill="1" applyBorder="1" applyAlignment="1">
      <x:alignment vertical="center" wrapText="1"/>
    </x:xf>
    <x:xf numFmtId="0" fontId="27" fillId="9" borderId="33" xfId="0" applyNumberFormat="1" applyFont="1" applyFill="1" applyBorder="1" applyAlignment="1">
      <x:alignment vertical="center"/>
    </x:xf>
    <x:xf numFmtId="0" fontId="23" fillId="0" borderId="0" xfId="0" applyNumberFormat="1" applyFont="1" applyFill="1" applyBorder="1"/>
    <x:xf numFmtId="0" fontId="23" fillId="0" borderId="0" xfId="0" applyNumberFormat="1" applyFont="1" applyFill="1" applyBorder="1" applyAlignment="1">
      <x:alignment vertical="center"/>
    </x:xf>
    <x:xf numFmtId="0" fontId="4" fillId="12" borderId="0" xfId="0" applyNumberFormat="1" applyFont="1" applyFill="1" applyBorder="1" applyAlignment="1">
      <x:alignment vertical="center"/>
    </x:xf>
    <x:xf numFmtId="0" fontId="30" fillId="0" borderId="0" xfId="0" applyNumberFormat="1" applyFont="1" applyFill="1" applyBorder="1" applyAlignment="1">
      <x:alignment vertical="center"/>
    </x:xf>
    <x:xf numFmtId="0" fontId="33" fillId="0" borderId="0" xfId="0" applyNumberFormat="1" applyFont="1" applyFill="1" applyBorder="1" applyAlignment="1">
      <x:alignment vertical="center"/>
    </x:xf>
    <x:xf numFmtId="0" fontId="33" fillId="0" borderId="31" xfId="0" applyNumberFormat="1" applyFont="1" applyFill="1" applyBorder="1" applyAlignment="1">
      <x:alignment vertical="center"/>
    </x:xf>
    <x:xf numFmtId="0" fontId="28" fillId="0" borderId="0" xfId="0" applyNumberFormat="1" applyFont="1" applyFill="1" applyBorder="1" applyAlignment="1">
      <x:alignment vertical="center"/>
    </x:xf>
    <x:xf numFmtId="0" fontId="28" fillId="0" borderId="0" xfId="0" applyNumberFormat="1" applyFont="1" applyFill="1" applyBorder="1" applyAlignment="1">
      <x:alignment vertical="center" wrapText="1"/>
    </x:xf>
    <x:xf numFmtId="0" fontId="24" fillId="0" borderId="0" xfId="0" applyNumberFormat="1" applyFont="1" applyFill="1" applyBorder="1" applyAlignment="1">
      <x:alignment vertical="center"/>
    </x:xf>
    <x:xf numFmtId="0" fontId="23" fillId="14" borderId="0" xfId="0" applyNumberFormat="1" applyFont="1" applyFill="1" applyBorder="1" applyAlignment="1">
      <x:alignment vertical="center"/>
    </x:xf>
    <x:xf numFmtId="0" fontId="29" fillId="14" borderId="0" xfId="0" applyNumberFormat="1" applyFont="1" applyFill="1" applyBorder="1" applyAlignment="1">
      <x:alignment vertical="center"/>
    </x:xf>
    <x:xf numFmtId="209" fontId="29" fillId="14" borderId="0" xfId="0" applyNumberFormat="1" applyFont="1" applyFill="1" applyBorder="1" applyAlignment="1">
      <x:alignment vertical="center"/>
    </x:xf>
    <x:xf numFmtId="0" fontId="23" fillId="15" borderId="0" xfId="0" applyNumberFormat="1" applyFont="1" applyFill="1" applyBorder="1" applyAlignment="1">
      <x:alignment vertical="center"/>
    </x:xf>
    <x:xf numFmtId="0" fontId="4" fillId="15" borderId="0" xfId="0" applyNumberFormat="1" applyFont="1" applyFill="1" applyBorder="1" applyAlignment="1">
      <x:alignment vertical="center"/>
    </x:xf>
    <x:xf numFmtId="0" fontId="23" fillId="16" borderId="0" xfId="0" applyNumberFormat="1" applyFont="1" applyFill="1" applyBorder="1" applyAlignment="1">
      <x:alignment vertical="center"/>
    </x:xf>
    <x:xf numFmtId="0" fontId="29" fillId="16" borderId="0" xfId="0" applyNumberFormat="1" applyFont="1" applyFill="1" applyBorder="1" applyAlignment="1">
      <x:alignment vertical="center"/>
    </x:xf>
    <x:xf numFmtId="0" fontId="29" fillId="16" borderId="0" xfId="0" applyNumberFormat="1" applyFont="1" applyFill="1" applyBorder="1" applyAlignment="1">
      <x:alignment vertical="center" wrapText="1"/>
    </x:xf>
    <x:xf numFmtId="0" fontId="23" fillId="17" borderId="0" xfId="0" applyNumberFormat="1" applyFont="1" applyFill="1" applyBorder="1" applyAlignment="1">
      <x:alignment vertical="center"/>
    </x:xf>
    <x:xf numFmtId="0" fontId="28" fillId="17" borderId="0" xfId="0" applyNumberFormat="1" applyFont="1" applyFill="1" applyBorder="1" applyAlignment="1">
      <x:alignment vertical="center"/>
    </x:xf>
    <x:xf numFmtId="0" fontId="29" fillId="17" borderId="0" xfId="0" applyNumberFormat="1" applyFont="1" applyFill="1" applyBorder="1" applyAlignment="1">
      <x:alignment vertical="center"/>
    </x:xf>
    <x:xf numFmtId="0" fontId="29" fillId="17" borderId="0" xfId="0" applyNumberFormat="1" applyFont="1" applyFill="1" applyBorder="1" applyAlignment="1">
      <x:alignment vertical="center" wrapText="1"/>
    </x:xf>
    <x:xf numFmtId="0" fontId="23" fillId="18" borderId="0" xfId="0" applyNumberFormat="1" applyFont="1" applyFill="1" applyBorder="1" applyAlignment="1">
      <x:alignment vertical="center"/>
    </x:xf>
    <x:xf numFmtId="0" fontId="28" fillId="18" borderId="0" xfId="0" applyNumberFormat="1" applyFont="1" applyFill="1" applyBorder="1" applyAlignment="1">
      <x:alignment vertical="center"/>
    </x:xf>
    <x:xf numFmtId="0" fontId="29" fillId="18" borderId="0" xfId="0" applyNumberFormat="1" applyFont="1" applyFill="1" applyBorder="1" applyAlignment="1">
      <x:alignment vertical="center"/>
    </x:xf>
    <x:xf numFmtId="0" fontId="29" fillId="18" borderId="0" xfId="0" applyNumberFormat="1" applyFont="1" applyFill="1" applyBorder="1" applyAlignment="1">
      <x:alignment vertical="center" wrapText="1"/>
    </x:xf>
    <x:xf numFmtId="202" fontId="29" fillId="17" borderId="0" xfId="0" applyNumberFormat="1" applyFont="1" applyFill="1" applyBorder="1" applyAlignment="1">
      <x:alignment vertical="center" wrapText="1"/>
    </x:xf>
    <x:xf numFmtId="205" fontId="29" fillId="18" borderId="0" xfId="0" applyNumberFormat="1" applyFont="1" applyFill="1" applyBorder="1" applyAlignment="1">
      <x:alignment vertical="center" wrapText="1"/>
    </x:xf>
    <x:xf numFmtId="205" fontId="29" fillId="17" borderId="0" xfId="0" applyNumberFormat="1" applyFont="1" applyFill="1" applyBorder="1" applyAlignment="1">
      <x:alignment vertical="center" wrapText="1"/>
    </x:xf>
    <x:xf numFmtId="209" fontId="29" fillId="17" borderId="0" xfId="0" applyNumberFormat="1" applyFont="1" applyFill="1" applyBorder="1" applyAlignment="1">
      <x:alignment vertical="center" wrapText="1"/>
    </x:xf>
    <x:xf numFmtId="0" fontId="27" fillId="0" borderId="0" xfId="0" applyNumberFormat="1" applyFont="1" applyFill="1" applyBorder="1" applyAlignment="1">
      <x:alignment vertical="center"/>
    </x:xf>
    <x:xf numFmtId="0" fontId="27" fillId="0" borderId="0" xfId="0" applyNumberFormat="1" applyFont="1" applyFill="1" applyBorder="1" applyAlignment="1">
      <x:alignment vertical="center" wrapText="1"/>
    </x:xf>
    <x:xf numFmtId="0" fontId="34" fillId="0" borderId="0" xfId="0" applyNumberFormat="1" applyFont="1" applyFill="1" applyBorder="1" applyAlignment="1">
      <x:alignment vertical="center"/>
    </x:xf>
    <x:xf numFmtId="0" fontId="24" fillId="16" borderId="0" xfId="0" applyNumberFormat="1" applyFont="1" applyFill="1" applyBorder="1" applyAlignment="1">
      <x:alignment vertical="center"/>
    </x:xf>
    <x:xf numFmtId="0" fontId="24" fillId="16" borderId="0" xfId="0" applyNumberFormat="1" applyFont="1" applyFill="1" applyBorder="1" applyAlignment="1">
      <x:alignment vertical="center" wrapText="1"/>
    </x:xf>
    <x:xf numFmtId="0" fontId="23" fillId="17" borderId="0" xfId="0" applyNumberFormat="1" applyFont="1" applyFill="1" applyBorder="1" applyAlignment="1">
      <x:alignment vertical="center" wrapText="1"/>
    </x:xf>
    <x:xf numFmtId="205" fontId="23" fillId="17" borderId="0" xfId="0" applyNumberFormat="1" applyFont="1" applyFill="1" applyBorder="1" applyAlignment="1">
      <x:alignment vertical="center" wrapText="1"/>
    </x:xf>
    <x:xf numFmtId="202" fontId="23" fillId="17" borderId="0" xfId="0" applyNumberFormat="1" applyFont="1" applyFill="1" applyBorder="1" applyAlignment="1">
      <x:alignment vertical="center" wrapText="1"/>
    </x:xf>
    <x:xf numFmtId="0" fontId="23" fillId="18" borderId="0" xfId="0" applyNumberFormat="1" applyFont="1" applyFill="1" applyBorder="1" applyAlignment="1">
      <x:alignment vertical="center" wrapText="1"/>
    </x:xf>
    <x:xf numFmtId="205" fontId="23" fillId="18" borderId="0" xfId="0" applyNumberFormat="1" applyFont="1" applyFill="1" applyBorder="1" applyAlignment="1">
      <x:alignment vertical="center" wrapText="1"/>
    </x:xf>
    <x:xf numFmtId="202" fontId="23" fillId="18" borderId="0" xfId="0" applyNumberFormat="1" applyFont="1" applyFill="1" applyBorder="1" applyAlignment="1">
      <x:alignment vertical="center" wrapText="1"/>
    </x:xf>
    <x:xf numFmtId="202" fontId="29" fillId="14" borderId="0" xfId="0" applyNumberFormat="1" applyFont="1" applyFill="1" applyBorder="1" applyAlignment="1">
      <x:alignment vertical="center"/>
    </x:xf>
    <x:xf numFmtId="203" fontId="23" fillId="0" borderId="0" xfId="0" applyNumberFormat="1" applyFont="1" applyFill="1" applyBorder="1" applyAlignment="1">
      <x:alignment vertical="center"/>
    </x:xf>
    <x:xf numFmtId="205" fontId="23" fillId="0" borderId="0" xfId="0" applyNumberFormat="1" applyFont="1" applyFill="1" applyBorder="1" applyAlignment="1">
      <x:alignment vertical="center"/>
    </x:xf>
    <x:xf numFmtId="203" fontId="23" fillId="17" borderId="0" xfId="0" applyNumberFormat="1" applyFont="1" applyFill="1" applyBorder="1" applyAlignment="1">
      <x:alignment vertical="center" wrapText="1"/>
    </x:xf>
    <x:xf numFmtId="203" fontId="23" fillId="18" borderId="0" xfId="0" applyNumberFormat="1" applyFont="1" applyFill="1" applyBorder="1" applyAlignment="1">
      <x:alignment vertical="center" wrapText="1"/>
    </x:xf>
    <x:xf numFmtId="211" fontId="23" fillId="0" borderId="0" xfId="0" applyNumberFormat="1" applyFont="1" applyFill="1" applyBorder="1" applyAlignment="1">
      <x:alignment vertical="center"/>
    </x:xf>
    <x:xf numFmtId="205" fontId="23" fillId="14" borderId="0" xfId="0" applyNumberFormat="1" applyFont="1" applyFill="1" applyBorder="1" applyAlignment="1">
      <x:alignment vertical="center"/>
    </x:xf>
    <x:xf numFmtId="0" fontId="23" fillId="16" borderId="0" xfId="0" applyNumberFormat="1" applyFont="1" applyFill="1" applyBorder="1" applyAlignment="1">
      <x:alignment vertical="center" wrapText="1"/>
    </x:xf>
    <x:xf numFmtId="212" fontId="23" fillId="16" borderId="0" xfId="0" applyNumberFormat="1" applyFont="1" applyFill="1" applyBorder="1" applyAlignment="1">
      <x:alignment vertical="center" wrapText="1"/>
    </x:xf>
    <x:xf numFmtId="212" fontId="23" fillId="17" borderId="0" xfId="0" applyNumberFormat="1" applyFont="1" applyFill="1" applyBorder="1" applyAlignment="1">
      <x:alignment vertical="center" wrapText="1"/>
    </x:xf>
    <x:xf numFmtId="0" fontId="35" fillId="0" borderId="0" xfId="0" applyNumberFormat="1" applyFont="1" applyFill="1" applyBorder="1"/>
    <x:xf numFmtId="202" fontId="35" fillId="0" borderId="0" xfId="0" applyNumberFormat="1" applyFont="1" applyFill="1" applyBorder="1"/>
    <x:xf numFmtId="0" fontId="27" fillId="5" borderId="0" xfId="0" applyNumberFormat="1" applyFont="1" applyFill="1" applyBorder="1" applyAlignment="1">
      <x:alignment vertical="center"/>
    </x:xf>
    <x:xf numFmtId="0" fontId="27" fillId="5" borderId="0" xfId="0" applyNumberFormat="1" applyFont="1" applyFill="1" applyBorder="1" applyAlignment="1">
      <x:alignment vertical="center" wrapText="1"/>
    </x:xf>
    <x:xf numFmtId="0" fontId="23" fillId="15" borderId="0" xfId="0" applyNumberFormat="1" applyFont="1" applyFill="1" applyBorder="1"/>
    <x:xf numFmtId="0" fontId="4" fillId="15" borderId="0" xfId="0" applyNumberFormat="1" applyFont="1" applyFill="1" applyBorder="1"/>
    <x:xf numFmtId="0" fontId="23" fillId="16" borderId="0" xfId="0" applyNumberFormat="1" applyFont="1" applyFill="1" applyBorder="1"/>
    <x:xf numFmtId="0" fontId="29" fillId="16" borderId="0" xfId="0" applyNumberFormat="1" applyFont="1" applyFill="1" applyBorder="1"/>
    <x:xf numFmtId="0" fontId="29" fillId="16" borderId="0" xfId="0" applyNumberFormat="1" applyFont="1" applyFill="1" applyBorder="1" applyAlignment="1">
      <x:alignment wrapText="1"/>
    </x:xf>
    <x:xf numFmtId="0" fontId="23" fillId="17" borderId="0" xfId="0" applyNumberFormat="1" applyFont="1" applyFill="1" applyBorder="1"/>
    <x:xf numFmtId="205" fontId="23" fillId="17" borderId="0" xfId="0" applyNumberFormat="1" applyFont="1" applyFill="1" applyBorder="1" applyAlignment="1">
      <x:alignment vertical="center"/>
    </x:xf>
    <x:xf numFmtId="212" fontId="23" fillId="16" borderId="0" xfId="0" applyNumberFormat="1" applyFont="1" applyFill="1" applyBorder="1" applyAlignment="1">
      <x:alignment vertical="center"/>
    </x:xf>
    <x:xf numFmtId="212" fontId="23" fillId="17" borderId="0" xfId="0" applyNumberFormat="1" applyFont="1" applyFill="1" applyBorder="1" applyAlignment="1">
      <x:alignment vertical="center"/>
    </x:xf>
    <x:xf numFmtId="0" fontId="28" fillId="0" borderId="0" xfId="0" applyNumberFormat="1" applyFont="1" applyFill="1" applyBorder="1"/>
    <x:xf numFmtId="0" fontId="28" fillId="0" borderId="0" xfId="0" applyNumberFormat="1" applyFont="1" applyFill="1" applyBorder="1" applyAlignment="1">
      <x:alignment wrapText="1"/>
    </x:xf>
    <x:xf numFmtId="0" fontId="23" fillId="0" borderId="0" xfId="0" applyNumberFormat="1" applyFont="1" applyFill="1" applyBorder="1" applyAlignment="1">
      <x:alignment vertical="center" wrapText="1"/>
    </x:xf>
    <x:xf numFmtId="0" fontId="23" fillId="0" borderId="0" xfId="0" applyNumberFormat="1" applyFont="1" applyFill="1" applyBorder="1" applyAlignment="1">
      <x:alignment wrapText="1"/>
    </x:xf>
    <x:xf numFmtId="0" fontId="23" fillId="15" borderId="0" xfId="0" applyNumberFormat="1" applyFont="1" applyFill="1" applyBorder="1" applyAlignment="1">
      <x:alignment vertical="center" wrapText="1"/>
    </x:xf>
    <x:xf numFmtId="0" fontId="4" fillId="15" borderId="0" xfId="0" applyNumberFormat="1" applyFont="1" applyFill="1" applyBorder="1" applyAlignment="1">
      <x:alignment vertical="center" wrapText="1"/>
    </x:xf>
    <x:xf numFmtId="0" fontId="23" fillId="17" borderId="0" xfId="0" applyNumberFormat="1" applyFont="1" applyFill="1" applyBorder="1" applyAlignment="1">
      <x:alignment wrapText="1"/>
    </x:xf>
    <x:xf numFmtId="0" fontId="23" fillId="18" borderId="0" xfId="0" applyNumberFormat="1" applyFont="1" applyFill="1" applyBorder="1" applyAlignment="1">
      <x:alignment wrapText="1"/>
    </x:xf>
    <x:xf numFmtId="0" fontId="23" fillId="15" borderId="0" xfId="0" applyNumberFormat="1" applyFont="1" applyFill="1" applyBorder="1" applyAlignment="1">
      <x:alignment wrapText="1"/>
    </x:xf>
    <x:xf numFmtId="0" fontId="4" fillId="15" borderId="0" xfId="0" applyNumberFormat="1" applyFont="1" applyFill="1" applyBorder="1" applyAlignment="1">
      <x:alignment wrapText="1"/>
    </x:xf>
    <x:xf numFmtId="0" fontId="23" fillId="16" borderId="0" xfId="0" applyNumberFormat="1" applyFont="1" applyFill="1" applyBorder="1" applyAlignment="1">
      <x:alignment wrapText="1"/>
    </x:xf>
    <x:xf numFmtId="0" fontId="27" fillId="0" borderId="0" xfId="0" applyNumberFormat="1" applyFont="1" applyFill="1" applyBorder="1" applyAlignment="1">
      <x:alignment wrapText="1"/>
    </x:xf>
    <x:xf numFmtId="209" fontId="29" fillId="14" borderId="0" xfId="0" applyNumberFormat="1" applyFont="1" applyFill="1" applyBorder="1" applyAlignment="1">
      <x:alignment horizontal="center" vertical="center"/>
    </x:xf>
    <x:xf numFmtId="0" fontId="29" fillId="14" borderId="34" xfId="0" applyNumberFormat="1" applyFont="1" applyFill="1" applyBorder="1" applyAlignment="1">
      <x:alignment vertical="center"/>
    </x:xf>
    <x:xf numFmtId="0" fontId="29" fillId="14" borderId="31" xfId="0" applyNumberFormat="1" applyFont="1" applyFill="1" applyBorder="1" applyAlignment="1">
      <x:alignment vertical="center"/>
    </x:xf>
    <x:xf numFmtId="0" fontId="29" fillId="14" borderId="35" xfId="0" applyNumberFormat="1" applyFont="1" applyFill="1" applyBorder="1" applyAlignment="1">
      <x:alignment vertical="center"/>
    </x:xf>
    <x:xf numFmtId="209" fontId="29" fillId="14" borderId="34" xfId="0" applyNumberFormat="1" applyFont="1" applyFill="1" applyBorder="1" applyAlignment="1">
      <x:alignment horizontal="center" vertical="center"/>
    </x:xf>
    <x:xf numFmtId="209" fontId="29" fillId="14" borderId="35" xfId="0" applyNumberFormat="1" applyFont="1" applyFill="1" applyBorder="1" applyAlignment="1">
      <x:alignment horizontal="center" vertical="center"/>
    </x:xf>
    <x:xf numFmtId="209" fontId="29" fillId="14" borderId="31" xfId="0" applyNumberFormat="1" applyFont="1" applyFill="1" applyBorder="1" applyAlignment="1">
      <x:alignment horizontal="center" vertical="center"/>
    </x:xf>
    <x:xf numFmtId="202" fontId="29" fillId="14" borderId="34" xfId="0" applyNumberFormat="1" applyFont="1" applyFill="1" applyBorder="1" applyAlignment="1">
      <x:alignment vertical="center"/>
    </x:xf>
    <x:xf numFmtId="202" fontId="29" fillId="14" borderId="31" xfId="0" applyNumberFormat="1" applyFont="1" applyFill="1" applyBorder="1" applyAlignment="1">
      <x:alignment vertical="center"/>
    </x:xf>
    <x:xf numFmtId="202" fontId="29" fillId="14" borderId="35" xfId="0" applyNumberFormat="1" applyFont="1" applyFill="1" applyBorder="1" applyAlignment="1">
      <x:alignment vertical="center"/>
    </x:xf>
    <x:xf numFmtId="209" fontId="29" fillId="14" borderId="34" xfId="0" applyNumberFormat="1" applyFont="1" applyFill="1" applyBorder="1" applyAlignment="1">
      <x:alignment vertical="center"/>
    </x:xf>
    <x:xf numFmtId="209" fontId="29" fillId="14" borderId="35" xfId="0" applyNumberFormat="1" applyFont="1" applyFill="1" applyBorder="1" applyAlignment="1">
      <x:alignment vertical="center"/>
    </x:xf>
    <x:xf numFmtId="202" fontId="29" fillId="14" borderId="34" xfId="0" applyNumberFormat="1" applyFont="1" applyFill="1" applyBorder="1" applyAlignment="1">
      <x:alignment horizontal="center" vertical="center"/>
    </x:xf>
    <x:xf numFmtId="202" fontId="29" fillId="14" borderId="31" xfId="0" applyNumberFormat="1" applyFont="1" applyFill="1" applyBorder="1" applyAlignment="1">
      <x:alignment horizontal="center" vertical="center"/>
    </x:xf>
    <x:xf numFmtId="202" fontId="29" fillId="14" borderId="35" xfId="0" applyNumberFormat="1" applyFont="1" applyFill="1" applyBorder="1" applyAlignment="1">
      <x:alignment horizontal="center" vertical="center"/>
    </x:xf>
    <x:xf numFmtId="0" fontId="23" fillId="14" borderId="36" xfId="0" applyNumberFormat="1" applyFont="1" applyFill="1" applyBorder="1" applyAlignment="1">
      <x:alignment vertical="center"/>
    </x:xf>
    <x:xf numFmtId="0" fontId="23" fillId="14" borderId="37" xfId="0" applyNumberFormat="1" applyFont="1" applyFill="1" applyBorder="1" applyAlignment="1">
      <x:alignment vertical="center"/>
    </x:xf>
    <x:xf numFmtId="205" fontId="23" fillId="14" borderId="38" xfId="0" applyNumberFormat="1" applyFont="1" applyFill="1" applyBorder="1" applyAlignment="1">
      <x:alignment vertical="center"/>
    </x:xf>
    <x:xf numFmtId="0" fontId="23" fillId="14" borderId="39" xfId="0" applyNumberFormat="1" applyFont="1" applyFill="1" applyBorder="1" applyAlignment="1">
      <x:alignment vertical="center"/>
    </x:xf>
    <x:xf numFmtId="0" fontId="23" fillId="14" borderId="40" xfId="0" applyNumberFormat="1" applyFont="1" applyFill="1" applyBorder="1" applyAlignment="1">
      <x:alignment vertical="center"/>
    </x:xf>
    <x:xf numFmtId="205" fontId="23" fillId="14" borderId="41" xfId="0" applyNumberFormat="1" applyFont="1" applyFill="1" applyBorder="1" applyAlignment="1">
      <x:alignment vertical="center"/>
    </x:xf>
    <x:xf numFmtId="0" fontId="23" fillId="14" borderId="42" xfId="0" applyNumberFormat="1" applyFont="1" applyFill="1" applyBorder="1" applyAlignment="1">
      <x:alignment vertical="center"/>
    </x:xf>
    <x:xf numFmtId="0" fontId="23" fillId="14" borderId="43" xfId="0" applyNumberFormat="1" applyFont="1" applyFill="1" applyBorder="1" applyAlignment="1">
      <x:alignment vertical="center"/>
    </x:xf>
    <x:xf numFmtId="205" fontId="23" fillId="14" borderId="44" xfId="0" applyNumberFormat="1" applyFont="1" applyFill="1" applyBorder="1" applyAlignment="1">
      <x:alignment vertical="center"/>
    </x:xf>
    <x:xf numFmtId="0" fontId="23" fillId="14" borderId="36" xfId="0" applyNumberFormat="1" applyFont="1" applyFill="1" applyBorder="1" applyAlignment="1">
      <x:alignment horizontal="center" vertical="center"/>
    </x:xf>
    <x:xf numFmtId="0" fontId="23" fillId="14" borderId="37" xfId="0" applyNumberFormat="1" applyFont="1" applyFill="1" applyBorder="1" applyAlignment="1">
      <x:alignment horizontal="center" vertical="center"/>
    </x:xf>
    <x:xf numFmtId="205" fontId="23" fillId="14" borderId="38" xfId="0" applyNumberFormat="1" applyFont="1" applyFill="1" applyBorder="1" applyAlignment="1">
      <x:alignment horizontal="center" vertical="center"/>
    </x:xf>
    <x:xf numFmtId="0" fontId="23" fillId="14" borderId="39" xfId="0" applyNumberFormat="1" applyFont="1" applyFill="1" applyBorder="1" applyAlignment="1">
      <x:alignment horizontal="center" vertical="center"/>
    </x:xf>
    <x:xf numFmtId="0" fontId="23" fillId="14" borderId="40" xfId="0" applyNumberFormat="1" applyFont="1" applyFill="1" applyBorder="1" applyAlignment="1">
      <x:alignment horizontal="center" vertical="center"/>
    </x:xf>
    <x:xf numFmtId="205" fontId="23" fillId="14" borderId="41" xfId="0" applyNumberFormat="1" applyFont="1" applyFill="1" applyBorder="1" applyAlignment="1">
      <x:alignment horizontal="center" vertical="center"/>
    </x:xf>
    <x:xf numFmtId="0" fontId="23" fillId="14" borderId="42" xfId="0" applyNumberFormat="1" applyFont="1" applyFill="1" applyBorder="1" applyAlignment="1">
      <x:alignment horizontal="center" vertical="center"/>
    </x:xf>
    <x:xf numFmtId="0" fontId="23" fillId="14" borderId="43" xfId="0" applyNumberFormat="1" applyFont="1" applyFill="1" applyBorder="1" applyAlignment="1">
      <x:alignment horizontal="center" vertical="center"/>
    </x:xf>
    <x:xf numFmtId="205" fontId="23" fillId="14" borderId="44" xfId="0" applyNumberFormat="1" applyFont="1" applyFill="1" applyBorder="1" applyAlignment="1">
      <x:alignment horizontal="center" vertical="center"/>
    </x:xf>
    <x:xf numFmtId="0" fontId="29" fillId="16" borderId="0" xfId="0" applyNumberFormat="1" applyFont="1" applyFill="1" applyBorder="1" applyAlignment="1">
      <x:alignment horizontal="center" vertical="center" wrapText="1"/>
    </x:xf>
    <x:xf numFmtId="0" fontId="23" fillId="16" borderId="0" xfId="0" applyNumberFormat="1" applyFont="1" applyFill="1" applyBorder="1" applyAlignment="1">
      <x:alignment horizontal="center" vertical="center" wrapText="1"/>
    </x:xf>
    <x:xf numFmtId="212" fontId="23" fillId="16" borderId="0" xfId="0" applyNumberFormat="1" applyFont="1" applyFill="1" applyBorder="1" applyAlignment="1">
      <x:alignment horizontal="center" vertical="center" wrapText="1"/>
    </x:xf>
    <x:xf numFmtId="0" fontId="23" fillId="17" borderId="0" xfId="0" applyNumberFormat="1" applyFont="1" applyFill="1" applyBorder="1" applyAlignment="1">
      <x:alignment horizontal="center" vertical="center" wrapText="1"/>
    </x:xf>
    <x:xf numFmtId="212" fontId="23" fillId="17" borderId="0" xfId="0" applyNumberFormat="1" applyFont="1" applyFill="1" applyBorder="1" applyAlignment="1">
      <x:alignment horizontal="center" vertical="center" wrapText="1"/>
    </x:xf>
    <x:xf numFmtId="205" fontId="23" fillId="17" borderId="0" xfId="0" applyNumberFormat="1" applyFont="1" applyFill="1" applyBorder="1" applyAlignment="1">
      <x:alignment horizontal="center" vertical="center" wrapText="1"/>
    </x:xf>
    <x:xf numFmtId="0" fontId="23" fillId="18" borderId="0" xfId="0" applyNumberFormat="1" applyFont="1" applyFill="1" applyBorder="1" applyAlignment="1">
      <x:alignment horizontal="center" vertical="center"/>
    </x:xf>
    <x:xf numFmtId="0" fontId="23" fillId="17" borderId="0" xfId="0" applyNumberFormat="1" applyFont="1" applyFill="1" applyBorder="1" applyAlignment="1">
      <x:alignment horizontal="center" vertical="center"/>
    </x:xf>
    <x:xf numFmtId="0" fontId="23" fillId="16" borderId="0" xfId="0" applyNumberFormat="1" applyFont="1" applyFill="1" applyBorder="1" applyAlignment="1">
      <x:alignment horizontal="center" vertical="center"/>
    </x:xf>
    <x:xf numFmtId="212" fontId="23" fillId="16" borderId="0" xfId="0" applyNumberFormat="1" applyFont="1" applyFill="1" applyBorder="1" applyAlignment="1">
      <x:alignment horizontal="center" vertical="center"/>
    </x:xf>
    <x:xf numFmtId="212" fontId="23" fillId="17" borderId="0" xfId="0" applyNumberFormat="1" applyFont="1" applyFill="1" applyBorder="1" applyAlignment="1">
      <x:alignment horizontal="center" vertical="center"/>
    </x:xf>
    <x:xf numFmtId="205" fontId="23" fillId="17" borderId="0" xfId="0" applyNumberFormat="1" applyFont="1" applyFill="1" applyBorder="1" applyAlignment="1">
      <x:alignment horizontal="center" vertical="center"/>
    </x:xf>
    <x:xf numFmtId="0" fontId="0" fillId="0" borderId="0" xfId="0" applyNumberFormat="1" applyFont="1" applyFill="1" applyBorder="1"/>
    <x:xf numFmtId="0" fontId="4" fillId="5" borderId="15" xfId="0" applyNumberFormat="1" applyFont="1" applyFill="1" applyBorder="1" applyAlignment="1">
      <x:alignment horizontal="center" vertical="center" wrapText="1"/>
    </x:xf>
    <x:xf numFmtId="0" fontId="4" fillId="5" borderId="16" xfId="0" applyNumberFormat="1" applyFont="1" applyFill="1" applyBorder="1" applyAlignment="1">
      <x:alignment horizontal="center" vertical="center" wrapText="1"/>
    </x:xf>
    <x:xf numFmtId="0" fontId="4" fillId="5" borderId="17" xfId="0" applyNumberFormat="1" applyFont="1" applyFill="1" applyBorder="1" applyAlignment="1">
      <x:alignment horizontal="center" vertical="center" wrapText="1"/>
    </x:xf>
    <x:xf numFmtId="200" fontId="14" fillId="5" borderId="6" xfId="0" applyNumberFormat="1" applyFont="1" applyFill="1" applyBorder="1" applyAlignment="1">
      <x:alignment vertical="center"/>
    </x:xf>
    <x:xf numFmtId="0" fontId="14" fillId="5" borderId="7" xfId="0" applyNumberFormat="1" applyFont="1" applyFill="1" applyBorder="1" applyAlignment="1">
      <x:alignment vertical="center"/>
    </x:xf>
    <x:xf numFmtId="206" fontId="5" fillId="5" borderId="7" xfId="0" applyNumberFormat="1" applyFont="1" applyFill="1" applyBorder="1" applyAlignment="1">
      <x:alignment vertical="center"/>
    </x:xf>
    <x:xf numFmtId="0" fontId="23" fillId="5" borderId="0" xfId="0" applyNumberFormat="1" applyFont="1" applyFill="1" applyBorder="1"/>
    <x:xf numFmtId="0" fontId="24" fillId="5" borderId="15" xfId="0" applyNumberFormat="1" applyFont="1" applyFill="1" applyBorder="1" applyAlignment="1">
      <x:alignment horizontal="center" vertical="center" wrapText="1"/>
    </x:xf>
    <x:xf numFmtId="0" fontId="24" fillId="5" borderId="16" xfId="0" applyNumberFormat="1" applyFont="1" applyFill="1" applyBorder="1" applyAlignment="1">
      <x:alignment horizontal="center" vertical="center" wrapText="1"/>
    </x:xf>
    <x:xf numFmtId="0" fontId="24" fillId="5" borderId="17" xfId="0" applyNumberFormat="1" applyFont="1" applyFill="1" applyBorder="1" applyAlignment="1">
      <x:alignment horizontal="center" vertical="center" wrapText="1"/>
    </x:xf>
    <x:xf numFmtId="200" fontId="24" fillId="5" borderId="4" xfId="0" applyNumberFormat="1" applyFont="1" applyFill="1" applyBorder="1" applyAlignment="1">
      <x:alignment vertical="center"/>
    </x:xf>
    <x:xf numFmtId="0" fontId="24" fillId="5" xfId="0" applyNumberFormat="1" applyFont="1" applyFill="1" applyBorder="0" applyAlignment="1">
      <x:alignment vertical="center"/>
    </x:xf>
    <x:xf numFmtId="0" fontId="23" fillId="5" xfId="0" applyNumberFormat="1" applyFont="1" applyFill="1" applyBorder="0" applyAlignment="1">
      <x:alignment vertical="center"/>
    </x:xf>
    <x:xf numFmtId="206" fontId="23" fillId="5" xfId="0" applyNumberFormat="1" applyFont="1" applyFill="1" applyBorder="0" applyAlignment="1">
      <x:alignment vertical="center"/>
    </x:xf>
    <x:xf numFmtId="204" fontId="23" fillId="5" xfId="0" applyNumberFormat="1" applyFont="1" applyFill="1" applyBorder="0" applyAlignment="1">
      <x:alignment vertical="center"/>
    </x:xf>
    <x:xf numFmtId="202" fontId="23" fillId="5" xfId="0" applyNumberFormat="1" applyFont="1" applyFill="1" applyBorder="0" applyAlignment="1">
      <x:alignment vertical="center"/>
    </x:xf>
    <x:xf numFmtId="0" fontId="23" fillId="5" borderId="5" xfId="0" applyNumberFormat="1" applyFont="1" applyFill="1" applyBorder="1" applyAlignment="1">
      <x:alignment vertical="center"/>
    </x:xf>
    <x:xf numFmtId="200" fontId="24" fillId="5" borderId="6" xfId="0" applyNumberFormat="1" applyFont="1" applyFill="1" applyBorder="1" applyAlignment="1">
      <x:alignment vertical="center"/>
    </x:xf>
    <x:xf numFmtId="0" fontId="24" fillId="5" borderId="7" xfId="0" applyNumberFormat="1" applyFont="1" applyFill="1" applyBorder="1" applyAlignment="1">
      <x:alignment vertical="center"/>
    </x:xf>
    <x:xf numFmtId="0" fontId="23" fillId="5" borderId="7" xfId="0" applyNumberFormat="1" applyFont="1" applyFill="1" applyBorder="1" applyAlignment="1">
      <x:alignment vertical="center"/>
    </x:xf>
    <x:xf numFmtId="206" fontId="23" fillId="5" borderId="7" xfId="0" applyNumberFormat="1" applyFont="1" applyFill="1" applyBorder="1" applyAlignment="1">
      <x:alignment vertical="center"/>
    </x:xf>
    <x:xf numFmtId="204" fontId="23" fillId="5" borderId="7" xfId="0" applyNumberFormat="1" applyFont="1" applyFill="1" applyBorder="1" applyAlignment="1">
      <x:alignment vertical="center"/>
    </x:xf>
    <x:xf numFmtId="202" fontId="23" fillId="5" borderId="7" xfId="0" applyNumberFormat="1" applyFont="1" applyFill="1" applyBorder="1" applyAlignment="1">
      <x:alignment vertical="center"/>
    </x:xf>
    <x:xf numFmtId="0" fontId="23" fillId="5" borderId="8" xfId="0" applyNumberFormat="1" applyFont="1" applyFill="1" applyBorder="1" applyAlignment="1">
      <x:alignment vertical="center"/>
    </x:xf>
    <x:xf numFmtId="0" fontId="23" fillId="5" borderId="1" xfId="0" applyNumberFormat="1" applyFont="1" applyFill="1" applyBorder="1"/>
    <x:xf numFmtId="0" fontId="23" fillId="5" borderId="2" xfId="0" applyNumberFormat="1" applyFont="1" applyFill="1" applyBorder="1"/>
    <x:xf numFmtId="0" fontId="23" fillId="5" borderId="3" xfId="0" applyNumberFormat="1" applyFont="1" applyFill="1" applyBorder="1"/>
    <x:xf numFmtId="0" fontId="23" fillId="5" borderId="4" xfId="0" applyNumberFormat="1" applyFont="1" applyFill="1" applyBorder="1"/>
    <x:xf numFmtId="0" fontId="23" fillId="5" xfId="0" applyNumberFormat="1" applyFont="1" applyFill="1" applyBorder="0"/>
    <x:xf numFmtId="0" fontId="23" fillId="5" borderId="5" xfId="0" applyNumberFormat="1" applyFont="1" applyFill="1" applyBorder="1"/>
    <x:xf numFmtId="0" fontId="23" fillId="5" borderId="7" xfId="0" applyNumberFormat="1" applyFont="1" applyFill="1" applyBorder="1"/>
    <x:xf numFmtId="0" fontId="23" fillId="5" borderId="8" xfId="0" applyNumberFormat="1" applyFont="1" applyFill="1" applyBorder="1"/>
    <x:xf numFmtId="0" fontId="23" fillId="5" borderId="1" xfId="0" applyNumberFormat="1" applyFont="1" applyFill="1" applyBorder="1" applyAlignment="1">
      <x:alignment vertical="center"/>
    </x:xf>
    <x:xf numFmtId="0" fontId="23" fillId="5" borderId="2" xfId="0" applyNumberFormat="1" applyFont="1" applyFill="1" applyBorder="1" applyAlignment="1">
      <x:alignment vertical="center"/>
    </x:xf>
    <x:xf numFmtId="0" fontId="23" fillId="5" borderId="3" xfId="0" applyNumberFormat="1" applyFont="1" applyFill="1" applyBorder="1" applyAlignment="1">
      <x:alignment vertical="center"/>
    </x:xf>
    <x:xf numFmtId="0" fontId="23" fillId="5" borderId="4" xfId="0" applyNumberFormat="1" applyFont="1" applyFill="1" applyBorder="1" applyAlignment="1">
      <x:alignment vertical="center"/>
    </x:xf>
    <x:xf numFmtId="0" fontId="25" fillId="5" borderId="1" xfId="0" applyNumberFormat="1" applyFont="1" applyFill="1" applyBorder="1" applyAlignment="1">
      <x:alignment vertical="center"/>
    </x:xf>
    <x:xf numFmtId="0" fontId="25" fillId="5" borderId="2" xfId="0" applyNumberFormat="1" applyFont="1" applyFill="1" applyBorder="1" applyAlignment="1">
      <x:alignment vertical="center"/>
    </x:xf>
    <x:xf numFmtId="0" fontId="26" fillId="5" borderId="4" xfId="0" applyNumberFormat="1" applyFont="1" applyFill="1" applyBorder="1" applyAlignment="1">
      <x:alignment vertical="center"/>
    </x:xf>
    <x:xf numFmtId="0" fontId="26" fillId="5" xfId="0" applyNumberFormat="1" applyFont="1" applyFill="1" applyBorder="0" applyAlignment="1">
      <x:alignment vertical="center"/>
    </x:xf>
    <x:xf numFmtId="0" fontId="26" fillId="5" borderId="21" xfId="0" applyNumberFormat="1" applyFont="1" applyFill="1" applyBorder="1" applyAlignment="1">
      <x:alignment vertical="center"/>
    </x:xf>
    <x:xf numFmtId="0" fontId="26" fillId="5" borderId="22" xfId="0" applyNumberFormat="1" applyFont="1" applyFill="1" applyBorder="1" applyAlignment="1">
      <x:alignment vertical="center"/>
    </x:xf>
    <x:xf numFmtId="0" fontId="28" fillId="5" borderId="4" xfId="0" applyNumberFormat="1" applyFont="1" applyFill="1" applyBorder="1" applyAlignment="1">
      <x:alignment vertical="center"/>
    </x:xf>
    <x:xf numFmtId="0" fontId="28" fillId="5" xfId="0" applyNumberFormat="1" applyFont="1" applyFill="1" applyBorder="0" applyAlignment="1">
      <x:alignment vertical="center"/>
    </x:xf>
    <x:xf numFmtId="0" fontId="28" fillId="5" borderId="4" xfId="0" applyNumberFormat="1" applyFont="1" applyFill="1" applyBorder="1" applyAlignment="1">
      <x:alignment vertical="center" wrapText="1"/>
    </x:xf>
    <x:xf numFmtId="0" fontId="28" fillId="5" xfId="0" applyNumberFormat="1" applyFont="1" applyFill="1" applyBorder="0" applyAlignment="1">
      <x:alignment vertical="center" wrapText="1"/>
    </x:xf>
    <x:xf numFmtId="0" fontId="23" fillId="6" borderId="4" xfId="0" applyNumberFormat="1" applyFont="1" applyFill="1" applyBorder="1" applyAlignment="1">
      <x:alignment vertical="center"/>
    </x:xf>
    <x:xf numFmtId="0" fontId="23" fillId="6" xfId="0" applyNumberFormat="1" applyFont="1" applyFill="1" applyBorder="0" applyAlignment="1">
      <x:alignment vertical="center"/>
    </x:xf>
    <x:xf numFmtId="0" fontId="25" fillId="6" borderId="4" xfId="0" applyNumberFormat="1" applyFont="1" applyFill="1" applyBorder="1" applyAlignment="1">
      <x:alignment vertical="center"/>
    </x:xf>
    <x:xf numFmtId="0" fontId="25" fillId="6" xfId="0" applyNumberFormat="1" applyFont="1" applyFill="1" applyBorder="0" applyAlignment="1">
      <x:alignment vertical="center"/>
    </x:xf>
    <x:xf numFmtId="0" fontId="25" fillId="6" borderId="23" xfId="0" applyNumberFormat="1" applyFont="1" applyFill="1" applyBorder="1" applyAlignment="1">
      <x:alignment vertical="center"/>
    </x:xf>
    <x:xf numFmtId="0" fontId="25" fillId="6" borderId="24" xfId="0" applyNumberFormat="1" applyFont="1" applyFill="1" applyBorder="1" applyAlignment="1">
      <x:alignment vertical="center"/>
    </x:xf>
    <x:xf numFmtId="0" fontId="25" fillId="6" borderId="25" xfId="0" applyNumberFormat="1" applyFont="1" applyFill="1" applyBorder="1" applyAlignment="1">
      <x:alignment vertical="center"/>
    </x:xf>
    <x:xf numFmtId="0" fontId="23" fillId="6" borderId="5" xfId="0" applyNumberFormat="1" applyFont="1" applyFill="1" applyBorder="1" applyAlignment="1">
      <x:alignment vertical="center"/>
    </x:xf>
    <x:xf numFmtId="0" fontId="25" fillId="6" borderId="5" xfId="0" applyNumberFormat="1" applyFont="1" applyFill="1" applyBorder="1" applyAlignment="1">
      <x:alignment vertical="center"/>
    </x:xf>
    <x:xf numFmtId="0" fontId="25" fillId="6" borderId="26" xfId="0" applyNumberFormat="1" applyFont="1" applyFill="1" applyBorder="1" applyAlignment="1">
      <x:alignment vertical="center"/>
    </x:xf>
    <x:xf numFmtId="200" fontId="24" fillId="6" borderId="4" xfId="0" applyNumberFormat="1" applyFont="1" applyFill="1" applyBorder="1" applyAlignment="1">
      <x:alignment vertical="center"/>
    </x:xf>
    <x:xf numFmtId="0" fontId="24" fillId="6" xfId="0" applyNumberFormat="1" applyFont="1" applyFill="1" applyBorder="0" applyAlignment="1">
      <x:alignment vertical="center"/>
    </x:xf>
    <x:xf numFmtId="206" fontId="23" fillId="6" xfId="0" applyNumberFormat="1" applyFont="1" applyFill="1" applyBorder="0" applyAlignment="1">
      <x:alignment vertical="center"/>
    </x:xf>
    <x:xf numFmtId="204" fontId="23" fillId="6" xfId="0" applyNumberFormat="1" applyFont="1" applyFill="1" applyBorder="0" applyAlignment="1">
      <x:alignment vertical="center"/>
    </x:xf>
    <x:xf numFmtId="202" fontId="23" fillId="6" xfId="0" applyNumberFormat="1" applyFont="1" applyFill="1" applyBorder="0" applyAlignment="1">
      <x:alignment vertical="center"/>
    </x:xf>
    <x:xf numFmtId="200" fontId="24" fillId="6" borderId="6" xfId="0" applyNumberFormat="1" applyFont="1" applyFill="1" applyBorder="1" applyAlignment="1">
      <x:alignment vertical="center"/>
    </x:xf>
    <x:xf numFmtId="0" fontId="24" fillId="6" borderId="7" xfId="0" applyNumberFormat="1" applyFont="1" applyFill="1" applyBorder="1" applyAlignment="1">
      <x:alignment vertical="center"/>
    </x:xf>
    <x:xf numFmtId="0" fontId="23" fillId="6" borderId="7" xfId="0" applyNumberFormat="1" applyFont="1" applyFill="1" applyBorder="1" applyAlignment="1">
      <x:alignment vertical="center"/>
    </x:xf>
    <x:xf numFmtId="206" fontId="23" fillId="6" borderId="7" xfId="0" applyNumberFormat="1" applyFont="1" applyFill="1" applyBorder="1" applyAlignment="1">
      <x:alignment vertical="center"/>
    </x:xf>
    <x:xf numFmtId="204" fontId="23" fillId="6" borderId="7" xfId="0" applyNumberFormat="1" applyFont="1" applyFill="1" applyBorder="1" applyAlignment="1">
      <x:alignment vertical="center"/>
    </x:xf>
    <x:xf numFmtId="202" fontId="23" fillId="6" borderId="7" xfId="0" applyNumberFormat="1" applyFont="1" applyFill="1" applyBorder="1" applyAlignment="1">
      <x:alignment vertical="center"/>
    </x:xf>
    <x:xf numFmtId="0" fontId="23" fillId="6" borderId="8" xfId="0" applyNumberFormat="1" applyFont="1" applyFill="1" applyBorder="1" applyAlignment="1">
      <x:alignment vertical="center"/>
    </x:xf>
    <x:xf numFmtId="200" fontId="29" fillId="5" borderId="4" xfId="0" applyNumberFormat="1" applyFont="1" applyFill="1" applyBorder="1" applyAlignment="1">
      <x:alignment vertical="center"/>
    </x:xf>
    <x:xf numFmtId="0" fontId="29" fillId="5" xfId="0" applyNumberFormat="1" applyFont="1" applyFill="1" applyBorder="0" applyAlignment="1">
      <x:alignment vertical="center"/>
    </x:xf>
    <x:xf numFmtId="200" fontId="29" fillId="6" borderId="4" xfId="0" applyNumberFormat="1" applyFont="1" applyFill="1" applyBorder="1" applyAlignment="1">
      <x:alignment vertical="center"/>
    </x:xf>
    <x:xf numFmtId="0" fontId="29" fillId="6" xfId="0" applyNumberFormat="1" applyFont="1" applyFill="1" applyBorder="0" applyAlignment="1">
      <x:alignment vertical="center"/>
    </x:xf>
    <x:xf numFmtId="200" fontId="29" fillId="6" borderId="6" xfId="0" applyNumberFormat="1" applyFont="1" applyFill="1" applyBorder="1" applyAlignment="1">
      <x:alignment vertical="center"/>
    </x:xf>
    <x:xf numFmtId="0" fontId="29" fillId="6" borderId="7" xfId="0" applyNumberFormat="1" applyFont="1" applyFill="1" applyBorder="1" applyAlignment="1">
      <x:alignment vertical="center"/>
    </x:xf>
    <x:xf numFmtId="205" fontId="5" fillId="5" borderId="7" xfId="0" applyNumberFormat="1" applyFont="1" applyFill="1" applyBorder="1" applyAlignment="1">
      <x:alignment vertical="center"/>
    </x:xf>
    <x:xf numFmtId="200" fontId="23" fillId="5" xfId="0" applyNumberFormat="1" applyFont="1" applyFill="1" applyBorder="0" applyAlignment="1">
      <x:alignment vertical="center"/>
    </x:xf>
    <x:xf numFmtId="205" fontId="23" fillId="5" xfId="0" applyNumberFormat="1" applyFont="1" applyFill="1" applyBorder="0" applyAlignment="1">
      <x:alignment vertical="center"/>
    </x:xf>
    <x:xf numFmtId="200" fontId="23" fillId="5" borderId="7" xfId="0" applyNumberFormat="1" applyFont="1" applyFill="1" applyBorder="1" applyAlignment="1">
      <x:alignment vertical="center"/>
    </x:xf>
    <x:xf numFmtId="205" fontId="23" fillId="5" borderId="7" xfId="0" applyNumberFormat="1" applyFont="1" applyFill="1" applyBorder="1" applyAlignment="1">
      <x:alignment vertical="center"/>
    </x:xf>
    <x:xf numFmtId="200" fontId="23" fillId="6" xfId="0" applyNumberFormat="1" applyFont="1" applyFill="1" applyBorder="0" applyAlignment="1">
      <x:alignment vertical="center"/>
    </x:xf>
    <x:xf numFmtId="205" fontId="23" fillId="6" xfId="0" applyNumberFormat="1" applyFont="1" applyFill="1" applyBorder="0" applyAlignment="1">
      <x:alignment vertical="center"/>
    </x:xf>
    <x:xf numFmtId="200" fontId="23" fillId="6" borderId="7" xfId="0" applyNumberFormat="1" applyFont="1" applyFill="1" applyBorder="1" applyAlignment="1">
      <x:alignment vertical="center"/>
    </x:xf>
    <x:xf numFmtId="205" fontId="23" fillId="6" borderId="7" xfId="0" applyNumberFormat="1" applyFont="1" applyFill="1" applyBorder="1" applyAlignment="1">
      <x:alignment vertical="center"/>
    </x:xf>
    <x:xf numFmtId="0" fontId="28" fillId="5" borderId="5" xfId="0" applyNumberFormat="1" applyFont="1" applyFill="1" applyBorder="1" applyAlignment="1">
      <x:alignment vertical="center"/>
    </x:xf>
    <x:xf numFmtId="0" fontId="28" fillId="5" borderId="5" xfId="0" applyNumberFormat="1" applyFont="1" applyFill="1" applyBorder="1" applyAlignment="1">
      <x:alignment vertical="center" wrapText="1"/>
    </x:xf>
    <x:xf numFmtId="207" fontId="5" fillId="5" borderId="7" xfId="0" applyNumberFormat="1" applyFont="1" applyFill="1" applyBorder="1" applyAlignment="1">
      <x:alignment vertical="center"/>
    </x:xf>
    <x:xf numFmtId="207" fontId="23" fillId="5" xfId="0" applyNumberFormat="1" applyFont="1" applyFill="1" applyBorder="0" applyAlignment="1">
      <x:alignment vertical="center"/>
    </x:xf>
    <x:xf numFmtId="207" fontId="23" fillId="5" borderId="7" xfId="0" applyNumberFormat="1" applyFont="1" applyFill="1" applyBorder="1" applyAlignment="1">
      <x:alignment vertical="center"/>
    </x:xf>
    <x:xf numFmtId="207" fontId="23" fillId="6" xfId="0" applyNumberFormat="1" applyFont="1" applyFill="1" applyBorder="0" applyAlignment="1">
      <x:alignment vertical="center"/>
    </x:xf>
    <x:xf numFmtId="207" fontId="23" fillId="6" borderId="7" xfId="0" applyNumberFormat="1" applyFont="1" applyFill="1" applyBorder="1" applyAlignment="1">
      <x:alignment vertical="center"/>
    </x:xf>
    <x:xf numFmtId="203" fontId="23" fillId="5" xfId="0" applyNumberFormat="1" applyFont="1" applyFill="1" applyBorder="0" applyAlignment="1">
      <x:alignment vertical="center"/>
    </x:xf>
    <x:xf numFmtId="203" fontId="23" fillId="5" borderId="7" xfId="0" applyNumberFormat="1" applyFont="1" applyFill="1" applyBorder="1" applyAlignment="1">
      <x:alignment vertical="center"/>
    </x:xf>
    <x:xf numFmtId="203" fontId="23" fillId="6" xfId="0" applyNumberFormat="1" applyFont="1" applyFill="1" applyBorder="0" applyAlignment="1">
      <x:alignment vertical="center"/>
    </x:xf>
    <x:xf numFmtId="203" fontId="23" fillId="6" borderId="7" xfId="0" applyNumberFormat="1" applyFont="1" applyFill="1" applyBorder="1" applyAlignment="1">
      <x:alignment vertical="center"/>
    </x:xf>
    <x:xf numFmtId="202" fontId="14" fillId="5" borderId="7" xfId="0" applyNumberFormat="1" applyFont="1" applyFill="1" applyBorder="1" applyAlignment="1">
      <x:alignment vertical="center"/>
    </x:xf>
    <x:xf numFmtId="202" fontId="24" fillId="5" xfId="0" applyNumberFormat="1" applyFont="1" applyFill="1" applyBorder="0" applyAlignment="1">
      <x:alignment vertical="center"/>
    </x:xf>
    <x:xf numFmtId="202" fontId="24" fillId="5" borderId="7" xfId="0" applyNumberFormat="1" applyFont="1" applyFill="1" applyBorder="1" applyAlignment="1">
      <x:alignment vertical="center"/>
    </x:xf>
    <x:xf numFmtId="202" fontId="24" fillId="6" xfId="0" applyNumberFormat="1" applyFont="1" applyFill="1" applyBorder="0" applyAlignment="1">
      <x:alignment vertical="center"/>
    </x:xf>
    <x:xf numFmtId="202" fontId="24" fillId="6" borderId="7" xfId="0" applyNumberFormat="1" applyFont="1" applyFill="1" applyBorder="1" applyAlignment="1">
      <x:alignment vertical="center"/>
    </x:xf>
    <x:xf numFmtId="202" fontId="29" fillId="5" xfId="0" applyNumberFormat="1" applyFont="1" applyFill="1" applyBorder="0" applyAlignment="1">
      <x:alignment vertical="center"/>
    </x:xf>
    <x:xf numFmtId="202" fontId="29" fillId="6" xfId="0" applyNumberFormat="1" applyFont="1" applyFill="1" applyBorder="0" applyAlignment="1">
      <x:alignment vertical="center"/>
    </x:xf>
    <x:xf numFmtId="202" fontId="29" fillId="6" borderId="7" xfId="0" applyNumberFormat="1" applyFont="1" applyFill="1" applyBorder="1" applyAlignment="1">
      <x:alignment vertical="center"/>
    </x:xf>
    <x:xf numFmtId="0" fontId="23" fillId="5" borderId="6" xfId="0" applyNumberFormat="1" applyFont="1" applyFill="1" applyBorder="1"/>
    <x:xf numFmtId="0" fontId="23" fillId="5" borderId="6" xfId="0" applyNumberFormat="1" applyFont="1" applyFill="1" applyBorder="1" applyAlignment="1">
      <x:alignment vertical="center"/>
    </x:xf>
    <x:xf numFmtId="0" fontId="23" fillId="6" borderId="6" xfId="0" applyNumberFormat="1" applyFont="1" applyFill="1" applyBorder="1" applyAlignment="1">
      <x:alignment vertical="center"/>
    </x:xf>
    <x:xf numFmtId="200" fontId="23" fillId="5" borderId="4" xfId="0" applyNumberFormat="1" applyFont="1" applyFill="1" applyBorder="1" applyAlignment="1">
      <x:alignment vertical="center"/>
    </x:xf>
    <x:xf numFmtId="200" fontId="23" fillId="6" borderId="4" xfId="0" applyNumberFormat="1" applyFont="1" applyFill="1" applyBorder="1" applyAlignment="1">
      <x:alignment vertical="center"/>
    </x:xf>
    <x:xf numFmtId="200" fontId="23" fillId="6" borderId="6" xfId="0" applyNumberFormat="1" applyFont="1" applyFill="1" applyBorder="1" applyAlignment="1">
      <x:alignment vertical="center"/>
    </x:xf>
    <x:xf numFmtId="209" fontId="23" fillId="5" xfId="0" applyNumberFormat="1" applyFont="1" applyFill="1" applyBorder="0" applyAlignment="1">
      <x:alignment vertical="center"/>
    </x:xf>
    <x:xf numFmtId="209" fontId="23" fillId="6" xfId="0" applyNumberFormat="1" applyFont="1" applyFill="1" applyBorder="0" applyAlignment="1">
      <x:alignment vertical="center"/>
    </x:xf>
    <x:xf numFmtId="209" fontId="23" fillId="6" borderId="7" xfId="0" applyNumberFormat="1" applyFont="1" applyFill="1" applyBorder="1" applyAlignment="1">
      <x:alignment vertical="center"/>
    </x:xf>
    <x:xf numFmtId="0" fontId="27" fillId="5" borderId="2" xfId="0" applyNumberFormat="1" applyFont="1" applyFill="1" applyBorder="1" applyAlignment="1">
      <x:alignment vertical="center"/>
    </x:xf>
    <x:xf numFmtId="0" fontId="27" fillId="5" borderId="2" xfId="0" applyNumberFormat="1" applyFont="1" applyFill="1" applyBorder="1" applyAlignment="1">
      <x:alignment horizontal="right" vertical="center"/>
    </x:xf>
    <x:xf numFmtId="209" fontId="23" fillId="5" borderId="2" xfId="0" applyNumberFormat="1" applyFont="1" applyFill="1" applyBorder="1" applyAlignment="1">
      <x:alignment vertical="center"/>
    </x:xf>
    <x:xf numFmtId="209" fontId="29" fillId="5" borderId="2" xfId="0" applyNumberFormat="1" applyFont="1" applyFill="1" applyBorder="1" applyAlignment="1">
      <x:alignment vertical="center"/>
    </x:xf>
    <x:xf numFmtId="209" fontId="29" fillId="5" borderId="2" xfId="0" applyNumberFormat="1" applyFont="1" applyFill="1" applyBorder="1" applyAlignment="1">
      <x:alignment horizontal="center" vertical="center"/>
    </x:xf>
    <x:xf numFmtId="209" fontId="23" fillId="5" borderId="3" xfId="0" applyNumberFormat="1" applyFont="1" applyFill="1" applyBorder="1" applyAlignment="1">
      <x:alignment vertical="center"/>
    </x:xf>
    <x:xf numFmtId="209" fontId="29" fillId="5" borderId="3" xfId="0" applyNumberFormat="1" applyFont="1" applyFill="1" applyBorder="1" applyAlignment="1">
      <x:alignment vertical="center"/>
    </x:xf>
    <x:xf numFmtId="209" fontId="29" fillId="5" borderId="3" xfId="0" applyNumberFormat="1" applyFont="1" applyFill="1" applyBorder="1" applyAlignment="1">
      <x:alignment horizontal="center" vertical="center"/>
    </x:xf>
    <x:xf numFmtId="0" fontId="23" fillId="5" borderId="0" xfId="0" applyNumberFormat="1" applyFont="1" applyFill="1" applyBorder="1" applyAlignment="1">
      <x:alignment vertical="center"/>
    </x:xf>
    <x:xf numFmtId="0" fontId="30" fillId="5" borderId="0" xfId="0" applyNumberFormat="1" applyFont="1" applyFill="1" applyBorder="1" applyAlignment="1">
      <x:alignment vertical="center"/>
    </x:xf>
    <x:xf numFmtId="0" fontId="31" fillId="5" borderId="0" xfId="0" applyNumberFormat="1" applyFont="1" applyFill="1" applyBorder="1" applyAlignment="1">
      <x:alignment vertical="center"/>
    </x:xf>
    <x:xf numFmtId="0" fontId="28" fillId="5" borderId="0" xfId="0" applyNumberFormat="1" applyFont="1" applyFill="1" applyBorder="1" applyAlignment="1">
      <x:alignment vertical="center"/>
    </x:xf>
    <x:xf numFmtId="0" fontId="28" fillId="5" borderId="0" xfId="0" applyNumberFormat="1" applyFont="1" applyFill="1" applyBorder="1" applyAlignment="1">
      <x:alignment horizontal="right" vertical="center"/>
    </x:xf>
    <x:xf numFmtId="210" fontId="28" fillId="5" borderId="0" xfId="0" applyNumberFormat="1" applyFont="1" applyFill="1" applyBorder="1" applyAlignment="1">
      <x:alignment horizontal="right" vertical="center"/>
    </x:xf>
    <x:xf numFmtId="0" fontId="28" fillId="5" borderId="31" xfId="0" applyNumberFormat="1" applyFont="1" applyFill="1" applyBorder="1" applyAlignment="1">
      <x:alignment vertical="center"/>
    </x:xf>
    <x:xf numFmtId="0" fontId="29" fillId="5" borderId="0" xfId="0" applyNumberFormat="1" applyFont="1" applyFill="1" applyBorder="1" applyAlignment="1">
      <x:alignment vertical="center"/>
    </x:xf>
    <x:xf numFmtId="0" fontId="29" fillId="5" borderId="0" xfId="0" applyNumberFormat="1" applyFont="1" applyFill="1" applyBorder="1" applyAlignment="1">
      <x:alignment horizontal="right" vertical="center"/>
    </x:xf>
    <x:xf numFmtId="0" fontId="23" fillId="6" borderId="0" xfId="0" applyNumberFormat="1" applyFont="1" applyFill="1" applyBorder="1" applyAlignment="1">
      <x:alignment vertical="center"/>
    </x:xf>
    <x:xf numFmtId="0" fontId="29" fillId="6" borderId="0" xfId="0" applyNumberFormat="1" applyFont="1" applyFill="1" applyBorder="1" applyAlignment="1">
      <x:alignment vertical="center"/>
    </x:xf>
    <x:xf numFmtId="0" fontId="29" fillId="6" borderId="32" xfId="0" applyNumberFormat="1" applyFont="1" applyFill="1" applyBorder="1" applyAlignment="1">
      <x:alignment vertical="center"/>
    </x:xf>
    <x:xf numFmtId="0" fontId="32" fillId="6" borderId="0" xfId="0" applyNumberFormat="1" applyFont="1" applyFill="1" applyBorder="1" applyAlignment="1">
      <x:alignment vertical="center"/>
    </x:xf>
    <x:xf numFmtId="205" fontId="32" fillId="6" borderId="0" xfId="0" applyNumberFormat="1" applyFont="1" applyFill="1" applyBorder="1" applyAlignment="1">
      <x:alignment vertical="center"/>
    </x:xf>
    <x:xf numFmtId="205" fontId="32" fillId="6" borderId="0" xfId="0" applyNumberFormat="1" applyFont="1" applyFill="1" applyBorder="1" applyAlignment="1">
      <x:alignment horizontal="right" vertical="center"/>
    </x:xf>
    <x:xf numFmtId="0" fontId="27" fillId="6" borderId="0" xfId="0" applyNumberFormat="1" applyFont="1" applyFill="1" applyBorder="1" applyAlignment="1">
      <x:alignment vertical="center"/>
    </x:xf>
    <x:xf numFmtId="209" fontId="23" fillId="5" borderId="0" xfId="0" applyNumberFormat="1" applyFont="1" applyFill="1" applyBorder="1" applyAlignment="1">
      <x:alignment vertical="center"/>
    </x:xf>
    <x:xf numFmtId="205" fontId="23" fillId="5" borderId="0" xfId="0" applyNumberFormat="1" applyFont="1" applyFill="1" applyBorder="1" applyAlignment="1">
      <x:alignment vertical="center"/>
    </x:xf>
    <x:xf numFmtId="205" fontId="23" fillId="5" borderId="0" xfId="0" applyNumberFormat="1" applyFont="1" applyFill="1" applyBorder="1" applyAlignment="1">
      <x:alignment horizontal="right" vertical="center"/>
    </x:xf>
    <x:xf numFmtId="209" fontId="23" fillId="6" borderId="0" xfId="0" applyNumberFormat="1" applyFont="1" applyFill="1" applyBorder="1" applyAlignment="1">
      <x:alignment vertical="center"/>
    </x:xf>
    <x:xf numFmtId="205" fontId="23" fillId="6" borderId="0" xfId="0" applyNumberFormat="1" applyFont="1" applyFill="1" applyBorder="1" applyAlignment="1">
      <x:alignment horizontal="right" vertical="center"/>
    </x:xf>
    <x:xf numFmtId="0" fontId="24" fillId="5" borderId="0" xfId="0" applyNumberFormat="1" applyFont="1" applyFill="1" applyBorder="1" applyAlignment="1">
      <x:alignment vertical="center"/>
    </x:xf>
    <x:xf numFmtId="205" fontId="24" fillId="5" borderId="0" xfId="0" applyNumberFormat="1" applyFont="1" applyFill="1" applyBorder="1" applyAlignment="1">
      <x:alignment horizontal="right" vertical="center"/>
    </x:xf>
    <x:xf numFmtId="205" fontId="29" fillId="5" borderId="0" xfId="0" applyNumberFormat="1" applyFont="1" applyFill="1" applyBorder="1" applyAlignment="1">
      <x:alignment vertical="center"/>
    </x:xf>
    <x:xf numFmtId="205" fontId="29" fillId="5" borderId="0" xfId="0" applyNumberFormat="1" applyFont="1" applyFill="1" applyBorder="1" applyAlignment="1">
      <x:alignment horizontal="right" vertical="center"/>
    </x:xf>
    <x:xf numFmtId="0" fontId="23" fillId="6" borderId="0" xfId="0" applyNumberFormat="1" applyFont="1" applyFill="1" applyBorder="1" applyAlignment="1">
      <x:alignment vertical="center" wrapText="1"/>
    </x:xf>
    <x:xf numFmtId="202" fontId="23" fillId="6" borderId="0" xfId="0" applyNumberFormat="1" applyFont="1" applyFill="1" applyBorder="1" applyAlignment="1">
      <x:alignment vertical="center" wrapText="1"/>
    </x:xf>
    <x:xf numFmtId="0" fontId="23" fillId="5" borderId="0" xfId="0" applyNumberFormat="1" applyFont="1" applyFill="1" applyBorder="1" applyAlignment="1">
      <x:alignment vertical="center" wrapText="1"/>
    </x:xf>
    <x:xf numFmtId="202" fontId="23" fillId="5" borderId="0" xfId="0" applyNumberFormat="1" applyFont="1" applyFill="1" applyBorder="1" applyAlignment="1">
      <x:alignment vertical="center" wrapText="1"/>
    </x:xf>
    <x:xf numFmtId="205" fontId="23" fillId="6" borderId="0" xfId="0" applyNumberFormat="1" applyFont="1" applyFill="1" applyBorder="1" applyAlignment="1">
      <x:alignment vertical="center"/>
    </x:xf>
    <x:xf numFmtId="0" fontId="27" fillId="5" borderId="33" xfId="0" applyNumberFormat="1" applyFont="1" applyFill="1" applyBorder="1" applyAlignment="1">
      <x:alignment vertical="center"/>
    </x:xf>
    <x:xf numFmtId="209" fontId="29" fillId="13" borderId="0" xfId="0" applyNumberFormat="1" applyFont="1" applyFill="1" applyBorder="1" applyAlignment="1">
      <x:alignment vertical="center"/>
    </x:xf>
    <x:xf numFmtId="0" fontId="29" fillId="10" borderId="0" xfId="0" applyNumberFormat="1" applyFont="1" applyFill="1" applyBorder="1" applyAlignment="1">
      <x:alignment vertical="center" wrapText="1"/>
    </x:xf>
    <x:xf numFmtId="0" fontId="28" fillId="6" borderId="0" xfId="0" applyNumberFormat="1" applyFont="1" applyFill="1" applyBorder="1" applyAlignment="1">
      <x:alignment vertical="center"/>
    </x:xf>
    <x:xf numFmtId="0" fontId="29" fillId="6" borderId="0" xfId="0" applyNumberFormat="1" applyFont="1" applyFill="1" applyBorder="1" applyAlignment="1">
      <x:alignment vertical="center" wrapText="1"/>
    </x:xf>
    <x:xf numFmtId="0" fontId="29" fillId="5" borderId="0" xfId="0" applyNumberFormat="1" applyFont="1" applyFill="1" applyBorder="1" applyAlignment="1">
      <x:alignment vertical="center" wrapText="1"/>
    </x:xf>
    <x:xf numFmtId="202" fontId="29" fillId="6" borderId="0" xfId="0" applyNumberFormat="1" applyFont="1" applyFill="1" applyBorder="1" applyAlignment="1">
      <x:alignment vertical="center" wrapText="1"/>
    </x:xf>
    <x:xf numFmtId="205" fontId="29" fillId="5" borderId="0" xfId="0" applyNumberFormat="1" applyFont="1" applyFill="1" applyBorder="1" applyAlignment="1">
      <x:alignment vertical="center" wrapText="1"/>
    </x:xf>
    <x:xf numFmtId="205" fontId="29" fillId="6" borderId="0" xfId="0" applyNumberFormat="1" applyFont="1" applyFill="1" applyBorder="1" applyAlignment="1">
      <x:alignment vertical="center" wrapText="1"/>
    </x:xf>
    <x:xf numFmtId="209" fontId="29" fillId="6" borderId="0" xfId="0" applyNumberFormat="1" applyFont="1" applyFill="1" applyBorder="1" applyAlignment="1">
      <x:alignment vertical="center" wrapText="1"/>
    </x:xf>
    <x:xf numFmtId="0" fontId="24" fillId="10" borderId="0" xfId="0" applyNumberFormat="1" applyFont="1" applyFill="1" applyBorder="1" applyAlignment="1">
      <x:alignment vertical="center"/>
    </x:xf>
    <x:xf numFmtId="0" fontId="24" fillId="10" borderId="0" xfId="0" applyNumberFormat="1" applyFont="1" applyFill="1" applyBorder="1" applyAlignment="1">
      <x:alignment vertical="center" wrapText="1"/>
    </x:xf>
    <x:xf numFmtId="205" fontId="23" fillId="6" borderId="0" xfId="0" applyNumberFormat="1" applyFont="1" applyFill="1" applyBorder="1" applyAlignment="1">
      <x:alignment vertical="center" wrapText="1"/>
    </x:xf>
    <x:xf numFmtId="205" fontId="23" fillId="5" borderId="0" xfId="0" applyNumberFormat="1" applyFont="1" applyFill="1" applyBorder="1" applyAlignment="1">
      <x:alignment vertical="center" wrapText="1"/>
    </x:xf>
    <x:xf numFmtId="202" fontId="29" fillId="13" borderId="0" xfId="0" applyNumberFormat="1" applyFont="1" applyFill="1" applyBorder="1" applyAlignment="1">
      <x:alignment vertical="center"/>
    </x:xf>
    <x:xf numFmtId="203" fontId="23" fillId="6" borderId="0" xfId="0" applyNumberFormat="1" applyFont="1" applyFill="1" applyBorder="1" applyAlignment="1">
      <x:alignment vertical="center" wrapText="1"/>
    </x:xf>
    <x:xf numFmtId="203" fontId="23" fillId="5" borderId="0" xfId="0" applyNumberFormat="1" applyFont="1" applyFill="1" applyBorder="1" applyAlignment="1">
      <x:alignment vertical="center" wrapText="1"/>
    </x:xf>
    <x:xf numFmtId="205" fontId="23" fillId="13" borderId="0" xfId="0" applyNumberFormat="1" applyFont="1" applyFill="1" applyBorder="1" applyAlignment="1">
      <x:alignment vertical="center"/>
    </x:xf>
    <x:xf numFmtId="0" fontId="23" fillId="10" borderId="0" xfId="0" applyNumberFormat="1" applyFont="1" applyFill="1" applyBorder="1" applyAlignment="1">
      <x:alignment vertical="center" wrapText="1"/>
    </x:xf>
    <x:xf numFmtId="212" fontId="23" fillId="10" borderId="0" xfId="0" applyNumberFormat="1" applyFont="1" applyFill="1" applyBorder="1" applyAlignment="1">
      <x:alignment vertical="center" wrapText="1"/>
    </x:xf>
    <x:xf numFmtId="212" fontId="23" fillId="6" borderId="0" xfId="0" applyNumberFormat="1" applyFont="1" applyFill="1" applyBorder="1" applyAlignment="1">
      <x:alignment vertical="center" wrapText="1"/>
    </x:xf>
    <x:xf numFmtId="0" fontId="23" fillId="12" borderId="0" xfId="0" applyNumberFormat="1" applyFont="1" applyFill="1" applyBorder="1"/>
    <x:xf numFmtId="0" fontId="4" fillId="12" borderId="0" xfId="0" applyNumberFormat="1" applyFont="1" applyFill="1" applyBorder="1"/>
    <x:xf numFmtId="0" fontId="23" fillId="10" borderId="0" xfId="0" applyNumberFormat="1" applyFont="1" applyFill="1" applyBorder="1"/>
    <x:xf numFmtId="0" fontId="29" fillId="10" borderId="0" xfId="0" applyNumberFormat="1" applyFont="1" applyFill="1" applyBorder="1"/>
    <x:xf numFmtId="0" fontId="29" fillId="10" borderId="0" xfId="0" applyNumberFormat="1" applyFont="1" applyFill="1" applyBorder="1" applyAlignment="1">
      <x:alignment wrapText="1"/>
    </x:xf>
    <x:xf numFmtId="0" fontId="23" fillId="6" borderId="0" xfId="0" applyNumberFormat="1" applyFont="1" applyFill="1" applyBorder="1"/>
    <x:xf numFmtId="212" fontId="23" fillId="10" borderId="0" xfId="0" applyNumberFormat="1" applyFont="1" applyFill="1" applyBorder="1" applyAlignment="1">
      <x:alignment vertical="center"/>
    </x:xf>
    <x:xf numFmtId="212" fontId="23" fillId="6" borderId="0" xfId="0" applyNumberFormat="1" applyFont="1" applyFill="1" applyBorder="1" applyAlignment="1">
      <x:alignment vertical="center"/>
    </x:xf>
    <x:xf numFmtId="0" fontId="23" fillId="12" borderId="0" xfId="0" applyNumberFormat="1" applyFont="1" applyFill="1" applyBorder="1" applyAlignment="1">
      <x:alignment vertical="center" wrapText="1"/>
    </x:xf>
    <x:xf numFmtId="0" fontId="4" fillId="12" borderId="0" xfId="0" applyNumberFormat="1" applyFont="1" applyFill="1" applyBorder="1" applyAlignment="1">
      <x:alignment vertical="center" wrapText="1"/>
    </x:xf>
    <x:xf numFmtId="0" fontId="23" fillId="6" borderId="0" xfId="0" applyNumberFormat="1" applyFont="1" applyFill="1" applyBorder="1" applyAlignment="1">
      <x:alignment wrapText="1"/>
    </x:xf>
    <x:xf numFmtId="0" fontId="23" fillId="5" borderId="0" xfId="0" applyNumberFormat="1" applyFont="1" applyFill="1" applyBorder="1" applyAlignment="1">
      <x:alignment wrapText="1"/>
    </x:xf>
    <x:xf numFmtId="0" fontId="23" fillId="12" borderId="0" xfId="0" applyNumberFormat="1" applyFont="1" applyFill="1" applyBorder="1" applyAlignment="1">
      <x:alignment wrapText="1"/>
    </x:xf>
    <x:xf numFmtId="0" fontId="4" fillId="12" borderId="0" xfId="0" applyNumberFormat="1" applyFont="1" applyFill="1" applyBorder="1" applyAlignment="1">
      <x:alignment wrapText="1"/>
    </x:xf>
    <x:xf numFmtId="0" fontId="23" fillId="10" borderId="0" xfId="0" applyNumberFormat="1" applyFont="1" applyFill="1" applyBorder="1" applyAlignment="1">
      <x:alignment wrapText="1"/>
    </x:xf>
    <x:xf numFmtId="209" fontId="29" fillId="13" borderId="0" xfId="0" applyNumberFormat="1" applyFont="1" applyFill="1" applyBorder="1" applyAlignment="1">
      <x:alignment horizontal="center" vertical="center"/>
    </x:xf>
    <x:xf numFmtId="0" fontId="29" fillId="13" borderId="34" xfId="0" applyNumberFormat="1" applyFont="1" applyFill="1" applyBorder="1" applyAlignment="1">
      <x:alignment vertical="center"/>
    </x:xf>
    <x:xf numFmtId="0" fontId="29" fillId="13" borderId="35" xfId="0" applyNumberFormat="1" applyFont="1" applyFill="1" applyBorder="1" applyAlignment="1">
      <x:alignment vertical="center"/>
    </x:xf>
    <x:xf numFmtId="209" fontId="29" fillId="13" borderId="34" xfId="0" applyNumberFormat="1" applyFont="1" applyFill="1" applyBorder="1" applyAlignment="1">
      <x:alignment horizontal="center" vertical="center"/>
    </x:xf>
    <x:xf numFmtId="209" fontId="29" fillId="13" borderId="35" xfId="0" applyNumberFormat="1" applyFont="1" applyFill="1" applyBorder="1" applyAlignment="1">
      <x:alignment horizontal="center" vertical="center"/>
    </x:xf>
    <x:xf numFmtId="209" fontId="29" fillId="13" borderId="31" xfId="0" applyNumberFormat="1" applyFont="1" applyFill="1" applyBorder="1" applyAlignment="1">
      <x:alignment horizontal="center" vertical="center"/>
    </x:xf>
    <x:xf numFmtId="202" fontId="29" fillId="13" borderId="34" xfId="0" applyNumberFormat="1" applyFont="1" applyFill="1" applyBorder="1" applyAlignment="1">
      <x:alignment vertical="center"/>
    </x:xf>
    <x:xf numFmtId="202" fontId="29" fillId="13" borderId="31" xfId="0" applyNumberFormat="1" applyFont="1" applyFill="1" applyBorder="1" applyAlignment="1">
      <x:alignment vertical="center"/>
    </x:xf>
    <x:xf numFmtId="202" fontId="29" fillId="13" borderId="35" xfId="0" applyNumberFormat="1" applyFont="1" applyFill="1" applyBorder="1" applyAlignment="1">
      <x:alignment vertical="center"/>
    </x:xf>
    <x:xf numFmtId="209" fontId="29" fillId="13" borderId="34" xfId="0" applyNumberFormat="1" applyFont="1" applyFill="1" applyBorder="1" applyAlignment="1">
      <x:alignment vertical="center"/>
    </x:xf>
    <x:xf numFmtId="209" fontId="29" fillId="13" borderId="35" xfId="0" applyNumberFormat="1" applyFont="1" applyFill="1" applyBorder="1" applyAlignment="1">
      <x:alignment vertical="center"/>
    </x:xf>
    <x:xf numFmtId="202" fontId="29" fillId="13" borderId="34" xfId="0" applyNumberFormat="1" applyFont="1" applyFill="1" applyBorder="1" applyAlignment="1">
      <x:alignment horizontal="center" vertical="center"/>
    </x:xf>
    <x:xf numFmtId="202" fontId="29" fillId="13" borderId="31" xfId="0" applyNumberFormat="1" applyFont="1" applyFill="1" applyBorder="1" applyAlignment="1">
      <x:alignment horizontal="center" vertical="center"/>
    </x:xf>
    <x:xf numFmtId="202" fontId="29" fillId="13" borderId="35" xfId="0" applyNumberFormat="1" applyFont="1" applyFill="1" applyBorder="1" applyAlignment="1">
      <x:alignment horizontal="center" vertical="center"/>
    </x:xf>
    <x:xf numFmtId="0" fontId="23" fillId="13" borderId="36" xfId="0" applyNumberFormat="1" applyFont="1" applyFill="1" applyBorder="1" applyAlignment="1">
      <x:alignment vertical="center"/>
    </x:xf>
    <x:xf numFmtId="0" fontId="23" fillId="13" borderId="37" xfId="0" applyNumberFormat="1" applyFont="1" applyFill="1" applyBorder="1" applyAlignment="1">
      <x:alignment vertical="center"/>
    </x:xf>
    <x:xf numFmtId="205" fontId="23" fillId="13" borderId="38" xfId="0" applyNumberFormat="1" applyFont="1" applyFill="1" applyBorder="1" applyAlignment="1">
      <x:alignment vertical="center"/>
    </x:xf>
    <x:xf numFmtId="0" fontId="23" fillId="13" borderId="39" xfId="0" applyNumberFormat="1" applyFont="1" applyFill="1" applyBorder="1" applyAlignment="1">
      <x:alignment vertical="center"/>
    </x:xf>
    <x:xf numFmtId="0" fontId="23" fillId="13" borderId="40" xfId="0" applyNumberFormat="1" applyFont="1" applyFill="1" applyBorder="1" applyAlignment="1">
      <x:alignment vertical="center"/>
    </x:xf>
    <x:xf numFmtId="205" fontId="23" fillId="13" borderId="41" xfId="0" applyNumberFormat="1" applyFont="1" applyFill="1" applyBorder="1" applyAlignment="1">
      <x:alignment vertical="center"/>
    </x:xf>
    <x:xf numFmtId="0" fontId="23" fillId="13" borderId="42" xfId="0" applyNumberFormat="1" applyFont="1" applyFill="1" applyBorder="1" applyAlignment="1">
      <x:alignment vertical="center"/>
    </x:xf>
    <x:xf numFmtId="0" fontId="23" fillId="13" borderId="43" xfId="0" applyNumberFormat="1" applyFont="1" applyFill="1" applyBorder="1" applyAlignment="1">
      <x:alignment vertical="center"/>
    </x:xf>
    <x:xf numFmtId="205" fontId="23" fillId="13" borderId="44" xfId="0" applyNumberFormat="1" applyFont="1" applyFill="1" applyBorder="1" applyAlignment="1">
      <x:alignment vertical="center"/>
    </x:xf>
    <x:xf numFmtId="0" fontId="23" fillId="13" borderId="36" xfId="0" applyNumberFormat="1" applyFont="1" applyFill="1" applyBorder="1" applyAlignment="1">
      <x:alignment horizontal="center" vertical="center"/>
    </x:xf>
    <x:xf numFmtId="0" fontId="23" fillId="13" borderId="37" xfId="0" applyNumberFormat="1" applyFont="1" applyFill="1" applyBorder="1" applyAlignment="1">
      <x:alignment horizontal="center" vertical="center"/>
    </x:xf>
    <x:xf numFmtId="205" fontId="23" fillId="13" borderId="38" xfId="0" applyNumberFormat="1" applyFont="1" applyFill="1" applyBorder="1" applyAlignment="1">
      <x:alignment horizontal="center" vertical="center"/>
    </x:xf>
    <x:xf numFmtId="0" fontId="23" fillId="13" borderId="39" xfId="0" applyNumberFormat="1" applyFont="1" applyFill="1" applyBorder="1" applyAlignment="1">
      <x:alignment horizontal="center" vertical="center"/>
    </x:xf>
    <x:xf numFmtId="0" fontId="23" fillId="13" borderId="40" xfId="0" applyNumberFormat="1" applyFont="1" applyFill="1" applyBorder="1" applyAlignment="1">
      <x:alignment horizontal="center" vertical="center"/>
    </x:xf>
    <x:xf numFmtId="205" fontId="23" fillId="13" borderId="41" xfId="0" applyNumberFormat="1" applyFont="1" applyFill="1" applyBorder="1" applyAlignment="1">
      <x:alignment horizontal="center" vertical="center"/>
    </x:xf>
    <x:xf numFmtId="0" fontId="23" fillId="13" borderId="42" xfId="0" applyNumberFormat="1" applyFont="1" applyFill="1" applyBorder="1" applyAlignment="1">
      <x:alignment horizontal="center" vertical="center"/>
    </x:xf>
    <x:xf numFmtId="0" fontId="23" fillId="13" borderId="43" xfId="0" applyNumberFormat="1" applyFont="1" applyFill="1" applyBorder="1" applyAlignment="1">
      <x:alignment horizontal="center" vertical="center"/>
    </x:xf>
    <x:xf numFmtId="205" fontId="23" fillId="13" borderId="44" xfId="0" applyNumberFormat="1" applyFont="1" applyFill="1" applyBorder="1" applyAlignment="1">
      <x:alignment horizontal="center" vertical="center"/>
    </x:xf>
    <x:xf numFmtId="0" fontId="29" fillId="10" borderId="0" xfId="0" applyNumberFormat="1" applyFont="1" applyFill="1" applyBorder="1" applyAlignment="1">
      <x:alignment horizontal="center" vertical="center" wrapText="1"/>
    </x:xf>
    <x:xf numFmtId="0" fontId="23" fillId="10" borderId="0" xfId="0" applyNumberFormat="1" applyFont="1" applyFill="1" applyBorder="1" applyAlignment="1">
      <x:alignment horizontal="center" vertical="center" wrapText="1"/>
    </x:xf>
    <x:xf numFmtId="212" fontId="23" fillId="10" borderId="0" xfId="0" applyNumberFormat="1" applyFont="1" applyFill="1" applyBorder="1" applyAlignment="1">
      <x:alignment horizontal="center" vertical="center" wrapText="1"/>
    </x:xf>
    <x:xf numFmtId="0" fontId="23" fillId="6" borderId="0" xfId="0" applyNumberFormat="1" applyFont="1" applyFill="1" applyBorder="1" applyAlignment="1">
      <x:alignment horizontal="center" vertical="center" wrapText="1"/>
    </x:xf>
    <x:xf numFmtId="212" fontId="23" fillId="6" borderId="0" xfId="0" applyNumberFormat="1" applyFont="1" applyFill="1" applyBorder="1" applyAlignment="1">
      <x:alignment horizontal="center" vertical="center" wrapText="1"/>
    </x:xf>
    <x:xf numFmtId="205" fontId="23" fillId="6" borderId="0" xfId="0" applyNumberFormat="1" applyFont="1" applyFill="1" applyBorder="1" applyAlignment="1">
      <x:alignment horizontal="center" vertical="center" wrapText="1"/>
    </x:xf>
    <x:xf numFmtId="0" fontId="23" fillId="5" borderId="0" xfId="0" applyNumberFormat="1" applyFont="1" applyFill="1" applyBorder="1" applyAlignment="1">
      <x:alignment horizontal="center" vertical="center"/>
    </x:xf>
    <x:xf numFmtId="0" fontId="23" fillId="6" borderId="0" xfId="0" applyNumberFormat="1" applyFont="1" applyFill="1" applyBorder="1" applyAlignment="1">
      <x:alignment horizontal="center" vertical="center"/>
    </x:xf>
    <x:xf numFmtId="0" fontId="23" fillId="10" borderId="0" xfId="0" applyNumberFormat="1" applyFont="1" applyFill="1" applyBorder="1" applyAlignment="1">
      <x:alignment horizontal="center" vertical="center"/>
    </x:xf>
    <x:xf numFmtId="212" fontId="23" fillId="10" borderId="0" xfId="0" applyNumberFormat="1" applyFont="1" applyFill="1" applyBorder="1" applyAlignment="1">
      <x:alignment horizontal="center" vertical="center"/>
    </x:xf>
    <x:xf numFmtId="212" fontId="23" fillId="6" borderId="0" xfId="0" applyNumberFormat="1" applyFont="1" applyFill="1" applyBorder="1" applyAlignment="1">
      <x:alignment horizontal="center" vertical="center"/>
    </x:xf>
    <x:xf numFmtId="205" fontId="23" fillId="6" borderId="0" xfId="0" applyNumberFormat="1" applyFont="1" applyFill="1" applyBorder="1" applyAlignment="1">
      <x:alignment horizontal="center" vertical="center"/>
    </x:xf>
    <x:xf numFmtId="0" fontId="0" fillId="19" borderId="0" xfId="0" applyNumberFormat="1" applyFont="1" applyFill="1" applyBorder="1"/>
    <x:xf numFmtId="0" fontId="4" fillId="19" borderId="0" xfId="0" applyNumberFormat="1" applyFont="1" applyFill="1" applyBorder="1"/>
    <x:xf numFmtId="0" fontId="4" fillId="19" borderId="0" xfId="0" applyNumberFormat="1" applyFont="1" applyFill="1" applyBorder="1" applyAlignment="1">
      <x:alignment vertical="center"/>
    </x:xf>
    <x:xf numFmtId="0" fontId="0" fillId="20" borderId="0" xfId="0" applyNumberFormat="1" applyFont="1" applyFill="1" applyBorder="1"/>
    <x:xf numFmtId="0" fontId="4" fillId="20" borderId="0" xfId="0" applyNumberFormat="1" applyFont="1" applyFill="1" applyBorder="1"/>
    <x:xf numFmtId="0" fontId="4" fillId="20" borderId="0" xfId="0" applyNumberFormat="1" applyFont="1" applyFill="1" applyBorder="1" applyAlignment="1">
      <x:alignment wrapText="1"/>
    </x:xf>
    <x:xf numFmtId="0" fontId="4" fillId="20" borderId="0" xfId="0" applyNumberFormat="1" applyFont="1" applyFill="1" applyBorder="1" applyAlignment="1">
      <x:alignment horizontal="center" wrapText="1"/>
    </x:xf>
    <x:xf numFmtId="0" fontId="4" fillId="20" borderId="0" xfId="0" applyNumberFormat="1" applyFont="1" applyFill="1" applyBorder="1" applyAlignment="1">
      <x:alignment horizontal="center" vertical="center" wrapText="1"/>
    </x:xf>
    <x:xf numFmtId="0" fontId="0" fillId="21" borderId="0" xfId="0" applyNumberFormat="1" applyFont="1" applyFill="1" applyBorder="1"/>
    <x:xf numFmtId="0" fontId="36" fillId="21" borderId="0" xfId="0" applyNumberFormat="1" applyFont="1" applyFill="1" applyBorder="1"/>
    <x:xf numFmtId="0" fontId="36" fillId="21" borderId="0" xfId="0" applyNumberFormat="1" applyFont="1" applyFill="1" applyBorder="1" applyAlignment="1">
      <x:alignment vertical="center"/>
    </x:xf>
    <x:xf numFmtId="0" fontId="36" fillId="22" borderId="0" xfId="0" applyNumberFormat="1" applyFont="1" applyFill="1" applyBorder="1" applyAlignment="1">
      <x:alignment vertical="center"/>
    </x:xf>
    <x:xf numFmtId="0" fontId="37" fillId="22" borderId="0" xfId="0" applyNumberFormat="1" applyFont="1" applyFill="1" applyBorder="1" applyAlignment="1">
      <x:alignment vertical="center"/>
    </x:xf>
    <x:xf numFmtId="202" fontId="36" fillId="21" borderId="0" xfId="0" applyNumberFormat="1" applyFont="1" applyFill="1" applyBorder="1" applyAlignment="1">
      <x:alignment vertical="center"/>
    </x:xf>
    <x:xf numFmtId="0" fontId="38" fillId="20" borderId="0" xfId="0" applyNumberFormat="1" applyFont="1" applyFill="1" applyBorder="1"/>
    <x:xf numFmtId="0" fontId="38" fillId="20" borderId="0" xfId="0" applyNumberFormat="1" applyFont="1" applyFill="1" applyBorder="1" applyAlignment="1">
      <x:alignment vertical="center"/>
    </x:xf>
    <x:xf numFmtId="0" fontId="0" fillId="23" borderId="0" xfId="0" applyNumberFormat="1" applyFont="1" applyFill="1" applyBorder="1"/>
    <x:xf numFmtId="0" fontId="39" fillId="23" borderId="0" xfId="0" applyNumberFormat="1" applyFont="1" applyFill="1" applyBorder="1"/>
    <x:xf numFmtId="0" fontId="39" fillId="23" borderId="0" xfId="0" applyNumberFormat="1" applyFont="1" applyFill="1" applyBorder="1" applyAlignment="1">
      <x:alignment vertical="center"/>
    </x:xf>
    <x:xf numFmtId="0" fontId="0" fillId="24" borderId="0" xfId="0" applyNumberFormat="1" applyFont="1" applyFill="1" applyBorder="1"/>
    <x:xf numFmtId="0" fontId="40" fillId="24" borderId="0" xfId="0" applyNumberFormat="1" applyFont="1" applyFill="1" applyBorder="1"/>
    <x:xf numFmtId="0" fontId="40" fillId="24" borderId="0" xfId="0" applyNumberFormat="1" applyFont="1" applyFill="1" applyBorder="1" applyAlignment="1">
      <x:alignment vertical="center"/>
    </x:xf>
    <x:xf numFmtId="0" fontId="36" fillId="25" borderId="0" xfId="0" applyNumberFormat="1" applyFont="1" applyFill="1" applyBorder="1" applyAlignment="1">
      <x:alignment vertical="center"/>
    </x:xf>
    <x:xf numFmtId="203" fontId="36" fillId="21" borderId="0" xfId="0" applyNumberFormat="1" applyFont="1" applyFill="1" applyBorder="1" applyAlignment="1">
      <x:alignment vertical="center"/>
    </x:xf>
    <x:xf numFmtId="0" fontId="41" fillId="20" borderId="0" xfId="0" applyNumberFormat="1" applyFont="1" applyFill="1" applyBorder="1"/>
    <x:xf numFmtId="0" fontId="41" fillId="20" borderId="0" xfId="0" applyNumberFormat="1" applyFont="1" applyFill="1" applyBorder="1" applyAlignment="1">
      <x:alignment vertical="center"/>
    </x:xf>
    <x:xf numFmtId="0" fontId="0" fillId="26" borderId="0" xfId="0" applyNumberFormat="1" applyFont="1" applyFill="1" applyBorder="1"/>
    <x:xf numFmtId="0" fontId="42" fillId="26" borderId="0" xfId="0" applyNumberFormat="1" applyFont="1" applyFill="1" applyBorder="1"/>
    <x:xf numFmtId="0" fontId="43" fillId="19" borderId="0" xfId="0" applyNumberFormat="1" applyFont="1" applyFill="1" applyBorder="1"/>
    <x:xf numFmtId="0" fontId="43" fillId="19" borderId="0" xfId="0" applyNumberFormat="1" applyFont="1" applyFill="1" applyBorder="1" applyAlignment="1">
      <x:alignment vertical="center"/>
    </x:xf>
    <x:xf numFmtId="0" fontId="0" fillId="27" borderId="0" xfId="0" applyNumberFormat="1" applyFont="1" applyFill="1" applyBorder="1"/>
    <x:xf numFmtId="0" fontId="44" fillId="27" borderId="0" xfId="0" applyNumberFormat="1" applyFont="1" applyFill="1" applyBorder="1"/>
    <x:xf numFmtId="0" fontId="44" fillId="27" borderId="0" xfId="0" applyNumberFormat="1" applyFont="1" applyFill="1" applyBorder="1" applyAlignment="1">
      <x:alignment horizontal="center"/>
    </x:xf>
    <x:xf numFmtId="0" fontId="44" fillId="27" borderId="0" xfId="0" applyNumberFormat="1" applyFont="1" applyFill="1" applyBorder="1" applyAlignment="1">
      <x:alignment horizontal="center" vertical="center"/>
    </x:xf>
    <x:xf numFmtId="0" fontId="4" fillId="20" borderId="0" xfId="0" applyNumberFormat="1" applyFont="1" applyFill="1" applyBorder="1" applyAlignment="1">
      <x:alignment vertical="center" wrapText="1"/>
    </x:xf>
    <x:xf numFmtId="0" fontId="36" fillId="26" borderId="0" xfId="0" applyNumberFormat="1" applyFont="1" applyFill="1" applyBorder="1"/>
    <x:xf numFmtId="0" fontId="0" fillId="28" borderId="0" xfId="0" applyNumberFormat="1" applyFont="1" applyFill="1" applyBorder="1"/>
    <x:xf numFmtId="0" fontId="45" fillId="28" borderId="0" xfId="0" applyNumberFormat="1" applyFont="1" applyFill="1" applyBorder="1"/>
    <x:xf numFmtId="0" fontId="45" fillId="28" borderId="0" xfId="0" applyNumberFormat="1" applyFont="1" applyFill="1" applyBorder="1" applyAlignment="1">
      <x:alignment horizontal="center"/>
    </x:xf>
    <x:xf numFmtId="0" fontId="45" fillId="28" borderId="0" xfId="0" applyNumberFormat="1" applyFont="1" applyFill="1" applyBorder="1" applyAlignment="1">
      <x:alignment horizontal="center" vertical="center"/>
    </x:xf>
    <x:xf numFmtId="0" fontId="0" fillId="29" borderId="0" xfId="0" applyNumberFormat="1" applyFont="1" applyFill="1" applyBorder="1"/>
    <x:xf numFmtId="0" fontId="36" fillId="29" borderId="0" xfId="0" applyNumberFormat="1" applyFont="1" applyFill="1" applyBorder="1"/>
    <x:xf numFmtId="0" fontId="36" fillId="29" borderId="0" xfId="0" applyNumberFormat="1" applyFont="1" applyFill="1" applyBorder="1" applyAlignment="1">
      <x:alignment vertical="center"/>
    </x:xf>
    <x:xf numFmtId="0" fontId="23" fillId="20" borderId="0" xfId="0" applyNumberFormat="1" applyFont="1" applyFill="1" applyBorder="1" applyAlignment="1">
      <x:alignment wrapText="1"/>
    </x:xf>
    <x:xf numFmtId="0" fontId="46" fillId="20" borderId="0" xfId="0" applyNumberFormat="1" applyFont="1" applyFill="1" applyBorder="1" applyAlignment="1">
      <x:alignment wrapText="1"/>
    </x:xf>
    <x:xf numFmtId="0" fontId="46" fillId="20" borderId="0" xfId="0" applyNumberFormat="1" applyFont="1" applyFill="1" applyBorder="1" applyAlignment="1">
      <x:alignment vertical="center" wrapText="1"/>
    </x:xf>
    <x:xf numFmtId="0" fontId="23" fillId="30" borderId="0" xfId="0" applyNumberFormat="1" applyFont="1" applyFill="1" applyBorder="1" applyAlignment="1">
      <x:alignment wrapText="1"/>
    </x:xf>
    <x:xf numFmtId="0" fontId="36" fillId="30" borderId="0" xfId="0" applyNumberFormat="1" applyFont="1" applyFill="1" applyBorder="1" applyAlignment="1">
      <x:alignment wrapText="1"/>
    </x:xf>
    <x:xf numFmtId="0" fontId="36" fillId="30" borderId="0" xfId="0" applyNumberFormat="1" applyFont="1" applyFill="1" applyBorder="1" applyAlignment="1">
      <x:alignment vertical="center" wrapText="1"/>
    </x:xf>
    <x:xf numFmtId="0" fontId="37" fillId="30" borderId="0" xfId="0" applyNumberFormat="1" applyFont="1" applyFill="1" applyBorder="1" applyAlignment="1">
      <x:alignment vertical="center" wrapText="1"/>
    </x:xf>
    <x:xf numFmtId="0" fontId="36" fillId="21" borderId="0" xfId="0" applyNumberFormat="1" applyFont="1" applyFill="1" applyBorder="1" applyAlignment="1">
      <x:alignment wrapText="1"/>
    </x:xf>
    <x:xf numFmtId="0" fontId="36" fillId="21" borderId="0" xfId="0" applyNumberFormat="1" applyFont="1" applyFill="1" applyBorder="1" applyAlignment="1">
      <x:alignment vertical="center" wrapText="1"/>
    </x:xf>
    <x:xf numFmtId="0" fontId="37" fillId="21" borderId="0" xfId="0" applyNumberFormat="1" applyFont="1" applyFill="1" applyBorder="1" applyAlignment="1">
      <x:alignment vertical="center" wrapText="1"/>
    </x:xf>
    <x:xf numFmtId="0" fontId="0" fillId="30" borderId="0" xfId="0" applyNumberFormat="1" applyFont="1" applyFill="1" applyBorder="1"/>
    <x:xf numFmtId="0" fontId="36" fillId="30" borderId="0" xfId="0" applyNumberFormat="1" applyFont="1" applyFill="1" applyBorder="1"/>
    <x:xf numFmtId="0" fontId="23" fillId="20" borderId="0" xfId="0" applyNumberFormat="1" applyFont="1" applyFill="1" applyBorder="1"/>
    <x:xf numFmtId="0" fontId="20" fillId="20" borderId="0" xfId="0" applyNumberFormat="1" applyFont="1" applyFill="1" applyBorder="1"/>
    <x:xf numFmtId="0" fontId="20" fillId="20" borderId="0" xfId="0" applyNumberFormat="1" applyFont="1" applyFill="1" applyBorder="1" applyAlignment="1">
      <x:alignment vertical="center"/>
    </x:xf>
    <x:xf numFmtId="0" fontId="0" fillId="31" borderId="0" xfId="0" applyNumberFormat="1" applyFont="1" applyFill="1" applyBorder="1"/>
    <x:xf numFmtId="0" fontId="36" fillId="31" borderId="0" xfId="0" applyNumberFormat="1" applyFont="1" applyFill="1" applyBorder="1"/>
    <x:xf numFmtId="0" fontId="36" fillId="31" borderId="0" xfId="0" applyNumberFormat="1" applyFont="1" applyFill="1" applyBorder="1" applyAlignment="1">
      <x:alignment vertical="center"/>
    </x:xf>
    <x:xf numFmtId="0" fontId="36" fillId="26" borderId="0" xfId="0" applyNumberFormat="1" applyFont="1" applyFill="1" applyBorder="1" applyAlignment="1">
      <x:alignment horizontal="center"/>
    </x:xf>
    <x:xf numFmtId="0" fontId="36" fillId="21" borderId="0" xfId="0" applyNumberFormat="1" applyFont="1" applyFill="1" applyBorder="1" applyAlignment="1">
      <x:alignment horizontal="center"/>
    </x:xf>
  </x:cellXfs>
  <x:cellStyles count="1">
    <x:cellStyle name="Normal" xfId="0"/>
  </x:cellStyles>
  <x:dxfs count="55">
    <x:dxf>
      <x:fill>
        <x:patternFill>
          <x:bgColor rgb="FFFCE0DE"/>
        </x:patternFill>
      </x:fill>
    </x:dxf>
    <x:dxf>
      <x:fill>
        <x:patternFill>
          <x:bgColor rgb="FFFCE0DE"/>
        </x:patternFill>
      </x:fill>
    </x:dxf>
    <x:dxf>
      <x:fill>
        <x:patternFill>
          <x:bgColor rgb="FFFCE0DE"/>
        </x:patternFill>
      </x:fill>
    </x:dxf>
    <x:dxf>
      <x:fill>
        <x:patternFill>
          <x:bgColor rgb="FFFCE0DE"/>
        </x:patternFill>
      </x:fill>
    </x:dxf>
    <x:dxf>
      <x:fill>
        <x:patternFill>
          <x:bgColor rgb="FFFCE0DE"/>
        </x:patternFill>
      </x:fill>
    </x:dxf>
    <x:dxf>
      <x:fill>
        <x:patternFill>
          <x:bgColor rgb="FFFCE0DE"/>
        </x:patternFill>
      </x:fill>
    </x:dxf>
    <x:dxf>
      <x:fill>
        <x:patternFill>
          <x:bgColor rgb="FFFCE0DE"/>
        </x:patternFill>
      </x:fill>
    </x:dxf>
    <x:dxf>
      <x:fill>
        <x:patternFill>
          <x:bgColor rgb="FFFCE0DE"/>
        </x:patternFill>
      </x:fill>
    </x:dxf>
    <x:dxf>
      <x:font>
        <x:color rgb="FF9C302A"/>
      </x:font>
      <x:fill>
        <x:patternFill>
          <x:bgColor rgb="FFFCE0DE"/>
        </x:patternFill>
      </x:fill>
    </x:dxf>
    <x:dxf>
      <x:font>
        <x:color rgb="FF9C302A"/>
      </x:font>
      <x:fill>
        <x:patternFill>
          <x:bgColor rgb="FFFCE0DE"/>
        </x:patternFill>
      </x:fill>
    </x:dxf>
    <x:dxf>
      <x:font>
        <x:color rgb="FF9C302A"/>
      </x:font>
      <x:fill>
        <x:patternFill>
          <x:bgColor rgb="FFFCE0DE"/>
        </x:patternFill>
      </x:fill>
    </x:dxf>
    <x:dxf>
      <x:font>
        <x:color rgb="FF9C302A"/>
      </x:font>
      <x:fill>
        <x:patternFill>
          <x:bgColor rgb="FFFCE0DE"/>
        </x:patternFill>
      </x:fill>
    </x:dxf>
    <x:dxf>
      <x:font>
        <x:b/>
        <x:color rgb="FF273847"/>
      </x:font>
      <x:fill>
        <x:patternFill>
          <x:bgColor rgb="FFE7F0EB"/>
        </x:patternFill>
      </x:fill>
    </x:dxf>
    <x:dxf>
      <x:font>
        <x:b/>
        <x:color rgb="FF273847"/>
      </x:font>
      <x:fill>
        <x:patternFill>
          <x:bgColor rgb="FFE7F0EB"/>
        </x:patternFill>
      </x:fill>
    </x:dxf>
    <x:dxf>
      <x:font>
        <x:b/>
        <x:color rgb="FF273847"/>
      </x:font>
      <x:fill>
        <x:patternFill>
          <x:bgColor rgb="FFE7F0EB"/>
        </x:patternFill>
      </x:fill>
    </x:dxf>
    <x:dxf>
      <x:font>
        <x:b/>
        <x:color rgb="FF273847"/>
      </x:font>
      <x:fill>
        <x:patternFill>
          <x:bgColor rgb="FFE7F0EB"/>
        </x:patternFill>
      </x:fill>
    </x:dxf>
    <x:dxf>
      <x:font>
        <x:b/>
        <x:color rgb="FF273847"/>
      </x:font>
      <x:fill>
        <x:patternFill>
          <x:bgColor rgb="FFE7F0EB"/>
        </x:patternFill>
      </x:fill>
    </x:dxf>
    <x:dxf>
      <x:font>
        <x:b/>
        <x:color rgb="FF273847"/>
      </x:font>
      <x:fill>
        <x:patternFill>
          <x:bgColor rgb="FFE7F0EB"/>
        </x:patternFill>
      </x:fill>
    </x:dxf>
    <x:dxf>
      <x:font>
        <x:b/>
        <x:color rgb="FF273847"/>
      </x:font>
      <x:fill>
        <x:patternFill>
          <x:bgColor rgb="FFFFF0CF"/>
        </x:patternFill>
      </x:fill>
    </x:dxf>
    <x:dxf>
      <x:font>
        <x:b/>
        <x:color rgb="FF273847"/>
      </x:font>
      <x:fill>
        <x:patternFill>
          <x:bgColor rgb="FFFFF0CF"/>
        </x:patternFill>
      </x:fill>
    </x:dxf>
    <x:dxf>
      <x:font>
        <x:b/>
        <x:color rgb="FF273847"/>
      </x:font>
      <x:fill>
        <x:patternFill>
          <x:bgColor rgb="FFFFF0CF"/>
        </x:patternFill>
      </x:fill>
    </x:dxf>
    <x:dxf>
      <x:font>
        <x:b/>
        <x:color rgb="FF9E3A35"/>
      </x:font>
      <x:fill>
        <x:patternFill>
          <x:bgColor rgb="FFFBECE9"/>
        </x:patternFill>
      </x:fill>
    </x:dxf>
    <x:dxf>
      <x:font>
        <x:b/>
        <x:color rgb="FF9E3A35"/>
      </x:font>
      <x:fill>
        <x:patternFill>
          <x:bgColor rgb="FFFBECE9"/>
        </x:patternFill>
      </x:fill>
    </x:dxf>
    <x:dxf>
      <x:font>
        <x:b/>
        <x:color rgb="FF9E3A35"/>
      </x:font>
      <x:fill>
        <x:patternFill>
          <x:bgColor rgb="FFFFF0CF"/>
        </x:patternFill>
      </x:fill>
    </x:dxf>
    <x:dxf>
      <x:font>
        <x:b/>
        <x:color rgb="FFA3463D"/>
      </x:font>
      <x:fill>
        <x:patternFill>
          <x:bgColor rgb="FFFBEDE9"/>
        </x:patternFill>
      </x:fill>
    </x:dxf>
    <x:dxf>
      <x:font>
        <x:color rgb="FFA3463D"/>
      </x:font>
      <x:fill>
        <x:patternFill>
          <x:bgColor rgb="FFFBEDE9"/>
        </x:patternFill>
      </x:fill>
    </x:dxf>
    <x:dxf>
      <x:font>
        <x:b/>
        <x:color rgb="FFA3463D"/>
      </x:font>
      <x:fill>
        <x:patternFill>
          <x:bgColor rgb="FFFBEDE9"/>
        </x:patternFill>
      </x:fill>
    </x:dxf>
    <x:dxf>
      <x:font>
        <x:color rgb="FFA3463D"/>
      </x:font>
      <x:fill>
        <x:patternFill>
          <x:bgColor rgb="FFFBEDE9"/>
        </x:patternFill>
      </x:fill>
    </x:dxf>
    <x:dxf>
      <x:font>
        <x:b/>
        <x:color rgb="FFA3463D"/>
      </x:font>
      <x:fill>
        <x:patternFill>
          <x:bgColor rgb="FFFBEDE9"/>
        </x:patternFill>
      </x:fill>
    </x:dxf>
    <x:dxf>
      <x:font>
        <x:color rgb="FFA3463D"/>
      </x:font>
      <x:fill>
        <x:patternFill>
          <x:bgColor rgb="FFFBEDE9"/>
        </x:patternFill>
      </x:fill>
    </x:dxf>
    <x:dxf>
      <x:font>
        <x:b/>
        <x:color rgb="FFA3463D"/>
      </x:font>
      <x:fill>
        <x:patternFill>
          <x:bgColor rgb="FFFBEDE9"/>
        </x:patternFill>
      </x:fill>
    </x:dxf>
    <x:dxf>
      <x:font>
        <x:color rgb="FFA3463D"/>
      </x:font>
      <x:fill>
        <x:patternFill>
          <x:bgColor rgb="FFFBEDE9"/>
        </x:patternFill>
      </x:fill>
    </x:dxf>
    <x:dxf>
      <x:font>
        <x:b/>
        <x:color rgb="FFA3463D"/>
      </x:font>
      <x:fill>
        <x:patternFill>
          <x:bgColor rgb="FFFBEDE9"/>
        </x:patternFill>
      </x:fill>
    </x:dxf>
    <x:dxf>
      <x:font>
        <x:color rgb="FFA3463D"/>
      </x:font>
      <x:fill>
        <x:patternFill>
          <x:bgColor rgb="FFFBEDE9"/>
        </x:patternFill>
      </x:fill>
    </x:dxf>
    <x:dxf>
      <x:font>
        <x:b/>
        <x:color rgb="FFA3463D"/>
      </x:font>
      <x:fill>
        <x:patternFill>
          <x:bgColor rgb="FFFBEDE9"/>
        </x:patternFill>
      </x:fill>
    </x:dxf>
    <x:dxf>
      <x:font>
        <x:color rgb="FFA3463D"/>
      </x:font>
      <x:fill>
        <x:patternFill>
          <x:bgColor rgb="FFFBEDE9"/>
        </x:patternFill>
      </x:fill>
    </x:dxf>
    <x:dxf>
      <x:font>
        <x:b/>
        <x:color rgb="FFA3463D"/>
      </x:font>
      <x:fill>
        <x:patternFill>
          <x:bgColor rgb="FFFBEDE9"/>
        </x:patternFill>
      </x:fill>
    </x:dxf>
    <x:dxf>
      <x:font>
        <x:color rgb="FFA3463D"/>
      </x:font>
      <x:fill>
        <x:patternFill>
          <x:bgColor rgb="FFFBEDE9"/>
        </x:patternFill>
      </x:fill>
    </x:dxf>
    <x:dxf>
      <x:font>
        <x:b/>
        <x:color rgb="FFA3463D"/>
      </x:font>
      <x:fill>
        <x:patternFill>
          <x:bgColor rgb="FFFBEDE9"/>
        </x:patternFill>
      </x:fill>
    </x:dxf>
    <x:dxf>
      <x:font>
        <x:color rgb="FFA3463D"/>
      </x:font>
      <x:fill>
        <x:patternFill>
          <x:bgColor rgb="FFFBEDE9"/>
        </x:patternFill>
      </x:fill>
    </x:dxf>
    <x:dxf>
      <x:font>
        <x:b/>
        <x:color rgb="FFA3463D"/>
      </x:font>
      <x:fill>
        <x:patternFill>
          <x:bgColor rgb="FFFBEDE9"/>
        </x:patternFill>
      </x:fill>
    </x:dxf>
    <x:dxf>
      <x:font>
        <x:color rgb="FFA3463D"/>
      </x:font>
      <x:fill>
        <x:patternFill>
          <x:bgColor rgb="FFFBEDE9"/>
        </x:patternFill>
      </x:fill>
    </x:dxf>
    <x:dxf>
      <x:font>
        <x:b/>
      </x:font>
      <x:fill>
        <x:patternFill>
          <x:bgColor rgb="FFFBEDE9"/>
        </x:patternFill>
      </x:fill>
    </x:dxf>
    <x:dxf>
      <x:font>
        <x:b/>
      </x:font>
      <x:fill>
        <x:patternFill>
          <x:bgColor rgb="FFFFF2D8"/>
        </x:patternFill>
      </x:fill>
    </x:dxf>
    <x:dxf>
      <x:font>
        <x:b/>
      </x:font>
      <x:fill>
        <x:patternFill>
          <x:bgColor rgb="FFFFF2D8"/>
        </x:patternFill>
      </x:fill>
    </x:dxf>
    <x:dxf>
      <x:font>
        <x:b/>
      </x:font>
      <x:fill>
        <x:patternFill>
          <x:bgColor rgb="FFFBEDE9"/>
        </x:patternFill>
      </x:fill>
    </x:dxf>
    <x:dxf>
      <x:font>
        <x:b/>
      </x:font>
      <x:fill>
        <x:patternFill>
          <x:bgColor rgb="FFFFF2D8"/>
        </x:patternFill>
      </x:fill>
    </x:dxf>
    <x:dxf>
      <x:font>
        <x:b/>
      </x:font>
      <x:fill>
        <x:patternFill>
          <x:bgColor rgb="FFEAF2EC"/>
        </x:patternFill>
      </x:fill>
    </x:dxf>
    <x:dxf>
      <x:font>
        <x:b/>
      </x:font>
      <x:fill>
        <x:patternFill>
          <x:bgColor rgb="FFEAF2EC"/>
        </x:patternFill>
      </x:fill>
    </x:dxf>
    <x:dxf>
      <x:font>
        <x:b/>
        <x:color rgb="FFA3463D"/>
      </x:font>
      <x:fill>
        <x:patternFill>
          <x:bgColor rgb="FFFFF2D8"/>
        </x:patternFill>
      </x:fill>
    </x:dxf>
    <x:dxf>
      <x:font>
        <x:b/>
        <x:color rgb="FF9D403B"/>
      </x:font>
      <x:fill>
        <x:patternFill>
          <x:bgColor rgb="FFFBEDE9"/>
        </x:patternFill>
      </x:fill>
    </x:dxf>
    <x:dxf>
      <x:font>
        <x:color rgb="FFAC372F"/>
      </x:font>
      <x:fill>
        <x:patternFill patternType="solid">
          <x:bgColor rgb="FFFDE3DB"/>
        </x:patternFill>
      </x:fill>
    </x:dxf>
    <x:dxf>
      <x:font>
        <x:color rgb="FFAC372F"/>
      </x:font>
      <x:fill>
        <x:patternFill patternType="solid">
          <x:bgColor rgb="FFFDE3DB"/>
        </x:patternFill>
      </x:fill>
    </x:dxf>
    <x:dxf>
      <x:font>
        <x:color rgb="FFAC372F"/>
      </x:font>
      <x:fill>
        <x:patternFill patternType="solid">
          <x:bgColor rgb="FFFDE3DB"/>
        </x:patternFill>
      </x:fill>
    </x:dxf>
    <x:dxf>
      <x:font>
        <x:color rgb="FFAC372F"/>
      </x:font>
      <x:fill>
        <x:patternFill patternType="solid">
          <x:bgColor rgb="FFFDE3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3116b5cefc4923" /><Relationship Type="http://schemas.openxmlformats.org/officeDocument/2006/relationships/theme" Target="/xl/theme/theme1.xml" Id="Rb09e8eb26594400f" /><Relationship Type="http://schemas.openxmlformats.org/officeDocument/2006/relationships/sharedStrings" Target="/xl/sharedStrings.xml" Id="Rb328da3801414fa0" /><Relationship Type="http://schemas.openxmlformats.org/officeDocument/2006/relationships/worksheet" Target="/xl/worksheets/sheet1.xml" Id="Ref022d91b9164f2a" /><Relationship Type="http://schemas.openxmlformats.org/officeDocument/2006/relationships/worksheet" Target="/xl/worksheets/sheet2.xml" Id="R662e65c44b924530" /><Relationship Type="http://schemas.openxmlformats.org/officeDocument/2006/relationships/worksheet" Target="/xl/worksheets/sheet3.xml" Id="Radd6ed5d475f4ef5" /><Relationship Type="http://schemas.openxmlformats.org/officeDocument/2006/relationships/worksheet" Target="/xl/worksheets/sheet4.xml" Id="Rb7896f06f6b44094" /><Relationship Type="http://schemas.openxmlformats.org/officeDocument/2006/relationships/worksheet" Target="/xl/worksheets/sheet5.xml" Id="R8018095bd95d429e" /><Relationship Type="http://schemas.openxmlformats.org/officeDocument/2006/relationships/worksheet" Target="/xl/worksheets/sheet6.xml" Id="Rdfa5ad5d6ba548ea" /><Relationship Type="http://schemas.openxmlformats.org/officeDocument/2006/relationships/worksheet" Target="/xl/worksheets/sheet7.xml" Id="R49b77ad9ecc84fbf" /><Relationship Type="http://schemas.openxmlformats.org/officeDocument/2006/relationships/worksheet" Target="/xl/worksheets/sheet8.xml" Id="Rea82dcf2f8a446b8" /><Relationship Type="http://schemas.openxmlformats.org/officeDocument/2006/relationships/worksheet" Target="/xl/worksheets/sheet9.xml" Id="Rab7df78c143b41cf" /><Relationship Type="http://schemas.openxmlformats.org/officeDocument/2006/relationships/worksheet" Target="/xl/worksheets/sheet10.xml" Id="Rf6b6b2cf64224458" /><Relationship Type="http://schemas.openxmlformats.org/officeDocument/2006/relationships/worksheet" Target="/xl/worksheets/sheet11.xml" Id="Ref8a4461eb5b46ec" /><Relationship Type="http://schemas.openxmlformats.org/officeDocument/2006/relationships/worksheet" Target="/xl/worksheets/sheet12.xml" Id="R8ac3b79677df4f6c" /><Relationship Type="http://schemas.openxmlformats.org/officeDocument/2006/relationships/worksheet" Target="/xl/worksheets/sheet13.xml" Id="R669422a3efb7436e" /><Relationship Type="http://schemas.openxmlformats.org/officeDocument/2006/relationships/worksheet" Target="/xl/worksheets/sheet14.xml" Id="Rc6037b5518d04e75" /><Relationship Type="http://schemas.openxmlformats.org/officeDocument/2006/relationships/worksheet" Target="/xl/worksheets/sheet15.xml" Id="R9668c73a3cbd4495" /><Relationship Type="http://schemas.openxmlformats.org/officeDocument/2006/relationships/worksheet" Target="/xl/worksheets/sheet16.xml" Id="R8c482158cc8e4ce0" /><Relationship Type="http://schemas.openxmlformats.org/officeDocument/2006/relationships/worksheet" Target="/xl/worksheets/sheet17.xml" Id="R539f35ab88b6421b" /></Relationships>
</file>

<file path=xl/drawings/_rels/drawing1.xml.rels>&#65279;<?xml version="1.0" encoding="utf-8"?><Relationships xmlns="http://schemas.openxmlformats.org/package/2006/relationships"><Relationship Type="http://schemas.openxmlformats.org/officeDocument/2006/relationships/chart" Target="/xl/drawings/charts/chart1.xml" Id="R956fd169a1154d88" /></Relationships>
</file>

<file path=xl/drawings/_rels/drawing2.xml.rels>&#65279;<?xml version="1.0" encoding="utf-8"?><Relationships xmlns="http://schemas.openxmlformats.org/package/2006/relationships"><Relationship Type="http://schemas.openxmlformats.org/officeDocument/2006/relationships/chart" Target="/xl/drawings/charts/chart2.xml" Id="R0112bc2122b34d27" /><Relationship Type="http://schemas.openxmlformats.org/officeDocument/2006/relationships/chart" Target="/xl/drawings/charts/chart3.xml" Id="Rb2bdcd6c63c2431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Fee receipts and expenses (AED)</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Fee receipts</c:v>
          </c:tx>
          <c:spPr>
            <a:solidFill xmlns:a="http://schemas.openxmlformats.org/drawingml/2006/main">
              <a:srgbClr val="173044"/>
            </a:solidFill>
            <a:ln xmlns:a="http://schemas.openxmlformats.org/drawingml/2006/main" w="19050">
              <a:solidFill>
                <a:srgbClr val="173044"/>
              </a:solidFill>
              <a:prstDash val="solid"/>
            </a:ln>
          </c:spPr>
          <c:marker>
            <c:symbol val="none"/>
          </c:marker>
          <c:cat>
            <c:strRef>
              <c:f>'Dashboard'!$B$32:$B$37</c:f>
              <c:strCache>
                <c:ptCount val="0"/>
              </c:strCache>
            </c:strRef>
          </c:cat>
          <c:val>
            <c:numRef>
              <c:f>'Dashboard'!$D$32:$D$37</c:f>
              <c:numCache>
                <c:formatCode>#,##0;[Red](#,##0);"0"</c:formatCode>
                <c:ptCount val="0"/>
              </c:numCache>
            </c:numRef>
          </c:val>
          <c:smooth val="0"/>
        </c:ser>
        <c:ser>
          <c:idx val="1"/>
          <c:order val="1"/>
          <c:tx>
            <c:v>Expenses</c:v>
          </c:tx>
          <c:spPr>
            <a:solidFill xmlns:a="http://schemas.openxmlformats.org/drawingml/2006/main">
              <a:srgbClr val="A18350"/>
            </a:solidFill>
            <a:ln xmlns:a="http://schemas.openxmlformats.org/drawingml/2006/main" w="19050">
              <a:solidFill>
                <a:srgbClr val="A18350"/>
              </a:solidFill>
              <a:prstDash val="solid"/>
            </a:ln>
          </c:spPr>
          <c:marker>
            <c:symbol val="none"/>
          </c:marker>
          <c:cat>
            <c:strRef>
              <c:f>'Dashboard'!$B$32:$B$37</c:f>
              <c:strCache>
                <c:ptCount val="0"/>
              </c:strCache>
            </c:strRef>
          </c:cat>
          <c:val>
            <c:numRef>
              <c:f>'Dashboard'!$F$32:$F$37</c:f>
              <c:numCache>
                <c:formatCode>#,##0;[Red](#,##0);"0"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barChart>
        <c:barDir val="col"/>
        <c:grouping val="clustered"/>
        <c:varyColors val="0"/>
        <c:ser>
          <c:idx val="0"/>
          <c:order val="0"/>
          <c:tx>
            <c:v>Active deals</c:v>
          </c:tx>
          <c:cat>
            <c:strRef>
              <c:f>'CRM insights'!$A$10:$A$15</c:f>
              <c:strCache>
                <c:ptCount val="0"/>
              </c:strCache>
            </c:strRef>
          </c:cat>
          <c:val>
            <c:numRef>
              <c:f>'CRM insights'!$D$10:$D$15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barChart>
        <c:barDir val="bar"/>
        <c:varyColors val="0"/>
        <c:ser>
          <c:idx val="0"/>
          <c:order val="0"/>
          <c:tx>
            <c:v>Lost enquiries</c:v>
          </c:tx>
          <c:cat>
            <c:strRef>
              <c:f>'CRM insights'!$H$10:$H$19</c:f>
              <c:strCache>
                <c:ptCount val="0"/>
              </c:strCache>
            </c:strRef>
          </c:cat>
          <c:val>
            <c:numRef>
              <c:f>'CRM insights'!$K$10:$K$19</c:f>
              <c:numCache>
                <c:formatCode>General</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29</xdr:row>
      <xdr:rowOff>0</xdr:rowOff>
    </xdr:from>
    <xdr:to>
      <xdr:col>17</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6fd169a1154d88"/>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38</xdr:row>
      <xdr:rowOff>0</xdr:rowOff>
    </xdr:from>
    <xdr:to>
      <xdr:col>7</xdr:col>
      <xdr:colOff>0</xdr:colOff>
      <xdr:row>55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12bc2122b34d27"/>
        </a:graphicData>
      </a:graphic>
    </xdr:graphicFrame>
    <xdr:clientData/>
  </xdr:twoCellAnchor>
  <xdr:twoCellAnchor>
    <xdr:from>
      <xdr:col>7</xdr:col>
      <xdr:colOff>0</xdr:colOff>
      <xdr:row>38</xdr:row>
      <xdr:rowOff>0</xdr:rowOff>
    </xdr:from>
    <xdr:to>
      <xdr:col>14</xdr:col>
      <xdr:colOff>0</xdr:colOff>
      <xdr:row>55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bdcd6c63c2431b"/>
        </a:graphicData>
      </a:graphic>
    </xdr:graphicFrame>
    <xdr:clientData/>
  </xdr:twoCellAnchor>
</xdr:wsDr>
</file>

<file path=xl/tables/table1.xml><?xml version="1.0" encoding="utf-8"?>
<x:table xmlns:x="http://schemas.openxmlformats.org/spreadsheetml/2006/main" id="9" name="DealsData" displayName="DealsData" ref="A5:AB205" headerRowCount="1" totalsRowCount="0" totalsRowShown="0">
  <x:autoFilter ref="A5:AB205"/>
  <x:tableColumns count="28">
    <x:tableColumn id="1" name="Deal&#10;ID"/>
    <x:tableColumn id="2" name="Client&#10;ID"/>
    <x:tableColumn id="3" name="Property&#10;ID"/>
    <x:tableColumn id="4" name="Sale /&#10;rental"/>
    <x:tableColumn id="5" name="Deal&#10;stage"/>
    <x:tableColumn id="6" name="Agreed value&#10;AED"/>
    <x:tableColumn id="7" name="Fee&#10;basis"/>
    <x:tableColumn id="8" name="Fee rate&#10;%"/>
    <x:tableColumn id="9" name="Fixed fee&#10;AED"/>
    <x:tableColumn id="10" name="Gross fee&#10;AED ex VAT"/>
    <x:tableColumn id="11" name="Partner&#10;share %"/>
    <x:tableColumn id="12" name="After partner&#10;AED"/>
    <x:tableColumn id="13" name="Your&#10;share %"/>
    <x:tableColumn id="14" name="Your expected fee&#10;AED"/>
    <x:tableColumn id="15" name="Earned&#10;date"/>
    <x:tableColumn id="16" name="Your earned fee&#10;AED"/>
    <x:tableColumn id="17" name="Payment&#10;due"/>
    <x:tableColumn id="18" name="Fee received&#10;AED ex VAT"/>
    <x:tableColumn id="19" name="Outstanding&#10;AED"/>
    <x:tableColumn id="20" name="Payment&#10;status"/>
    <x:tableColumn id="21" name="Document&#10;status"/>
    <x:tableColumn id="22" name="Documents&#10;URL"/>
    <x:tableColumn id="23" name="Notes"/>
    <x:tableColumn id="24" name="Opened&#10;date"/>
    <x:tableColumn id="25" name="Target close&#10;date"/>
    <x:tableColumn id="26" name="Closed&#10;date"/>
    <x:tableColumn id="27" name="Outcome&#10;reason"/>
    <x:tableColumn id="28" name="Record&#10;check"/>
  </x:tableColumns>
  <x:tableStyleInfo name="TableStyleLight1" showFirstColumn="0" showLastColumn="0" showRowStripes="1" showColumnStripes="0"/>
</x:table>
</file>

<file path=xl/tables/table2.xml><?xml version="1.0" encoding="utf-8"?>
<x:table xmlns:x="http://schemas.openxmlformats.org/spreadsheetml/2006/main" id="10" name="ClientsData" displayName="ClientsData" ref="A5:AA205" headerRowCount="1" totalsRowCount="0" totalsRowShown="0">
  <x:autoFilter ref="A5:AA205"/>
  <x:tableColumns count="27">
    <x:tableColumn id="1" name="Client&#10;ID"/>
    <x:tableColumn id="2" name="Full&#10;name"/>
    <x:tableColumn id="3" name="Phone"/>
    <x:tableColumn id="4" name="Email"/>
    <x:tableColumn id="5" name="Preferred&#10;language"/>
    <x:tableColumn id="6" name="Client&#10;type"/>
    <x:tableColumn id="7" name="Lead&#10;source"/>
    <x:tableColumn id="8" name="Lead&#10;stage"/>
    <x:tableColumn id="9" name="Buy /&#10;rent"/>
    <x:tableColumn id="10" name="Emirate"/>
    <x:tableColumn id="11" name="Preferred&#10;communities"/>
    <x:tableColumn id="12" name="Property&#10;type"/>
    <x:tableColumn id="13" name="Bedrooms"/>
    <x:tableColumn id="14" name="Minimum budget&#10;AED"/>
    <x:tableColumn id="15" name="Maximum budget&#10;AED"/>
    <x:tableColumn id="16" name="Payment&#10;method"/>
    <x:tableColumn id="17" name="Target&#10;date"/>
    <x:tableColumn id="18" name="Date&#10;added"/>
    <x:tableColumn id="19" name="Notes"/>
    <x:tableColumn id="20" name="Duplicate&#10;contact"/>
    <x:tableColumn id="21" name="Last contact&#10;auto"/>
    <x:tableColumn id="22" name="Next follow-up&#10;auto"/>
    <x:tableColumn id="23" name="Follow-up status&#10;auto"/>
    <x:tableColumn id="24" name="Priority"/>
    <x:tableColumn id="25" name="Lost&#10;reason"/>
    <x:tableColumn id="26" name="Campaign&#10;reference"/>
    <x:tableColumn id="27" name="Record&#10;check"/>
  </x:tableColumns>
  <x:tableStyleInfo name="TableStyleLight1" showFirstColumn="0" showLastColumn="0" showRowStripes="1" showColumnStripes="0"/>
</x:table>
</file>

<file path=xl/tables/table3.xml><?xml version="1.0" encoding="utf-8"?>
<x:table xmlns:x="http://schemas.openxmlformats.org/spreadsheetml/2006/main" id="11" name="ContactsData" displayName="ContactsData" ref="A5:H205" headerRowCount="1" totalsRowCount="0" totalsRowShown="0">
  <x:autoFilter ref="A5:H205"/>
  <x:tableColumns count="8">
    <x:tableColumn id="1" name="Contact&#10;ID"/>
    <x:tableColumn id="2" name="Full&#10;name"/>
    <x:tableColumn id="3" name="Contact&#10;type"/>
    <x:tableColumn id="4" name="Company"/>
    <x:tableColumn id="5" name="Phone"/>
    <x:tableColumn id="6" name="Email"/>
    <x:tableColumn id="7" name="Notes"/>
    <x:tableColumn id="8" name="Record&#10;check"/>
  </x:tableColumns>
  <x:tableStyleInfo name="TableStyleLight1" showFirstColumn="0" showLastColumn="0" showRowStripes="1" showColumnStripes="0"/>
</x:table>
</file>

<file path=xl/tables/table4.xml><?xml version="1.0" encoding="utf-8"?>
<x:table xmlns:x="http://schemas.openxmlformats.org/spreadsheetml/2006/main" id="12" name="PropertiesData" displayName="PropertiesData" ref="A5:AB205" headerRowCount="1" totalsRowCount="0" totalsRowShown="0">
  <x:autoFilter ref="A5:AB205"/>
  <x:tableColumns count="28">
    <x:tableColumn id="1" name="Property&#10;ID"/>
    <x:tableColumn id="2" name="Listing&#10;title"/>
    <x:tableColumn id="3" name="Contact&#10;ID"/>
    <x:tableColumn id="4" name="Sale /&#10;rental"/>
    <x:tableColumn id="5" name="Emirate"/>
    <x:tableColumn id="6" name="Community"/>
    <x:tableColumn id="7" name="Building /&#10;project"/>
    <x:tableColumn id="8" name="Unit&#10;reference"/>
    <x:tableColumn id="9" name="Property&#10;type"/>
    <x:tableColumn id="10" name="Bedrooms"/>
    <x:tableColumn id="11" name="Area&#10;sq ft"/>
    <x:tableColumn id="12" name="Price / annual rent&#10;AED"/>
    <x:tableColumn id="13" name="Listing&#10;status"/>
    <x:tableColumn id="14" name="Ready /&#10;off-plan"/>
    <x:tableColumn id="15" name="Furnishing"/>
    <x:tableColumn id="16" name="Available&#10;from"/>
    <x:tableColumn id="17" name="Rental&#10;cheques"/>
    <x:tableColumn id="18" name="Deposit&#10;AED"/>
    <x:tableColumn id="19" name="Last&#10;verified"/>
    <x:tableColumn id="20" name="Listing&#10;authorization"/>
    <x:tableColumn id="21" name="Permit&#10;reference"/>
    <x:tableColumn id="22" name="Permit&#10;expiry"/>
    <x:tableColumn id="23" name="Listing&#10;URL"/>
    <x:tableColumn id="24" name="Photos / documents&#10;URL"/>
    <x:tableColumn id="25" name="Notes"/>
    <x:tableColumn id="26" name="Availability&#10;review"/>
    <x:tableColumn id="27" name="Permit date&#10;alert"/>
    <x:tableColumn id="28" name="Record&#10;check"/>
  </x:tableColumns>
  <x:tableStyleInfo name="TableStyleLight1" showFirstColumn="0" showLastColumn="0" showRowStripes="1" showColumnStripes="0"/>
</x:table>
</file>

<file path=xl/tables/table5.xml><?xml version="1.0" encoding="utf-8"?>
<x:table xmlns:x="http://schemas.openxmlformats.org/spreadsheetml/2006/main" id="13" name="FollowupsData" displayName="FollowupsData" ref="A5:N205" headerRowCount="1" totalsRowCount="0" totalsRowShown="0">
  <x:autoFilter ref="A5:N205"/>
  <x:tableColumns count="14">
    <x:tableColumn id="1" name="Activity&#10;ID"/>
    <x:tableColumn id="2" name="Client&#10;ID"/>
    <x:tableColumn id="3" name="Property&#10;ID"/>
    <x:tableColumn id="4" name="Contact&#10;date"/>
    <x:tableColumn id="5" name="Channel"/>
    <x:tableColumn id="6" name="Outcome /&#10;notes"/>
    <x:tableColumn id="7" name="Next&#10;action"/>
    <x:tableColumn id="8" name="Due&#10;date"/>
    <x:tableColumn id="9" name="Task&#10;status"/>
    <x:tableColumn id="10" name="Due-date&#10;alert"/>
    <x:tableColumn id="11" name="Client name&#10;auto"/>
    <x:tableColumn id="12" name="Property title&#10;auto"/>
    <x:tableColumn id="13" name="Record&#10;check"/>
    <x:tableColumn id="14" name="Task order&#10;auto"/>
  </x:tableColumns>
  <x:tableStyleInfo name="TableStyleLight1" showFirstColumn="0" showLastColumn="0" showRowStripes="1" showColumnStripes="0"/>
</x:table>
</file>

<file path=xl/tables/table6.xml><?xml version="1.0" encoding="utf-8"?>
<x:table xmlns:x="http://schemas.openxmlformats.org/spreadsheetml/2006/main" id="14" name="ViewingsData" displayName="ViewingsData" ref="A5:J205" headerRowCount="1" totalsRowCount="0" totalsRowShown="0">
  <x:autoFilter ref="A5:J205"/>
  <x:tableColumns count="10">
    <x:tableColumn id="1" name="Viewing&#10;ID"/>
    <x:tableColumn id="2" name="Client&#10;ID"/>
    <x:tableColumn id="3" name="Property&#10;ID"/>
    <x:tableColumn id="4" name="Appointment&#10;date &amp; time"/>
    <x:tableColumn id="5" name="Viewing&#10;status"/>
    <x:tableColumn id="6" name="Client&#10;feedback"/>
    <x:tableColumn id="7" name="Next&#10;action"/>
    <x:tableColumn id="8" name="Client name&#10;auto"/>
    <x:tableColumn id="9" name="Property title&#10;auto"/>
    <x:tableColumn id="10" name="Record&#10;check"/>
  </x:tableColumns>
  <x:tableStyleInfo name="TableStyleLight1" showFirstColumn="0" showLastColumn="0" showRowStripes="1" showColumnStripes="0"/>
</x:table>
</file>

<file path=xl/tables/table7.xml><?xml version="1.0" encoding="utf-8"?>
<x:table xmlns:x="http://schemas.openxmlformats.org/spreadsheetml/2006/main" id="15" name="PaymentsData" displayName="PaymentsData" ref="A5:I205" headerRowCount="1" totalsRowCount="0" totalsRowShown="0">
  <x:autoFilter ref="A5:I205"/>
  <x:tableColumns count="9">
    <x:tableColumn id="1" name="Payment&#10;ID"/>
    <x:tableColumn id="2" name="Deal&#10;ID"/>
    <x:tableColumn id="3" name="Receipt&#10;date"/>
    <x:tableColumn id="4" name="Your fee received&#10;AED ex VAT"/>
    <x:tableColumn id="5" name="VAT received&#10;AED"/>
    <x:tableColumn id="6" name="Total received&#10;AED"/>
    <x:tableColumn id="7" name="Payment&#10;reference"/>
    <x:tableColumn id="8" name="Notes"/>
    <x:tableColumn id="9" name="Record&#10;check"/>
  </x:tableColumns>
  <x:tableStyleInfo name="TableStyleLight1" showFirstColumn="0" showLastColumn="0" showRowStripes="1" showColumnStripes="0"/>
</x:table>
</file>

<file path=xl/tables/table8.xml><?xml version="1.0" encoding="utf-8"?>
<x:table xmlns:x="http://schemas.openxmlformats.org/spreadsheetml/2006/main" id="16" name="ExpensesData" displayName="ExpensesData" ref="A5:J205" headerRowCount="1" totalsRowCount="0" totalsRowShown="0">
  <x:autoFilter ref="A5:J205"/>
  <x:tableColumns count="10">
    <x:tableColumn id="1" name="Expense&#10;ID"/>
    <x:tableColumn id="2" name="Date&#10;paid"/>
    <x:tableColumn id="3" name="Expense&#10;category"/>
    <x:tableColumn id="4" name="Platform /&#10;supplier"/>
    <x:tableColumn id="5" name="Campaign&#10;reference"/>
    <x:tableColumn id="6" name="Property&#10;ID"/>
    <x:tableColumn id="7" name="Amount paid&#10;AED"/>
    <x:tableColumn id="8" name="Receipt&#10;URL"/>
    <x:tableColumn id="9" name="Notes"/>
    <x:tableColumn id="10" name="Record&#10;check"/>
  </x:tableColumns>
  <x:tableStyleInfo name="TableStyleLight1" showFirstColumn="0" showLastColumn="0" showRowStripes="1" showColumnStripes="0"/>
</x:table>
</file>

<file path=xl/tables/table9.xml><?xml version="1.0" encoding="utf-8"?>
<x:table xmlns:x="http://schemas.openxmlformats.org/spreadsheetml/2006/main" id="17" name="ShortlistData" displayName="ShortlistData" ref="A5:J205" headerRowCount="1" totalsRowCount="0" totalsRowShown="0">
  <x:autoFilter ref="A5:J205"/>
  <x:tableColumns count="10">
    <x:tableColumn id="1" name="Match&#10;ID"/>
    <x:tableColumn id="2" name="Client&#10;ID"/>
    <x:tableColumn id="3" name="Property&#10;ID"/>
    <x:tableColumn id="4" name="Date&#10;sent"/>
    <x:tableColumn id="5" name="Client&#10;response"/>
    <x:tableColumn id="6" name="Next&#10;action"/>
    <x:tableColumn id="7" name="Notes"/>
    <x:tableColumn id="8" name="Client name&#10;auto"/>
    <x:tableColumn id="9" name="Property title&#10;auto"/>
    <x:tableColumn id="10" name="Record&#10;check"/>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a39c575496e43aa" /></Relationships>
</file>

<file path=xl/worksheets/_rels/sheet2.xml.rels>&#65279;<?xml version="1.0" encoding="utf-8"?><Relationships xmlns="http://schemas.openxmlformats.org/package/2006/relationships"><Relationship Type="http://schemas.openxmlformats.org/officeDocument/2006/relationships/table" Target="/xl/tables/table1.xml" Id="R0193faf013ab4913" /></Relationships>
</file>

<file path=xl/worksheets/_rels/sheet3.xml.rels>&#65279;<?xml version="1.0" encoding="utf-8"?><Relationships xmlns="http://schemas.openxmlformats.org/package/2006/relationships"><Relationship Type="http://schemas.openxmlformats.org/officeDocument/2006/relationships/table" Target="/xl/tables/table2.xml" Id="Re4455b2acfd34207" /></Relationships>
</file>

<file path=xl/worksheets/_rels/sheet4.xml.rels>&#65279;<?xml version="1.0" encoding="utf-8"?><Relationships xmlns="http://schemas.openxmlformats.org/package/2006/relationships"><Relationship Type="http://schemas.openxmlformats.org/officeDocument/2006/relationships/table" Target="/xl/tables/table3.xml" Id="Rb0e205ff433d4706" /></Relationships>
</file>

<file path=xl/worksheets/_rels/sheet5.xml.rels>&#65279;<?xml version="1.0" encoding="utf-8"?><Relationships xmlns="http://schemas.openxmlformats.org/package/2006/relationships"><Relationship Type="http://schemas.openxmlformats.org/officeDocument/2006/relationships/table" Target="/xl/tables/table4.xml" Id="Rd86072e4b8ac40e4" /></Relationships>
</file>

<file path=xl/worksheets/_rels/sheet6.xml.rels>&#65279;<?xml version="1.0" encoding="utf-8"?><Relationships xmlns="http://schemas.openxmlformats.org/package/2006/relationships"><Relationship Type="http://schemas.openxmlformats.org/officeDocument/2006/relationships/table" Target="/xl/tables/table5.xml" Id="R263a7e51627041bc" /></Relationships>
</file>

<file path=xl/worksheets/_rels/sheet7.xml.rels>&#65279;<?xml version="1.0" encoding="utf-8"?><Relationships xmlns="http://schemas.openxmlformats.org/package/2006/relationships"><Relationship Type="http://schemas.openxmlformats.org/officeDocument/2006/relationships/table" Target="/xl/tables/table6.xml" Id="Rfb9e641372c1486c" /></Relationships>
</file>

<file path=xl/worksheets/_rels/sheet8.xml.rels>&#65279;<?xml version="1.0" encoding="utf-8"?><Relationships xmlns="http://schemas.openxmlformats.org/package/2006/relationships"><Relationship Type="http://schemas.openxmlformats.org/officeDocument/2006/relationships/table" Target="/xl/tables/table7.xml" Id="Rc1ce84fe300f4ab2" /></Relationships>
</file>

<file path=xl/worksheets/_rels/sheet9.xml.rels>&#65279;<?xml version="1.0" encoding="utf-8"?><Relationships xmlns="http://schemas.openxmlformats.org/package/2006/relationships"><Relationship Type="http://schemas.openxmlformats.org/officeDocument/2006/relationships/table" Target="/xl/tables/table8.xml" Id="R89196310afcc49ab" /></Relationships>
</file>

<file path=xl/worksheets/_rels/sheet11.xml.rels>&#65279;<?xml version="1.0" encoding="utf-8"?><Relationships xmlns="http://schemas.openxmlformats.org/package/2006/relationships"><Relationship Type="http://schemas.openxmlformats.org/officeDocument/2006/relationships/table" Target="/xl/tables/table9.xml" Id="R2b82dbcb725743e0" /></Relationships>
</file>

<file path=xl/worksheets/_rels/sheet17.xml.rels>&#65279;<?xml version="1.0" encoding="utf-8"?><Relationships xmlns="http://schemas.openxmlformats.org/package/2006/relationships"><Relationship Type="http://schemas.openxmlformats.org/officeDocument/2006/relationships/drawing" Target="/xl/drawings/drawing2.xml" Id="R7a9cbbe3a3ab458c" /></Relationships>
</file>

<file path=xl/worksheets/sheet1.xml><?xml version="1.0" encoding="utf-8"?>
<x:worksheet xmlns:x="http://schemas.openxmlformats.org/spreadsheetml/2006/main">
  <x:sheetPr>
    <x:tabColor rgb="FF173044"/>
  </x:sheetPr>
  <x:sheetViews>
    <x:sheetView showGridLines="0" workbookViewId="0"/>
  </x:sheetViews>
  <x:sheetFormatPr defaultRowHeight="15"/>
  <x:cols>
    <x:col min="1" max="1" width="3" hidden="0" customWidth="1"/>
    <x:col min="2" max="2" width="9"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3" hidden="0" customWidth="1"/>
  </x:cols>
  <x:sheetData>
    <x:row r="1" ht="23" customHeight="1">
      <x:c r="A1" s="389"/>
      <x:c r="B1" s="389"/>
      <x:c r="C1" s="389"/>
      <x:c r="D1" s="389"/>
      <x:c r="E1" s="389"/>
      <x:c r="F1" s="389"/>
      <x:c r="G1" s="389"/>
      <x:c r="H1" s="389"/>
      <x:c r="I1" s="389"/>
      <x:c r="J1" s="389"/>
      <x:c r="K1" s="389"/>
      <x:c r="L1" s="389"/>
      <x:c r="M1" s="389"/>
      <x:c r="N1" s="389"/>
      <x:c r="O1" s="389"/>
      <x:c r="P1" s="389"/>
      <x:c r="Q1" s="389"/>
    </x:row>
    <x:row r="2" ht="20" customHeight="1">
      <x:c r="A2" s="389"/>
      <x:c r="B2" s="390" t="str">
        <x:v>KEYS WITH SIMONI</x:v>
      </x:c>
      <x:c r="C2" s="390"/>
      <x:c r="D2" s="390"/>
      <x:c r="E2" s="390"/>
      <x:c r="F2" s="390"/>
      <x:c r="G2" s="390"/>
      <x:c r="H2" s="390"/>
      <x:c r="I2" s="389"/>
      <x:c r="J2" s="389"/>
      <x:c r="K2" s="389"/>
      <x:c r="L2" s="389"/>
      <x:c r="M2" s="389"/>
      <x:c r="N2" s="389"/>
      <x:c r="O2" s="389"/>
      <x:c r="P2" s="389"/>
      <x:c r="Q2" s="389"/>
    </x:row>
    <x:row r="3" ht="37" customHeight="1">
      <x:c r="A3" s="389"/>
      <x:c r="B3" s="391" t="str">
        <x:v>Sales &amp; rentals dashboard</x:v>
      </x:c>
      <x:c r="C3" s="391"/>
      <x:c r="D3" s="391"/>
      <x:c r="E3" s="391"/>
      <x:c r="F3" s="391"/>
      <x:c r="G3" s="391"/>
      <x:c r="H3" s="391"/>
      <x:c r="I3" s="391"/>
      <x:c r="J3" s="391"/>
      <x:c r="K3" s="391"/>
      <x:c r="L3" s="394" t="n">
        <x:f>TODAY()</x:f>
        <x:v>46303</x:v>
      </x:c>
      <x:c r="M3" s="394"/>
      <x:c r="N3" s="394"/>
      <x:c r="O3" s="394"/>
      <x:c r="P3" s="394"/>
      <x:c r="Q3" s="389"/>
    </x:row>
    <x:row r="4" ht="23" customHeight="1">
      <x:c r="A4" s="389"/>
      <x:c r="B4" s="395" t="str">
        <x:v>Current workload and monthly results. All amounts in AED.</x:v>
      </x:c>
      <x:c r="C4" s="395"/>
      <x:c r="D4" s="395"/>
      <x:c r="E4" s="395"/>
      <x:c r="F4" s="395"/>
      <x:c r="G4" s="395"/>
      <x:c r="H4" s="395"/>
      <x:c r="I4" s="395"/>
      <x:c r="J4" s="395"/>
      <x:c r="K4" s="397" t="str">
        <x:v>Reporting month</x:v>
      </x:c>
      <x:c r="L4" s="397"/>
      <x:c r="M4" s="397"/>
      <x:c r="N4" s="402" t="n">
        <x:v>46266</x:v>
      </x:c>
      <x:c r="O4" s="402"/>
      <x:c r="P4" s="402"/>
      <x:c r="Q4" s="389"/>
    </x:row>
    <x:row r="5" ht="25" customHeight="1">
      <x:c r="A5" s="389"/>
      <x:c r="B5" s="484" t="str">
        <x:v>WORKSPACE TABS   Client desk: find &amp; match  |  Date search: filter by dates  |  Performance: targets &amp; sources</x:v>
      </x:c>
      <x:c r="C5" s="484"/>
      <x:c r="D5" s="484"/>
      <x:c r="E5" s="484"/>
      <x:c r="F5" s="484"/>
      <x:c r="G5" s="484"/>
      <x:c r="H5" s="484"/>
      <x:c r="I5" s="484"/>
      <x:c r="J5" s="484"/>
      <x:c r="K5" s="484"/>
      <x:c r="L5" s="484"/>
      <x:c r="M5" s="484"/>
      <x:c r="N5" s="484"/>
      <x:c r="O5" s="484"/>
      <x:c r="P5" s="484"/>
      <x:c r="Q5" s="389"/>
    </x:row>
    <x:row r="6" ht="23" customHeight="1">
      <x:c r="A6" s="389"/>
      <x:c r="B6" s="405" t="str">
        <x:v>ACTIVE LEADS</x:v>
      </x:c>
      <x:c r="C6" s="405"/>
      <x:c r="D6" s="405"/>
      <x:c r="E6" s="389"/>
      <x:c r="F6" s="405" t="str">
        <x:v>TASKS DUE</x:v>
      </x:c>
      <x:c r="G6" s="405"/>
      <x:c r="H6" s="405"/>
      <x:c r="I6" s="389"/>
      <x:c r="J6" s="405" t="str">
        <x:v>FEE RECEIPTS</x:v>
      </x:c>
      <x:c r="K6" s="405"/>
      <x:c r="L6" s="405"/>
      <x:c r="M6" s="389"/>
      <x:c r="N6" s="405" t="str">
        <x:v>OUTSTANDING</x:v>
      </x:c>
      <x:c r="O6" s="405"/>
      <x:c r="P6" s="405"/>
      <x:c r="Q6" s="389"/>
    </x:row>
    <x:row r="7" ht="23" customHeight="1">
      <x:c r="A7" s="389"/>
      <x:c r="B7" s="408" t="n">
        <x:f>COUNTIFS('Clients'!$A$6:$A$205,"&lt;&gt;",'Clients'!$H$6:$H$205,"&lt;&gt;Converted",'Clients'!$H$6:$H$205,"&lt;&gt;Lost",'Clients'!$H$6:$H$205,"&lt;&gt;On Hold")</x:f>
        <x:v>0</x:v>
      </x:c>
      <x:c r="C7" s="408"/>
      <x:c r="D7" s="408"/>
      <x:c r="E7" s="389"/>
      <x:c r="F7" s="408" t="n">
        <x:f>COUNTIFS('Follow-ups'!$J$6:$J$205,"Overdue")+COUNTIFS('Follow-ups'!$J$6:$J$205,"Due today")</x:f>
        <x:v>0</x:v>
      </x:c>
      <x:c r="G7" s="408"/>
      <x:c r="H7" s="408"/>
      <x:c r="I7" s="389"/>
      <x:c r="J7" s="408" t="n">
        <x:f>SUMIFS('Payments'!$D$6:$D$205,'Payments'!$C$6:$C$205,"&gt;="&amp;DATE(YEAR($N$4),MONTH($N$4),1),'Payments'!$C$6:$C$205,"&lt;"&amp;DATE(YEAR($N$4),MONTH($N$4)+1,1))</x:f>
        <x:v>0</x:v>
      </x:c>
      <x:c r="K7" s="408"/>
      <x:c r="L7" s="408"/>
      <x:c r="M7" s="389"/>
      <x:c r="N7" s="408" t="n">
        <x:f>SUMIFS('Deals'!$S$6:$S$205,'Deals'!$S$6:$S$205,"&gt;0")</x:f>
        <x:v>0</x:v>
      </x:c>
      <x:c r="O7" s="408"/>
      <x:c r="P7" s="408"/>
      <x:c r="Q7" s="389"/>
    </x:row>
    <x:row r="8" ht="23" customHeight="1">
      <x:c r="A8" s="389"/>
      <x:c r="B8" s="408"/>
      <x:c r="C8" s="408"/>
      <x:c r="D8" s="408"/>
      <x:c r="E8" s="389"/>
      <x:c r="F8" s="408"/>
      <x:c r="G8" s="408"/>
      <x:c r="H8" s="408"/>
      <x:c r="I8" s="389"/>
      <x:c r="J8" s="408"/>
      <x:c r="K8" s="408"/>
      <x:c r="L8" s="408"/>
      <x:c r="M8" s="389"/>
      <x:c r="N8" s="408"/>
      <x:c r="O8" s="408"/>
      <x:c r="P8" s="408"/>
      <x:c r="Q8" s="389"/>
    </x:row>
    <x:row r="9" ht="23" customHeight="1">
      <x:c r="A9" s="389"/>
      <x:c r="B9" s="408"/>
      <x:c r="C9" s="408"/>
      <x:c r="D9" s="408"/>
      <x:c r="E9" s="389"/>
      <x:c r="F9" s="408"/>
      <x:c r="G9" s="408"/>
      <x:c r="H9" s="408"/>
      <x:c r="I9" s="389"/>
      <x:c r="J9" s="408"/>
      <x:c r="K9" s="408"/>
      <x:c r="L9" s="408"/>
      <x:c r="M9" s="389"/>
      <x:c r="N9" s="408"/>
      <x:c r="O9" s="408"/>
      <x:c r="P9" s="408"/>
      <x:c r="Q9" s="389"/>
    </x:row>
    <x:row r="10" ht="23" customHeight="1">
      <x:c r="A10" s="389"/>
      <x:c r="B10" s="409" t="str">
        <x:v>Excludes closed and on hold</x:v>
      </x:c>
      <x:c r="C10" s="409"/>
      <x:c r="D10" s="409"/>
      <x:c r="E10" s="389"/>
      <x:c r="F10" s="409" t="str">
        <x:v>Today and overdue</x:v>
      </x:c>
      <x:c r="G10" s="409"/>
      <x:c r="H10" s="409"/>
      <x:c r="I10" s="389"/>
      <x:c r="J10" s="409" t="str">
        <x:v>Selected month. Excludes VAT.</x:v>
      </x:c>
      <x:c r="K10" s="409"/>
      <x:c r="L10" s="409"/>
      <x:c r="M10" s="389"/>
      <x:c r="N10" s="409" t="str">
        <x:v>Earned fees still unpaid</x:v>
      </x:c>
      <x:c r="O10" s="409"/>
      <x:c r="P10" s="409"/>
      <x:c r="Q10" s="389"/>
    </x:row>
    <x:row r="11" ht="23" customHeight="1">
      <x:c r="A11" s="389"/>
      <x:c r="B11" s="389"/>
      <x:c r="C11" s="389"/>
      <x:c r="D11" s="389"/>
      <x:c r="E11" s="389"/>
      <x:c r="F11" s="389"/>
      <x:c r="G11" s="389"/>
      <x:c r="H11" s="389"/>
      <x:c r="I11" s="389"/>
      <x:c r="J11" s="389"/>
      <x:c r="K11" s="389"/>
      <x:c r="L11" s="389"/>
      <x:c r="M11" s="389"/>
      <x:c r="N11" s="389"/>
      <x:c r="O11" s="389"/>
      <x:c r="P11" s="389"/>
      <x:c r="Q11" s="389"/>
    </x:row>
    <x:row r="12" ht="28" customHeight="1">
      <x:c r="A12" s="389"/>
      <x:c r="B12" s="411" t="str">
        <x:v>Today’s priorities</x:v>
      </x:c>
      <x:c r="C12" s="411"/>
      <x:c r="D12" s="411"/>
      <x:c r="E12" s="411"/>
      <x:c r="F12" s="411"/>
      <x:c r="G12" s="411"/>
      <x:c r="H12" s="411"/>
      <x:c r="I12" s="389"/>
      <x:c r="J12" s="411" t="str">
        <x:v>Selected-month performance</x:v>
      </x:c>
      <x:c r="K12" s="411"/>
      <x:c r="L12" s="411"/>
      <x:c r="M12" s="411"/>
      <x:c r="N12" s="411"/>
      <x:c r="O12" s="411"/>
      <x:c r="P12" s="411"/>
      <x:c r="Q12" s="389"/>
    </x:row>
    <x:row r="13" ht="23" customHeight="1">
      <x:c r="A13" s="389"/>
      <x:c r="B13" s="403" t="str">
        <x:v>Overdue follow-ups</x:v>
      </x:c>
      <x:c r="C13" s="403"/>
      <x:c r="D13" s="403"/>
      <x:c r="E13" s="403"/>
      <x:c r="F13" s="403"/>
      <x:c r="G13" s="403"/>
      <x:c r="H13" s="415" t="n">
        <x:f>COUNTIFS('Follow-ups'!$J$6:$J$205,"Overdue")</x:f>
        <x:v>0</x:v>
      </x:c>
      <x:c r="I13" s="389"/>
      <x:c r="J13" s="403" t="str">
        <x:v>New enquiries</x:v>
      </x:c>
      <x:c r="K13" s="403"/>
      <x:c r="L13" s="403"/>
      <x:c r="M13" s="403"/>
      <x:c r="N13" s="416" t="n">
        <x:f>COUNTIFS('Clients'!$A$6:$A$205,"&lt;&gt;",'Clients'!$R$6:$R$205,"&gt;="&amp;DATE(YEAR($N$4),MONTH($N$4),1),'Clients'!$R$6:$R$205,"&lt;"&amp;DATE(YEAR($N$4),MONTH($N$4)+1,1))</x:f>
        <x:v>0</x:v>
      </x:c>
      <x:c r="O13" s="416"/>
      <x:c r="P13" s="416"/>
      <x:c r="Q13" s="389"/>
    </x:row>
    <x:row r="14" ht="23" customHeight="1">
      <x:c r="A14" s="389"/>
      <x:c r="B14" s="389" t="str">
        <x:v>Clients without a next task</x:v>
      </x:c>
      <x:c r="C14" s="389"/>
      <x:c r="D14" s="389"/>
      <x:c r="E14" s="389"/>
      <x:c r="F14" s="389"/>
      <x:c r="G14" s="389"/>
      <x:c r="H14" s="412" t="n">
        <x:f>COUNTIFS('Clients'!$W$6:$W$205,"No open task")</x:f>
        <x:v>0</x:v>
      </x:c>
      <x:c r="I14" s="389"/>
      <x:c r="J14" s="389" t="str">
        <x:v>Completed sales</x:v>
      </x:c>
      <x:c r="K14" s="389"/>
      <x:c r="L14" s="389"/>
      <x:c r="M14" s="389"/>
      <x:c r="N14" s="414" t="n">
        <x:f>COUNTIFS('Deals'!$E$6:$E$205,"Completed",'Deals'!$D$6:$D$205,"Sale",'Deals'!$Z$6:$Z$205,"&gt;="&amp;DATE(YEAR($N$4),MONTH($N$4),1),'Deals'!$Z$6:$Z$205,"&lt;"&amp;DATE(YEAR($N$4),MONTH($N$4)+1,1))</x:f>
        <x:v>0</x:v>
      </x:c>
      <x:c r="O14" s="414"/>
      <x:c r="P14" s="414"/>
      <x:c r="Q14" s="389"/>
    </x:row>
    <x:row r="15" ht="23" customHeight="1">
      <x:c r="A15" s="389"/>
      <x:c r="B15" s="403" t="str">
        <x:v>Viewings in the next 7 days</x:v>
      </x:c>
      <x:c r="C15" s="403"/>
      <x:c r="D15" s="403"/>
      <x:c r="E15" s="403"/>
      <x:c r="F15" s="403"/>
      <x:c r="G15" s="403"/>
      <x:c r="H15" s="415" t="n">
        <x:f>COUNTIFS('Viewings'!$D$6:$D$205,"&gt;="&amp;TODAY(),'Viewings'!$D$6:$D$205,"&lt;"&amp;TODAY()+7,'Viewings'!$E$6:$E$205,"Scheduled")+COUNTIFS('Viewings'!$D$6:$D$205,"&gt;="&amp;TODAY(),'Viewings'!$D$6:$D$205,"&lt;"&amp;TODAY()+7,'Viewings'!$E$6:$E$205,"Confirmed")</x:f>
        <x:v>0</x:v>
      </x:c>
      <x:c r="I15" s="389"/>
      <x:c r="J15" s="403" t="str">
        <x:v>Completed rentals</x:v>
      </x:c>
      <x:c r="K15" s="403"/>
      <x:c r="L15" s="403"/>
      <x:c r="M15" s="403"/>
      <x:c r="N15" s="416" t="n">
        <x:f>COUNTIFS('Deals'!$E$6:$E$205,"Completed",'Deals'!$D$6:$D$205,"Rental",'Deals'!$Z$6:$Z$205,"&gt;="&amp;DATE(YEAR($N$4),MONTH($N$4),1),'Deals'!$Z$6:$Z$205,"&lt;"&amp;DATE(YEAR($N$4),MONTH($N$4)+1,1))</x:f>
        <x:v>0</x:v>
      </x:c>
      <x:c r="O15" s="416"/>
      <x:c r="P15" s="416"/>
      <x:c r="Q15" s="389"/>
    </x:row>
    <x:row r="16" ht="23" customHeight="1">
      <x:c r="A16" s="389"/>
      <x:c r="B16" s="389" t="str">
        <x:v>Listings needing verification</x:v>
      </x:c>
      <x:c r="C16" s="389"/>
      <x:c r="D16" s="389"/>
      <x:c r="E16" s="389"/>
      <x:c r="F16" s="389"/>
      <x:c r="G16" s="389"/>
      <x:c r="H16" s="412" t="n">
        <x:f>COUNTIFS('Properties'!$Z$6:$Z$205,"Recheck listing")+COUNTIFS('Properties'!$Z$6:$Z$205,"Verify availability")</x:f>
        <x:v>0</x:v>
      </x:c>
      <x:c r="I16" s="389"/>
      <x:c r="J16" s="389" t="str">
        <x:v>Your earned fees</x:v>
      </x:c>
      <x:c r="K16" s="389"/>
      <x:c r="L16" s="389"/>
      <x:c r="M16" s="389"/>
      <x:c r="N16" s="414" t="n">
        <x:f>SUMIFS('Deals'!$P$6:$P$205,'Deals'!$O$6:$O$205,"&gt;="&amp;DATE(YEAR($N$4),MONTH($N$4),1),'Deals'!$O$6:$O$205,"&lt;"&amp;DATE(YEAR($N$4),MONTH($N$4)+1,1))</x:f>
        <x:v>0</x:v>
      </x:c>
      <x:c r="O16" s="414"/>
      <x:c r="P16" s="414"/>
      <x:c r="Q16" s="389"/>
    </x:row>
    <x:row r="17" ht="23" customHeight="1">
      <x:c r="A17" s="389"/>
      <x:c r="B17" s="403" t="str">
        <x:v>Expired / expiring permits</x:v>
      </x:c>
      <x:c r="C17" s="403"/>
      <x:c r="D17" s="403"/>
      <x:c r="E17" s="403"/>
      <x:c r="F17" s="403"/>
      <x:c r="G17" s="403"/>
      <x:c r="H17" s="415" t="n">
        <x:f>COUNTIFS('Properties'!$AA$6:$AA$205,"Expired")+COUNTIFS('Properties'!$AA$6:$AA$205,"Expires within 30 days")</x:f>
        <x:v>0</x:v>
      </x:c>
      <x:c r="I17" s="389"/>
      <x:c r="J17" s="403" t="str">
        <x:v>Expenses paid</x:v>
      </x:c>
      <x:c r="K17" s="403"/>
      <x:c r="L17" s="403"/>
      <x:c r="M17" s="403"/>
      <x:c r="N17" s="416" t="n">
        <x:f>SUMIFS('Expenses'!$G$6:$G$205,'Expenses'!$B$6:$B$205,"&gt;="&amp;DATE(YEAR($N$4),MONTH($N$4),1),'Expenses'!$B$6:$B$205,"&lt;"&amp;DATE(YEAR($N$4),MONTH($N$4)+1,1))</x:f>
        <x:v>0</x:v>
      </x:c>
      <x:c r="O17" s="416"/>
      <x:c r="P17" s="416"/>
      <x:c r="Q17" s="389"/>
    </x:row>
    <x:row r="18" ht="23" customHeight="1">
      <x:c r="A18" s="389"/>
      <x:c r="B18" s="389" t="str">
        <x:v>Overdue fee payments</x:v>
      </x:c>
      <x:c r="C18" s="389"/>
      <x:c r="D18" s="389"/>
      <x:c r="E18" s="389"/>
      <x:c r="F18" s="389"/>
      <x:c r="G18" s="389"/>
      <x:c r="H18" s="412" t="n">
        <x:f>COUNTIFS('Deals'!$T$6:$T$205,"Overdue")</x:f>
        <x:v>0</x:v>
      </x:c>
      <x:c r="I18" s="389"/>
      <x:c r="J18" s="417" t="str">
        <x:v>Fee receipts less expenses</x:v>
      </x:c>
      <x:c r="K18" s="417"/>
      <x:c r="L18" s="417"/>
      <x:c r="M18" s="417"/>
      <x:c r="N18" s="418" t="n">
        <x:f>J7-N17</x:f>
        <x:v>0</x:v>
      </x:c>
      <x:c r="O18" s="418"/>
      <x:c r="P18" s="418"/>
      <x:c r="Q18" s="389"/>
    </x:row>
    <x:row r="19" ht="23" customHeight="1">
      <x:c r="A19" s="389"/>
      <x:c r="B19" s="403" t="str">
        <x:v>Available sales / rental listings</x:v>
      </x:c>
      <x:c r="C19" s="403"/>
      <x:c r="D19" s="403"/>
      <x:c r="E19" s="403"/>
      <x:c r="F19" s="403"/>
      <x:c r="G19" s="403"/>
      <x:c r="H19" s="415" t="n">
        <x:f>COUNTIFS('Properties'!$M$6:$M$205,"Available")</x:f>
        <x:v>0</x:v>
      </x:c>
      <x:c r="I19" s="389"/>
      <x:c r="J19" s="403" t="str">
        <x:v>VAT received separately</x:v>
      </x:c>
      <x:c r="K19" s="403"/>
      <x:c r="L19" s="403"/>
      <x:c r="M19" s="403"/>
      <x:c r="N19" s="416" t="n">
        <x:f>SUMIFS('Payments'!$E$6:$E$205,'Payments'!$C$6:$C$205,"&gt;="&amp;DATE(YEAR($N$4),MONTH($N$4),1),'Payments'!$C$6:$C$205,"&lt;"&amp;DATE(YEAR($N$4),MONTH($N$4)+1,1))</x:f>
        <x:v>0</x:v>
      </x:c>
      <x:c r="O19" s="416"/>
      <x:c r="P19" s="416"/>
      <x:c r="Q19" s="389"/>
    </x:row>
    <x:row r="20" ht="23" customHeight="1">
      <x:c r="A20" s="389"/>
      <x:c r="B20" s="396" t="str">
        <x:v>Open pipeline fees (AED)</x:v>
      </x:c>
      <x:c r="C20" s="396"/>
      <x:c r="D20" s="396"/>
      <x:c r="E20" s="396"/>
      <x:c r="F20" s="396"/>
      <x:c r="G20" s="420" t="n">
        <x:f>SUMIFS('Deals'!$N$6:$N$205,'Deals'!$A$6:$A$205,"&lt;&gt;",'Deals'!$E$6:$E$205,"&lt;&gt;Completed",'Deals'!$E$6:$E$205,"&lt;&gt;Cancelled")</x:f>
        <x:v>0</x:v>
      </x:c>
      <x:c r="H20" s="420"/>
      <x:c r="I20" s="389"/>
      <x:c r="J20" s="389"/>
      <x:c r="K20" s="389"/>
      <x:c r="L20" s="389"/>
      <x:c r="M20" s="389"/>
      <x:c r="N20" s="389"/>
      <x:c r="O20" s="389"/>
      <x:c r="P20" s="389"/>
      <x:c r="Q20" s="389"/>
    </x:row>
    <x:row r="21" ht="28" customHeight="1">
      <x:c r="A21" s="389"/>
      <x:c r="B21" s="411" t="str">
        <x:v>Next five follow-ups</x:v>
      </x:c>
      <x:c r="C21" s="411"/>
      <x:c r="D21" s="411"/>
      <x:c r="E21" s="411"/>
      <x:c r="F21" s="411"/>
      <x:c r="G21" s="411"/>
      <x:c r="H21" s="411"/>
      <x:c r="I21" s="411"/>
      <x:c r="J21" s="411"/>
      <x:c r="K21" s="411"/>
      <x:c r="L21" s="411"/>
      <x:c r="M21" s="411"/>
      <x:c r="N21" s="411"/>
      <x:c r="O21" s="411"/>
      <x:c r="P21" s="411"/>
      <x:c r="Q21" s="389"/>
    </x:row>
    <x:row r="22" ht="27" customHeight="1">
      <x:c r="A22" s="389"/>
      <x:c r="B22" s="422" t="str">
        <x:v>Due date</x:v>
      </x:c>
      <x:c r="C22" s="422"/>
      <x:c r="D22" s="422" t="str">
        <x:v>Client</x:v>
      </x:c>
      <x:c r="E22" s="422"/>
      <x:c r="F22" s="422"/>
      <x:c r="G22" s="422"/>
      <x:c r="H22" s="422" t="str">
        <x:v>Next action</x:v>
      </x:c>
      <x:c r="I22" s="422"/>
      <x:c r="J22" s="422"/>
      <x:c r="K22" s="422"/>
      <x:c r="L22" s="422"/>
      <x:c r="M22" s="422"/>
      <x:c r="N22" s="422" t="str">
        <x:v>Status</x:v>
      </x:c>
      <x:c r="O22" s="422"/>
      <x:c r="P22" s="422"/>
      <x:c r="Q22" s="389"/>
    </x:row>
    <x:row r="23" ht="34" customHeight="1">
      <x:c r="A23" s="389"/>
      <x:c r="B23" s="424" t="str">
        <x:f>IF(COUNT('Follow-ups'!$N$6:$N$205)&lt;1,"",IF(INDEX('Follow-ups'!$H$6:$H$205,MATCH(1,'Follow-ups'!$N$6:$N$205,0))="","",INDEX('Follow-ups'!$H$6:$H$205,MATCH(1,'Follow-ups'!$N$6:$N$205,0))))</x:f>
      </x:c>
      <x:c r="C23" s="424"/>
      <x:c r="D23" s="423" t="str">
        <x:f>IF(COUNT('Follow-ups'!$N$6:$N$205)&lt;1,"",IF(INDEX('Follow-ups'!$K$6:$K$205,MATCH(1,'Follow-ups'!$N$6:$N$205,0))="","",INDEX('Follow-ups'!$K$6:$K$205,MATCH(1,'Follow-ups'!$N$6:$N$205,0))))</x:f>
      </x:c>
      <x:c r="E23" s="423"/>
      <x:c r="F23" s="423"/>
      <x:c r="G23" s="423"/>
      <x:c r="H23" s="423" t="str">
        <x:f>IF(COUNT('Follow-ups'!$N$6:$N$205)&lt;1,"No open tasks with a due date",IF(INDEX('Follow-ups'!$G$6:$G$205,MATCH(1,'Follow-ups'!$N$6:$N$205,0))="","",INDEX('Follow-ups'!$G$6:$G$205,MATCH(1,'Follow-ups'!$N$6:$N$205,0))))</x:f>
        <x:v>No open tasks with a due date</x:v>
      </x:c>
      <x:c r="I23" s="423"/>
      <x:c r="J23" s="423"/>
      <x:c r="K23" s="423"/>
      <x:c r="L23" s="423"/>
      <x:c r="M23" s="423"/>
      <x:c r="N23" s="423" t="str">
        <x:f>IF(COUNT('Follow-ups'!$N$6:$N$205)&lt;1,"",IF(INDEX('Follow-ups'!$J$6:$J$205,MATCH(1,'Follow-ups'!$N$6:$N$205,0))="","",INDEX('Follow-ups'!$J$6:$J$205,MATCH(1,'Follow-ups'!$N$6:$N$205,0))))</x:f>
      </x:c>
      <x:c r="O23" s="423"/>
      <x:c r="P23" s="423"/>
      <x:c r="Q23" s="389"/>
    </x:row>
    <x:row r="24" ht="34" customHeight="1">
      <x:c r="A24" s="389"/>
      <x:c r="B24" s="426" t="str">
        <x:f>IF(COUNT('Follow-ups'!$N$6:$N$205)&lt;2,"",IF(INDEX('Follow-ups'!$H$6:$H$205,MATCH(2,'Follow-ups'!$N$6:$N$205,0))="","",INDEX('Follow-ups'!$H$6:$H$205,MATCH(2,'Follow-ups'!$N$6:$N$205,0))))</x:f>
      </x:c>
      <x:c r="C24" s="426"/>
      <x:c r="D24" s="425" t="str">
        <x:f>IF(COUNT('Follow-ups'!$N$6:$N$205)&lt;2,"",IF(INDEX('Follow-ups'!$K$6:$K$205,MATCH(2,'Follow-ups'!$N$6:$N$205,0))="","",INDEX('Follow-ups'!$K$6:$K$205,MATCH(2,'Follow-ups'!$N$6:$N$205,0))))</x:f>
      </x:c>
      <x:c r="E24" s="425"/>
      <x:c r="F24" s="425"/>
      <x:c r="G24" s="425"/>
      <x:c r="H24" s="425" t="str">
        <x:f>IF(COUNT('Follow-ups'!$N$6:$N$205)&lt;2,"",IF(INDEX('Follow-ups'!$G$6:$G$205,MATCH(2,'Follow-ups'!$N$6:$N$205,0))="","",INDEX('Follow-ups'!$G$6:$G$205,MATCH(2,'Follow-ups'!$N$6:$N$205,0))))</x:f>
      </x:c>
      <x:c r="I24" s="425"/>
      <x:c r="J24" s="425"/>
      <x:c r="K24" s="425"/>
      <x:c r="L24" s="425"/>
      <x:c r="M24" s="425"/>
      <x:c r="N24" s="425" t="str">
        <x:f>IF(COUNT('Follow-ups'!$N$6:$N$205)&lt;2,"",IF(INDEX('Follow-ups'!$J$6:$J$205,MATCH(2,'Follow-ups'!$N$6:$N$205,0))="","",INDEX('Follow-ups'!$J$6:$J$205,MATCH(2,'Follow-ups'!$N$6:$N$205,0))))</x:f>
      </x:c>
      <x:c r="O24" s="425"/>
      <x:c r="P24" s="425"/>
      <x:c r="Q24" s="389"/>
    </x:row>
    <x:row r="25" ht="34" customHeight="1">
      <x:c r="A25" s="389"/>
      <x:c r="B25" s="424" t="str">
        <x:f>IF(COUNT('Follow-ups'!$N$6:$N$205)&lt;3,"",IF(INDEX('Follow-ups'!$H$6:$H$205,MATCH(3,'Follow-ups'!$N$6:$N$205,0))="","",INDEX('Follow-ups'!$H$6:$H$205,MATCH(3,'Follow-ups'!$N$6:$N$205,0))))</x:f>
      </x:c>
      <x:c r="C25" s="424"/>
      <x:c r="D25" s="423" t="str">
        <x:f>IF(COUNT('Follow-ups'!$N$6:$N$205)&lt;3,"",IF(INDEX('Follow-ups'!$K$6:$K$205,MATCH(3,'Follow-ups'!$N$6:$N$205,0))="","",INDEX('Follow-ups'!$K$6:$K$205,MATCH(3,'Follow-ups'!$N$6:$N$205,0))))</x:f>
      </x:c>
      <x:c r="E25" s="423"/>
      <x:c r="F25" s="423"/>
      <x:c r="G25" s="423"/>
      <x:c r="H25" s="423" t="str">
        <x:f>IF(COUNT('Follow-ups'!$N$6:$N$205)&lt;3,"",IF(INDEX('Follow-ups'!$G$6:$G$205,MATCH(3,'Follow-ups'!$N$6:$N$205,0))="","",INDEX('Follow-ups'!$G$6:$G$205,MATCH(3,'Follow-ups'!$N$6:$N$205,0))))</x:f>
      </x:c>
      <x:c r="I25" s="423"/>
      <x:c r="J25" s="423"/>
      <x:c r="K25" s="423"/>
      <x:c r="L25" s="423"/>
      <x:c r="M25" s="423"/>
      <x:c r="N25" s="423" t="str">
        <x:f>IF(COUNT('Follow-ups'!$N$6:$N$205)&lt;3,"",IF(INDEX('Follow-ups'!$J$6:$J$205,MATCH(3,'Follow-ups'!$N$6:$N$205,0))="","",INDEX('Follow-ups'!$J$6:$J$205,MATCH(3,'Follow-ups'!$N$6:$N$205,0))))</x:f>
      </x:c>
      <x:c r="O25" s="423"/>
      <x:c r="P25" s="423"/>
      <x:c r="Q25" s="389"/>
    </x:row>
    <x:row r="26" ht="34" customHeight="1">
      <x:c r="A26" s="389"/>
      <x:c r="B26" s="426" t="str">
        <x:f>IF(COUNT('Follow-ups'!$N$6:$N$205)&lt;4,"",IF(INDEX('Follow-ups'!$H$6:$H$205,MATCH(4,'Follow-ups'!$N$6:$N$205,0))="","",INDEX('Follow-ups'!$H$6:$H$205,MATCH(4,'Follow-ups'!$N$6:$N$205,0))))</x:f>
      </x:c>
      <x:c r="C26" s="426"/>
      <x:c r="D26" s="425" t="str">
        <x:f>IF(COUNT('Follow-ups'!$N$6:$N$205)&lt;4,"",IF(INDEX('Follow-ups'!$K$6:$K$205,MATCH(4,'Follow-ups'!$N$6:$N$205,0))="","",INDEX('Follow-ups'!$K$6:$K$205,MATCH(4,'Follow-ups'!$N$6:$N$205,0))))</x:f>
      </x:c>
      <x:c r="E26" s="425"/>
      <x:c r="F26" s="425"/>
      <x:c r="G26" s="425"/>
      <x:c r="H26" s="425" t="str">
        <x:f>IF(COUNT('Follow-ups'!$N$6:$N$205)&lt;4,"",IF(INDEX('Follow-ups'!$G$6:$G$205,MATCH(4,'Follow-ups'!$N$6:$N$205,0))="","",INDEX('Follow-ups'!$G$6:$G$205,MATCH(4,'Follow-ups'!$N$6:$N$205,0))))</x:f>
      </x:c>
      <x:c r="I26" s="425"/>
      <x:c r="J26" s="425"/>
      <x:c r="K26" s="425"/>
      <x:c r="L26" s="425"/>
      <x:c r="M26" s="425"/>
      <x:c r="N26" s="425" t="str">
        <x:f>IF(COUNT('Follow-ups'!$N$6:$N$205)&lt;4,"",IF(INDEX('Follow-ups'!$J$6:$J$205,MATCH(4,'Follow-ups'!$N$6:$N$205,0))="","",INDEX('Follow-ups'!$J$6:$J$205,MATCH(4,'Follow-ups'!$N$6:$N$205,0))))</x:f>
      </x:c>
      <x:c r="O26" s="425"/>
      <x:c r="P26" s="425"/>
      <x:c r="Q26" s="389"/>
    </x:row>
    <x:row r="27" ht="34" customHeight="1">
      <x:c r="A27" s="389"/>
      <x:c r="B27" s="424" t="str">
        <x:f>IF(COUNT('Follow-ups'!$N$6:$N$205)&lt;5,"",IF(INDEX('Follow-ups'!$H$6:$H$205,MATCH(5,'Follow-ups'!$N$6:$N$205,0))="","",INDEX('Follow-ups'!$H$6:$H$205,MATCH(5,'Follow-ups'!$N$6:$N$205,0))))</x:f>
      </x:c>
      <x:c r="C27" s="424"/>
      <x:c r="D27" s="423" t="str">
        <x:f>IF(COUNT('Follow-ups'!$N$6:$N$205)&lt;5,"",IF(INDEX('Follow-ups'!$K$6:$K$205,MATCH(5,'Follow-ups'!$N$6:$N$205,0))="","",INDEX('Follow-ups'!$K$6:$K$205,MATCH(5,'Follow-ups'!$N$6:$N$205,0))))</x:f>
      </x:c>
      <x:c r="E27" s="423"/>
      <x:c r="F27" s="423"/>
      <x:c r="G27" s="423"/>
      <x:c r="H27" s="423" t="str">
        <x:f>IF(COUNT('Follow-ups'!$N$6:$N$205)&lt;5,"",IF(INDEX('Follow-ups'!$G$6:$G$205,MATCH(5,'Follow-ups'!$N$6:$N$205,0))="","",INDEX('Follow-ups'!$G$6:$G$205,MATCH(5,'Follow-ups'!$N$6:$N$205,0))))</x:f>
      </x:c>
      <x:c r="I27" s="423"/>
      <x:c r="J27" s="423"/>
      <x:c r="K27" s="423"/>
      <x:c r="L27" s="423"/>
      <x:c r="M27" s="423"/>
      <x:c r="N27" s="423" t="str">
        <x:f>IF(COUNT('Follow-ups'!$N$6:$N$205)&lt;5,"",IF(INDEX('Follow-ups'!$J$6:$J$205,MATCH(5,'Follow-ups'!$N$6:$N$205,0))="","",INDEX('Follow-ups'!$J$6:$J$205,MATCH(5,'Follow-ups'!$N$6:$N$205,0))))</x:f>
      </x:c>
      <x:c r="O27" s="423"/>
      <x:c r="P27" s="423"/>
      <x:c r="Q27" s="389"/>
    </x:row>
    <x:row r="28" ht="23" customHeight="1">
      <x:c r="A28" s="389"/>
      <x:c r="B28" s="389"/>
      <x:c r="C28" s="389"/>
      <x:c r="D28" s="389"/>
      <x:c r="E28" s="389"/>
      <x:c r="F28" s="389"/>
      <x:c r="G28" s="389"/>
      <x:c r="H28" s="389"/>
      <x:c r="I28" s="389"/>
      <x:c r="J28" s="389"/>
      <x:c r="K28" s="389"/>
      <x:c r="L28" s="389"/>
      <x:c r="M28" s="389"/>
      <x:c r="N28" s="389"/>
      <x:c r="O28" s="389"/>
      <x:c r="P28" s="389"/>
      <x:c r="Q28" s="389"/>
    </x:row>
    <x:row r="29" ht="28" customHeight="1">
      <x:c r="A29" s="389"/>
      <x:c r="B29" s="411" t="str">
        <x:v>Six-month cash flow</x:v>
      </x:c>
      <x:c r="C29" s="411"/>
      <x:c r="D29" s="411"/>
      <x:c r="E29" s="411"/>
      <x:c r="F29" s="411"/>
      <x:c r="G29" s="411"/>
      <x:c r="H29" s="411"/>
      <x:c r="I29" s="411"/>
      <x:c r="J29" s="411"/>
      <x:c r="K29" s="411"/>
      <x:c r="L29" s="411"/>
      <x:c r="M29" s="411"/>
      <x:c r="N29" s="411"/>
      <x:c r="O29" s="411"/>
      <x:c r="P29" s="411"/>
      <x:c r="Q29" s="389"/>
    </x:row>
    <x:row r="30" ht="23" customHeight="1">
      <x:c r="A30" s="389"/>
      <x:c r="B30" s="389"/>
      <x:c r="C30" s="389"/>
      <x:c r="D30" s="389"/>
      <x:c r="E30" s="389"/>
      <x:c r="F30" s="389"/>
      <x:c r="G30" s="389"/>
      <x:c r="H30" s="389"/>
      <x:c r="I30" s="389"/>
      <x:c r="J30" s="389"/>
      <x:c r="K30" s="389"/>
      <x:c r="L30" s="389"/>
      <x:c r="M30" s="389"/>
      <x:c r="N30" s="389"/>
      <x:c r="O30" s="389"/>
      <x:c r="P30" s="389"/>
      <x:c r="Q30" s="389"/>
    </x:row>
    <x:row r="31" ht="29" customHeight="1">
      <x:c r="A31" s="389"/>
      <x:c r="B31" s="422" t="str">
        <x:v>Month</x:v>
      </x:c>
      <x:c r="C31" s="422"/>
      <x:c r="D31" s="422" t="str">
        <x:v>Fee receipts</x:v>
      </x:c>
      <x:c r="E31" s="422"/>
      <x:c r="F31" s="422" t="str">
        <x:v>Expenses</x:v>
      </x:c>
      <x:c r="G31" s="422"/>
      <x:c r="H31" s="422" t="str">
        <x:v>Net cash</x:v>
      </x:c>
      <x:c r="I31" s="422"/>
      <x:c r="J31" s="389"/>
      <x:c r="K31" s="389"/>
      <x:c r="L31" s="389"/>
      <x:c r="M31" s="389"/>
      <x:c r="N31" s="389"/>
      <x:c r="O31" s="389"/>
      <x:c r="P31" s="389"/>
      <x:c r="Q31" s="389"/>
    </x:row>
    <x:row r="32" ht="29" customHeight="1">
      <x:c r="A32" s="389"/>
      <x:c r="B32" s="427" t="str">
        <x:f>TEXT(DATE(YEAR($N$4),MONTH($N$4)+-5,1),"mmm yy")</x:f>
        <x:v>Apr 26</x:v>
      </x:c>
      <x:c r="C32" s="427"/>
      <x:c r="D32" s="427" t="n">
        <x:f>SUMIFS('Payments'!$D$6:$D$205,'Payments'!$C$6:$C$205,"&gt;="&amp;DATE(YEAR($N$4),MONTH($N$4)+-5,1),'Payments'!$C$6:$C$205,"&lt;"&amp;DATE(YEAR($N$4),MONTH($N$4)+-4,1))</x:f>
        <x:v>0</x:v>
      </x:c>
      <x:c r="E32" s="427"/>
      <x:c r="F32" s="427" t="n">
        <x:f>SUMIFS('Expenses'!$G$6:$G$205,'Expenses'!$B$6:$B$205,"&gt;="&amp;DATE(YEAR($N$4),MONTH($N$4)+-5,1),'Expenses'!$B$6:$B$205,"&lt;"&amp;DATE(YEAR($N$4),MONTH($N$4)+-4,1))</x:f>
        <x:v>0</x:v>
      </x:c>
      <x:c r="G32" s="427"/>
      <x:c r="H32" s="427" t="n">
        <x:f>D32-F32</x:f>
        <x:v>0</x:v>
      </x:c>
      <x:c r="I32" s="427"/>
      <x:c r="J32" s="389"/>
      <x:c r="K32" s="389"/>
      <x:c r="L32" s="389"/>
      <x:c r="M32" s="389"/>
      <x:c r="N32" s="389"/>
      <x:c r="O32" s="389"/>
      <x:c r="P32" s="389"/>
      <x:c r="Q32" s="389"/>
    </x:row>
    <x:row r="33" ht="29" customHeight="1">
      <x:c r="A33" s="389"/>
      <x:c r="B33" s="413" t="str">
        <x:f>TEXT(DATE(YEAR($N$4),MONTH($N$4)+-4,1),"mmm yy")</x:f>
        <x:v>May 26</x:v>
      </x:c>
      <x:c r="C33" s="413"/>
      <x:c r="D33" s="413" t="n">
        <x:f>SUMIFS('Payments'!$D$6:$D$205,'Payments'!$C$6:$C$205,"&gt;="&amp;DATE(YEAR($N$4),MONTH($N$4)+-4,1),'Payments'!$C$6:$C$205,"&lt;"&amp;DATE(YEAR($N$4),MONTH($N$4)+-3,1))</x:f>
        <x:v>0</x:v>
      </x:c>
      <x:c r="E33" s="413"/>
      <x:c r="F33" s="413" t="n">
        <x:f>SUMIFS('Expenses'!$G$6:$G$205,'Expenses'!$B$6:$B$205,"&gt;="&amp;DATE(YEAR($N$4),MONTH($N$4)+-4,1),'Expenses'!$B$6:$B$205,"&lt;"&amp;DATE(YEAR($N$4),MONTH($N$4)+-3,1))</x:f>
        <x:v>0</x:v>
      </x:c>
      <x:c r="G33" s="413"/>
      <x:c r="H33" s="413" t="n">
        <x:f>D33-F33</x:f>
        <x:v>0</x:v>
      </x:c>
      <x:c r="I33" s="413"/>
      <x:c r="J33" s="389"/>
      <x:c r="K33" s="389"/>
      <x:c r="L33" s="389"/>
      <x:c r="M33" s="389"/>
      <x:c r="N33" s="389"/>
      <x:c r="O33" s="389"/>
      <x:c r="P33" s="389"/>
      <x:c r="Q33" s="389"/>
    </x:row>
    <x:row r="34" ht="29" customHeight="1">
      <x:c r="A34" s="389"/>
      <x:c r="B34" s="427" t="str">
        <x:f>TEXT(DATE(YEAR($N$4),MONTH($N$4)+-3,1),"mmm yy")</x:f>
        <x:v>Jun 26</x:v>
      </x:c>
      <x:c r="C34" s="427"/>
      <x:c r="D34" s="427" t="n">
        <x:f>SUMIFS('Payments'!$D$6:$D$205,'Payments'!$C$6:$C$205,"&gt;="&amp;DATE(YEAR($N$4),MONTH($N$4)+-3,1),'Payments'!$C$6:$C$205,"&lt;"&amp;DATE(YEAR($N$4),MONTH($N$4)+-2,1))</x:f>
        <x:v>0</x:v>
      </x:c>
      <x:c r="E34" s="427"/>
      <x:c r="F34" s="427" t="n">
        <x:f>SUMIFS('Expenses'!$G$6:$G$205,'Expenses'!$B$6:$B$205,"&gt;="&amp;DATE(YEAR($N$4),MONTH($N$4)+-3,1),'Expenses'!$B$6:$B$205,"&lt;"&amp;DATE(YEAR($N$4),MONTH($N$4)+-2,1))</x:f>
        <x:v>0</x:v>
      </x:c>
      <x:c r="G34" s="427"/>
      <x:c r="H34" s="427" t="n">
        <x:f>D34-F34</x:f>
        <x:v>0</x:v>
      </x:c>
      <x:c r="I34" s="427"/>
      <x:c r="J34" s="389"/>
      <x:c r="K34" s="389"/>
      <x:c r="L34" s="389"/>
      <x:c r="M34" s="389"/>
      <x:c r="N34" s="389"/>
      <x:c r="O34" s="389"/>
      <x:c r="P34" s="389"/>
      <x:c r="Q34" s="389"/>
    </x:row>
    <x:row r="35" ht="29" customHeight="1">
      <x:c r="A35" s="389"/>
      <x:c r="B35" s="413" t="str">
        <x:f>TEXT(DATE(YEAR($N$4),MONTH($N$4)+-2,1),"mmm yy")</x:f>
        <x:v>Jul 26</x:v>
      </x:c>
      <x:c r="C35" s="413"/>
      <x:c r="D35" s="413" t="n">
        <x:f>SUMIFS('Payments'!$D$6:$D$205,'Payments'!$C$6:$C$205,"&gt;="&amp;DATE(YEAR($N$4),MONTH($N$4)+-2,1),'Payments'!$C$6:$C$205,"&lt;"&amp;DATE(YEAR($N$4),MONTH($N$4)+-1,1))</x:f>
        <x:v>0</x:v>
      </x:c>
      <x:c r="E35" s="413"/>
      <x:c r="F35" s="413" t="n">
        <x:f>SUMIFS('Expenses'!$G$6:$G$205,'Expenses'!$B$6:$B$205,"&gt;="&amp;DATE(YEAR($N$4),MONTH($N$4)+-2,1),'Expenses'!$B$6:$B$205,"&lt;"&amp;DATE(YEAR($N$4),MONTH($N$4)+-1,1))</x:f>
        <x:v>0</x:v>
      </x:c>
      <x:c r="G35" s="413"/>
      <x:c r="H35" s="413" t="n">
        <x:f>D35-F35</x:f>
        <x:v>0</x:v>
      </x:c>
      <x:c r="I35" s="413"/>
      <x:c r="J35" s="389"/>
      <x:c r="K35" s="389"/>
      <x:c r="L35" s="389"/>
      <x:c r="M35" s="389"/>
      <x:c r="N35" s="389"/>
      <x:c r="O35" s="389"/>
      <x:c r="P35" s="389"/>
      <x:c r="Q35" s="389"/>
    </x:row>
    <x:row r="36" ht="29" customHeight="1">
      <x:c r="A36" s="389"/>
      <x:c r="B36" s="427" t="str">
        <x:f>TEXT(DATE(YEAR($N$4),MONTH($N$4)+-1,1),"mmm yy")</x:f>
        <x:v>Aug 26</x:v>
      </x:c>
      <x:c r="C36" s="427"/>
      <x:c r="D36" s="427" t="n">
        <x:f>SUMIFS('Payments'!$D$6:$D$205,'Payments'!$C$6:$C$205,"&gt;="&amp;DATE(YEAR($N$4),MONTH($N$4)+-1,1),'Payments'!$C$6:$C$205,"&lt;"&amp;DATE(YEAR($N$4),MONTH($N$4)+0,1))</x:f>
        <x:v>0</x:v>
      </x:c>
      <x:c r="E36" s="427"/>
      <x:c r="F36" s="427" t="n">
        <x:f>SUMIFS('Expenses'!$G$6:$G$205,'Expenses'!$B$6:$B$205,"&gt;="&amp;DATE(YEAR($N$4),MONTH($N$4)+-1,1),'Expenses'!$B$6:$B$205,"&lt;"&amp;DATE(YEAR($N$4),MONTH($N$4)+0,1))</x:f>
        <x:v>0</x:v>
      </x:c>
      <x:c r="G36" s="427"/>
      <x:c r="H36" s="427" t="n">
        <x:f>D36-F36</x:f>
        <x:v>0</x:v>
      </x:c>
      <x:c r="I36" s="427"/>
      <x:c r="J36" s="389"/>
      <x:c r="K36" s="389"/>
      <x:c r="L36" s="389"/>
      <x:c r="M36" s="389"/>
      <x:c r="N36" s="389"/>
      <x:c r="O36" s="389"/>
      <x:c r="P36" s="389"/>
      <x:c r="Q36" s="389"/>
    </x:row>
    <x:row r="37" ht="29" customHeight="1">
      <x:c r="A37" s="389"/>
      <x:c r="B37" s="413" t="str">
        <x:f>TEXT(DATE(YEAR($N$4),MONTH($N$4)+0,1),"mmm yy")</x:f>
        <x:v>Sep 26</x:v>
      </x:c>
      <x:c r="C37" s="413"/>
      <x:c r="D37" s="413" t="n">
        <x:f>SUMIFS('Payments'!$D$6:$D$205,'Payments'!$C$6:$C$205,"&gt;="&amp;DATE(YEAR($N$4),MONTH($N$4)+0,1),'Payments'!$C$6:$C$205,"&lt;"&amp;DATE(YEAR($N$4),MONTH($N$4)+1,1))</x:f>
        <x:v>0</x:v>
      </x:c>
      <x:c r="E37" s="413"/>
      <x:c r="F37" s="413" t="n">
        <x:f>SUMIFS('Expenses'!$G$6:$G$205,'Expenses'!$B$6:$B$205,"&gt;="&amp;DATE(YEAR($N$4),MONTH($N$4)+0,1),'Expenses'!$B$6:$B$205,"&lt;"&amp;DATE(YEAR($N$4),MONTH($N$4)+1,1))</x:f>
        <x:v>0</x:v>
      </x:c>
      <x:c r="G37" s="413"/>
      <x:c r="H37" s="413" t="n">
        <x:f>D37-F37</x:f>
        <x:v>0</x:v>
      </x:c>
      <x:c r="I37" s="413"/>
      <x:c r="J37" s="389"/>
      <x:c r="K37" s="389"/>
      <x:c r="L37" s="389"/>
      <x:c r="M37" s="389"/>
      <x:c r="N37" s="389"/>
      <x:c r="O37" s="389"/>
      <x:c r="P37" s="389"/>
      <x:c r="Q37" s="389"/>
    </x:row>
    <x:row r="38" ht="23" customHeight="1">
      <x:c r="A38" s="389"/>
      <x:c r="B38" s="389"/>
      <x:c r="C38" s="389"/>
      <x:c r="D38" s="389"/>
      <x:c r="E38" s="389"/>
      <x:c r="F38" s="389"/>
      <x:c r="G38" s="389"/>
      <x:c r="H38" s="389"/>
      <x:c r="I38" s="389"/>
      <x:c r="J38" s="389"/>
      <x:c r="K38" s="389"/>
      <x:c r="L38" s="389"/>
      <x:c r="M38" s="389"/>
      <x:c r="N38" s="389"/>
      <x:c r="O38" s="389"/>
      <x:c r="P38" s="389"/>
      <x:c r="Q38" s="389"/>
    </x:row>
    <x:row r="39" ht="23" customHeight="1">
      <x:c r="A39" s="389"/>
      <x:c r="B39" s="429" t="str">
        <x:v>Enter a date in the amber Reporting month cell to review another month. Dates determine monthly results.</x:v>
      </x:c>
      <x:c r="C39" s="429"/>
      <x:c r="D39" s="429"/>
      <x:c r="E39" s="429"/>
      <x:c r="F39" s="429"/>
      <x:c r="G39" s="429"/>
      <x:c r="H39" s="429"/>
      <x:c r="I39" s="429"/>
      <x:c r="J39" s="389"/>
      <x:c r="K39" s="389"/>
      <x:c r="L39" s="389"/>
      <x:c r="M39" s="389"/>
      <x:c r="N39" s="389"/>
      <x:c r="O39" s="389"/>
      <x:c r="P39" s="389"/>
      <x:c r="Q39" s="389"/>
    </x:row>
    <x:row r="40" ht="23" customHeight="1">
      <x:c r="A40" s="389"/>
      <x:c r="B40" s="429"/>
      <x:c r="C40" s="429"/>
      <x:c r="D40" s="429"/>
      <x:c r="E40" s="429"/>
      <x:c r="F40" s="429"/>
      <x:c r="G40" s="429"/>
      <x:c r="H40" s="429"/>
      <x:c r="I40" s="429"/>
      <x:c r="J40" s="389"/>
      <x:c r="K40" s="389"/>
      <x:c r="L40" s="389"/>
      <x:c r="M40" s="389"/>
      <x:c r="N40" s="389"/>
      <x:c r="O40" s="389"/>
      <x:c r="P40" s="389"/>
      <x:c r="Q40" s="389"/>
    </x:row>
    <x:row r="41" ht="23" customHeight="1">
      <x:c r="A41" s="389"/>
      <x:c r="B41" s="389"/>
      <x:c r="C41" s="389"/>
      <x:c r="D41" s="389"/>
      <x:c r="E41" s="389"/>
      <x:c r="F41" s="389"/>
      <x:c r="G41" s="389"/>
      <x:c r="H41" s="389"/>
      <x:c r="I41" s="389"/>
      <x:c r="J41" s="389"/>
      <x:c r="K41" s="389"/>
      <x:c r="L41" s="389"/>
      <x:c r="M41" s="389"/>
      <x:c r="N41" s="389"/>
      <x:c r="O41" s="389"/>
      <x:c r="P41" s="389"/>
      <x:c r="Q41" s="389"/>
    </x:row>
    <x:row r="42" ht="28" customHeight="1">
      <x:c r="A42" s="389"/>
      <x:c r="B42" s="411" t="str">
        <x:v>Record review</x:v>
      </x:c>
      <x:c r="C42" s="411"/>
      <x:c r="D42" s="411"/>
      <x:c r="E42" s="411"/>
      <x:c r="F42" s="411"/>
      <x:c r="G42" s="411"/>
      <x:c r="H42" s="411"/>
      <x:c r="I42" s="411"/>
      <x:c r="J42" s="411"/>
      <x:c r="K42" s="411"/>
      <x:c r="L42" s="411"/>
      <x:c r="M42" s="411"/>
      <x:c r="N42" s="411"/>
      <x:c r="O42" s="411"/>
      <x:c r="P42" s="411"/>
      <x:c r="Q42" s="389"/>
    </x:row>
    <x:row r="43" ht="23" customHeight="1">
      <x:c r="A43" s="389"/>
      <x:c r="B43" s="389" t="str">
        <x:v>Records needing correction</x:v>
      </x:c>
      <x:c r="C43" s="389"/>
      <x:c r="D43" s="389"/>
      <x:c r="E43" s="389"/>
      <x:c r="F43" s="389"/>
      <x:c r="G43" s="389"/>
      <x:c r="H43" s="412" t="n">
        <x:f>'Clients'!H1+'Contacts'!H1+'Properties'!H1+'Deals'!H1+'Follow-ups'!H1+'Viewings'!H1+'Payments'!H1+'Expenses'!H1+'Shortlist'!H1</x:f>
        <x:v>0</x:v>
      </x:c>
      <x:c r="I43" s="389"/>
      <x:c r="J43" s="429" t="str">
        <x:v>Filter the Record check column on each tracker. Each flagged row shows its first issue.</x:v>
      </x:c>
      <x:c r="K43" s="429"/>
      <x:c r="L43" s="429"/>
      <x:c r="M43" s="429"/>
      <x:c r="N43" s="429"/>
      <x:c r="O43" s="429"/>
      <x:c r="P43" s="429"/>
      <x:c r="Q43" s="389"/>
    </x:row>
    <x:row r="44" ht="23" customHeight="1">
      <x:c r="A44" s="389"/>
      <x:c r="B44" s="389" t="str">
        <x:v>Leads missing a dated next task</x:v>
      </x:c>
      <x:c r="C44" s="389"/>
      <x:c r="D44" s="389"/>
      <x:c r="E44" s="389"/>
      <x:c r="F44" s="389"/>
      <x:c r="G44" s="389"/>
      <x:c r="H44" s="412" t="n">
        <x:f>COUNTIFS('Clients'!$W$6:$W$205,"No open task")+COUNTIFS('Clients'!$W$6:$W$205,"Set task due date")</x:f>
        <x:v>0</x:v>
      </x:c>
      <x:c r="I44" s="389"/>
      <x:c r="J44" s="429"/>
      <x:c r="K44" s="429"/>
      <x:c r="L44" s="429"/>
      <x:c r="M44" s="429"/>
      <x:c r="N44" s="429"/>
      <x:c r="O44" s="429"/>
      <x:c r="P44" s="429"/>
      <x:c r="Q44" s="389"/>
    </x:row>
    <x:row r="45" ht="23" customHeight="1">
      <x:c r="A45" s="389"/>
      <x:c r="B45" s="389"/>
      <x:c r="C45" s="389"/>
      <x:c r="D45" s="389"/>
      <x:c r="E45" s="389"/>
      <x:c r="F45" s="389"/>
      <x:c r="G45" s="389"/>
      <x:c r="H45" s="389"/>
      <x:c r="I45" s="389"/>
      <x:c r="J45" s="389"/>
      <x:c r="K45" s="389"/>
      <x:c r="L45" s="389"/>
      <x:c r="M45" s="389"/>
      <x:c r="N45" s="389"/>
      <x:c r="O45" s="389"/>
      <x:c r="P45" s="389"/>
      <x:c r="Q45" s="389"/>
    </x:row>
    <x:row r="46" ht="23" customHeight="1">
      <x:c r="A46" s="389"/>
      <x:c r="B46" s="430" t="str">
        <x:v>Use the worksheet tabs below. Start with Contacts, Properties, Clients and Shortlist.</x:v>
      </x:c>
      <x:c r="C46" s="430"/>
      <x:c r="D46" s="430"/>
      <x:c r="E46" s="430"/>
      <x:c r="F46" s="430"/>
      <x:c r="G46" s="430"/>
      <x:c r="H46" s="430"/>
      <x:c r="I46" s="430"/>
      <x:c r="J46" s="430"/>
      <x:c r="K46" s="430"/>
      <x:c r="L46" s="430"/>
      <x:c r="M46" s="430"/>
      <x:c r="N46" s="430"/>
      <x:c r="O46" s="430"/>
      <x:c r="P46" s="430"/>
      <x:c r="Q46" s="389"/>
    </x:row>
    <x:row r="47" ht="23" customHeight="1">
      <x:c r="A47" s="389"/>
      <x:c r="B47" s="428" t="str">
        <x:v>200 records per tracker, rows 6–205. Cash totals exclude VAT from fee income. Net cash is not accounting profit.</x:v>
      </x:c>
      <x:c r="C47" s="428"/>
      <x:c r="D47" s="428"/>
      <x:c r="E47" s="428"/>
      <x:c r="F47" s="428"/>
      <x:c r="G47" s="428"/>
      <x:c r="H47" s="428"/>
      <x:c r="I47" s="428"/>
      <x:c r="J47" s="428"/>
      <x:c r="K47" s="428"/>
      <x:c r="L47" s="428"/>
      <x:c r="M47" s="428"/>
      <x:c r="N47" s="428"/>
      <x:c r="O47" s="428"/>
      <x:c r="P47" s="428"/>
      <x:c r="Q47" s="389"/>
    </x:row>
    <x:row r="48" ht="23" customHeight="1">
      <x:c r="A48" s="389"/>
      <x:c r="B48" s="389"/>
      <x:c r="C48" s="389"/>
      <x:c r="D48" s="389"/>
      <x:c r="E48" s="389"/>
      <x:c r="F48" s="389"/>
      <x:c r="G48" s="389"/>
      <x:c r="H48" s="389"/>
      <x:c r="I48" s="389"/>
      <x:c r="J48" s="389"/>
      <x:c r="K48" s="389"/>
      <x:c r="L48" s="389"/>
      <x:c r="M48" s="389"/>
      <x:c r="N48" s="389"/>
      <x:c r="O48" s="389"/>
      <x:c r="P48" s="389"/>
      <x:c r="Q48" s="389"/>
    </x:row>
    <x:row r="49" ht="28" customHeight="1">
      <x:c r="A49" s="389"/>
      <x:c r="B49" s="444" t="str">
        <x:v>Monthly targets</x:v>
      </x:c>
      <x:c r="C49" s="444"/>
      <x:c r="D49" s="444"/>
      <x:c r="E49" s="444"/>
      <x:c r="F49" s="444"/>
      <x:c r="G49" s="444"/>
      <x:c r="H49" s="444"/>
      <x:c r="I49" s="444"/>
      <x:c r="J49" s="444"/>
      <x:c r="K49" s="444"/>
      <x:c r="L49" s="444"/>
      <x:c r="M49" s="444"/>
      <x:c r="N49" s="444"/>
      <x:c r="O49" s="444"/>
      <x:c r="P49" s="444"/>
      <x:c r="Q49" s="389"/>
    </x:row>
    <x:row r="50" ht="36" customHeight="1">
      <x:c r="A50" s="389"/>
      <x:c r="B50" s="447" t="str">
        <x:v>Metric</x:v>
      </x:c>
      <x:c r="C50" s="447"/>
      <x:c r="D50" s="447"/>
      <x:c r="E50" s="447"/>
      <x:c r="F50" s="447"/>
      <x:c r="G50" s="447"/>
      <x:c r="H50" s="539" t="str">
        <x:v>Target</x:v>
      </x:c>
      <x:c r="I50" s="539"/>
      <x:c r="J50" s="539"/>
      <x:c r="K50" s="539" t="str">
        <x:v>Actual</x:v>
      </x:c>
      <x:c r="L50" s="539"/>
      <x:c r="M50" s="539"/>
      <x:c r="N50" s="539" t="str">
        <x:v>Progress</x:v>
      </x:c>
      <x:c r="O50" s="539"/>
      <x:c r="P50" s="539"/>
      <x:c r="Q50" s="389"/>
    </x:row>
    <x:row r="51" ht="29" customHeight="1">
      <x:c r="A51" s="389"/>
      <x:c r="B51" s="445" t="str">
        <x:v>New enquiries</x:v>
      </x:c>
      <x:c r="C51" s="445"/>
      <x:c r="D51" s="445"/>
      <x:c r="E51" s="445"/>
      <x:c r="F51" s="445"/>
      <x:c r="G51" s="445"/>
      <x:c r="H51" s="547" t="str">
        <x:f>IF(ISNUMBER('Performance'!K8),'Performance'!K8,"")</x:f>
      </x:c>
      <x:c r="I51" s="547"/>
      <x:c r="J51" s="547"/>
      <x:c r="K51" s="547" t="n">
        <x:f>IF(ISNUMBER('Performance'!M8),'Performance'!M8,"")</x:f>
        <x:v>0</x:v>
      </x:c>
      <x:c r="L51" s="547"/>
      <x:c r="M51" s="547"/>
      <x:c r="N51" s="548" t="str">
        <x:f>IF(ISNUMBER('Performance'!O8),'Performance'!O8,"")</x:f>
      </x:c>
      <x:c r="O51" s="548"/>
      <x:c r="P51" s="548"/>
      <x:c r="Q51" s="389"/>
    </x:row>
    <x:row r="52" ht="29" customHeight="1">
      <x:c r="A52" s="389"/>
      <x:c r="B52" s="448" t="str">
        <x:v>Completed viewings</x:v>
      </x:c>
      <x:c r="C52" s="448"/>
      <x:c r="D52" s="448"/>
      <x:c r="E52" s="448"/>
      <x:c r="F52" s="448"/>
      <x:c r="G52" s="448"/>
      <x:c r="H52" s="546" t="str">
        <x:f>IF(ISNUMBER('Performance'!K9),'Performance'!K9,"")</x:f>
      </x:c>
      <x:c r="I52" s="546"/>
      <x:c r="J52" s="546"/>
      <x:c r="K52" s="546" t="n">
        <x:f>IF(ISNUMBER('Performance'!M9),'Performance'!M9,"")</x:f>
        <x:v>0</x:v>
      </x:c>
      <x:c r="L52" s="546"/>
      <x:c r="M52" s="546"/>
      <x:c r="N52" s="549" t="str">
        <x:f>IF(ISNUMBER('Performance'!O9),'Performance'!O9,"")</x:f>
      </x:c>
      <x:c r="O52" s="549"/>
      <x:c r="P52" s="549"/>
      <x:c r="Q52" s="389"/>
    </x:row>
    <x:row r="53" ht="29" customHeight="1">
      <x:c r="A53" s="389"/>
      <x:c r="B53" s="445" t="str">
        <x:v>Completed deals</x:v>
      </x:c>
      <x:c r="C53" s="445"/>
      <x:c r="D53" s="445"/>
      <x:c r="E53" s="445"/>
      <x:c r="F53" s="445"/>
      <x:c r="G53" s="445"/>
      <x:c r="H53" s="547" t="str">
        <x:f>IF(ISNUMBER('Performance'!K10),'Performance'!K10,"")</x:f>
      </x:c>
      <x:c r="I53" s="547"/>
      <x:c r="J53" s="547"/>
      <x:c r="K53" s="547" t="n">
        <x:f>IF(ISNUMBER('Performance'!M10),'Performance'!M10,"")</x:f>
        <x:v>0</x:v>
      </x:c>
      <x:c r="L53" s="547"/>
      <x:c r="M53" s="547"/>
      <x:c r="N53" s="548" t="str">
        <x:f>IF(ISNUMBER('Performance'!O10),'Performance'!O10,"")</x:f>
      </x:c>
      <x:c r="O53" s="548"/>
      <x:c r="P53" s="548"/>
      <x:c r="Q53" s="389"/>
    </x:row>
    <x:row r="54" ht="29" customHeight="1">
      <x:c r="A54" s="389"/>
      <x:c r="B54" s="448" t="str">
        <x:v>Earned fee AED</x:v>
      </x:c>
      <x:c r="C54" s="448"/>
      <x:c r="D54" s="448"/>
      <x:c r="E54" s="448"/>
      <x:c r="F54" s="448"/>
      <x:c r="G54" s="448"/>
      <x:c r="H54" s="550" t="str">
        <x:f>IF(ISNUMBER('Performance'!K11),'Performance'!K11,"")</x:f>
      </x:c>
      <x:c r="I54" s="550"/>
      <x:c r="J54" s="550"/>
      <x:c r="K54" s="550" t="n">
        <x:f>IF(ISNUMBER('Performance'!M11),'Performance'!M11,"")</x:f>
        <x:v>0</x:v>
      </x:c>
      <x:c r="L54" s="550"/>
      <x:c r="M54" s="550"/>
      <x:c r="N54" s="549" t="str">
        <x:f>IF(ISNUMBER('Performance'!O11),'Performance'!O11,"")</x:f>
      </x:c>
      <x:c r="O54" s="549"/>
      <x:c r="P54" s="549"/>
      <x:c r="Q54" s="389"/>
    </x:row>
    <x:row r="55" ht="27" customHeight="1">
      <x:c r="A55" s="389"/>
      <x:c r="B55" s="431"/>
      <x:c r="C55" s="431"/>
      <x:c r="D55" s="431"/>
      <x:c r="E55" s="431"/>
      <x:c r="F55" s="431"/>
      <x:c r="G55" s="431"/>
      <x:c r="H55" s="431"/>
      <x:c r="I55" s="431"/>
      <x:c r="J55" s="431"/>
      <x:c r="K55" s="431"/>
      <x:c r="L55" s="431"/>
      <x:c r="M55" s="431"/>
      <x:c r="N55" s="431"/>
      <x:c r="O55" s="431"/>
      <x:c r="P55" s="431"/>
      <x:c r="Q55" s="389"/>
    </x:row>
    <x:row r="56" ht="27" customHeight="1">
      <x:c r="A56" s="389"/>
      <x:c r="B56" s="438" t="str">
        <x:f>IF(COUNTIFS('Performance'!O37:O45,"Outside range")+COUNTIFS('Performance'!O37:O45,"Full")+COUNTIFS('Performance'!O37:O45,"Nearly full")&gt;0,"CAPACITY ACTION: Review tracker capacity on Performance before adding more records.","CAPACITY OK: All trackers are below 180 of 200 records. Set your monthly goals on Performance.")</x:f>
        <x:v>CAPACITY OK: All trackers are below 180 of 200 records. Set your monthly goals on Performance.</x:v>
      </x:c>
      <x:c r="C56" s="438"/>
      <x:c r="D56" s="438"/>
      <x:c r="E56" s="438"/>
      <x:c r="F56" s="438"/>
      <x:c r="G56" s="438"/>
      <x:c r="H56" s="438"/>
      <x:c r="I56" s="438"/>
      <x:c r="J56" s="438"/>
      <x:c r="K56" s="438"/>
      <x:c r="L56" s="438"/>
      <x:c r="M56" s="438"/>
      <x:c r="N56" s="438"/>
      <x:c r="O56" s="438"/>
      <x:c r="P56" s="438"/>
      <x:c r="Q56" s="389"/>
    </x:row>
    <x:row r="57" ht="27" customHeight="1">
      <x:c r="A57" s="389"/>
      <x:c r="B57" s="438"/>
      <x:c r="C57" s="438"/>
      <x:c r="D57" s="438"/>
      <x:c r="E57" s="438"/>
      <x:c r="F57" s="438"/>
      <x:c r="G57" s="438"/>
      <x:c r="H57" s="438"/>
      <x:c r="I57" s="438"/>
      <x:c r="J57" s="438"/>
      <x:c r="K57" s="438"/>
      <x:c r="L57" s="438"/>
      <x:c r="M57" s="438"/>
      <x:c r="N57" s="438"/>
      <x:c r="O57" s="438"/>
      <x:c r="P57" s="438"/>
      <x:c r="Q57" s="389"/>
    </x:row>
    <x:row r="58" ht="27" customHeight="1">
      <x:c r="A58" s="389"/>
      <x:c r="B58" s="431"/>
      <x:c r="C58" s="431"/>
      <x:c r="D58" s="431"/>
      <x:c r="E58" s="431"/>
      <x:c r="F58" s="431"/>
      <x:c r="G58" s="431"/>
      <x:c r="H58" s="431"/>
      <x:c r="I58" s="431"/>
      <x:c r="J58" s="431"/>
      <x:c r="K58" s="431"/>
      <x:c r="L58" s="431"/>
      <x:c r="M58" s="431"/>
      <x:c r="N58" s="431"/>
      <x:c r="O58" s="431"/>
      <x:c r="P58" s="431"/>
      <x:c r="Q58" s="389"/>
    </x:row>
    <x:row r="59" ht="30" customHeight="1">
      <x:c r="B59" s="838" t="str">
        <x:v>CRM UPGRADE  |  Qualification scores • Pipeline breakdown • Lost lead insights • Conversations • Client care</x:v>
      </x:c>
      <x:c r="C59" s="838"/>
      <x:c r="D59" s="838"/>
      <x:c r="E59" s="838"/>
      <x:c r="F59" s="838"/>
      <x:c r="G59" s="838"/>
      <x:c r="H59" s="838"/>
      <x:c r="I59" s="838"/>
      <x:c r="J59" s="838"/>
      <x:c r="K59" s="838"/>
      <x:c r="L59" s="838"/>
      <x:c r="M59" s="838"/>
      <x:c r="N59" s="838"/>
      <x:c r="O59" s="431"/>
      <x:c r="P59" s="431"/>
    </x:row>
    <x:row r="60" ht="28" customHeight="1">
      <x:c r="B60" s="841" t="str">
        <x:v>Open the CRM insights sheet for the new overview; existing dashboard, financial calculations and transaction trackers are preserved.</x:v>
      </x:c>
      <x:c r="C60" s="841"/>
      <x:c r="D60" s="841"/>
      <x:c r="E60" s="841"/>
      <x:c r="F60" s="841"/>
      <x:c r="G60" s="841"/>
      <x:c r="H60" s="841"/>
      <x:c r="I60" s="841"/>
      <x:c r="J60" s="841"/>
      <x:c r="K60" s="841"/>
      <x:c r="L60" s="841"/>
      <x:c r="M60" s="841"/>
      <x:c r="N60" s="841"/>
    </x:row>
  </x:sheetData>
  <x:mergeCells>
    <x:mergeCell ref="B2:H2"/>
    <x:mergeCell ref="B3:K3"/>
    <x:mergeCell ref="L3:P3"/>
    <x:mergeCell ref="B4:J4"/>
    <x:mergeCell ref="K4:M4"/>
    <x:mergeCell ref="N4:P4"/>
    <x:mergeCell ref="B6:D6"/>
    <x:mergeCell ref="B7:D9"/>
    <x:mergeCell ref="B10:D10"/>
    <x:mergeCell ref="F6:H6"/>
    <x:mergeCell ref="F7:H9"/>
    <x:mergeCell ref="F10:H10"/>
    <x:mergeCell ref="J6:L6"/>
    <x:mergeCell ref="J7:L9"/>
    <x:mergeCell ref="J10:L10"/>
    <x:mergeCell ref="N6:P6"/>
    <x:mergeCell ref="N7:P9"/>
    <x:mergeCell ref="N10:P10"/>
    <x:mergeCell ref="B12:H12"/>
    <x:mergeCell ref="J12:P12"/>
    <x:mergeCell ref="B13:G13"/>
    <x:mergeCell ref="J13:M13"/>
    <x:mergeCell ref="N13:P13"/>
    <x:mergeCell ref="B14:G14"/>
    <x:mergeCell ref="J14:M14"/>
    <x:mergeCell ref="N14:P14"/>
    <x:mergeCell ref="B15:G15"/>
    <x:mergeCell ref="J15:M15"/>
    <x:mergeCell ref="N15:P15"/>
    <x:mergeCell ref="B16:G16"/>
    <x:mergeCell ref="J16:M16"/>
    <x:mergeCell ref="N16:P16"/>
    <x:mergeCell ref="B17:G17"/>
    <x:mergeCell ref="J17:M17"/>
    <x:mergeCell ref="N17:P17"/>
    <x:mergeCell ref="B18:G18"/>
    <x:mergeCell ref="J18:M18"/>
    <x:mergeCell ref="N18:P18"/>
    <x:mergeCell ref="B19:G19"/>
    <x:mergeCell ref="J19:M19"/>
    <x:mergeCell ref="N19:P19"/>
    <x:mergeCell ref="B20:F20"/>
    <x:mergeCell ref="G20:H20"/>
    <x:mergeCell ref="B21:P21"/>
    <x:mergeCell ref="B22:C22"/>
    <x:mergeCell ref="D22:G22"/>
    <x:mergeCell ref="H22:M22"/>
    <x:mergeCell ref="N22:P22"/>
    <x:mergeCell ref="B23:C23"/>
    <x:mergeCell ref="D23:G23"/>
    <x:mergeCell ref="H23:M23"/>
    <x:mergeCell ref="N23:P23"/>
    <x:mergeCell ref="B24:C24"/>
    <x:mergeCell ref="D24:G24"/>
    <x:mergeCell ref="H24:M24"/>
    <x:mergeCell ref="N24:P24"/>
    <x:mergeCell ref="B25:C25"/>
    <x:mergeCell ref="D25:G25"/>
    <x:mergeCell ref="H25:M25"/>
    <x:mergeCell ref="N25:P25"/>
    <x:mergeCell ref="B26:C26"/>
    <x:mergeCell ref="D26:G26"/>
    <x:mergeCell ref="H26:M26"/>
    <x:mergeCell ref="N26:P26"/>
    <x:mergeCell ref="B27:C27"/>
    <x:mergeCell ref="D27:G27"/>
    <x:mergeCell ref="H27:M27"/>
    <x:mergeCell ref="N27:P27"/>
    <x:mergeCell ref="B29:P29"/>
    <x:mergeCell ref="B31:C31"/>
    <x:mergeCell ref="D31:E31"/>
    <x:mergeCell ref="F31:G31"/>
    <x:mergeCell ref="H31:I31"/>
    <x:mergeCell ref="B32:C32"/>
    <x:mergeCell ref="D32:E32"/>
    <x:mergeCell ref="F32:G32"/>
    <x:mergeCell ref="H32:I32"/>
    <x:mergeCell ref="B33:C33"/>
    <x:mergeCell ref="D33:E33"/>
    <x:mergeCell ref="F33:G33"/>
    <x:mergeCell ref="H33:I33"/>
    <x:mergeCell ref="B34:C34"/>
    <x:mergeCell ref="D34:E34"/>
    <x:mergeCell ref="F34:G34"/>
    <x:mergeCell ref="H34:I34"/>
    <x:mergeCell ref="B35:C35"/>
    <x:mergeCell ref="D35:E35"/>
    <x:mergeCell ref="F35:G35"/>
    <x:mergeCell ref="H35:I35"/>
    <x:mergeCell ref="B36:C36"/>
    <x:mergeCell ref="D36:E36"/>
    <x:mergeCell ref="F36:G36"/>
    <x:mergeCell ref="H36:I36"/>
    <x:mergeCell ref="B37:C37"/>
    <x:mergeCell ref="D37:E37"/>
    <x:mergeCell ref="F37:G37"/>
    <x:mergeCell ref="H37:I37"/>
    <x:mergeCell ref="B39:I40"/>
    <x:mergeCell ref="B42:P42"/>
    <x:mergeCell ref="B43:G43"/>
    <x:mergeCell ref="J43:P44"/>
    <x:mergeCell ref="B44:G44"/>
    <x:mergeCell ref="B46:P46"/>
    <x:mergeCell ref="B47:P47"/>
    <x:mergeCell ref="B5:P5"/>
    <x:mergeCell ref="B49:P49"/>
    <x:mergeCell ref="B50:G50"/>
    <x:mergeCell ref="H50:J50"/>
    <x:mergeCell ref="K50:M50"/>
    <x:mergeCell ref="N50:P50"/>
    <x:mergeCell ref="B51:G51"/>
    <x:mergeCell ref="H51:J51"/>
    <x:mergeCell ref="K51:M51"/>
    <x:mergeCell ref="N51:P51"/>
    <x:mergeCell ref="B52:G52"/>
    <x:mergeCell ref="H52:J52"/>
    <x:mergeCell ref="K52:M52"/>
    <x:mergeCell ref="N52:P52"/>
    <x:mergeCell ref="B53:G53"/>
    <x:mergeCell ref="H53:J53"/>
    <x:mergeCell ref="K53:M53"/>
    <x:mergeCell ref="N53:P53"/>
    <x:mergeCell ref="B54:G54"/>
    <x:mergeCell ref="H54:J54"/>
    <x:mergeCell ref="K54:M54"/>
    <x:mergeCell ref="N54:P54"/>
    <x:mergeCell ref="B56:P57"/>
    <x:mergeCell ref="B59:N59"/>
    <x:mergeCell ref="B60:N60"/>
  </x:mergeCells>
  <x:conditionalFormatting sqref="G17:G24">
    <x:cfRule type="cellIs" dxfId="23" priority="1" operator="greaterThan">
      <x:formula>0</x:formula>
    </x:cfRule>
  </x:conditionalFormatting>
  <x:conditionalFormatting sqref="H13:H18">
    <x:cfRule type="cellIs" dxfId="49" priority="2" operator="greaterThan">
      <x:formula>0</x:formula>
    </x:cfRule>
  </x:conditionalFormatting>
  <x:conditionalFormatting sqref="N51:N54">
    <x:cfRule type="dataBar" priority="3">
      <x:dataBar>
        <x:cfvo type="num" val="0"/>
        <x:cfvo type="num" val="1"/>
        <x:color rgb="FFA18350"/>
      </x:dataBar>
      <x:extLst>
        <x:ext xmlns:x14="http://schemas.microsoft.com/office/spreadsheetml/2009/9/main" uri="{B025F937-C7B1-47D3-B67F-A62EFF666E3E}">
          <x14:id>{C5593AA7-0028-5BEA-E3E0-8178783C1A47}</x14:id>
        </x:ext>
      </x:extLst>
    </x:cfRule>
  </x:conditionalFormatting>
  <x:pageMargins left="0.7" right="0.7" top="0.75" bottom="0.75" header="0.3" footer="0.3"/>
  <x:drawing xmlns:r="http://schemas.openxmlformats.org/officeDocument/2006/relationships" r:id="Rfa39c575496e43aa"/>
  <x:extLst>
    <x:ext xmlns:x14="http://schemas.microsoft.com/office/spreadsheetml/2009/9/main" xmlns:xm="http://schemas.microsoft.com/office/excel/2006/main" uri="{78C0D931-6437-407d-A8EE-F0AAD7539E65}">
      <x14:conditionalFormattings>
        <x14:conditionalFormatting>
          <x14:cfRule type="dataBar" priority="3" id="{C5593AA7-0028-5BEA-E3E0-8178783C1A47}">
            <x14:dataBar gradient="0">
              <x14:cfvo type="num">
                <xm:f>0</xm:f>
              </x14:cfvo>
              <x14:cfvo type="num">
                <xm:f>1</xm:f>
              </x14:cfvo>
              <x14:fillColor rgb="FFA18350"/>
            </x14:dataBar>
          </x14:cfRule>
          <xm:sqref>N51:N54</xm:sqref>
        </x14:conditionalFormatting>
      </x14:conditionalFormattings>
    </x:ext>
  </x:extLst>
</x:worksheet>
</file>

<file path=xl/worksheets/sheet2.xml><?xml version="1.0" encoding="utf-8"?>
<x:worksheet xmlns:x="http://schemas.openxmlformats.org/spreadsheetml/2006/main">
  <x:sheetPr>
    <x:tabColor rgb="FFA18350"/>
  </x:sheetPr>
  <x:sheetViews>
    <x:sheetView showGridLines="0" workbookViewId="0">
      <x:pane xSplit="2" ySplit="5" topLeftCell="C6" activePane="bottomRight" state="frozen"/>
    </x:sheetView>
  </x:sheetViews>
  <x:sheetFormatPr defaultRowHeight="15"/>
  <x:cols>
    <x:col min="1" max="1" width="13" hidden="0" customWidth="1"/>
    <x:col min="2" max="2" width="13" hidden="0" customWidth="1"/>
    <x:col min="3" max="3" width="13" hidden="0" customWidth="1"/>
    <x:col min="4" max="4" width="18" hidden="0" customWidth="1"/>
    <x:col min="5" max="5" width="18" hidden="0" customWidth="1"/>
    <x:col min="6" max="6" width="19" hidden="0" customWidth="1"/>
    <x:col min="7" max="7" width="18" hidden="0" customWidth="1"/>
    <x:col min="8" max="8" width="14" hidden="0" customWidth="1"/>
    <x:col min="9" max="9" width="19" hidden="0" customWidth="1"/>
    <x:col min="10" max="10" width="19" hidden="0" customWidth="1"/>
    <x:col min="11" max="11" width="14" hidden="0" customWidth="1"/>
    <x:col min="12" max="12" width="19" hidden="0" customWidth="1"/>
    <x:col min="13" max="13" width="14" hidden="0" customWidth="1"/>
    <x:col min="14" max="14" width="19" hidden="0" customWidth="1"/>
    <x:col min="15" max="15" width="18" hidden="0" customWidth="1"/>
    <x:col min="16" max="16" width="19" hidden="0" customWidth="1"/>
    <x:col min="17" max="17" width="18" hidden="0" customWidth="1"/>
    <x:col min="18" max="18" width="19" hidden="0" customWidth="1"/>
    <x:col min="19" max="19" width="19" hidden="0" customWidth="1"/>
    <x:col min="20" max="20" width="23" hidden="0" customWidth="1"/>
    <x:col min="21" max="21" width="23" hidden="0" customWidth="1"/>
    <x:col min="22" max="22" width="25" hidden="0" customWidth="1"/>
    <x:col min="23" max="23" width="32" hidden="0" customWidth="1"/>
    <x:col min="24" max="24" width="18" hidden="0" customWidth="1"/>
    <x:col min="25" max="25" width="18" hidden="0" customWidth="1"/>
    <x:col min="26" max="26" width="18" hidden="0" customWidth="1"/>
    <x:col min="27" max="27" width="32" hidden="0" customWidth="1"/>
    <x:col min="28" max="28" width="25" hidden="0" customWidth="1"/>
    <x:col min="29" max="29" width="24" hidden="0" customWidth="1"/>
    <x:col min="30" max="30" width="25" hidden="0" customWidth="1"/>
    <x:col min="31" max="31" width="28" hidden="0" customWidth="1"/>
    <x:col min="32" max="32" width="32" hidden="0" customWidth="1"/>
    <x:col min="33" max="33" width="19" hidden="0" customWidth="1"/>
    <x:col min="34" max="34" width="25" hidden="0" customWidth="1"/>
  </x:cols>
  <x:sheetData>
    <x:row r="1" ht="22" customHeight="1">
      <x:c r="A1" s="259" t="str">
        <x:v>KEYS WITH SIMONI</x:v>
      </x:c>
      <x:c r="B1" s="260"/>
      <x:c r="C1" s="260"/>
      <x:c r="D1" s="260"/>
      <x:c r="E1" s="382" t="str">
        <x:v>Records to review</x:v>
      </x:c>
      <x:c r="F1" s="382"/>
      <x:c r="G1" s="382"/>
      <x:c r="H1" s="385" t="n">
        <x:f>SUM(COUNTIFS($AB$6:$AB$205,"Duplicate ID"),COUNTIFS($AB$6:$AB$205,"Check Client ID"),COUNTIFS($AB$6:$AB$205,"Check Property ID"),COUNTIFS($AB$6:$AB$205,"Set deal stage"),COUNTIFS($AB$6:$AB$205,"Add opened date"),COUNTIFS($AB$6:$AB$205,"Add target close date"),COUNTIFS($AB$6:$AB$205,"Add closed date"),COUNTIFS($AB$6:$AB$205,"Add earned date"),COUNTIFS($AB$6:$AB$205,"Add outcome reason"),COUNTIFS($AB$6:$AB$205,"Complete fee inputs"),COUNTIFS($AB$6:$AB$205,"Check closed date"))</x:f>
        <x:v>0</x:v>
      </x:c>
      <x:c r="I1" s="256"/>
      <x:c r="J1" s="256"/>
      <x:c r="K1" s="256"/>
      <x:c r="L1" s="256"/>
      <x:c r="M1" s="256"/>
      <x:c r="N1" s="256"/>
      <x:c r="O1" s="256"/>
      <x:c r="P1" s="256"/>
      <x:c r="Q1" s="256"/>
      <x:c r="R1" s="256"/>
      <x:c r="S1" s="256"/>
      <x:c r="T1" s="256"/>
      <x:c r="U1" s="256"/>
      <x:c r="V1" s="256"/>
      <x:c r="W1" s="256"/>
      <x:c r="X1" s="256"/>
      <x:c r="Y1" s="256"/>
      <x:c r="Z1" s="256"/>
      <x:c r="AA1" s="256"/>
      <x:c r="AB1" s="257"/>
    </x:row>
    <x:row r="2" ht="37" customHeight="1">
      <x:c r="A2" s="263" t="str">
        <x:v>Deals &amp; commissions</x:v>
      </x:c>
      <x:c r="B2" s="264"/>
      <x:c r="C2" s="264"/>
      <x:c r="D2" s="264"/>
      <x:c r="E2" s="264"/>
      <x:c r="F2" s="268" t="str">
        <x:v>White: enter data. Blue-grey: calculated.</x:v>
      </x:c>
      <x:c r="G2" s="268"/>
      <x:c r="H2" s="268"/>
      <x:c r="I2" s="235"/>
      <x:c r="J2" s="235"/>
      <x:c r="K2" s="235"/>
      <x:c r="L2" s="235"/>
      <x:c r="M2" s="235"/>
      <x:c r="N2" s="235"/>
      <x:c r="O2" s="235"/>
      <x:c r="P2" s="235"/>
      <x:c r="Q2" s="235"/>
      <x:c r="R2" s="235"/>
      <x:c r="S2" s="235"/>
      <x:c r="T2" s="235"/>
      <x:c r="U2" s="235"/>
      <x:c r="V2" s="235"/>
      <x:c r="W2" s="235"/>
      <x:c r="X2" s="235"/>
      <x:c r="Y2" s="235"/>
      <x:c r="Z2" s="235"/>
      <x:c r="AA2" s="235"/>
      <x:c r="AB2" s="239"/>
    </x:row>
    <x:row r="3" ht="35" customHeight="1">
      <x:c r="A3" s="271" t="str">
        <x:v>Enter the fee and shares, then record deal dates. Completed deals need both a closed date and an earned date.</x:v>
      </x:c>
      <x:c r="B3" s="272"/>
      <x:c r="C3" s="272"/>
      <x:c r="D3" s="272"/>
      <x:c r="E3" s="272"/>
      <x:c r="F3" s="272"/>
      <x:c r="G3" s="272"/>
      <x:c r="H3" s="272"/>
      <x:c r="I3" s="235"/>
      <x:c r="J3" s="235"/>
      <x:c r="K3" s="235"/>
      <x:c r="L3" s="235"/>
      <x:c r="M3" s="235"/>
      <x:c r="N3" s="235"/>
      <x:c r="O3" s="235"/>
      <x:c r="P3" s="235"/>
      <x:c r="Q3" s="235"/>
      <x:c r="R3" s="235"/>
      <x:c r="S3" s="235"/>
      <x:c r="T3" s="235"/>
      <x:c r="U3" s="235"/>
      <x:c r="V3" s="235"/>
      <x:c r="W3" s="235"/>
      <x:c r="X3" s="235"/>
      <x:c r="Y3" s="235"/>
      <x:c r="Z3" s="235"/>
      <x:c r="AA3" s="235"/>
      <x:c r="AB3" s="239"/>
    </x:row>
    <x:row r="4" ht="24" customHeight="1">
      <x:c r="A4" s="277" t="str">
        <x:v>01  TRANSACTION</x:v>
      </x:c>
      <x:c r="B4" s="278"/>
      <x:c r="C4" s="278"/>
      <x:c r="D4" s="278"/>
      <x:c r="E4" s="278"/>
      <x:c r="F4" s="279" t="str">
        <x:v>02  FEE AGREEMENT</x:v>
      </x:c>
      <x:c r="G4" s="279"/>
      <x:c r="H4" s="279"/>
      <x:c r="I4" s="279"/>
      <x:c r="J4" s="279"/>
      <x:c r="K4" s="279"/>
      <x:c r="L4" s="279"/>
      <x:c r="M4" s="279"/>
      <x:c r="N4" s="279"/>
      <x:c r="O4" s="279" t="str">
        <x:v>03  COLLECTIONS</x:v>
      </x:c>
      <x:c r="P4" s="279"/>
      <x:c r="Q4" s="279"/>
      <x:c r="R4" s="279"/>
      <x:c r="S4" s="279"/>
      <x:c r="T4" s="279"/>
      <x:c r="U4" s="279" t="str">
        <x:v>04  DOCUMENTS</x:v>
      </x:c>
      <x:c r="V4" s="279"/>
      <x:c r="W4" s="279"/>
      <x:c r="X4" s="279" t="str">
        <x:v>05  DATES &amp; REVIEW</x:v>
      </x:c>
      <x:c r="Y4" s="279"/>
      <x:c r="Z4" s="279"/>
      <x:c r="AA4" s="279"/>
      <x:c r="AB4" s="282"/>
      <x:c r="AC4" s="783" t="str">
        <x:v>06  PIPELINE &amp; NEXT ACTIONS</x:v>
      </x:c>
      <x:c r="AD4" s="783"/>
      <x:c r="AE4" s="783"/>
      <x:c r="AF4" s="783"/>
      <x:c r="AG4" s="783"/>
      <x:c r="AH4" s="783"/>
    </x:row>
    <x:row r="5" ht="62" customHeight="1">
      <x:c r="A5" s="293" t="str">
        <x:v>Deal
ID</x:v>
      </x:c>
      <x:c r="B5" s="294" t="str">
        <x:v>Client
ID</x:v>
      </x:c>
      <x:c r="C5" s="294" t="str">
        <x:v>Property
ID</x:v>
      </x:c>
      <x:c r="D5" s="294" t="str">
        <x:v>Sale /
rental</x:v>
      </x:c>
      <x:c r="E5" s="294" t="str">
        <x:v>Deal
stage</x:v>
      </x:c>
      <x:c r="F5" s="294" t="str">
        <x:v>Agreed value
AED</x:v>
      </x:c>
      <x:c r="G5" s="294" t="str">
        <x:v>Fee
basis</x:v>
      </x:c>
      <x:c r="H5" s="294" t="str">
        <x:v>Fee rate
%</x:v>
      </x:c>
      <x:c r="I5" s="294" t="str">
        <x:v>Fixed fee
AED</x:v>
      </x:c>
      <x:c r="J5" s="294" t="str">
        <x:v>Gross fee
AED ex VAT</x:v>
      </x:c>
      <x:c r="K5" s="294" t="str">
        <x:v>Partner
share %</x:v>
      </x:c>
      <x:c r="L5" s="294" t="str">
        <x:v>After partner
AED</x:v>
      </x:c>
      <x:c r="M5" s="294" t="str">
        <x:v>Your
share %</x:v>
      </x:c>
      <x:c r="N5" s="294" t="str">
        <x:v>Your expected fee
AED</x:v>
      </x:c>
      <x:c r="O5" s="294" t="str">
        <x:v>Earned
date</x:v>
      </x:c>
      <x:c r="P5" s="294" t="str">
        <x:v>Your earned fee
AED</x:v>
      </x:c>
      <x:c r="Q5" s="294" t="str">
        <x:v>Payment
due</x:v>
      </x:c>
      <x:c r="R5" s="294" t="str">
        <x:v>Fee received
AED ex VAT</x:v>
      </x:c>
      <x:c r="S5" s="294" t="str">
        <x:v>Outstanding
AED</x:v>
      </x:c>
      <x:c r="T5" s="294" t="str">
        <x:v>Payment
status</x:v>
      </x:c>
      <x:c r="U5" s="294" t="str">
        <x:v>Document
status</x:v>
      </x:c>
      <x:c r="V5" s="294" t="str">
        <x:v>Documents
URL</x:v>
      </x:c>
      <x:c r="W5" s="294" t="str">
        <x:v>Notes</x:v>
      </x:c>
      <x:c r="X5" s="294" t="str">
        <x:v>Opened
date</x:v>
      </x:c>
      <x:c r="Y5" s="294" t="str">
        <x:v>Target close
date</x:v>
      </x:c>
      <x:c r="Z5" s="294" t="str">
        <x:v>Closed
date</x:v>
      </x:c>
      <x:c r="AA5" s="294" t="str">
        <x:v>Outcome
reason</x:v>
      </x:c>
      <x:c r="AB5" s="299" t="str">
        <x:v>Record
check</x:v>
      </x:c>
      <x:c r="AC5" s="788" t="str">
        <x:v>Pipeline type</x:v>
      </x:c>
      <x:c r="AD5" s="788" t="str">
        <x:v>Pipeline milestone</x:v>
      </x:c>
      <x:c r="AE5" s="788" t="str">
        <x:v>Current blocker</x:v>
      </x:c>
      <x:c r="AF5" s="788" t="str">
        <x:v>Next deal action</x:v>
      </x:c>
      <x:c r="AG5" s="788" t="str">
        <x:v>Next action due</x:v>
      </x:c>
      <x:c r="AH5" s="788" t="str">
        <x:v>Lost / cancelled reason</x:v>
      </x:c>
    </x:row>
    <x:row r="6" ht="26" customHeight="1">
      <x:c r="A6" s="317"/>
      <x:c r="B6" s="318"/>
      <x:c r="C6" s="235"/>
      <x:c r="D6" s="235"/>
      <x:c r="E6" s="235"/>
      <x:c r="F6" s="236"/>
      <x:c r="G6" s="235"/>
      <x:c r="H6" s="237"/>
      <x:c r="I6" s="236"/>
      <x:c r="J6" s="312" t="str">
        <x:f>IF(A6="","",IF(G6="Fixed",IF(NOT(ISNUMBER(I6)),"",I6),IF(G6="Percentage",IF(OR(NOT(ISNUMBER(F6)),NOT(ISNUMBER(H6))),"",ROUND(F6*H6,2)),"")))</x:f>
      </x:c>
      <x:c r="K6" s="237"/>
      <x:c r="L6" s="312" t="str">
        <x:f>IF(OR(NOT(ISNUMBER(J6)),NOT(ISNUMBER(K6))),"",ROUND(J6*(1-K6),2))</x:f>
      </x:c>
      <x:c r="M6" s="237"/>
      <x:c r="N6" s="312" t="str">
        <x:f>IF(OR(NOT(ISNUMBER(L6)),NOT(ISNUMBER(M6))),"",ROUND(L6*M6,2))</x:f>
      </x:c>
      <x:c r="O6" s="238"/>
      <x:c r="P6" s="312" t="str">
        <x:f>IF(A6="","",IF(OR(E6&lt;&gt;"Completed",O6="",NOT(ISNUMBER(N6))),"",N6))</x:f>
      </x:c>
      <x:c r="Q6" s="238"/>
      <x:c r="R6" s="312" t="str">
        <x:f>IF(A6="","",SUMIFS('Payments'!$D$6:$D$205,'Payments'!$B$6:$B$205,A6))</x:f>
      </x:c>
      <x:c r="S6" s="312" t="str">
        <x:f>IF(NOT(ISNUMBER(P6)),"",P6-R6)</x:f>
      </x:c>
      <x:c r="T6" s="265" t="str">
        <x:f>IF(A6="","",IF(NOT(ISNUMBER(N6)),"Complete fee inputs",IF(NOT(ISNUMBER(P6)),IF(R6&lt;&gt;0,"Receipt before earned","Not earned"),IF(S6&lt;0,"Overpaid",IF(S6=0,"Paid",IF(Q6="","Set due date",IF(Q6&lt;TODAY(),"Overdue","Awaiting payment")))))))</x:f>
      </x:c>
      <x:c r="U6" s="235"/>
      <x:c r="V6" s="235"/>
      <x:c r="W6" s="239"/>
      <x:c r="X6" s="238"/>
      <x:c r="Y6" s="238"/>
      <x:c r="Z6" s="238"/>
      <x:c r="AA6" s="235"/>
      <x:c r="AB6" s="315" t="str">
        <x:f>IF(A6="","",IF(COUNTIFS($A$6:$A$205,A6)&gt;1,"Duplicate ID",IF(OR(B6="",COUNTIFS('Clients'!$A$6:$A$205,B6)&lt;&gt;1),"Check Client ID",IF(OR(C6="",COUNTIFS('Properties'!$A$6:$A$205,C6)&lt;&gt;1),"Check Property ID",IF(E6="","Set deal stage",IF(NOT(ISNUMBER(X6)),"Add opened date",IF(AND(E6&lt;&gt;"Completed",E6&lt;&gt;"Cancelled",NOT(ISNUMBER(Y6))),"Add target close date",IF(AND(OR(E6="Completed",E6="Cancelled"),NOT(ISNUMBER(Z6))),"Add closed date",IF(AND(E6="Completed",NOT(ISNUMBER(O6))),"Add earned date",IF(AND(E6="Cancelled",AA6=""),"Add outcome reason",IF(AND(E6&lt;&gt;"Cancelled",NOT(ISNUMBER(N6))),"Complete fee inputs",IF(AND(ISNUMBER(Z6),ISNUMBER(X6),Z6&lt;X6),"Check closed date",""))))))))))))</x:f>
      </x:c>
      <x:c r="AC6" s="791"/>
      <x:c r="AD6" s="791"/>
      <x:c r="AE6" s="791"/>
      <x:c r="AF6" s="791"/>
      <x:c r="AG6" s="794"/>
      <x:c r="AH6" s="791"/>
    </x:row>
    <x:row r="7" ht="26" customHeight="1">
      <x:c r="A7" s="319"/>
      <x:c r="B7" s="320"/>
      <x:c r="C7" s="274"/>
      <x:c r="D7" s="274"/>
      <x:c r="E7" s="274"/>
      <x:c r="F7" s="302"/>
      <x:c r="G7" s="274"/>
      <x:c r="H7" s="303"/>
      <x:c r="I7" s="302"/>
      <x:c r="J7" s="312" t="str">
        <x:f>IF(A7="","",IF(G7="Fixed",IF(NOT(ISNUMBER(I7)),"",I7),IF(G7="Percentage",IF(OR(NOT(ISNUMBER(F7)),NOT(ISNUMBER(H7))),"",ROUND(F7*H7,2)),"")))</x:f>
      </x:c>
      <x:c r="K7" s="303"/>
      <x:c r="L7" s="312" t="str">
        <x:f>IF(OR(NOT(ISNUMBER(J7)),NOT(ISNUMBER(K7))),"",ROUND(J7*(1-K7),2))</x:f>
      </x:c>
      <x:c r="M7" s="303"/>
      <x:c r="N7" s="312" t="str">
        <x:f>IF(OR(NOT(ISNUMBER(L7)),NOT(ISNUMBER(M7))),"",ROUND(L7*M7,2))</x:f>
      </x:c>
      <x:c r="O7" s="304"/>
      <x:c r="P7" s="312" t="str">
        <x:f>IF(A7="","",IF(OR(E7&lt;&gt;"Completed",O7="",NOT(ISNUMBER(N7))),"",N7))</x:f>
      </x:c>
      <x:c r="Q7" s="304"/>
      <x:c r="R7" s="312" t="str">
        <x:f>IF(A7="","",SUMIFS('Payments'!$D$6:$D$205,'Payments'!$B$6:$B$205,A7))</x:f>
      </x:c>
      <x:c r="S7" s="312" t="str">
        <x:f>IF(NOT(ISNUMBER(P7)),"",P7-R7)</x:f>
      </x:c>
      <x:c r="T7" s="265" t="str">
        <x:f>IF(A7="","",IF(NOT(ISNUMBER(N7)),"Complete fee inputs",IF(NOT(ISNUMBER(P7)),IF(R7&lt;&gt;0,"Receipt before earned","Not earned"),IF(S7&lt;0,"Overpaid",IF(S7=0,"Paid",IF(Q7="","Set due date",IF(Q7&lt;TODAY(),"Overdue","Awaiting payment")))))))</x:f>
      </x:c>
      <x:c r="U7" s="274"/>
      <x:c r="V7" s="274"/>
      <x:c r="W7" s="280"/>
      <x:c r="X7" s="304"/>
      <x:c r="Y7" s="304"/>
      <x:c r="Z7" s="304"/>
      <x:c r="AA7" s="274"/>
      <x:c r="AB7" s="315" t="str">
        <x:f>IF(A7="","",IF(COUNTIFS($A$6:$A$205,A7)&gt;1,"Duplicate ID",IF(OR(B7="",COUNTIFS('Clients'!$A$6:$A$205,B7)&lt;&gt;1),"Check Client ID",IF(OR(C7="",COUNTIFS('Properties'!$A$6:$A$205,C7)&lt;&gt;1),"Check Property ID",IF(E7="","Set deal stage",IF(NOT(ISNUMBER(X7)),"Add opened date",IF(AND(E7&lt;&gt;"Completed",E7&lt;&gt;"Cancelled",NOT(ISNUMBER(Y7))),"Add target close date",IF(AND(OR(E7="Completed",E7="Cancelled"),NOT(ISNUMBER(Z7))),"Add closed date",IF(AND(E7="Completed",NOT(ISNUMBER(O7))),"Add earned date",IF(AND(E7="Cancelled",AA7=""),"Add outcome reason",IF(AND(E7&lt;&gt;"Cancelled",NOT(ISNUMBER(N7))),"Complete fee inputs",IF(AND(ISNUMBER(Z7),ISNUMBER(X7),Z7&lt;X7),"Check closed date",""))))))))))))</x:f>
      </x:c>
      <x:c r="AC7" s="791"/>
      <x:c r="AD7" s="791"/>
      <x:c r="AE7" s="791"/>
      <x:c r="AF7" s="791"/>
      <x:c r="AG7" s="794"/>
      <x:c r="AH7" s="791"/>
    </x:row>
    <x:row r="8" ht="26" customHeight="1">
      <x:c r="A8" s="317"/>
      <x:c r="B8" s="318"/>
      <x:c r="C8" s="235"/>
      <x:c r="D8" s="235"/>
      <x:c r="E8" s="235"/>
      <x:c r="F8" s="236"/>
      <x:c r="G8" s="235"/>
      <x:c r="H8" s="237"/>
      <x:c r="I8" s="236"/>
      <x:c r="J8" s="312" t="str">
        <x:f>IF(A8="","",IF(G8="Fixed",IF(NOT(ISNUMBER(I8)),"",I8),IF(G8="Percentage",IF(OR(NOT(ISNUMBER(F8)),NOT(ISNUMBER(H8))),"",ROUND(F8*H8,2)),"")))</x:f>
      </x:c>
      <x:c r="K8" s="237"/>
      <x:c r="L8" s="312" t="str">
        <x:f>IF(OR(NOT(ISNUMBER(J8)),NOT(ISNUMBER(K8))),"",ROUND(J8*(1-K8),2))</x:f>
      </x:c>
      <x:c r="M8" s="237"/>
      <x:c r="N8" s="312" t="str">
        <x:f>IF(OR(NOT(ISNUMBER(L8)),NOT(ISNUMBER(M8))),"",ROUND(L8*M8,2))</x:f>
      </x:c>
      <x:c r="O8" s="238"/>
      <x:c r="P8" s="312" t="str">
        <x:f>IF(A8="","",IF(OR(E8&lt;&gt;"Completed",O8="",NOT(ISNUMBER(N8))),"",N8))</x:f>
      </x:c>
      <x:c r="Q8" s="238"/>
      <x:c r="R8" s="312" t="str">
        <x:f>IF(A8="","",SUMIFS('Payments'!$D$6:$D$205,'Payments'!$B$6:$B$205,A8))</x:f>
      </x:c>
      <x:c r="S8" s="312" t="str">
        <x:f>IF(NOT(ISNUMBER(P8)),"",P8-R8)</x:f>
      </x:c>
      <x:c r="T8" s="265" t="str">
        <x:f>IF(A8="","",IF(NOT(ISNUMBER(N8)),"Complete fee inputs",IF(NOT(ISNUMBER(P8)),IF(R8&lt;&gt;0,"Receipt before earned","Not earned"),IF(S8&lt;0,"Overpaid",IF(S8=0,"Paid",IF(Q8="","Set due date",IF(Q8&lt;TODAY(),"Overdue","Awaiting payment")))))))</x:f>
      </x:c>
      <x:c r="U8" s="235"/>
      <x:c r="V8" s="235"/>
      <x:c r="W8" s="239"/>
      <x:c r="X8" s="238"/>
      <x:c r="Y8" s="238"/>
      <x:c r="Z8" s="238"/>
      <x:c r="AA8" s="235"/>
      <x:c r="AB8" s="315" t="str">
        <x:f>IF(A8="","",IF(COUNTIFS($A$6:$A$205,A8)&gt;1,"Duplicate ID",IF(OR(B8="",COUNTIFS('Clients'!$A$6:$A$205,B8)&lt;&gt;1),"Check Client ID",IF(OR(C8="",COUNTIFS('Properties'!$A$6:$A$205,C8)&lt;&gt;1),"Check Property ID",IF(E8="","Set deal stage",IF(NOT(ISNUMBER(X8)),"Add opened date",IF(AND(E8&lt;&gt;"Completed",E8&lt;&gt;"Cancelled",NOT(ISNUMBER(Y8))),"Add target close date",IF(AND(OR(E8="Completed",E8="Cancelled"),NOT(ISNUMBER(Z8))),"Add closed date",IF(AND(E8="Completed",NOT(ISNUMBER(O8))),"Add earned date",IF(AND(E8="Cancelled",AA8=""),"Add outcome reason",IF(AND(E8&lt;&gt;"Cancelled",NOT(ISNUMBER(N8))),"Complete fee inputs",IF(AND(ISNUMBER(Z8),ISNUMBER(X8),Z8&lt;X8),"Check closed date",""))))))))))))</x:f>
      </x:c>
      <x:c r="AC8" s="791"/>
      <x:c r="AD8" s="791"/>
      <x:c r="AE8" s="791"/>
      <x:c r="AF8" s="791"/>
      <x:c r="AG8" s="794"/>
      <x:c r="AH8" s="791"/>
    </x:row>
    <x:row r="9" ht="26" customHeight="1">
      <x:c r="A9" s="319"/>
      <x:c r="B9" s="320"/>
      <x:c r="C9" s="274"/>
      <x:c r="D9" s="274"/>
      <x:c r="E9" s="274"/>
      <x:c r="F9" s="302"/>
      <x:c r="G9" s="274"/>
      <x:c r="H9" s="303"/>
      <x:c r="I9" s="302"/>
      <x:c r="J9" s="312" t="str">
        <x:f>IF(A9="","",IF(G9="Fixed",IF(NOT(ISNUMBER(I9)),"",I9),IF(G9="Percentage",IF(OR(NOT(ISNUMBER(F9)),NOT(ISNUMBER(H9))),"",ROUND(F9*H9,2)),"")))</x:f>
      </x:c>
      <x:c r="K9" s="303"/>
      <x:c r="L9" s="312" t="str">
        <x:f>IF(OR(NOT(ISNUMBER(J9)),NOT(ISNUMBER(K9))),"",ROUND(J9*(1-K9),2))</x:f>
      </x:c>
      <x:c r="M9" s="303"/>
      <x:c r="N9" s="312" t="str">
        <x:f>IF(OR(NOT(ISNUMBER(L9)),NOT(ISNUMBER(M9))),"",ROUND(L9*M9,2))</x:f>
      </x:c>
      <x:c r="O9" s="304"/>
      <x:c r="P9" s="312" t="str">
        <x:f>IF(A9="","",IF(OR(E9&lt;&gt;"Completed",O9="",NOT(ISNUMBER(N9))),"",N9))</x:f>
      </x:c>
      <x:c r="Q9" s="304"/>
      <x:c r="R9" s="312" t="str">
        <x:f>IF(A9="","",SUMIFS('Payments'!$D$6:$D$205,'Payments'!$B$6:$B$205,A9))</x:f>
      </x:c>
      <x:c r="S9" s="312" t="str">
        <x:f>IF(NOT(ISNUMBER(P9)),"",P9-R9)</x:f>
      </x:c>
      <x:c r="T9" s="265" t="str">
        <x:f>IF(A9="","",IF(NOT(ISNUMBER(N9)),"Complete fee inputs",IF(NOT(ISNUMBER(P9)),IF(R9&lt;&gt;0,"Receipt before earned","Not earned"),IF(S9&lt;0,"Overpaid",IF(S9=0,"Paid",IF(Q9="","Set due date",IF(Q9&lt;TODAY(),"Overdue","Awaiting payment")))))))</x:f>
      </x:c>
      <x:c r="U9" s="274"/>
      <x:c r="V9" s="274"/>
      <x:c r="W9" s="280"/>
      <x:c r="X9" s="304"/>
      <x:c r="Y9" s="304"/>
      <x:c r="Z9" s="304"/>
      <x:c r="AA9" s="274"/>
      <x:c r="AB9" s="315" t="str">
        <x:f>IF(A9="","",IF(COUNTIFS($A$6:$A$205,A9)&gt;1,"Duplicate ID",IF(OR(B9="",COUNTIFS('Clients'!$A$6:$A$205,B9)&lt;&gt;1),"Check Client ID",IF(OR(C9="",COUNTIFS('Properties'!$A$6:$A$205,C9)&lt;&gt;1),"Check Property ID",IF(E9="","Set deal stage",IF(NOT(ISNUMBER(X9)),"Add opened date",IF(AND(E9&lt;&gt;"Completed",E9&lt;&gt;"Cancelled",NOT(ISNUMBER(Y9))),"Add target close date",IF(AND(OR(E9="Completed",E9="Cancelled"),NOT(ISNUMBER(Z9))),"Add closed date",IF(AND(E9="Completed",NOT(ISNUMBER(O9))),"Add earned date",IF(AND(E9="Cancelled",AA9=""),"Add outcome reason",IF(AND(E9&lt;&gt;"Cancelled",NOT(ISNUMBER(N9))),"Complete fee inputs",IF(AND(ISNUMBER(Z9),ISNUMBER(X9),Z9&lt;X9),"Check closed date",""))))))))))))</x:f>
      </x:c>
      <x:c r="AC9" s="791"/>
      <x:c r="AD9" s="791"/>
      <x:c r="AE9" s="791"/>
      <x:c r="AF9" s="791"/>
      <x:c r="AG9" s="794"/>
      <x:c r="AH9" s="791"/>
    </x:row>
    <x:row r="10" ht="26" customHeight="1">
      <x:c r="A10" s="317"/>
      <x:c r="B10" s="318"/>
      <x:c r="C10" s="235"/>
      <x:c r="D10" s="235"/>
      <x:c r="E10" s="235"/>
      <x:c r="F10" s="236"/>
      <x:c r="G10" s="235"/>
      <x:c r="H10" s="237"/>
      <x:c r="I10" s="236"/>
      <x:c r="J10" s="312" t="str">
        <x:f>IF(A10="","",IF(G10="Fixed",IF(NOT(ISNUMBER(I10)),"",I10),IF(G10="Percentage",IF(OR(NOT(ISNUMBER(F10)),NOT(ISNUMBER(H10))),"",ROUND(F10*H10,2)),"")))</x:f>
      </x:c>
      <x:c r="K10" s="237"/>
      <x:c r="L10" s="312" t="str">
        <x:f>IF(OR(NOT(ISNUMBER(J10)),NOT(ISNUMBER(K10))),"",ROUND(J10*(1-K10),2))</x:f>
      </x:c>
      <x:c r="M10" s="237"/>
      <x:c r="N10" s="312" t="str">
        <x:f>IF(OR(NOT(ISNUMBER(L10)),NOT(ISNUMBER(M10))),"",ROUND(L10*M10,2))</x:f>
      </x:c>
      <x:c r="O10" s="238"/>
      <x:c r="P10" s="312" t="str">
        <x:f>IF(A10="","",IF(OR(E10&lt;&gt;"Completed",O10="",NOT(ISNUMBER(N10))),"",N10))</x:f>
      </x:c>
      <x:c r="Q10" s="238"/>
      <x:c r="R10" s="312" t="str">
        <x:f>IF(A10="","",SUMIFS('Payments'!$D$6:$D$205,'Payments'!$B$6:$B$205,A10))</x:f>
      </x:c>
      <x:c r="S10" s="312" t="str">
        <x:f>IF(NOT(ISNUMBER(P10)),"",P10-R10)</x:f>
      </x:c>
      <x:c r="T10" s="265" t="str">
        <x:f>IF(A10="","",IF(NOT(ISNUMBER(N10)),"Complete fee inputs",IF(NOT(ISNUMBER(P10)),IF(R10&lt;&gt;0,"Receipt before earned","Not earned"),IF(S10&lt;0,"Overpaid",IF(S10=0,"Paid",IF(Q10="","Set due date",IF(Q10&lt;TODAY(),"Overdue","Awaiting payment")))))))</x:f>
      </x:c>
      <x:c r="U10" s="235"/>
      <x:c r="V10" s="235"/>
      <x:c r="W10" s="239"/>
      <x:c r="X10" s="238"/>
      <x:c r="Y10" s="238"/>
      <x:c r="Z10" s="238"/>
      <x:c r="AA10" s="235"/>
      <x:c r="AB10" s="315" t="str">
        <x:f>IF(A10="","",IF(COUNTIFS($A$6:$A$205,A10)&gt;1,"Duplicate ID",IF(OR(B10="",COUNTIFS('Clients'!$A$6:$A$205,B10)&lt;&gt;1),"Check Client ID",IF(OR(C10="",COUNTIFS('Properties'!$A$6:$A$205,C10)&lt;&gt;1),"Check Property ID",IF(E10="","Set deal stage",IF(NOT(ISNUMBER(X10)),"Add opened date",IF(AND(E10&lt;&gt;"Completed",E10&lt;&gt;"Cancelled",NOT(ISNUMBER(Y10))),"Add target close date",IF(AND(OR(E10="Completed",E10="Cancelled"),NOT(ISNUMBER(Z10))),"Add closed date",IF(AND(E10="Completed",NOT(ISNUMBER(O10))),"Add earned date",IF(AND(E10="Cancelled",AA10=""),"Add outcome reason",IF(AND(E10&lt;&gt;"Cancelled",NOT(ISNUMBER(N10))),"Complete fee inputs",IF(AND(ISNUMBER(Z10),ISNUMBER(X10),Z10&lt;X10),"Check closed date",""))))))))))))</x:f>
      </x:c>
      <x:c r="AC10" s="791"/>
      <x:c r="AD10" s="791"/>
      <x:c r="AE10" s="791"/>
      <x:c r="AF10" s="791"/>
      <x:c r="AG10" s="794"/>
      <x:c r="AH10" s="791"/>
    </x:row>
    <x:row r="11" ht="26" customHeight="1">
      <x:c r="A11" s="319"/>
      <x:c r="B11" s="320"/>
      <x:c r="C11" s="274"/>
      <x:c r="D11" s="274"/>
      <x:c r="E11" s="274"/>
      <x:c r="F11" s="302"/>
      <x:c r="G11" s="274"/>
      <x:c r="H11" s="303"/>
      <x:c r="I11" s="302"/>
      <x:c r="J11" s="312" t="str">
        <x:f>IF(A11="","",IF(G11="Fixed",IF(NOT(ISNUMBER(I11)),"",I11),IF(G11="Percentage",IF(OR(NOT(ISNUMBER(F11)),NOT(ISNUMBER(H11))),"",ROUND(F11*H11,2)),"")))</x:f>
      </x:c>
      <x:c r="K11" s="303"/>
      <x:c r="L11" s="312" t="str">
        <x:f>IF(OR(NOT(ISNUMBER(J11)),NOT(ISNUMBER(K11))),"",ROUND(J11*(1-K11),2))</x:f>
      </x:c>
      <x:c r="M11" s="303"/>
      <x:c r="N11" s="312" t="str">
        <x:f>IF(OR(NOT(ISNUMBER(L11)),NOT(ISNUMBER(M11))),"",ROUND(L11*M11,2))</x:f>
      </x:c>
      <x:c r="O11" s="304"/>
      <x:c r="P11" s="312" t="str">
        <x:f>IF(A11="","",IF(OR(E11&lt;&gt;"Completed",O11="",NOT(ISNUMBER(N11))),"",N11))</x:f>
      </x:c>
      <x:c r="Q11" s="304"/>
      <x:c r="R11" s="312" t="str">
        <x:f>IF(A11="","",SUMIFS('Payments'!$D$6:$D$205,'Payments'!$B$6:$B$205,A11))</x:f>
      </x:c>
      <x:c r="S11" s="312" t="str">
        <x:f>IF(NOT(ISNUMBER(P11)),"",P11-R11)</x:f>
      </x:c>
      <x:c r="T11" s="265" t="str">
        <x:f>IF(A11="","",IF(NOT(ISNUMBER(N11)),"Complete fee inputs",IF(NOT(ISNUMBER(P11)),IF(R11&lt;&gt;0,"Receipt before earned","Not earned"),IF(S11&lt;0,"Overpaid",IF(S11=0,"Paid",IF(Q11="","Set due date",IF(Q11&lt;TODAY(),"Overdue","Awaiting payment")))))))</x:f>
      </x:c>
      <x:c r="U11" s="274"/>
      <x:c r="V11" s="274"/>
      <x:c r="W11" s="280"/>
      <x:c r="X11" s="304"/>
      <x:c r="Y11" s="304"/>
      <x:c r="Z11" s="304"/>
      <x:c r="AA11" s="274"/>
      <x:c r="AB11" s="315" t="str">
        <x:f>IF(A11="","",IF(COUNTIFS($A$6:$A$205,A11)&gt;1,"Duplicate ID",IF(OR(B11="",COUNTIFS('Clients'!$A$6:$A$205,B11)&lt;&gt;1),"Check Client ID",IF(OR(C11="",COUNTIFS('Properties'!$A$6:$A$205,C11)&lt;&gt;1),"Check Property ID",IF(E11="","Set deal stage",IF(NOT(ISNUMBER(X11)),"Add opened date",IF(AND(E11&lt;&gt;"Completed",E11&lt;&gt;"Cancelled",NOT(ISNUMBER(Y11))),"Add target close date",IF(AND(OR(E11="Completed",E11="Cancelled"),NOT(ISNUMBER(Z11))),"Add closed date",IF(AND(E11="Completed",NOT(ISNUMBER(O11))),"Add earned date",IF(AND(E11="Cancelled",AA11=""),"Add outcome reason",IF(AND(E11&lt;&gt;"Cancelled",NOT(ISNUMBER(N11))),"Complete fee inputs",IF(AND(ISNUMBER(Z11),ISNUMBER(X11),Z11&lt;X11),"Check closed date",""))))))))))))</x:f>
      </x:c>
      <x:c r="AC11" s="791"/>
      <x:c r="AD11" s="791"/>
      <x:c r="AE11" s="791"/>
      <x:c r="AF11" s="791"/>
      <x:c r="AG11" s="794"/>
      <x:c r="AH11" s="791"/>
    </x:row>
    <x:row r="12" ht="26" customHeight="1">
      <x:c r="A12" s="317"/>
      <x:c r="B12" s="318"/>
      <x:c r="C12" s="235"/>
      <x:c r="D12" s="235"/>
      <x:c r="E12" s="235"/>
      <x:c r="F12" s="236"/>
      <x:c r="G12" s="235"/>
      <x:c r="H12" s="237"/>
      <x:c r="I12" s="236"/>
      <x:c r="J12" s="312" t="str">
        <x:f>IF(A12="","",IF(G12="Fixed",IF(NOT(ISNUMBER(I12)),"",I12),IF(G12="Percentage",IF(OR(NOT(ISNUMBER(F12)),NOT(ISNUMBER(H12))),"",ROUND(F12*H12,2)),"")))</x:f>
      </x:c>
      <x:c r="K12" s="237"/>
      <x:c r="L12" s="312" t="str">
        <x:f>IF(OR(NOT(ISNUMBER(J12)),NOT(ISNUMBER(K12))),"",ROUND(J12*(1-K12),2))</x:f>
      </x:c>
      <x:c r="M12" s="237"/>
      <x:c r="N12" s="312" t="str">
        <x:f>IF(OR(NOT(ISNUMBER(L12)),NOT(ISNUMBER(M12))),"",ROUND(L12*M12,2))</x:f>
      </x:c>
      <x:c r="O12" s="238"/>
      <x:c r="P12" s="312" t="str">
        <x:f>IF(A12="","",IF(OR(E12&lt;&gt;"Completed",O12="",NOT(ISNUMBER(N12))),"",N12))</x:f>
      </x:c>
      <x:c r="Q12" s="238"/>
      <x:c r="R12" s="312" t="str">
        <x:f>IF(A12="","",SUMIFS('Payments'!$D$6:$D$205,'Payments'!$B$6:$B$205,A12))</x:f>
      </x:c>
      <x:c r="S12" s="312" t="str">
        <x:f>IF(NOT(ISNUMBER(P12)),"",P12-R12)</x:f>
      </x:c>
      <x:c r="T12" s="265" t="str">
        <x:f>IF(A12="","",IF(NOT(ISNUMBER(N12)),"Complete fee inputs",IF(NOT(ISNUMBER(P12)),IF(R12&lt;&gt;0,"Receipt before earned","Not earned"),IF(S12&lt;0,"Overpaid",IF(S12=0,"Paid",IF(Q12="","Set due date",IF(Q12&lt;TODAY(),"Overdue","Awaiting payment")))))))</x:f>
      </x:c>
      <x:c r="U12" s="235"/>
      <x:c r="V12" s="235"/>
      <x:c r="W12" s="239"/>
      <x:c r="X12" s="238"/>
      <x:c r="Y12" s="238"/>
      <x:c r="Z12" s="238"/>
      <x:c r="AA12" s="235"/>
      <x:c r="AB12" s="315" t="str">
        <x:f>IF(A12="","",IF(COUNTIFS($A$6:$A$205,A12)&gt;1,"Duplicate ID",IF(OR(B12="",COUNTIFS('Clients'!$A$6:$A$205,B12)&lt;&gt;1),"Check Client ID",IF(OR(C12="",COUNTIFS('Properties'!$A$6:$A$205,C12)&lt;&gt;1),"Check Property ID",IF(E12="","Set deal stage",IF(NOT(ISNUMBER(X12)),"Add opened date",IF(AND(E12&lt;&gt;"Completed",E12&lt;&gt;"Cancelled",NOT(ISNUMBER(Y12))),"Add target close date",IF(AND(OR(E12="Completed",E12="Cancelled"),NOT(ISNUMBER(Z12))),"Add closed date",IF(AND(E12="Completed",NOT(ISNUMBER(O12))),"Add earned date",IF(AND(E12="Cancelled",AA12=""),"Add outcome reason",IF(AND(E12&lt;&gt;"Cancelled",NOT(ISNUMBER(N12))),"Complete fee inputs",IF(AND(ISNUMBER(Z12),ISNUMBER(X12),Z12&lt;X12),"Check closed date",""))))))))))))</x:f>
      </x:c>
      <x:c r="AC12" s="791"/>
      <x:c r="AD12" s="791"/>
      <x:c r="AE12" s="791"/>
      <x:c r="AF12" s="791"/>
      <x:c r="AG12" s="794"/>
      <x:c r="AH12" s="791"/>
    </x:row>
    <x:row r="13" ht="26" customHeight="1">
      <x:c r="A13" s="319"/>
      <x:c r="B13" s="320"/>
      <x:c r="C13" s="274"/>
      <x:c r="D13" s="274"/>
      <x:c r="E13" s="274"/>
      <x:c r="F13" s="302"/>
      <x:c r="G13" s="274"/>
      <x:c r="H13" s="303"/>
      <x:c r="I13" s="302"/>
      <x:c r="J13" s="312" t="str">
        <x:f>IF(A13="","",IF(G13="Fixed",IF(NOT(ISNUMBER(I13)),"",I13),IF(G13="Percentage",IF(OR(NOT(ISNUMBER(F13)),NOT(ISNUMBER(H13))),"",ROUND(F13*H13,2)),"")))</x:f>
      </x:c>
      <x:c r="K13" s="303"/>
      <x:c r="L13" s="312" t="str">
        <x:f>IF(OR(NOT(ISNUMBER(J13)),NOT(ISNUMBER(K13))),"",ROUND(J13*(1-K13),2))</x:f>
      </x:c>
      <x:c r="M13" s="303"/>
      <x:c r="N13" s="312" t="str">
        <x:f>IF(OR(NOT(ISNUMBER(L13)),NOT(ISNUMBER(M13))),"",ROUND(L13*M13,2))</x:f>
      </x:c>
      <x:c r="O13" s="304"/>
      <x:c r="P13" s="312" t="str">
        <x:f>IF(A13="","",IF(OR(E13&lt;&gt;"Completed",O13="",NOT(ISNUMBER(N13))),"",N13))</x:f>
      </x:c>
      <x:c r="Q13" s="304"/>
      <x:c r="R13" s="312" t="str">
        <x:f>IF(A13="","",SUMIFS('Payments'!$D$6:$D$205,'Payments'!$B$6:$B$205,A13))</x:f>
      </x:c>
      <x:c r="S13" s="312" t="str">
        <x:f>IF(NOT(ISNUMBER(P13)),"",P13-R13)</x:f>
      </x:c>
      <x:c r="T13" s="265" t="str">
        <x:f>IF(A13="","",IF(NOT(ISNUMBER(N13)),"Complete fee inputs",IF(NOT(ISNUMBER(P13)),IF(R13&lt;&gt;0,"Receipt before earned","Not earned"),IF(S13&lt;0,"Overpaid",IF(S13=0,"Paid",IF(Q13="","Set due date",IF(Q13&lt;TODAY(),"Overdue","Awaiting payment")))))))</x:f>
      </x:c>
      <x:c r="U13" s="274"/>
      <x:c r="V13" s="274"/>
      <x:c r="W13" s="280"/>
      <x:c r="X13" s="304"/>
      <x:c r="Y13" s="304"/>
      <x:c r="Z13" s="304"/>
      <x:c r="AA13" s="274"/>
      <x:c r="AB13" s="315" t="str">
        <x:f>IF(A13="","",IF(COUNTIFS($A$6:$A$205,A13)&gt;1,"Duplicate ID",IF(OR(B13="",COUNTIFS('Clients'!$A$6:$A$205,B13)&lt;&gt;1),"Check Client ID",IF(OR(C13="",COUNTIFS('Properties'!$A$6:$A$205,C13)&lt;&gt;1),"Check Property ID",IF(E13="","Set deal stage",IF(NOT(ISNUMBER(X13)),"Add opened date",IF(AND(E13&lt;&gt;"Completed",E13&lt;&gt;"Cancelled",NOT(ISNUMBER(Y13))),"Add target close date",IF(AND(OR(E13="Completed",E13="Cancelled"),NOT(ISNUMBER(Z13))),"Add closed date",IF(AND(E13="Completed",NOT(ISNUMBER(O13))),"Add earned date",IF(AND(E13="Cancelled",AA13=""),"Add outcome reason",IF(AND(E13&lt;&gt;"Cancelled",NOT(ISNUMBER(N13))),"Complete fee inputs",IF(AND(ISNUMBER(Z13),ISNUMBER(X13),Z13&lt;X13),"Check closed date",""))))))))))))</x:f>
      </x:c>
      <x:c r="AC13" s="791"/>
      <x:c r="AD13" s="791"/>
      <x:c r="AE13" s="791"/>
      <x:c r="AF13" s="791"/>
      <x:c r="AG13" s="794"/>
      <x:c r="AH13" s="791"/>
    </x:row>
    <x:row r="14" ht="26" customHeight="1">
      <x:c r="A14" s="317"/>
      <x:c r="B14" s="318"/>
      <x:c r="C14" s="235"/>
      <x:c r="D14" s="235"/>
      <x:c r="E14" s="235"/>
      <x:c r="F14" s="236"/>
      <x:c r="G14" s="235"/>
      <x:c r="H14" s="237"/>
      <x:c r="I14" s="236"/>
      <x:c r="J14" s="312" t="str">
        <x:f>IF(A14="","",IF(G14="Fixed",IF(NOT(ISNUMBER(I14)),"",I14),IF(G14="Percentage",IF(OR(NOT(ISNUMBER(F14)),NOT(ISNUMBER(H14))),"",ROUND(F14*H14,2)),"")))</x:f>
      </x:c>
      <x:c r="K14" s="237"/>
      <x:c r="L14" s="312" t="str">
        <x:f>IF(OR(NOT(ISNUMBER(J14)),NOT(ISNUMBER(K14))),"",ROUND(J14*(1-K14),2))</x:f>
      </x:c>
      <x:c r="M14" s="237"/>
      <x:c r="N14" s="312" t="str">
        <x:f>IF(OR(NOT(ISNUMBER(L14)),NOT(ISNUMBER(M14))),"",ROUND(L14*M14,2))</x:f>
      </x:c>
      <x:c r="O14" s="238"/>
      <x:c r="P14" s="312" t="str">
        <x:f>IF(A14="","",IF(OR(E14&lt;&gt;"Completed",O14="",NOT(ISNUMBER(N14))),"",N14))</x:f>
      </x:c>
      <x:c r="Q14" s="238"/>
      <x:c r="R14" s="312" t="str">
        <x:f>IF(A14="","",SUMIFS('Payments'!$D$6:$D$205,'Payments'!$B$6:$B$205,A14))</x:f>
      </x:c>
      <x:c r="S14" s="312" t="str">
        <x:f>IF(NOT(ISNUMBER(P14)),"",P14-R14)</x:f>
      </x:c>
      <x:c r="T14" s="265" t="str">
        <x:f>IF(A14="","",IF(NOT(ISNUMBER(N14)),"Complete fee inputs",IF(NOT(ISNUMBER(P14)),IF(R14&lt;&gt;0,"Receipt before earned","Not earned"),IF(S14&lt;0,"Overpaid",IF(S14=0,"Paid",IF(Q14="","Set due date",IF(Q14&lt;TODAY(),"Overdue","Awaiting payment")))))))</x:f>
      </x:c>
      <x:c r="U14" s="235"/>
      <x:c r="V14" s="235"/>
      <x:c r="W14" s="239"/>
      <x:c r="X14" s="238"/>
      <x:c r="Y14" s="238"/>
      <x:c r="Z14" s="238"/>
      <x:c r="AA14" s="235"/>
      <x:c r="AB14" s="315" t="str">
        <x:f>IF(A14="","",IF(COUNTIFS($A$6:$A$205,A14)&gt;1,"Duplicate ID",IF(OR(B14="",COUNTIFS('Clients'!$A$6:$A$205,B14)&lt;&gt;1),"Check Client ID",IF(OR(C14="",COUNTIFS('Properties'!$A$6:$A$205,C14)&lt;&gt;1),"Check Property ID",IF(E14="","Set deal stage",IF(NOT(ISNUMBER(X14)),"Add opened date",IF(AND(E14&lt;&gt;"Completed",E14&lt;&gt;"Cancelled",NOT(ISNUMBER(Y14))),"Add target close date",IF(AND(OR(E14="Completed",E14="Cancelled"),NOT(ISNUMBER(Z14))),"Add closed date",IF(AND(E14="Completed",NOT(ISNUMBER(O14))),"Add earned date",IF(AND(E14="Cancelled",AA14=""),"Add outcome reason",IF(AND(E14&lt;&gt;"Cancelled",NOT(ISNUMBER(N14))),"Complete fee inputs",IF(AND(ISNUMBER(Z14),ISNUMBER(X14),Z14&lt;X14),"Check closed date",""))))))))))))</x:f>
      </x:c>
      <x:c r="AC14" s="791"/>
      <x:c r="AD14" s="791"/>
      <x:c r="AE14" s="791"/>
      <x:c r="AF14" s="791"/>
      <x:c r="AG14" s="794"/>
      <x:c r="AH14" s="791"/>
    </x:row>
    <x:row r="15" ht="26" customHeight="1">
      <x:c r="A15" s="319"/>
      <x:c r="B15" s="320"/>
      <x:c r="C15" s="274"/>
      <x:c r="D15" s="274"/>
      <x:c r="E15" s="274"/>
      <x:c r="F15" s="302"/>
      <x:c r="G15" s="274"/>
      <x:c r="H15" s="303"/>
      <x:c r="I15" s="302"/>
      <x:c r="J15" s="312" t="str">
        <x:f>IF(A15="","",IF(G15="Fixed",IF(NOT(ISNUMBER(I15)),"",I15),IF(G15="Percentage",IF(OR(NOT(ISNUMBER(F15)),NOT(ISNUMBER(H15))),"",ROUND(F15*H15,2)),"")))</x:f>
      </x:c>
      <x:c r="K15" s="303"/>
      <x:c r="L15" s="312" t="str">
        <x:f>IF(OR(NOT(ISNUMBER(J15)),NOT(ISNUMBER(K15))),"",ROUND(J15*(1-K15),2))</x:f>
      </x:c>
      <x:c r="M15" s="303"/>
      <x:c r="N15" s="312" t="str">
        <x:f>IF(OR(NOT(ISNUMBER(L15)),NOT(ISNUMBER(M15))),"",ROUND(L15*M15,2))</x:f>
      </x:c>
      <x:c r="O15" s="304"/>
      <x:c r="P15" s="312" t="str">
        <x:f>IF(A15="","",IF(OR(E15&lt;&gt;"Completed",O15="",NOT(ISNUMBER(N15))),"",N15))</x:f>
      </x:c>
      <x:c r="Q15" s="304"/>
      <x:c r="R15" s="312" t="str">
        <x:f>IF(A15="","",SUMIFS('Payments'!$D$6:$D$205,'Payments'!$B$6:$B$205,A15))</x:f>
      </x:c>
      <x:c r="S15" s="312" t="str">
        <x:f>IF(NOT(ISNUMBER(P15)),"",P15-R15)</x:f>
      </x:c>
      <x:c r="T15" s="265" t="str">
        <x:f>IF(A15="","",IF(NOT(ISNUMBER(N15)),"Complete fee inputs",IF(NOT(ISNUMBER(P15)),IF(R15&lt;&gt;0,"Receipt before earned","Not earned"),IF(S15&lt;0,"Overpaid",IF(S15=0,"Paid",IF(Q15="","Set due date",IF(Q15&lt;TODAY(),"Overdue","Awaiting payment")))))))</x:f>
      </x:c>
      <x:c r="U15" s="274"/>
      <x:c r="V15" s="274"/>
      <x:c r="W15" s="280"/>
      <x:c r="X15" s="304"/>
      <x:c r="Y15" s="304"/>
      <x:c r="Z15" s="304"/>
      <x:c r="AA15" s="274"/>
      <x:c r="AB15" s="315" t="str">
        <x:f>IF(A15="","",IF(COUNTIFS($A$6:$A$205,A15)&gt;1,"Duplicate ID",IF(OR(B15="",COUNTIFS('Clients'!$A$6:$A$205,B15)&lt;&gt;1),"Check Client ID",IF(OR(C15="",COUNTIFS('Properties'!$A$6:$A$205,C15)&lt;&gt;1),"Check Property ID",IF(E15="","Set deal stage",IF(NOT(ISNUMBER(X15)),"Add opened date",IF(AND(E15&lt;&gt;"Completed",E15&lt;&gt;"Cancelled",NOT(ISNUMBER(Y15))),"Add target close date",IF(AND(OR(E15="Completed",E15="Cancelled"),NOT(ISNUMBER(Z15))),"Add closed date",IF(AND(E15="Completed",NOT(ISNUMBER(O15))),"Add earned date",IF(AND(E15="Cancelled",AA15=""),"Add outcome reason",IF(AND(E15&lt;&gt;"Cancelled",NOT(ISNUMBER(N15))),"Complete fee inputs",IF(AND(ISNUMBER(Z15),ISNUMBER(X15),Z15&lt;X15),"Check closed date",""))))))))))))</x:f>
      </x:c>
      <x:c r="AC15" s="791"/>
      <x:c r="AD15" s="791"/>
      <x:c r="AE15" s="791"/>
      <x:c r="AF15" s="791"/>
      <x:c r="AG15" s="794"/>
      <x:c r="AH15" s="791"/>
    </x:row>
    <x:row r="16" ht="26" customHeight="1">
      <x:c r="A16" s="317"/>
      <x:c r="B16" s="318"/>
      <x:c r="C16" s="235"/>
      <x:c r="D16" s="235"/>
      <x:c r="E16" s="235"/>
      <x:c r="F16" s="236"/>
      <x:c r="G16" s="235"/>
      <x:c r="H16" s="237"/>
      <x:c r="I16" s="236"/>
      <x:c r="J16" s="312" t="str">
        <x:f>IF(A16="","",IF(G16="Fixed",IF(NOT(ISNUMBER(I16)),"",I16),IF(G16="Percentage",IF(OR(NOT(ISNUMBER(F16)),NOT(ISNUMBER(H16))),"",ROUND(F16*H16,2)),"")))</x:f>
      </x:c>
      <x:c r="K16" s="237"/>
      <x:c r="L16" s="312" t="str">
        <x:f>IF(OR(NOT(ISNUMBER(J16)),NOT(ISNUMBER(K16))),"",ROUND(J16*(1-K16),2))</x:f>
      </x:c>
      <x:c r="M16" s="237"/>
      <x:c r="N16" s="312" t="str">
        <x:f>IF(OR(NOT(ISNUMBER(L16)),NOT(ISNUMBER(M16))),"",ROUND(L16*M16,2))</x:f>
      </x:c>
      <x:c r="O16" s="238"/>
      <x:c r="P16" s="312" t="str">
        <x:f>IF(A16="","",IF(OR(E16&lt;&gt;"Completed",O16="",NOT(ISNUMBER(N16))),"",N16))</x:f>
      </x:c>
      <x:c r="Q16" s="238"/>
      <x:c r="R16" s="312" t="str">
        <x:f>IF(A16="","",SUMIFS('Payments'!$D$6:$D$205,'Payments'!$B$6:$B$205,A16))</x:f>
      </x:c>
      <x:c r="S16" s="312" t="str">
        <x:f>IF(NOT(ISNUMBER(P16)),"",P16-R16)</x:f>
      </x:c>
      <x:c r="T16" s="265" t="str">
        <x:f>IF(A16="","",IF(NOT(ISNUMBER(N16)),"Complete fee inputs",IF(NOT(ISNUMBER(P16)),IF(R16&lt;&gt;0,"Receipt before earned","Not earned"),IF(S16&lt;0,"Overpaid",IF(S16=0,"Paid",IF(Q16="","Set due date",IF(Q16&lt;TODAY(),"Overdue","Awaiting payment")))))))</x:f>
      </x:c>
      <x:c r="U16" s="235"/>
      <x:c r="V16" s="235"/>
      <x:c r="W16" s="239"/>
      <x:c r="X16" s="238"/>
      <x:c r="Y16" s="238"/>
      <x:c r="Z16" s="238"/>
      <x:c r="AA16" s="235"/>
      <x:c r="AB16" s="315" t="str">
        <x:f>IF(A16="","",IF(COUNTIFS($A$6:$A$205,A16)&gt;1,"Duplicate ID",IF(OR(B16="",COUNTIFS('Clients'!$A$6:$A$205,B16)&lt;&gt;1),"Check Client ID",IF(OR(C16="",COUNTIFS('Properties'!$A$6:$A$205,C16)&lt;&gt;1),"Check Property ID",IF(E16="","Set deal stage",IF(NOT(ISNUMBER(X16)),"Add opened date",IF(AND(E16&lt;&gt;"Completed",E16&lt;&gt;"Cancelled",NOT(ISNUMBER(Y16))),"Add target close date",IF(AND(OR(E16="Completed",E16="Cancelled"),NOT(ISNUMBER(Z16))),"Add closed date",IF(AND(E16="Completed",NOT(ISNUMBER(O16))),"Add earned date",IF(AND(E16="Cancelled",AA16=""),"Add outcome reason",IF(AND(E16&lt;&gt;"Cancelled",NOT(ISNUMBER(N16))),"Complete fee inputs",IF(AND(ISNUMBER(Z16),ISNUMBER(X16),Z16&lt;X16),"Check closed date",""))))))))))))</x:f>
      </x:c>
      <x:c r="AC16" s="791"/>
      <x:c r="AD16" s="791"/>
      <x:c r="AE16" s="791"/>
      <x:c r="AF16" s="791"/>
      <x:c r="AG16" s="794"/>
      <x:c r="AH16" s="791"/>
    </x:row>
    <x:row r="17" ht="26" customHeight="1">
      <x:c r="A17" s="319"/>
      <x:c r="B17" s="320"/>
      <x:c r="C17" s="274"/>
      <x:c r="D17" s="274"/>
      <x:c r="E17" s="274"/>
      <x:c r="F17" s="302"/>
      <x:c r="G17" s="274"/>
      <x:c r="H17" s="303"/>
      <x:c r="I17" s="302"/>
      <x:c r="J17" s="312" t="str">
        <x:f>IF(A17="","",IF(G17="Fixed",IF(NOT(ISNUMBER(I17)),"",I17),IF(G17="Percentage",IF(OR(NOT(ISNUMBER(F17)),NOT(ISNUMBER(H17))),"",ROUND(F17*H17,2)),"")))</x:f>
      </x:c>
      <x:c r="K17" s="303"/>
      <x:c r="L17" s="312" t="str">
        <x:f>IF(OR(NOT(ISNUMBER(J17)),NOT(ISNUMBER(K17))),"",ROUND(J17*(1-K17),2))</x:f>
      </x:c>
      <x:c r="M17" s="303"/>
      <x:c r="N17" s="312" t="str">
        <x:f>IF(OR(NOT(ISNUMBER(L17)),NOT(ISNUMBER(M17))),"",ROUND(L17*M17,2))</x:f>
      </x:c>
      <x:c r="O17" s="304"/>
      <x:c r="P17" s="312" t="str">
        <x:f>IF(A17="","",IF(OR(E17&lt;&gt;"Completed",O17="",NOT(ISNUMBER(N17))),"",N17))</x:f>
      </x:c>
      <x:c r="Q17" s="304"/>
      <x:c r="R17" s="312" t="str">
        <x:f>IF(A17="","",SUMIFS('Payments'!$D$6:$D$205,'Payments'!$B$6:$B$205,A17))</x:f>
      </x:c>
      <x:c r="S17" s="312" t="str">
        <x:f>IF(NOT(ISNUMBER(P17)),"",P17-R17)</x:f>
      </x:c>
      <x:c r="T17" s="265" t="str">
        <x:f>IF(A17="","",IF(NOT(ISNUMBER(N17)),"Complete fee inputs",IF(NOT(ISNUMBER(P17)),IF(R17&lt;&gt;0,"Receipt before earned","Not earned"),IF(S17&lt;0,"Overpaid",IF(S17=0,"Paid",IF(Q17="","Set due date",IF(Q17&lt;TODAY(),"Overdue","Awaiting payment")))))))</x:f>
      </x:c>
      <x:c r="U17" s="274"/>
      <x:c r="V17" s="274"/>
      <x:c r="W17" s="280"/>
      <x:c r="X17" s="304"/>
      <x:c r="Y17" s="304"/>
      <x:c r="Z17" s="304"/>
      <x:c r="AA17" s="274"/>
      <x:c r="AB17" s="315" t="str">
        <x:f>IF(A17="","",IF(COUNTIFS($A$6:$A$205,A17)&gt;1,"Duplicate ID",IF(OR(B17="",COUNTIFS('Clients'!$A$6:$A$205,B17)&lt;&gt;1),"Check Client ID",IF(OR(C17="",COUNTIFS('Properties'!$A$6:$A$205,C17)&lt;&gt;1),"Check Property ID",IF(E17="","Set deal stage",IF(NOT(ISNUMBER(X17)),"Add opened date",IF(AND(E17&lt;&gt;"Completed",E17&lt;&gt;"Cancelled",NOT(ISNUMBER(Y17))),"Add target close date",IF(AND(OR(E17="Completed",E17="Cancelled"),NOT(ISNUMBER(Z17))),"Add closed date",IF(AND(E17="Completed",NOT(ISNUMBER(O17))),"Add earned date",IF(AND(E17="Cancelled",AA17=""),"Add outcome reason",IF(AND(E17&lt;&gt;"Cancelled",NOT(ISNUMBER(N17))),"Complete fee inputs",IF(AND(ISNUMBER(Z17),ISNUMBER(X17),Z17&lt;X17),"Check closed date",""))))))))))))</x:f>
      </x:c>
      <x:c r="AC17" s="791"/>
      <x:c r="AD17" s="791"/>
      <x:c r="AE17" s="791"/>
      <x:c r="AF17" s="791"/>
      <x:c r="AG17" s="794"/>
      <x:c r="AH17" s="791"/>
    </x:row>
    <x:row r="18" ht="26" customHeight="1">
      <x:c r="A18" s="317"/>
      <x:c r="B18" s="318"/>
      <x:c r="C18" s="235"/>
      <x:c r="D18" s="235"/>
      <x:c r="E18" s="235"/>
      <x:c r="F18" s="236"/>
      <x:c r="G18" s="235"/>
      <x:c r="H18" s="237"/>
      <x:c r="I18" s="236"/>
      <x:c r="J18" s="312" t="str">
        <x:f>IF(A18="","",IF(G18="Fixed",IF(NOT(ISNUMBER(I18)),"",I18),IF(G18="Percentage",IF(OR(NOT(ISNUMBER(F18)),NOT(ISNUMBER(H18))),"",ROUND(F18*H18,2)),"")))</x:f>
      </x:c>
      <x:c r="K18" s="237"/>
      <x:c r="L18" s="312" t="str">
        <x:f>IF(OR(NOT(ISNUMBER(J18)),NOT(ISNUMBER(K18))),"",ROUND(J18*(1-K18),2))</x:f>
      </x:c>
      <x:c r="M18" s="237"/>
      <x:c r="N18" s="312" t="str">
        <x:f>IF(OR(NOT(ISNUMBER(L18)),NOT(ISNUMBER(M18))),"",ROUND(L18*M18,2))</x:f>
      </x:c>
      <x:c r="O18" s="238"/>
      <x:c r="P18" s="312" t="str">
        <x:f>IF(A18="","",IF(OR(E18&lt;&gt;"Completed",O18="",NOT(ISNUMBER(N18))),"",N18))</x:f>
      </x:c>
      <x:c r="Q18" s="238"/>
      <x:c r="R18" s="312" t="str">
        <x:f>IF(A18="","",SUMIFS('Payments'!$D$6:$D$205,'Payments'!$B$6:$B$205,A18))</x:f>
      </x:c>
      <x:c r="S18" s="312" t="str">
        <x:f>IF(NOT(ISNUMBER(P18)),"",P18-R18)</x:f>
      </x:c>
      <x:c r="T18" s="265" t="str">
        <x:f>IF(A18="","",IF(NOT(ISNUMBER(N18)),"Complete fee inputs",IF(NOT(ISNUMBER(P18)),IF(R18&lt;&gt;0,"Receipt before earned","Not earned"),IF(S18&lt;0,"Overpaid",IF(S18=0,"Paid",IF(Q18="","Set due date",IF(Q18&lt;TODAY(),"Overdue","Awaiting payment")))))))</x:f>
      </x:c>
      <x:c r="U18" s="235"/>
      <x:c r="V18" s="235"/>
      <x:c r="W18" s="239"/>
      <x:c r="X18" s="238"/>
      <x:c r="Y18" s="238"/>
      <x:c r="Z18" s="238"/>
      <x:c r="AA18" s="235"/>
      <x:c r="AB18" s="315" t="str">
        <x:f>IF(A18="","",IF(COUNTIFS($A$6:$A$205,A18)&gt;1,"Duplicate ID",IF(OR(B18="",COUNTIFS('Clients'!$A$6:$A$205,B18)&lt;&gt;1),"Check Client ID",IF(OR(C18="",COUNTIFS('Properties'!$A$6:$A$205,C18)&lt;&gt;1),"Check Property ID",IF(E18="","Set deal stage",IF(NOT(ISNUMBER(X18)),"Add opened date",IF(AND(E18&lt;&gt;"Completed",E18&lt;&gt;"Cancelled",NOT(ISNUMBER(Y18))),"Add target close date",IF(AND(OR(E18="Completed",E18="Cancelled"),NOT(ISNUMBER(Z18))),"Add closed date",IF(AND(E18="Completed",NOT(ISNUMBER(O18))),"Add earned date",IF(AND(E18="Cancelled",AA18=""),"Add outcome reason",IF(AND(E18&lt;&gt;"Cancelled",NOT(ISNUMBER(N18))),"Complete fee inputs",IF(AND(ISNUMBER(Z18),ISNUMBER(X18),Z18&lt;X18),"Check closed date",""))))))))))))</x:f>
      </x:c>
      <x:c r="AC18" s="791"/>
      <x:c r="AD18" s="791"/>
      <x:c r="AE18" s="791"/>
      <x:c r="AF18" s="791"/>
      <x:c r="AG18" s="794"/>
      <x:c r="AH18" s="791"/>
    </x:row>
    <x:row r="19" ht="26" customHeight="1">
      <x:c r="A19" s="319"/>
      <x:c r="B19" s="320"/>
      <x:c r="C19" s="274"/>
      <x:c r="D19" s="274"/>
      <x:c r="E19" s="274"/>
      <x:c r="F19" s="302"/>
      <x:c r="G19" s="274"/>
      <x:c r="H19" s="303"/>
      <x:c r="I19" s="302"/>
      <x:c r="J19" s="312" t="str">
        <x:f>IF(A19="","",IF(G19="Fixed",IF(NOT(ISNUMBER(I19)),"",I19),IF(G19="Percentage",IF(OR(NOT(ISNUMBER(F19)),NOT(ISNUMBER(H19))),"",ROUND(F19*H19,2)),"")))</x:f>
      </x:c>
      <x:c r="K19" s="303"/>
      <x:c r="L19" s="312" t="str">
        <x:f>IF(OR(NOT(ISNUMBER(J19)),NOT(ISNUMBER(K19))),"",ROUND(J19*(1-K19),2))</x:f>
      </x:c>
      <x:c r="M19" s="303"/>
      <x:c r="N19" s="312" t="str">
        <x:f>IF(OR(NOT(ISNUMBER(L19)),NOT(ISNUMBER(M19))),"",ROUND(L19*M19,2))</x:f>
      </x:c>
      <x:c r="O19" s="304"/>
      <x:c r="P19" s="312" t="str">
        <x:f>IF(A19="","",IF(OR(E19&lt;&gt;"Completed",O19="",NOT(ISNUMBER(N19))),"",N19))</x:f>
      </x:c>
      <x:c r="Q19" s="304"/>
      <x:c r="R19" s="312" t="str">
        <x:f>IF(A19="","",SUMIFS('Payments'!$D$6:$D$205,'Payments'!$B$6:$B$205,A19))</x:f>
      </x:c>
      <x:c r="S19" s="312" t="str">
        <x:f>IF(NOT(ISNUMBER(P19)),"",P19-R19)</x:f>
      </x:c>
      <x:c r="T19" s="265" t="str">
        <x:f>IF(A19="","",IF(NOT(ISNUMBER(N19)),"Complete fee inputs",IF(NOT(ISNUMBER(P19)),IF(R19&lt;&gt;0,"Receipt before earned","Not earned"),IF(S19&lt;0,"Overpaid",IF(S19=0,"Paid",IF(Q19="","Set due date",IF(Q19&lt;TODAY(),"Overdue","Awaiting payment")))))))</x:f>
      </x:c>
      <x:c r="U19" s="274"/>
      <x:c r="V19" s="274"/>
      <x:c r="W19" s="280"/>
      <x:c r="X19" s="304"/>
      <x:c r="Y19" s="304"/>
      <x:c r="Z19" s="304"/>
      <x:c r="AA19" s="274"/>
      <x:c r="AB19" s="315" t="str">
        <x:f>IF(A19="","",IF(COUNTIFS($A$6:$A$205,A19)&gt;1,"Duplicate ID",IF(OR(B19="",COUNTIFS('Clients'!$A$6:$A$205,B19)&lt;&gt;1),"Check Client ID",IF(OR(C19="",COUNTIFS('Properties'!$A$6:$A$205,C19)&lt;&gt;1),"Check Property ID",IF(E19="","Set deal stage",IF(NOT(ISNUMBER(X19)),"Add opened date",IF(AND(E19&lt;&gt;"Completed",E19&lt;&gt;"Cancelled",NOT(ISNUMBER(Y19))),"Add target close date",IF(AND(OR(E19="Completed",E19="Cancelled"),NOT(ISNUMBER(Z19))),"Add closed date",IF(AND(E19="Completed",NOT(ISNUMBER(O19))),"Add earned date",IF(AND(E19="Cancelled",AA19=""),"Add outcome reason",IF(AND(E19&lt;&gt;"Cancelled",NOT(ISNUMBER(N19))),"Complete fee inputs",IF(AND(ISNUMBER(Z19),ISNUMBER(X19),Z19&lt;X19),"Check closed date",""))))))))))))</x:f>
      </x:c>
      <x:c r="AC19" s="791"/>
      <x:c r="AD19" s="791"/>
      <x:c r="AE19" s="791"/>
      <x:c r="AF19" s="791"/>
      <x:c r="AG19" s="794"/>
      <x:c r="AH19" s="791"/>
    </x:row>
    <x:row r="20" ht="26" customHeight="1">
      <x:c r="A20" s="317"/>
      <x:c r="B20" s="318"/>
      <x:c r="C20" s="235"/>
      <x:c r="D20" s="235"/>
      <x:c r="E20" s="235"/>
      <x:c r="F20" s="236"/>
      <x:c r="G20" s="235"/>
      <x:c r="H20" s="237"/>
      <x:c r="I20" s="236"/>
      <x:c r="J20" s="312" t="str">
        <x:f>IF(A20="","",IF(G20="Fixed",IF(NOT(ISNUMBER(I20)),"",I20),IF(G20="Percentage",IF(OR(NOT(ISNUMBER(F20)),NOT(ISNUMBER(H20))),"",ROUND(F20*H20,2)),"")))</x:f>
      </x:c>
      <x:c r="K20" s="237"/>
      <x:c r="L20" s="312" t="str">
        <x:f>IF(OR(NOT(ISNUMBER(J20)),NOT(ISNUMBER(K20))),"",ROUND(J20*(1-K20),2))</x:f>
      </x:c>
      <x:c r="M20" s="237"/>
      <x:c r="N20" s="312" t="str">
        <x:f>IF(OR(NOT(ISNUMBER(L20)),NOT(ISNUMBER(M20))),"",ROUND(L20*M20,2))</x:f>
      </x:c>
      <x:c r="O20" s="238"/>
      <x:c r="P20" s="312" t="str">
        <x:f>IF(A20="","",IF(OR(E20&lt;&gt;"Completed",O20="",NOT(ISNUMBER(N20))),"",N20))</x:f>
      </x:c>
      <x:c r="Q20" s="238"/>
      <x:c r="R20" s="312" t="str">
        <x:f>IF(A20="","",SUMIFS('Payments'!$D$6:$D$205,'Payments'!$B$6:$B$205,A20))</x:f>
      </x:c>
      <x:c r="S20" s="312" t="str">
        <x:f>IF(NOT(ISNUMBER(P20)),"",P20-R20)</x:f>
      </x:c>
      <x:c r="T20" s="265" t="str">
        <x:f>IF(A20="","",IF(NOT(ISNUMBER(N20)),"Complete fee inputs",IF(NOT(ISNUMBER(P20)),IF(R20&lt;&gt;0,"Receipt before earned","Not earned"),IF(S20&lt;0,"Overpaid",IF(S20=0,"Paid",IF(Q20="","Set due date",IF(Q20&lt;TODAY(),"Overdue","Awaiting payment")))))))</x:f>
      </x:c>
      <x:c r="U20" s="235"/>
      <x:c r="V20" s="235"/>
      <x:c r="W20" s="239"/>
      <x:c r="X20" s="238"/>
      <x:c r="Y20" s="238"/>
      <x:c r="Z20" s="238"/>
      <x:c r="AA20" s="235"/>
      <x:c r="AB20" s="315" t="str">
        <x:f>IF(A20="","",IF(COUNTIFS($A$6:$A$205,A20)&gt;1,"Duplicate ID",IF(OR(B20="",COUNTIFS('Clients'!$A$6:$A$205,B20)&lt;&gt;1),"Check Client ID",IF(OR(C20="",COUNTIFS('Properties'!$A$6:$A$205,C20)&lt;&gt;1),"Check Property ID",IF(E20="","Set deal stage",IF(NOT(ISNUMBER(X20)),"Add opened date",IF(AND(E20&lt;&gt;"Completed",E20&lt;&gt;"Cancelled",NOT(ISNUMBER(Y20))),"Add target close date",IF(AND(OR(E20="Completed",E20="Cancelled"),NOT(ISNUMBER(Z20))),"Add closed date",IF(AND(E20="Completed",NOT(ISNUMBER(O20))),"Add earned date",IF(AND(E20="Cancelled",AA20=""),"Add outcome reason",IF(AND(E20&lt;&gt;"Cancelled",NOT(ISNUMBER(N20))),"Complete fee inputs",IF(AND(ISNUMBER(Z20),ISNUMBER(X20),Z20&lt;X20),"Check closed date",""))))))))))))</x:f>
      </x:c>
      <x:c r="AC20" s="791"/>
      <x:c r="AD20" s="791"/>
      <x:c r="AE20" s="791"/>
      <x:c r="AF20" s="791"/>
      <x:c r="AG20" s="794"/>
      <x:c r="AH20" s="791"/>
    </x:row>
    <x:row r="21" ht="26" customHeight="1">
      <x:c r="A21" s="319"/>
      <x:c r="B21" s="320"/>
      <x:c r="C21" s="274"/>
      <x:c r="D21" s="274"/>
      <x:c r="E21" s="274"/>
      <x:c r="F21" s="302"/>
      <x:c r="G21" s="274"/>
      <x:c r="H21" s="303"/>
      <x:c r="I21" s="302"/>
      <x:c r="J21" s="312" t="str">
        <x:f>IF(A21="","",IF(G21="Fixed",IF(NOT(ISNUMBER(I21)),"",I21),IF(G21="Percentage",IF(OR(NOT(ISNUMBER(F21)),NOT(ISNUMBER(H21))),"",ROUND(F21*H21,2)),"")))</x:f>
      </x:c>
      <x:c r="K21" s="303"/>
      <x:c r="L21" s="312" t="str">
        <x:f>IF(OR(NOT(ISNUMBER(J21)),NOT(ISNUMBER(K21))),"",ROUND(J21*(1-K21),2))</x:f>
      </x:c>
      <x:c r="M21" s="303"/>
      <x:c r="N21" s="312" t="str">
        <x:f>IF(OR(NOT(ISNUMBER(L21)),NOT(ISNUMBER(M21))),"",ROUND(L21*M21,2))</x:f>
      </x:c>
      <x:c r="O21" s="304"/>
      <x:c r="P21" s="312" t="str">
        <x:f>IF(A21="","",IF(OR(E21&lt;&gt;"Completed",O21="",NOT(ISNUMBER(N21))),"",N21))</x:f>
      </x:c>
      <x:c r="Q21" s="304"/>
      <x:c r="R21" s="312" t="str">
        <x:f>IF(A21="","",SUMIFS('Payments'!$D$6:$D$205,'Payments'!$B$6:$B$205,A21))</x:f>
      </x:c>
      <x:c r="S21" s="312" t="str">
        <x:f>IF(NOT(ISNUMBER(P21)),"",P21-R21)</x:f>
      </x:c>
      <x:c r="T21" s="265" t="str">
        <x:f>IF(A21="","",IF(NOT(ISNUMBER(N21)),"Complete fee inputs",IF(NOT(ISNUMBER(P21)),IF(R21&lt;&gt;0,"Receipt before earned","Not earned"),IF(S21&lt;0,"Overpaid",IF(S21=0,"Paid",IF(Q21="","Set due date",IF(Q21&lt;TODAY(),"Overdue","Awaiting payment")))))))</x:f>
      </x:c>
      <x:c r="U21" s="274"/>
      <x:c r="V21" s="274"/>
      <x:c r="W21" s="280"/>
      <x:c r="X21" s="304"/>
      <x:c r="Y21" s="304"/>
      <x:c r="Z21" s="304"/>
      <x:c r="AA21" s="274"/>
      <x:c r="AB21" s="315" t="str">
        <x:f>IF(A21="","",IF(COUNTIFS($A$6:$A$205,A21)&gt;1,"Duplicate ID",IF(OR(B21="",COUNTIFS('Clients'!$A$6:$A$205,B21)&lt;&gt;1),"Check Client ID",IF(OR(C21="",COUNTIFS('Properties'!$A$6:$A$205,C21)&lt;&gt;1),"Check Property ID",IF(E21="","Set deal stage",IF(NOT(ISNUMBER(X21)),"Add opened date",IF(AND(E21&lt;&gt;"Completed",E21&lt;&gt;"Cancelled",NOT(ISNUMBER(Y21))),"Add target close date",IF(AND(OR(E21="Completed",E21="Cancelled"),NOT(ISNUMBER(Z21))),"Add closed date",IF(AND(E21="Completed",NOT(ISNUMBER(O21))),"Add earned date",IF(AND(E21="Cancelled",AA21=""),"Add outcome reason",IF(AND(E21&lt;&gt;"Cancelled",NOT(ISNUMBER(N21))),"Complete fee inputs",IF(AND(ISNUMBER(Z21),ISNUMBER(X21),Z21&lt;X21),"Check closed date",""))))))))))))</x:f>
      </x:c>
      <x:c r="AC21" s="791"/>
      <x:c r="AD21" s="791"/>
      <x:c r="AE21" s="791"/>
      <x:c r="AF21" s="791"/>
      <x:c r="AG21" s="794"/>
      <x:c r="AH21" s="791"/>
    </x:row>
    <x:row r="22" ht="26" customHeight="1">
      <x:c r="A22" s="317"/>
      <x:c r="B22" s="318"/>
      <x:c r="C22" s="235"/>
      <x:c r="D22" s="235"/>
      <x:c r="E22" s="235"/>
      <x:c r="F22" s="236"/>
      <x:c r="G22" s="235"/>
      <x:c r="H22" s="237"/>
      <x:c r="I22" s="236"/>
      <x:c r="J22" s="312" t="str">
        <x:f>IF(A22="","",IF(G22="Fixed",IF(NOT(ISNUMBER(I22)),"",I22),IF(G22="Percentage",IF(OR(NOT(ISNUMBER(F22)),NOT(ISNUMBER(H22))),"",ROUND(F22*H22,2)),"")))</x:f>
      </x:c>
      <x:c r="K22" s="237"/>
      <x:c r="L22" s="312" t="str">
        <x:f>IF(OR(NOT(ISNUMBER(J22)),NOT(ISNUMBER(K22))),"",ROUND(J22*(1-K22),2))</x:f>
      </x:c>
      <x:c r="M22" s="237"/>
      <x:c r="N22" s="312" t="str">
        <x:f>IF(OR(NOT(ISNUMBER(L22)),NOT(ISNUMBER(M22))),"",ROUND(L22*M22,2))</x:f>
      </x:c>
      <x:c r="O22" s="238"/>
      <x:c r="P22" s="312" t="str">
        <x:f>IF(A22="","",IF(OR(E22&lt;&gt;"Completed",O22="",NOT(ISNUMBER(N22))),"",N22))</x:f>
      </x:c>
      <x:c r="Q22" s="238"/>
      <x:c r="R22" s="312" t="str">
        <x:f>IF(A22="","",SUMIFS('Payments'!$D$6:$D$205,'Payments'!$B$6:$B$205,A22))</x:f>
      </x:c>
      <x:c r="S22" s="312" t="str">
        <x:f>IF(NOT(ISNUMBER(P22)),"",P22-R22)</x:f>
      </x:c>
      <x:c r="T22" s="265" t="str">
        <x:f>IF(A22="","",IF(NOT(ISNUMBER(N22)),"Complete fee inputs",IF(NOT(ISNUMBER(P22)),IF(R22&lt;&gt;0,"Receipt before earned","Not earned"),IF(S22&lt;0,"Overpaid",IF(S22=0,"Paid",IF(Q22="","Set due date",IF(Q22&lt;TODAY(),"Overdue","Awaiting payment")))))))</x:f>
      </x:c>
      <x:c r="U22" s="235"/>
      <x:c r="V22" s="235"/>
      <x:c r="W22" s="239"/>
      <x:c r="X22" s="238"/>
      <x:c r="Y22" s="238"/>
      <x:c r="Z22" s="238"/>
      <x:c r="AA22" s="235"/>
      <x:c r="AB22" s="315" t="str">
        <x:f>IF(A22="","",IF(COUNTIFS($A$6:$A$205,A22)&gt;1,"Duplicate ID",IF(OR(B22="",COUNTIFS('Clients'!$A$6:$A$205,B22)&lt;&gt;1),"Check Client ID",IF(OR(C22="",COUNTIFS('Properties'!$A$6:$A$205,C22)&lt;&gt;1),"Check Property ID",IF(E22="","Set deal stage",IF(NOT(ISNUMBER(X22)),"Add opened date",IF(AND(E22&lt;&gt;"Completed",E22&lt;&gt;"Cancelled",NOT(ISNUMBER(Y22))),"Add target close date",IF(AND(OR(E22="Completed",E22="Cancelled"),NOT(ISNUMBER(Z22))),"Add closed date",IF(AND(E22="Completed",NOT(ISNUMBER(O22))),"Add earned date",IF(AND(E22="Cancelled",AA22=""),"Add outcome reason",IF(AND(E22&lt;&gt;"Cancelled",NOT(ISNUMBER(N22))),"Complete fee inputs",IF(AND(ISNUMBER(Z22),ISNUMBER(X22),Z22&lt;X22),"Check closed date",""))))))))))))</x:f>
      </x:c>
      <x:c r="AC22" s="791"/>
      <x:c r="AD22" s="791"/>
      <x:c r="AE22" s="791"/>
      <x:c r="AF22" s="791"/>
      <x:c r="AG22" s="794"/>
      <x:c r="AH22" s="791"/>
    </x:row>
    <x:row r="23" ht="26" customHeight="1">
      <x:c r="A23" s="319"/>
      <x:c r="B23" s="320"/>
      <x:c r="C23" s="274"/>
      <x:c r="D23" s="274"/>
      <x:c r="E23" s="274"/>
      <x:c r="F23" s="302"/>
      <x:c r="G23" s="274"/>
      <x:c r="H23" s="303"/>
      <x:c r="I23" s="302"/>
      <x:c r="J23" s="312" t="str">
        <x:f>IF(A23="","",IF(G23="Fixed",IF(NOT(ISNUMBER(I23)),"",I23),IF(G23="Percentage",IF(OR(NOT(ISNUMBER(F23)),NOT(ISNUMBER(H23))),"",ROUND(F23*H23,2)),"")))</x:f>
      </x:c>
      <x:c r="K23" s="303"/>
      <x:c r="L23" s="312" t="str">
        <x:f>IF(OR(NOT(ISNUMBER(J23)),NOT(ISNUMBER(K23))),"",ROUND(J23*(1-K23),2))</x:f>
      </x:c>
      <x:c r="M23" s="303"/>
      <x:c r="N23" s="312" t="str">
        <x:f>IF(OR(NOT(ISNUMBER(L23)),NOT(ISNUMBER(M23))),"",ROUND(L23*M23,2))</x:f>
      </x:c>
      <x:c r="O23" s="304"/>
      <x:c r="P23" s="312" t="str">
        <x:f>IF(A23="","",IF(OR(E23&lt;&gt;"Completed",O23="",NOT(ISNUMBER(N23))),"",N23))</x:f>
      </x:c>
      <x:c r="Q23" s="304"/>
      <x:c r="R23" s="312" t="str">
        <x:f>IF(A23="","",SUMIFS('Payments'!$D$6:$D$205,'Payments'!$B$6:$B$205,A23))</x:f>
      </x:c>
      <x:c r="S23" s="312" t="str">
        <x:f>IF(NOT(ISNUMBER(P23)),"",P23-R23)</x:f>
      </x:c>
      <x:c r="T23" s="265" t="str">
        <x:f>IF(A23="","",IF(NOT(ISNUMBER(N23)),"Complete fee inputs",IF(NOT(ISNUMBER(P23)),IF(R23&lt;&gt;0,"Receipt before earned","Not earned"),IF(S23&lt;0,"Overpaid",IF(S23=0,"Paid",IF(Q23="","Set due date",IF(Q23&lt;TODAY(),"Overdue","Awaiting payment")))))))</x:f>
      </x:c>
      <x:c r="U23" s="274"/>
      <x:c r="V23" s="274"/>
      <x:c r="W23" s="280"/>
      <x:c r="X23" s="304"/>
      <x:c r="Y23" s="304"/>
      <x:c r="Z23" s="304"/>
      <x:c r="AA23" s="274"/>
      <x:c r="AB23" s="315" t="str">
        <x:f>IF(A23="","",IF(COUNTIFS($A$6:$A$205,A23)&gt;1,"Duplicate ID",IF(OR(B23="",COUNTIFS('Clients'!$A$6:$A$205,B23)&lt;&gt;1),"Check Client ID",IF(OR(C23="",COUNTIFS('Properties'!$A$6:$A$205,C23)&lt;&gt;1),"Check Property ID",IF(E23="","Set deal stage",IF(NOT(ISNUMBER(X23)),"Add opened date",IF(AND(E23&lt;&gt;"Completed",E23&lt;&gt;"Cancelled",NOT(ISNUMBER(Y23))),"Add target close date",IF(AND(OR(E23="Completed",E23="Cancelled"),NOT(ISNUMBER(Z23))),"Add closed date",IF(AND(E23="Completed",NOT(ISNUMBER(O23))),"Add earned date",IF(AND(E23="Cancelled",AA23=""),"Add outcome reason",IF(AND(E23&lt;&gt;"Cancelled",NOT(ISNUMBER(N23))),"Complete fee inputs",IF(AND(ISNUMBER(Z23),ISNUMBER(X23),Z23&lt;X23),"Check closed date",""))))))))))))</x:f>
      </x:c>
      <x:c r="AC23" s="791"/>
      <x:c r="AD23" s="791"/>
      <x:c r="AE23" s="791"/>
      <x:c r="AF23" s="791"/>
      <x:c r="AG23" s="794"/>
      <x:c r="AH23" s="791"/>
    </x:row>
    <x:row r="24" ht="26" customHeight="1">
      <x:c r="A24" s="317"/>
      <x:c r="B24" s="318"/>
      <x:c r="C24" s="235"/>
      <x:c r="D24" s="235"/>
      <x:c r="E24" s="235"/>
      <x:c r="F24" s="236"/>
      <x:c r="G24" s="235"/>
      <x:c r="H24" s="237"/>
      <x:c r="I24" s="236"/>
      <x:c r="J24" s="312" t="str">
        <x:f>IF(A24="","",IF(G24="Fixed",IF(NOT(ISNUMBER(I24)),"",I24),IF(G24="Percentage",IF(OR(NOT(ISNUMBER(F24)),NOT(ISNUMBER(H24))),"",ROUND(F24*H24,2)),"")))</x:f>
      </x:c>
      <x:c r="K24" s="237"/>
      <x:c r="L24" s="312" t="str">
        <x:f>IF(OR(NOT(ISNUMBER(J24)),NOT(ISNUMBER(K24))),"",ROUND(J24*(1-K24),2))</x:f>
      </x:c>
      <x:c r="M24" s="237"/>
      <x:c r="N24" s="312" t="str">
        <x:f>IF(OR(NOT(ISNUMBER(L24)),NOT(ISNUMBER(M24))),"",ROUND(L24*M24,2))</x:f>
      </x:c>
      <x:c r="O24" s="238"/>
      <x:c r="P24" s="312" t="str">
        <x:f>IF(A24="","",IF(OR(E24&lt;&gt;"Completed",O24="",NOT(ISNUMBER(N24))),"",N24))</x:f>
      </x:c>
      <x:c r="Q24" s="238"/>
      <x:c r="R24" s="312" t="str">
        <x:f>IF(A24="","",SUMIFS('Payments'!$D$6:$D$205,'Payments'!$B$6:$B$205,A24))</x:f>
      </x:c>
      <x:c r="S24" s="312" t="str">
        <x:f>IF(NOT(ISNUMBER(P24)),"",P24-R24)</x:f>
      </x:c>
      <x:c r="T24" s="265" t="str">
        <x:f>IF(A24="","",IF(NOT(ISNUMBER(N24)),"Complete fee inputs",IF(NOT(ISNUMBER(P24)),IF(R24&lt;&gt;0,"Receipt before earned","Not earned"),IF(S24&lt;0,"Overpaid",IF(S24=0,"Paid",IF(Q24="","Set due date",IF(Q24&lt;TODAY(),"Overdue","Awaiting payment")))))))</x:f>
      </x:c>
      <x:c r="U24" s="235"/>
      <x:c r="V24" s="235"/>
      <x:c r="W24" s="239"/>
      <x:c r="X24" s="238"/>
      <x:c r="Y24" s="238"/>
      <x:c r="Z24" s="238"/>
      <x:c r="AA24" s="235"/>
      <x:c r="AB24" s="315" t="str">
        <x:f>IF(A24="","",IF(COUNTIFS($A$6:$A$205,A24)&gt;1,"Duplicate ID",IF(OR(B24="",COUNTIFS('Clients'!$A$6:$A$205,B24)&lt;&gt;1),"Check Client ID",IF(OR(C24="",COUNTIFS('Properties'!$A$6:$A$205,C24)&lt;&gt;1),"Check Property ID",IF(E24="","Set deal stage",IF(NOT(ISNUMBER(X24)),"Add opened date",IF(AND(E24&lt;&gt;"Completed",E24&lt;&gt;"Cancelled",NOT(ISNUMBER(Y24))),"Add target close date",IF(AND(OR(E24="Completed",E24="Cancelled"),NOT(ISNUMBER(Z24))),"Add closed date",IF(AND(E24="Completed",NOT(ISNUMBER(O24))),"Add earned date",IF(AND(E24="Cancelled",AA24=""),"Add outcome reason",IF(AND(E24&lt;&gt;"Cancelled",NOT(ISNUMBER(N24))),"Complete fee inputs",IF(AND(ISNUMBER(Z24),ISNUMBER(X24),Z24&lt;X24),"Check closed date",""))))))))))))</x:f>
      </x:c>
      <x:c r="AC24" s="791"/>
      <x:c r="AD24" s="791"/>
      <x:c r="AE24" s="791"/>
      <x:c r="AF24" s="791"/>
      <x:c r="AG24" s="794"/>
      <x:c r="AH24" s="791"/>
    </x:row>
    <x:row r="25" ht="26" customHeight="1">
      <x:c r="A25" s="319"/>
      <x:c r="B25" s="320"/>
      <x:c r="C25" s="274"/>
      <x:c r="D25" s="274"/>
      <x:c r="E25" s="274"/>
      <x:c r="F25" s="302"/>
      <x:c r="G25" s="274"/>
      <x:c r="H25" s="303"/>
      <x:c r="I25" s="302"/>
      <x:c r="J25" s="312" t="str">
        <x:f>IF(A25="","",IF(G25="Fixed",IF(NOT(ISNUMBER(I25)),"",I25),IF(G25="Percentage",IF(OR(NOT(ISNUMBER(F25)),NOT(ISNUMBER(H25))),"",ROUND(F25*H25,2)),"")))</x:f>
      </x:c>
      <x:c r="K25" s="303"/>
      <x:c r="L25" s="312" t="str">
        <x:f>IF(OR(NOT(ISNUMBER(J25)),NOT(ISNUMBER(K25))),"",ROUND(J25*(1-K25),2))</x:f>
      </x:c>
      <x:c r="M25" s="303"/>
      <x:c r="N25" s="312" t="str">
        <x:f>IF(OR(NOT(ISNUMBER(L25)),NOT(ISNUMBER(M25))),"",ROUND(L25*M25,2))</x:f>
      </x:c>
      <x:c r="O25" s="304"/>
      <x:c r="P25" s="312" t="str">
        <x:f>IF(A25="","",IF(OR(E25&lt;&gt;"Completed",O25="",NOT(ISNUMBER(N25))),"",N25))</x:f>
      </x:c>
      <x:c r="Q25" s="304"/>
      <x:c r="R25" s="312" t="str">
        <x:f>IF(A25="","",SUMIFS('Payments'!$D$6:$D$205,'Payments'!$B$6:$B$205,A25))</x:f>
      </x:c>
      <x:c r="S25" s="312" t="str">
        <x:f>IF(NOT(ISNUMBER(P25)),"",P25-R25)</x:f>
      </x:c>
      <x:c r="T25" s="265" t="str">
        <x:f>IF(A25="","",IF(NOT(ISNUMBER(N25)),"Complete fee inputs",IF(NOT(ISNUMBER(P25)),IF(R25&lt;&gt;0,"Receipt before earned","Not earned"),IF(S25&lt;0,"Overpaid",IF(S25=0,"Paid",IF(Q25="","Set due date",IF(Q25&lt;TODAY(),"Overdue","Awaiting payment")))))))</x:f>
      </x:c>
      <x:c r="U25" s="274"/>
      <x:c r="V25" s="274"/>
      <x:c r="W25" s="280"/>
      <x:c r="X25" s="304"/>
      <x:c r="Y25" s="304"/>
      <x:c r="Z25" s="304"/>
      <x:c r="AA25" s="274"/>
      <x:c r="AB25" s="315" t="str">
        <x:f>IF(A25="","",IF(COUNTIFS($A$6:$A$205,A25)&gt;1,"Duplicate ID",IF(OR(B25="",COUNTIFS('Clients'!$A$6:$A$205,B25)&lt;&gt;1),"Check Client ID",IF(OR(C25="",COUNTIFS('Properties'!$A$6:$A$205,C25)&lt;&gt;1),"Check Property ID",IF(E25="","Set deal stage",IF(NOT(ISNUMBER(X25)),"Add opened date",IF(AND(E25&lt;&gt;"Completed",E25&lt;&gt;"Cancelled",NOT(ISNUMBER(Y25))),"Add target close date",IF(AND(OR(E25="Completed",E25="Cancelled"),NOT(ISNUMBER(Z25))),"Add closed date",IF(AND(E25="Completed",NOT(ISNUMBER(O25))),"Add earned date",IF(AND(E25="Cancelled",AA25=""),"Add outcome reason",IF(AND(E25&lt;&gt;"Cancelled",NOT(ISNUMBER(N25))),"Complete fee inputs",IF(AND(ISNUMBER(Z25),ISNUMBER(X25),Z25&lt;X25),"Check closed date",""))))))))))))</x:f>
      </x:c>
      <x:c r="AC25" s="791"/>
      <x:c r="AD25" s="791"/>
      <x:c r="AE25" s="791"/>
      <x:c r="AF25" s="791"/>
      <x:c r="AG25" s="794"/>
      <x:c r="AH25" s="791"/>
    </x:row>
    <x:row r="26" ht="26" customHeight="1">
      <x:c r="A26" s="317"/>
      <x:c r="B26" s="318"/>
      <x:c r="C26" s="235"/>
      <x:c r="D26" s="235"/>
      <x:c r="E26" s="235"/>
      <x:c r="F26" s="236"/>
      <x:c r="G26" s="235"/>
      <x:c r="H26" s="237"/>
      <x:c r="I26" s="236"/>
      <x:c r="J26" s="312" t="str">
        <x:f>IF(A26="","",IF(G26="Fixed",IF(NOT(ISNUMBER(I26)),"",I26),IF(G26="Percentage",IF(OR(NOT(ISNUMBER(F26)),NOT(ISNUMBER(H26))),"",ROUND(F26*H26,2)),"")))</x:f>
      </x:c>
      <x:c r="K26" s="237"/>
      <x:c r="L26" s="312" t="str">
        <x:f>IF(OR(NOT(ISNUMBER(J26)),NOT(ISNUMBER(K26))),"",ROUND(J26*(1-K26),2))</x:f>
      </x:c>
      <x:c r="M26" s="237"/>
      <x:c r="N26" s="312" t="str">
        <x:f>IF(OR(NOT(ISNUMBER(L26)),NOT(ISNUMBER(M26))),"",ROUND(L26*M26,2))</x:f>
      </x:c>
      <x:c r="O26" s="238"/>
      <x:c r="P26" s="312" t="str">
        <x:f>IF(A26="","",IF(OR(E26&lt;&gt;"Completed",O26="",NOT(ISNUMBER(N26))),"",N26))</x:f>
      </x:c>
      <x:c r="Q26" s="238"/>
      <x:c r="R26" s="312" t="str">
        <x:f>IF(A26="","",SUMIFS('Payments'!$D$6:$D$205,'Payments'!$B$6:$B$205,A26))</x:f>
      </x:c>
      <x:c r="S26" s="312" t="str">
        <x:f>IF(NOT(ISNUMBER(P26)),"",P26-R26)</x:f>
      </x:c>
      <x:c r="T26" s="265" t="str">
        <x:f>IF(A26="","",IF(NOT(ISNUMBER(N26)),"Complete fee inputs",IF(NOT(ISNUMBER(P26)),IF(R26&lt;&gt;0,"Receipt before earned","Not earned"),IF(S26&lt;0,"Overpaid",IF(S26=0,"Paid",IF(Q26="","Set due date",IF(Q26&lt;TODAY(),"Overdue","Awaiting payment")))))))</x:f>
      </x:c>
      <x:c r="U26" s="235"/>
      <x:c r="V26" s="235"/>
      <x:c r="W26" s="239"/>
      <x:c r="X26" s="238"/>
      <x:c r="Y26" s="238"/>
      <x:c r="Z26" s="238"/>
      <x:c r="AA26" s="235"/>
      <x:c r="AB26" s="315" t="str">
        <x:f>IF(A26="","",IF(COUNTIFS($A$6:$A$205,A26)&gt;1,"Duplicate ID",IF(OR(B26="",COUNTIFS('Clients'!$A$6:$A$205,B26)&lt;&gt;1),"Check Client ID",IF(OR(C26="",COUNTIFS('Properties'!$A$6:$A$205,C26)&lt;&gt;1),"Check Property ID",IF(E26="","Set deal stage",IF(NOT(ISNUMBER(X26)),"Add opened date",IF(AND(E26&lt;&gt;"Completed",E26&lt;&gt;"Cancelled",NOT(ISNUMBER(Y26))),"Add target close date",IF(AND(OR(E26="Completed",E26="Cancelled"),NOT(ISNUMBER(Z26))),"Add closed date",IF(AND(E26="Completed",NOT(ISNUMBER(O26))),"Add earned date",IF(AND(E26="Cancelled",AA26=""),"Add outcome reason",IF(AND(E26&lt;&gt;"Cancelled",NOT(ISNUMBER(N26))),"Complete fee inputs",IF(AND(ISNUMBER(Z26),ISNUMBER(X26),Z26&lt;X26),"Check closed date",""))))))))))))</x:f>
      </x:c>
      <x:c r="AC26" s="791"/>
      <x:c r="AD26" s="791"/>
      <x:c r="AE26" s="791"/>
      <x:c r="AF26" s="791"/>
      <x:c r="AG26" s="794"/>
      <x:c r="AH26" s="791"/>
    </x:row>
    <x:row r="27" ht="26" customHeight="1">
      <x:c r="A27" s="319"/>
      <x:c r="B27" s="320"/>
      <x:c r="C27" s="274"/>
      <x:c r="D27" s="274"/>
      <x:c r="E27" s="274"/>
      <x:c r="F27" s="302"/>
      <x:c r="G27" s="274"/>
      <x:c r="H27" s="303"/>
      <x:c r="I27" s="302"/>
      <x:c r="J27" s="312" t="str">
        <x:f>IF(A27="","",IF(G27="Fixed",IF(NOT(ISNUMBER(I27)),"",I27),IF(G27="Percentage",IF(OR(NOT(ISNUMBER(F27)),NOT(ISNUMBER(H27))),"",ROUND(F27*H27,2)),"")))</x:f>
      </x:c>
      <x:c r="K27" s="303"/>
      <x:c r="L27" s="312" t="str">
        <x:f>IF(OR(NOT(ISNUMBER(J27)),NOT(ISNUMBER(K27))),"",ROUND(J27*(1-K27),2))</x:f>
      </x:c>
      <x:c r="M27" s="303"/>
      <x:c r="N27" s="312" t="str">
        <x:f>IF(OR(NOT(ISNUMBER(L27)),NOT(ISNUMBER(M27))),"",ROUND(L27*M27,2))</x:f>
      </x:c>
      <x:c r="O27" s="304"/>
      <x:c r="P27" s="312" t="str">
        <x:f>IF(A27="","",IF(OR(E27&lt;&gt;"Completed",O27="",NOT(ISNUMBER(N27))),"",N27))</x:f>
      </x:c>
      <x:c r="Q27" s="304"/>
      <x:c r="R27" s="312" t="str">
        <x:f>IF(A27="","",SUMIFS('Payments'!$D$6:$D$205,'Payments'!$B$6:$B$205,A27))</x:f>
      </x:c>
      <x:c r="S27" s="312" t="str">
        <x:f>IF(NOT(ISNUMBER(P27)),"",P27-R27)</x:f>
      </x:c>
      <x:c r="T27" s="265" t="str">
        <x:f>IF(A27="","",IF(NOT(ISNUMBER(N27)),"Complete fee inputs",IF(NOT(ISNUMBER(P27)),IF(R27&lt;&gt;0,"Receipt before earned","Not earned"),IF(S27&lt;0,"Overpaid",IF(S27=0,"Paid",IF(Q27="","Set due date",IF(Q27&lt;TODAY(),"Overdue","Awaiting payment")))))))</x:f>
      </x:c>
      <x:c r="U27" s="274"/>
      <x:c r="V27" s="274"/>
      <x:c r="W27" s="280"/>
      <x:c r="X27" s="304"/>
      <x:c r="Y27" s="304"/>
      <x:c r="Z27" s="304"/>
      <x:c r="AA27" s="274"/>
      <x:c r="AB27" s="315" t="str">
        <x:f>IF(A27="","",IF(COUNTIFS($A$6:$A$205,A27)&gt;1,"Duplicate ID",IF(OR(B27="",COUNTIFS('Clients'!$A$6:$A$205,B27)&lt;&gt;1),"Check Client ID",IF(OR(C27="",COUNTIFS('Properties'!$A$6:$A$205,C27)&lt;&gt;1),"Check Property ID",IF(E27="","Set deal stage",IF(NOT(ISNUMBER(X27)),"Add opened date",IF(AND(E27&lt;&gt;"Completed",E27&lt;&gt;"Cancelled",NOT(ISNUMBER(Y27))),"Add target close date",IF(AND(OR(E27="Completed",E27="Cancelled"),NOT(ISNUMBER(Z27))),"Add closed date",IF(AND(E27="Completed",NOT(ISNUMBER(O27))),"Add earned date",IF(AND(E27="Cancelled",AA27=""),"Add outcome reason",IF(AND(E27&lt;&gt;"Cancelled",NOT(ISNUMBER(N27))),"Complete fee inputs",IF(AND(ISNUMBER(Z27),ISNUMBER(X27),Z27&lt;X27),"Check closed date",""))))))))))))</x:f>
      </x:c>
      <x:c r="AC27" s="791"/>
      <x:c r="AD27" s="791"/>
      <x:c r="AE27" s="791"/>
      <x:c r="AF27" s="791"/>
      <x:c r="AG27" s="794"/>
      <x:c r="AH27" s="791"/>
    </x:row>
    <x:row r="28" ht="26" customHeight="1">
      <x:c r="A28" s="317"/>
      <x:c r="B28" s="318"/>
      <x:c r="C28" s="235"/>
      <x:c r="D28" s="235"/>
      <x:c r="E28" s="235"/>
      <x:c r="F28" s="236"/>
      <x:c r="G28" s="235"/>
      <x:c r="H28" s="237"/>
      <x:c r="I28" s="236"/>
      <x:c r="J28" s="312" t="str">
        <x:f>IF(A28="","",IF(G28="Fixed",IF(NOT(ISNUMBER(I28)),"",I28),IF(G28="Percentage",IF(OR(NOT(ISNUMBER(F28)),NOT(ISNUMBER(H28))),"",ROUND(F28*H28,2)),"")))</x:f>
      </x:c>
      <x:c r="K28" s="237"/>
      <x:c r="L28" s="312" t="str">
        <x:f>IF(OR(NOT(ISNUMBER(J28)),NOT(ISNUMBER(K28))),"",ROUND(J28*(1-K28),2))</x:f>
      </x:c>
      <x:c r="M28" s="237"/>
      <x:c r="N28" s="312" t="str">
        <x:f>IF(OR(NOT(ISNUMBER(L28)),NOT(ISNUMBER(M28))),"",ROUND(L28*M28,2))</x:f>
      </x:c>
      <x:c r="O28" s="238"/>
      <x:c r="P28" s="312" t="str">
        <x:f>IF(A28="","",IF(OR(E28&lt;&gt;"Completed",O28="",NOT(ISNUMBER(N28))),"",N28))</x:f>
      </x:c>
      <x:c r="Q28" s="238"/>
      <x:c r="R28" s="312" t="str">
        <x:f>IF(A28="","",SUMIFS('Payments'!$D$6:$D$205,'Payments'!$B$6:$B$205,A28))</x:f>
      </x:c>
      <x:c r="S28" s="312" t="str">
        <x:f>IF(NOT(ISNUMBER(P28)),"",P28-R28)</x:f>
      </x:c>
      <x:c r="T28" s="265" t="str">
        <x:f>IF(A28="","",IF(NOT(ISNUMBER(N28)),"Complete fee inputs",IF(NOT(ISNUMBER(P28)),IF(R28&lt;&gt;0,"Receipt before earned","Not earned"),IF(S28&lt;0,"Overpaid",IF(S28=0,"Paid",IF(Q28="","Set due date",IF(Q28&lt;TODAY(),"Overdue","Awaiting payment")))))))</x:f>
      </x:c>
      <x:c r="U28" s="235"/>
      <x:c r="V28" s="235"/>
      <x:c r="W28" s="239"/>
      <x:c r="X28" s="238"/>
      <x:c r="Y28" s="238"/>
      <x:c r="Z28" s="238"/>
      <x:c r="AA28" s="235"/>
      <x:c r="AB28" s="315" t="str">
        <x:f>IF(A28="","",IF(COUNTIFS($A$6:$A$205,A28)&gt;1,"Duplicate ID",IF(OR(B28="",COUNTIFS('Clients'!$A$6:$A$205,B28)&lt;&gt;1),"Check Client ID",IF(OR(C28="",COUNTIFS('Properties'!$A$6:$A$205,C28)&lt;&gt;1),"Check Property ID",IF(E28="","Set deal stage",IF(NOT(ISNUMBER(X28)),"Add opened date",IF(AND(E28&lt;&gt;"Completed",E28&lt;&gt;"Cancelled",NOT(ISNUMBER(Y28))),"Add target close date",IF(AND(OR(E28="Completed",E28="Cancelled"),NOT(ISNUMBER(Z28))),"Add closed date",IF(AND(E28="Completed",NOT(ISNUMBER(O28))),"Add earned date",IF(AND(E28="Cancelled",AA28=""),"Add outcome reason",IF(AND(E28&lt;&gt;"Cancelled",NOT(ISNUMBER(N28))),"Complete fee inputs",IF(AND(ISNUMBER(Z28),ISNUMBER(X28),Z28&lt;X28),"Check closed date",""))))))))))))</x:f>
      </x:c>
      <x:c r="AC28" s="791"/>
      <x:c r="AD28" s="791"/>
      <x:c r="AE28" s="791"/>
      <x:c r="AF28" s="791"/>
      <x:c r="AG28" s="794"/>
      <x:c r="AH28" s="791"/>
    </x:row>
    <x:row r="29" ht="26" customHeight="1">
      <x:c r="A29" s="319"/>
      <x:c r="B29" s="320"/>
      <x:c r="C29" s="274"/>
      <x:c r="D29" s="274"/>
      <x:c r="E29" s="274"/>
      <x:c r="F29" s="302"/>
      <x:c r="G29" s="274"/>
      <x:c r="H29" s="303"/>
      <x:c r="I29" s="302"/>
      <x:c r="J29" s="312" t="str">
        <x:f>IF(A29="","",IF(G29="Fixed",IF(NOT(ISNUMBER(I29)),"",I29),IF(G29="Percentage",IF(OR(NOT(ISNUMBER(F29)),NOT(ISNUMBER(H29))),"",ROUND(F29*H29,2)),"")))</x:f>
      </x:c>
      <x:c r="K29" s="303"/>
      <x:c r="L29" s="312" t="str">
        <x:f>IF(OR(NOT(ISNUMBER(J29)),NOT(ISNUMBER(K29))),"",ROUND(J29*(1-K29),2))</x:f>
      </x:c>
      <x:c r="M29" s="303"/>
      <x:c r="N29" s="312" t="str">
        <x:f>IF(OR(NOT(ISNUMBER(L29)),NOT(ISNUMBER(M29))),"",ROUND(L29*M29,2))</x:f>
      </x:c>
      <x:c r="O29" s="304"/>
      <x:c r="P29" s="312" t="str">
        <x:f>IF(A29="","",IF(OR(E29&lt;&gt;"Completed",O29="",NOT(ISNUMBER(N29))),"",N29))</x:f>
      </x:c>
      <x:c r="Q29" s="304"/>
      <x:c r="R29" s="312" t="str">
        <x:f>IF(A29="","",SUMIFS('Payments'!$D$6:$D$205,'Payments'!$B$6:$B$205,A29))</x:f>
      </x:c>
      <x:c r="S29" s="312" t="str">
        <x:f>IF(NOT(ISNUMBER(P29)),"",P29-R29)</x:f>
      </x:c>
      <x:c r="T29" s="265" t="str">
        <x:f>IF(A29="","",IF(NOT(ISNUMBER(N29)),"Complete fee inputs",IF(NOT(ISNUMBER(P29)),IF(R29&lt;&gt;0,"Receipt before earned","Not earned"),IF(S29&lt;0,"Overpaid",IF(S29=0,"Paid",IF(Q29="","Set due date",IF(Q29&lt;TODAY(),"Overdue","Awaiting payment")))))))</x:f>
      </x:c>
      <x:c r="U29" s="274"/>
      <x:c r="V29" s="274"/>
      <x:c r="W29" s="280"/>
      <x:c r="X29" s="304"/>
      <x:c r="Y29" s="304"/>
      <x:c r="Z29" s="304"/>
      <x:c r="AA29" s="274"/>
      <x:c r="AB29" s="315" t="str">
        <x:f>IF(A29="","",IF(COUNTIFS($A$6:$A$205,A29)&gt;1,"Duplicate ID",IF(OR(B29="",COUNTIFS('Clients'!$A$6:$A$205,B29)&lt;&gt;1),"Check Client ID",IF(OR(C29="",COUNTIFS('Properties'!$A$6:$A$205,C29)&lt;&gt;1),"Check Property ID",IF(E29="","Set deal stage",IF(NOT(ISNUMBER(X29)),"Add opened date",IF(AND(E29&lt;&gt;"Completed",E29&lt;&gt;"Cancelled",NOT(ISNUMBER(Y29))),"Add target close date",IF(AND(OR(E29="Completed",E29="Cancelled"),NOT(ISNUMBER(Z29))),"Add closed date",IF(AND(E29="Completed",NOT(ISNUMBER(O29))),"Add earned date",IF(AND(E29="Cancelled",AA29=""),"Add outcome reason",IF(AND(E29&lt;&gt;"Cancelled",NOT(ISNUMBER(N29))),"Complete fee inputs",IF(AND(ISNUMBER(Z29),ISNUMBER(X29),Z29&lt;X29),"Check closed date",""))))))))))))</x:f>
      </x:c>
      <x:c r="AC29" s="791"/>
      <x:c r="AD29" s="791"/>
      <x:c r="AE29" s="791"/>
      <x:c r="AF29" s="791"/>
      <x:c r="AG29" s="794"/>
      <x:c r="AH29" s="791"/>
    </x:row>
    <x:row r="30" ht="26" customHeight="1">
      <x:c r="A30" s="317"/>
      <x:c r="B30" s="318"/>
      <x:c r="C30" s="235"/>
      <x:c r="D30" s="235"/>
      <x:c r="E30" s="235"/>
      <x:c r="F30" s="236"/>
      <x:c r="G30" s="235"/>
      <x:c r="H30" s="237"/>
      <x:c r="I30" s="236"/>
      <x:c r="J30" s="312" t="str">
        <x:f>IF(A30="","",IF(G30="Fixed",IF(NOT(ISNUMBER(I30)),"",I30),IF(G30="Percentage",IF(OR(NOT(ISNUMBER(F30)),NOT(ISNUMBER(H30))),"",ROUND(F30*H30,2)),"")))</x:f>
      </x:c>
      <x:c r="K30" s="237"/>
      <x:c r="L30" s="312" t="str">
        <x:f>IF(OR(NOT(ISNUMBER(J30)),NOT(ISNUMBER(K30))),"",ROUND(J30*(1-K30),2))</x:f>
      </x:c>
      <x:c r="M30" s="237"/>
      <x:c r="N30" s="312" t="str">
        <x:f>IF(OR(NOT(ISNUMBER(L30)),NOT(ISNUMBER(M30))),"",ROUND(L30*M30,2))</x:f>
      </x:c>
      <x:c r="O30" s="238"/>
      <x:c r="P30" s="312" t="str">
        <x:f>IF(A30="","",IF(OR(E30&lt;&gt;"Completed",O30="",NOT(ISNUMBER(N30))),"",N30))</x:f>
      </x:c>
      <x:c r="Q30" s="238"/>
      <x:c r="R30" s="312" t="str">
        <x:f>IF(A30="","",SUMIFS('Payments'!$D$6:$D$205,'Payments'!$B$6:$B$205,A30))</x:f>
      </x:c>
      <x:c r="S30" s="312" t="str">
        <x:f>IF(NOT(ISNUMBER(P30)),"",P30-R30)</x:f>
      </x:c>
      <x:c r="T30" s="265" t="str">
        <x:f>IF(A30="","",IF(NOT(ISNUMBER(N30)),"Complete fee inputs",IF(NOT(ISNUMBER(P30)),IF(R30&lt;&gt;0,"Receipt before earned","Not earned"),IF(S30&lt;0,"Overpaid",IF(S30=0,"Paid",IF(Q30="","Set due date",IF(Q30&lt;TODAY(),"Overdue","Awaiting payment")))))))</x:f>
      </x:c>
      <x:c r="U30" s="235"/>
      <x:c r="V30" s="235"/>
      <x:c r="W30" s="239"/>
      <x:c r="X30" s="238"/>
      <x:c r="Y30" s="238"/>
      <x:c r="Z30" s="238"/>
      <x:c r="AA30" s="235"/>
      <x:c r="AB30" s="315" t="str">
        <x:f>IF(A30="","",IF(COUNTIFS($A$6:$A$205,A30)&gt;1,"Duplicate ID",IF(OR(B30="",COUNTIFS('Clients'!$A$6:$A$205,B30)&lt;&gt;1),"Check Client ID",IF(OR(C30="",COUNTIFS('Properties'!$A$6:$A$205,C30)&lt;&gt;1),"Check Property ID",IF(E30="","Set deal stage",IF(NOT(ISNUMBER(X30)),"Add opened date",IF(AND(E30&lt;&gt;"Completed",E30&lt;&gt;"Cancelled",NOT(ISNUMBER(Y30))),"Add target close date",IF(AND(OR(E30="Completed",E30="Cancelled"),NOT(ISNUMBER(Z30))),"Add closed date",IF(AND(E30="Completed",NOT(ISNUMBER(O30))),"Add earned date",IF(AND(E30="Cancelled",AA30=""),"Add outcome reason",IF(AND(E30&lt;&gt;"Cancelled",NOT(ISNUMBER(N30))),"Complete fee inputs",IF(AND(ISNUMBER(Z30),ISNUMBER(X30),Z30&lt;X30),"Check closed date",""))))))))))))</x:f>
      </x:c>
      <x:c r="AC30" s="791"/>
      <x:c r="AD30" s="791"/>
      <x:c r="AE30" s="791"/>
      <x:c r="AF30" s="791"/>
      <x:c r="AG30" s="794"/>
      <x:c r="AH30" s="791"/>
    </x:row>
    <x:row r="31" ht="26" customHeight="1">
      <x:c r="A31" s="319"/>
      <x:c r="B31" s="320"/>
      <x:c r="C31" s="274"/>
      <x:c r="D31" s="274"/>
      <x:c r="E31" s="274"/>
      <x:c r="F31" s="302"/>
      <x:c r="G31" s="274"/>
      <x:c r="H31" s="303"/>
      <x:c r="I31" s="302"/>
      <x:c r="J31" s="312" t="str">
        <x:f>IF(A31="","",IF(G31="Fixed",IF(NOT(ISNUMBER(I31)),"",I31),IF(G31="Percentage",IF(OR(NOT(ISNUMBER(F31)),NOT(ISNUMBER(H31))),"",ROUND(F31*H31,2)),"")))</x:f>
      </x:c>
      <x:c r="K31" s="303"/>
      <x:c r="L31" s="312" t="str">
        <x:f>IF(OR(NOT(ISNUMBER(J31)),NOT(ISNUMBER(K31))),"",ROUND(J31*(1-K31),2))</x:f>
      </x:c>
      <x:c r="M31" s="303"/>
      <x:c r="N31" s="312" t="str">
        <x:f>IF(OR(NOT(ISNUMBER(L31)),NOT(ISNUMBER(M31))),"",ROUND(L31*M31,2))</x:f>
      </x:c>
      <x:c r="O31" s="304"/>
      <x:c r="P31" s="312" t="str">
        <x:f>IF(A31="","",IF(OR(E31&lt;&gt;"Completed",O31="",NOT(ISNUMBER(N31))),"",N31))</x:f>
      </x:c>
      <x:c r="Q31" s="304"/>
      <x:c r="R31" s="312" t="str">
        <x:f>IF(A31="","",SUMIFS('Payments'!$D$6:$D$205,'Payments'!$B$6:$B$205,A31))</x:f>
      </x:c>
      <x:c r="S31" s="312" t="str">
        <x:f>IF(NOT(ISNUMBER(P31)),"",P31-R31)</x:f>
      </x:c>
      <x:c r="T31" s="265" t="str">
        <x:f>IF(A31="","",IF(NOT(ISNUMBER(N31)),"Complete fee inputs",IF(NOT(ISNUMBER(P31)),IF(R31&lt;&gt;0,"Receipt before earned","Not earned"),IF(S31&lt;0,"Overpaid",IF(S31=0,"Paid",IF(Q31="","Set due date",IF(Q31&lt;TODAY(),"Overdue","Awaiting payment")))))))</x:f>
      </x:c>
      <x:c r="U31" s="274"/>
      <x:c r="V31" s="274"/>
      <x:c r="W31" s="280"/>
      <x:c r="X31" s="304"/>
      <x:c r="Y31" s="304"/>
      <x:c r="Z31" s="304"/>
      <x:c r="AA31" s="274"/>
      <x:c r="AB31" s="315" t="str">
        <x:f>IF(A31="","",IF(COUNTIFS($A$6:$A$205,A31)&gt;1,"Duplicate ID",IF(OR(B31="",COUNTIFS('Clients'!$A$6:$A$205,B31)&lt;&gt;1),"Check Client ID",IF(OR(C31="",COUNTIFS('Properties'!$A$6:$A$205,C31)&lt;&gt;1),"Check Property ID",IF(E31="","Set deal stage",IF(NOT(ISNUMBER(X31)),"Add opened date",IF(AND(E31&lt;&gt;"Completed",E31&lt;&gt;"Cancelled",NOT(ISNUMBER(Y31))),"Add target close date",IF(AND(OR(E31="Completed",E31="Cancelled"),NOT(ISNUMBER(Z31))),"Add closed date",IF(AND(E31="Completed",NOT(ISNUMBER(O31))),"Add earned date",IF(AND(E31="Cancelled",AA31=""),"Add outcome reason",IF(AND(E31&lt;&gt;"Cancelled",NOT(ISNUMBER(N31))),"Complete fee inputs",IF(AND(ISNUMBER(Z31),ISNUMBER(X31),Z31&lt;X31),"Check closed date",""))))))))))))</x:f>
      </x:c>
      <x:c r="AC31" s="791"/>
      <x:c r="AD31" s="791"/>
      <x:c r="AE31" s="791"/>
      <x:c r="AF31" s="791"/>
      <x:c r="AG31" s="794"/>
      <x:c r="AH31" s="791"/>
    </x:row>
    <x:row r="32" ht="26" customHeight="1">
      <x:c r="A32" s="317"/>
      <x:c r="B32" s="318"/>
      <x:c r="C32" s="235"/>
      <x:c r="D32" s="235"/>
      <x:c r="E32" s="235"/>
      <x:c r="F32" s="236"/>
      <x:c r="G32" s="235"/>
      <x:c r="H32" s="237"/>
      <x:c r="I32" s="236"/>
      <x:c r="J32" s="312" t="str">
        <x:f>IF(A32="","",IF(G32="Fixed",IF(NOT(ISNUMBER(I32)),"",I32),IF(G32="Percentage",IF(OR(NOT(ISNUMBER(F32)),NOT(ISNUMBER(H32))),"",ROUND(F32*H32,2)),"")))</x:f>
      </x:c>
      <x:c r="K32" s="237"/>
      <x:c r="L32" s="312" t="str">
        <x:f>IF(OR(NOT(ISNUMBER(J32)),NOT(ISNUMBER(K32))),"",ROUND(J32*(1-K32),2))</x:f>
      </x:c>
      <x:c r="M32" s="237"/>
      <x:c r="N32" s="312" t="str">
        <x:f>IF(OR(NOT(ISNUMBER(L32)),NOT(ISNUMBER(M32))),"",ROUND(L32*M32,2))</x:f>
      </x:c>
      <x:c r="O32" s="238"/>
      <x:c r="P32" s="312" t="str">
        <x:f>IF(A32="","",IF(OR(E32&lt;&gt;"Completed",O32="",NOT(ISNUMBER(N32))),"",N32))</x:f>
      </x:c>
      <x:c r="Q32" s="238"/>
      <x:c r="R32" s="312" t="str">
        <x:f>IF(A32="","",SUMIFS('Payments'!$D$6:$D$205,'Payments'!$B$6:$B$205,A32))</x:f>
      </x:c>
      <x:c r="S32" s="312" t="str">
        <x:f>IF(NOT(ISNUMBER(P32)),"",P32-R32)</x:f>
      </x:c>
      <x:c r="T32" s="265" t="str">
        <x:f>IF(A32="","",IF(NOT(ISNUMBER(N32)),"Complete fee inputs",IF(NOT(ISNUMBER(P32)),IF(R32&lt;&gt;0,"Receipt before earned","Not earned"),IF(S32&lt;0,"Overpaid",IF(S32=0,"Paid",IF(Q32="","Set due date",IF(Q32&lt;TODAY(),"Overdue","Awaiting payment")))))))</x:f>
      </x:c>
      <x:c r="U32" s="235"/>
      <x:c r="V32" s="235"/>
      <x:c r="W32" s="239"/>
      <x:c r="X32" s="238"/>
      <x:c r="Y32" s="238"/>
      <x:c r="Z32" s="238"/>
      <x:c r="AA32" s="235"/>
      <x:c r="AB32" s="315" t="str">
        <x:f>IF(A32="","",IF(COUNTIFS($A$6:$A$205,A32)&gt;1,"Duplicate ID",IF(OR(B32="",COUNTIFS('Clients'!$A$6:$A$205,B32)&lt;&gt;1),"Check Client ID",IF(OR(C32="",COUNTIFS('Properties'!$A$6:$A$205,C32)&lt;&gt;1),"Check Property ID",IF(E32="","Set deal stage",IF(NOT(ISNUMBER(X32)),"Add opened date",IF(AND(E32&lt;&gt;"Completed",E32&lt;&gt;"Cancelled",NOT(ISNUMBER(Y32))),"Add target close date",IF(AND(OR(E32="Completed",E32="Cancelled"),NOT(ISNUMBER(Z32))),"Add closed date",IF(AND(E32="Completed",NOT(ISNUMBER(O32))),"Add earned date",IF(AND(E32="Cancelled",AA32=""),"Add outcome reason",IF(AND(E32&lt;&gt;"Cancelled",NOT(ISNUMBER(N32))),"Complete fee inputs",IF(AND(ISNUMBER(Z32),ISNUMBER(X32),Z32&lt;X32),"Check closed date",""))))))))))))</x:f>
      </x:c>
      <x:c r="AC32" s="791"/>
      <x:c r="AD32" s="791"/>
      <x:c r="AE32" s="791"/>
      <x:c r="AF32" s="791"/>
      <x:c r="AG32" s="794"/>
      <x:c r="AH32" s="791"/>
    </x:row>
    <x:row r="33" ht="26" customHeight="1">
      <x:c r="A33" s="319"/>
      <x:c r="B33" s="320"/>
      <x:c r="C33" s="274"/>
      <x:c r="D33" s="274"/>
      <x:c r="E33" s="274"/>
      <x:c r="F33" s="302"/>
      <x:c r="G33" s="274"/>
      <x:c r="H33" s="303"/>
      <x:c r="I33" s="302"/>
      <x:c r="J33" s="312" t="str">
        <x:f>IF(A33="","",IF(G33="Fixed",IF(NOT(ISNUMBER(I33)),"",I33),IF(G33="Percentage",IF(OR(NOT(ISNUMBER(F33)),NOT(ISNUMBER(H33))),"",ROUND(F33*H33,2)),"")))</x:f>
      </x:c>
      <x:c r="K33" s="303"/>
      <x:c r="L33" s="312" t="str">
        <x:f>IF(OR(NOT(ISNUMBER(J33)),NOT(ISNUMBER(K33))),"",ROUND(J33*(1-K33),2))</x:f>
      </x:c>
      <x:c r="M33" s="303"/>
      <x:c r="N33" s="312" t="str">
        <x:f>IF(OR(NOT(ISNUMBER(L33)),NOT(ISNUMBER(M33))),"",ROUND(L33*M33,2))</x:f>
      </x:c>
      <x:c r="O33" s="304"/>
      <x:c r="P33" s="312" t="str">
        <x:f>IF(A33="","",IF(OR(E33&lt;&gt;"Completed",O33="",NOT(ISNUMBER(N33))),"",N33))</x:f>
      </x:c>
      <x:c r="Q33" s="304"/>
      <x:c r="R33" s="312" t="str">
        <x:f>IF(A33="","",SUMIFS('Payments'!$D$6:$D$205,'Payments'!$B$6:$B$205,A33))</x:f>
      </x:c>
      <x:c r="S33" s="312" t="str">
        <x:f>IF(NOT(ISNUMBER(P33)),"",P33-R33)</x:f>
      </x:c>
      <x:c r="T33" s="265" t="str">
        <x:f>IF(A33="","",IF(NOT(ISNUMBER(N33)),"Complete fee inputs",IF(NOT(ISNUMBER(P33)),IF(R33&lt;&gt;0,"Receipt before earned","Not earned"),IF(S33&lt;0,"Overpaid",IF(S33=0,"Paid",IF(Q33="","Set due date",IF(Q33&lt;TODAY(),"Overdue","Awaiting payment")))))))</x:f>
      </x:c>
      <x:c r="U33" s="274"/>
      <x:c r="V33" s="274"/>
      <x:c r="W33" s="280"/>
      <x:c r="X33" s="304"/>
      <x:c r="Y33" s="304"/>
      <x:c r="Z33" s="304"/>
      <x:c r="AA33" s="274"/>
      <x:c r="AB33" s="315" t="str">
        <x:f>IF(A33="","",IF(COUNTIFS($A$6:$A$205,A33)&gt;1,"Duplicate ID",IF(OR(B33="",COUNTIFS('Clients'!$A$6:$A$205,B33)&lt;&gt;1),"Check Client ID",IF(OR(C33="",COUNTIFS('Properties'!$A$6:$A$205,C33)&lt;&gt;1),"Check Property ID",IF(E33="","Set deal stage",IF(NOT(ISNUMBER(X33)),"Add opened date",IF(AND(E33&lt;&gt;"Completed",E33&lt;&gt;"Cancelled",NOT(ISNUMBER(Y33))),"Add target close date",IF(AND(OR(E33="Completed",E33="Cancelled"),NOT(ISNUMBER(Z33))),"Add closed date",IF(AND(E33="Completed",NOT(ISNUMBER(O33))),"Add earned date",IF(AND(E33="Cancelled",AA33=""),"Add outcome reason",IF(AND(E33&lt;&gt;"Cancelled",NOT(ISNUMBER(N33))),"Complete fee inputs",IF(AND(ISNUMBER(Z33),ISNUMBER(X33),Z33&lt;X33),"Check closed date",""))))))))))))</x:f>
      </x:c>
      <x:c r="AC33" s="791"/>
      <x:c r="AD33" s="791"/>
      <x:c r="AE33" s="791"/>
      <x:c r="AF33" s="791"/>
      <x:c r="AG33" s="794"/>
      <x:c r="AH33" s="791"/>
    </x:row>
    <x:row r="34" ht="26" customHeight="1">
      <x:c r="A34" s="317"/>
      <x:c r="B34" s="318"/>
      <x:c r="C34" s="235"/>
      <x:c r="D34" s="235"/>
      <x:c r="E34" s="235"/>
      <x:c r="F34" s="236"/>
      <x:c r="G34" s="235"/>
      <x:c r="H34" s="237"/>
      <x:c r="I34" s="236"/>
      <x:c r="J34" s="312" t="str">
        <x:f>IF(A34="","",IF(G34="Fixed",IF(NOT(ISNUMBER(I34)),"",I34),IF(G34="Percentage",IF(OR(NOT(ISNUMBER(F34)),NOT(ISNUMBER(H34))),"",ROUND(F34*H34,2)),"")))</x:f>
      </x:c>
      <x:c r="K34" s="237"/>
      <x:c r="L34" s="312" t="str">
        <x:f>IF(OR(NOT(ISNUMBER(J34)),NOT(ISNUMBER(K34))),"",ROUND(J34*(1-K34),2))</x:f>
      </x:c>
      <x:c r="M34" s="237"/>
      <x:c r="N34" s="312" t="str">
        <x:f>IF(OR(NOT(ISNUMBER(L34)),NOT(ISNUMBER(M34))),"",ROUND(L34*M34,2))</x:f>
      </x:c>
      <x:c r="O34" s="238"/>
      <x:c r="P34" s="312" t="str">
        <x:f>IF(A34="","",IF(OR(E34&lt;&gt;"Completed",O34="",NOT(ISNUMBER(N34))),"",N34))</x:f>
      </x:c>
      <x:c r="Q34" s="238"/>
      <x:c r="R34" s="312" t="str">
        <x:f>IF(A34="","",SUMIFS('Payments'!$D$6:$D$205,'Payments'!$B$6:$B$205,A34))</x:f>
      </x:c>
      <x:c r="S34" s="312" t="str">
        <x:f>IF(NOT(ISNUMBER(P34)),"",P34-R34)</x:f>
      </x:c>
      <x:c r="T34" s="265" t="str">
        <x:f>IF(A34="","",IF(NOT(ISNUMBER(N34)),"Complete fee inputs",IF(NOT(ISNUMBER(P34)),IF(R34&lt;&gt;0,"Receipt before earned","Not earned"),IF(S34&lt;0,"Overpaid",IF(S34=0,"Paid",IF(Q34="","Set due date",IF(Q34&lt;TODAY(),"Overdue","Awaiting payment")))))))</x:f>
      </x:c>
      <x:c r="U34" s="235"/>
      <x:c r="V34" s="235"/>
      <x:c r="W34" s="239"/>
      <x:c r="X34" s="238"/>
      <x:c r="Y34" s="238"/>
      <x:c r="Z34" s="238"/>
      <x:c r="AA34" s="235"/>
      <x:c r="AB34" s="315" t="str">
        <x:f>IF(A34="","",IF(COUNTIFS($A$6:$A$205,A34)&gt;1,"Duplicate ID",IF(OR(B34="",COUNTIFS('Clients'!$A$6:$A$205,B34)&lt;&gt;1),"Check Client ID",IF(OR(C34="",COUNTIFS('Properties'!$A$6:$A$205,C34)&lt;&gt;1),"Check Property ID",IF(E34="","Set deal stage",IF(NOT(ISNUMBER(X34)),"Add opened date",IF(AND(E34&lt;&gt;"Completed",E34&lt;&gt;"Cancelled",NOT(ISNUMBER(Y34))),"Add target close date",IF(AND(OR(E34="Completed",E34="Cancelled"),NOT(ISNUMBER(Z34))),"Add closed date",IF(AND(E34="Completed",NOT(ISNUMBER(O34))),"Add earned date",IF(AND(E34="Cancelled",AA34=""),"Add outcome reason",IF(AND(E34&lt;&gt;"Cancelled",NOT(ISNUMBER(N34))),"Complete fee inputs",IF(AND(ISNUMBER(Z34),ISNUMBER(X34),Z34&lt;X34),"Check closed date",""))))))))))))</x:f>
      </x:c>
      <x:c r="AC34" s="791"/>
      <x:c r="AD34" s="791"/>
      <x:c r="AE34" s="791"/>
      <x:c r="AF34" s="791"/>
      <x:c r="AG34" s="794"/>
      <x:c r="AH34" s="791"/>
    </x:row>
    <x:row r="35" ht="26" customHeight="1">
      <x:c r="A35" s="319"/>
      <x:c r="B35" s="320"/>
      <x:c r="C35" s="274"/>
      <x:c r="D35" s="274"/>
      <x:c r="E35" s="274"/>
      <x:c r="F35" s="302"/>
      <x:c r="G35" s="274"/>
      <x:c r="H35" s="303"/>
      <x:c r="I35" s="302"/>
      <x:c r="J35" s="312" t="str">
        <x:f>IF(A35="","",IF(G35="Fixed",IF(NOT(ISNUMBER(I35)),"",I35),IF(G35="Percentage",IF(OR(NOT(ISNUMBER(F35)),NOT(ISNUMBER(H35))),"",ROUND(F35*H35,2)),"")))</x:f>
      </x:c>
      <x:c r="K35" s="303"/>
      <x:c r="L35" s="312" t="str">
        <x:f>IF(OR(NOT(ISNUMBER(J35)),NOT(ISNUMBER(K35))),"",ROUND(J35*(1-K35),2))</x:f>
      </x:c>
      <x:c r="M35" s="303"/>
      <x:c r="N35" s="312" t="str">
        <x:f>IF(OR(NOT(ISNUMBER(L35)),NOT(ISNUMBER(M35))),"",ROUND(L35*M35,2))</x:f>
      </x:c>
      <x:c r="O35" s="304"/>
      <x:c r="P35" s="312" t="str">
        <x:f>IF(A35="","",IF(OR(E35&lt;&gt;"Completed",O35="",NOT(ISNUMBER(N35))),"",N35))</x:f>
      </x:c>
      <x:c r="Q35" s="304"/>
      <x:c r="R35" s="312" t="str">
        <x:f>IF(A35="","",SUMIFS('Payments'!$D$6:$D$205,'Payments'!$B$6:$B$205,A35))</x:f>
      </x:c>
      <x:c r="S35" s="312" t="str">
        <x:f>IF(NOT(ISNUMBER(P35)),"",P35-R35)</x:f>
      </x:c>
      <x:c r="T35" s="265" t="str">
        <x:f>IF(A35="","",IF(NOT(ISNUMBER(N35)),"Complete fee inputs",IF(NOT(ISNUMBER(P35)),IF(R35&lt;&gt;0,"Receipt before earned","Not earned"),IF(S35&lt;0,"Overpaid",IF(S35=0,"Paid",IF(Q35="","Set due date",IF(Q35&lt;TODAY(),"Overdue","Awaiting payment")))))))</x:f>
      </x:c>
      <x:c r="U35" s="274"/>
      <x:c r="V35" s="274"/>
      <x:c r="W35" s="280"/>
      <x:c r="X35" s="304"/>
      <x:c r="Y35" s="304"/>
      <x:c r="Z35" s="304"/>
      <x:c r="AA35" s="274"/>
      <x:c r="AB35" s="315" t="str">
        <x:f>IF(A35="","",IF(COUNTIFS($A$6:$A$205,A35)&gt;1,"Duplicate ID",IF(OR(B35="",COUNTIFS('Clients'!$A$6:$A$205,B35)&lt;&gt;1),"Check Client ID",IF(OR(C35="",COUNTIFS('Properties'!$A$6:$A$205,C35)&lt;&gt;1),"Check Property ID",IF(E35="","Set deal stage",IF(NOT(ISNUMBER(X35)),"Add opened date",IF(AND(E35&lt;&gt;"Completed",E35&lt;&gt;"Cancelled",NOT(ISNUMBER(Y35))),"Add target close date",IF(AND(OR(E35="Completed",E35="Cancelled"),NOT(ISNUMBER(Z35))),"Add closed date",IF(AND(E35="Completed",NOT(ISNUMBER(O35))),"Add earned date",IF(AND(E35="Cancelled",AA35=""),"Add outcome reason",IF(AND(E35&lt;&gt;"Cancelled",NOT(ISNUMBER(N35))),"Complete fee inputs",IF(AND(ISNUMBER(Z35),ISNUMBER(X35),Z35&lt;X35),"Check closed date",""))))))))))))</x:f>
      </x:c>
      <x:c r="AC35" s="791"/>
      <x:c r="AD35" s="791"/>
      <x:c r="AE35" s="791"/>
      <x:c r="AF35" s="791"/>
      <x:c r="AG35" s="794"/>
      <x:c r="AH35" s="791"/>
    </x:row>
    <x:row r="36" ht="26" customHeight="1">
      <x:c r="A36" s="317"/>
      <x:c r="B36" s="318"/>
      <x:c r="C36" s="235"/>
      <x:c r="D36" s="235"/>
      <x:c r="E36" s="235"/>
      <x:c r="F36" s="236"/>
      <x:c r="G36" s="235"/>
      <x:c r="H36" s="237"/>
      <x:c r="I36" s="236"/>
      <x:c r="J36" s="312" t="str">
        <x:f>IF(A36="","",IF(G36="Fixed",IF(NOT(ISNUMBER(I36)),"",I36),IF(G36="Percentage",IF(OR(NOT(ISNUMBER(F36)),NOT(ISNUMBER(H36))),"",ROUND(F36*H36,2)),"")))</x:f>
      </x:c>
      <x:c r="K36" s="237"/>
      <x:c r="L36" s="312" t="str">
        <x:f>IF(OR(NOT(ISNUMBER(J36)),NOT(ISNUMBER(K36))),"",ROUND(J36*(1-K36),2))</x:f>
      </x:c>
      <x:c r="M36" s="237"/>
      <x:c r="N36" s="312" t="str">
        <x:f>IF(OR(NOT(ISNUMBER(L36)),NOT(ISNUMBER(M36))),"",ROUND(L36*M36,2))</x:f>
      </x:c>
      <x:c r="O36" s="238"/>
      <x:c r="P36" s="312" t="str">
        <x:f>IF(A36="","",IF(OR(E36&lt;&gt;"Completed",O36="",NOT(ISNUMBER(N36))),"",N36))</x:f>
      </x:c>
      <x:c r="Q36" s="238"/>
      <x:c r="R36" s="312" t="str">
        <x:f>IF(A36="","",SUMIFS('Payments'!$D$6:$D$205,'Payments'!$B$6:$B$205,A36))</x:f>
      </x:c>
      <x:c r="S36" s="312" t="str">
        <x:f>IF(NOT(ISNUMBER(P36)),"",P36-R36)</x:f>
      </x:c>
      <x:c r="T36" s="265" t="str">
        <x:f>IF(A36="","",IF(NOT(ISNUMBER(N36)),"Complete fee inputs",IF(NOT(ISNUMBER(P36)),IF(R36&lt;&gt;0,"Receipt before earned","Not earned"),IF(S36&lt;0,"Overpaid",IF(S36=0,"Paid",IF(Q36="","Set due date",IF(Q36&lt;TODAY(),"Overdue","Awaiting payment")))))))</x:f>
      </x:c>
      <x:c r="U36" s="235"/>
      <x:c r="V36" s="235"/>
      <x:c r="W36" s="239"/>
      <x:c r="X36" s="238"/>
      <x:c r="Y36" s="238"/>
      <x:c r="Z36" s="238"/>
      <x:c r="AA36" s="235"/>
      <x:c r="AB36" s="315" t="str">
        <x:f>IF(A36="","",IF(COUNTIFS($A$6:$A$205,A36)&gt;1,"Duplicate ID",IF(OR(B36="",COUNTIFS('Clients'!$A$6:$A$205,B36)&lt;&gt;1),"Check Client ID",IF(OR(C36="",COUNTIFS('Properties'!$A$6:$A$205,C36)&lt;&gt;1),"Check Property ID",IF(E36="","Set deal stage",IF(NOT(ISNUMBER(X36)),"Add opened date",IF(AND(E36&lt;&gt;"Completed",E36&lt;&gt;"Cancelled",NOT(ISNUMBER(Y36))),"Add target close date",IF(AND(OR(E36="Completed",E36="Cancelled"),NOT(ISNUMBER(Z36))),"Add closed date",IF(AND(E36="Completed",NOT(ISNUMBER(O36))),"Add earned date",IF(AND(E36="Cancelled",AA36=""),"Add outcome reason",IF(AND(E36&lt;&gt;"Cancelled",NOT(ISNUMBER(N36))),"Complete fee inputs",IF(AND(ISNUMBER(Z36),ISNUMBER(X36),Z36&lt;X36),"Check closed date",""))))))))))))</x:f>
      </x:c>
      <x:c r="AC36" s="791"/>
      <x:c r="AD36" s="791"/>
      <x:c r="AE36" s="791"/>
      <x:c r="AF36" s="791"/>
      <x:c r="AG36" s="794"/>
      <x:c r="AH36" s="791"/>
    </x:row>
    <x:row r="37" ht="26" customHeight="1">
      <x:c r="A37" s="319"/>
      <x:c r="B37" s="320"/>
      <x:c r="C37" s="274"/>
      <x:c r="D37" s="274"/>
      <x:c r="E37" s="274"/>
      <x:c r="F37" s="302"/>
      <x:c r="G37" s="274"/>
      <x:c r="H37" s="303"/>
      <x:c r="I37" s="302"/>
      <x:c r="J37" s="312" t="str">
        <x:f>IF(A37="","",IF(G37="Fixed",IF(NOT(ISNUMBER(I37)),"",I37),IF(G37="Percentage",IF(OR(NOT(ISNUMBER(F37)),NOT(ISNUMBER(H37))),"",ROUND(F37*H37,2)),"")))</x:f>
      </x:c>
      <x:c r="K37" s="303"/>
      <x:c r="L37" s="312" t="str">
        <x:f>IF(OR(NOT(ISNUMBER(J37)),NOT(ISNUMBER(K37))),"",ROUND(J37*(1-K37),2))</x:f>
      </x:c>
      <x:c r="M37" s="303"/>
      <x:c r="N37" s="312" t="str">
        <x:f>IF(OR(NOT(ISNUMBER(L37)),NOT(ISNUMBER(M37))),"",ROUND(L37*M37,2))</x:f>
      </x:c>
      <x:c r="O37" s="304"/>
      <x:c r="P37" s="312" t="str">
        <x:f>IF(A37="","",IF(OR(E37&lt;&gt;"Completed",O37="",NOT(ISNUMBER(N37))),"",N37))</x:f>
      </x:c>
      <x:c r="Q37" s="304"/>
      <x:c r="R37" s="312" t="str">
        <x:f>IF(A37="","",SUMIFS('Payments'!$D$6:$D$205,'Payments'!$B$6:$B$205,A37))</x:f>
      </x:c>
      <x:c r="S37" s="312" t="str">
        <x:f>IF(NOT(ISNUMBER(P37)),"",P37-R37)</x:f>
      </x:c>
      <x:c r="T37" s="265" t="str">
        <x:f>IF(A37="","",IF(NOT(ISNUMBER(N37)),"Complete fee inputs",IF(NOT(ISNUMBER(P37)),IF(R37&lt;&gt;0,"Receipt before earned","Not earned"),IF(S37&lt;0,"Overpaid",IF(S37=0,"Paid",IF(Q37="","Set due date",IF(Q37&lt;TODAY(),"Overdue","Awaiting payment")))))))</x:f>
      </x:c>
      <x:c r="U37" s="274"/>
      <x:c r="V37" s="274"/>
      <x:c r="W37" s="280"/>
      <x:c r="X37" s="304"/>
      <x:c r="Y37" s="304"/>
      <x:c r="Z37" s="304"/>
      <x:c r="AA37" s="274"/>
      <x:c r="AB37" s="315" t="str">
        <x:f>IF(A37="","",IF(COUNTIFS($A$6:$A$205,A37)&gt;1,"Duplicate ID",IF(OR(B37="",COUNTIFS('Clients'!$A$6:$A$205,B37)&lt;&gt;1),"Check Client ID",IF(OR(C37="",COUNTIFS('Properties'!$A$6:$A$205,C37)&lt;&gt;1),"Check Property ID",IF(E37="","Set deal stage",IF(NOT(ISNUMBER(X37)),"Add opened date",IF(AND(E37&lt;&gt;"Completed",E37&lt;&gt;"Cancelled",NOT(ISNUMBER(Y37))),"Add target close date",IF(AND(OR(E37="Completed",E37="Cancelled"),NOT(ISNUMBER(Z37))),"Add closed date",IF(AND(E37="Completed",NOT(ISNUMBER(O37))),"Add earned date",IF(AND(E37="Cancelled",AA37=""),"Add outcome reason",IF(AND(E37&lt;&gt;"Cancelled",NOT(ISNUMBER(N37))),"Complete fee inputs",IF(AND(ISNUMBER(Z37),ISNUMBER(X37),Z37&lt;X37),"Check closed date",""))))))))))))</x:f>
      </x:c>
      <x:c r="AC37" s="791"/>
      <x:c r="AD37" s="791"/>
      <x:c r="AE37" s="791"/>
      <x:c r="AF37" s="791"/>
      <x:c r="AG37" s="794"/>
      <x:c r="AH37" s="791"/>
    </x:row>
    <x:row r="38" ht="26" customHeight="1">
      <x:c r="A38" s="317"/>
      <x:c r="B38" s="318"/>
      <x:c r="C38" s="235"/>
      <x:c r="D38" s="235"/>
      <x:c r="E38" s="235"/>
      <x:c r="F38" s="236"/>
      <x:c r="G38" s="235"/>
      <x:c r="H38" s="237"/>
      <x:c r="I38" s="236"/>
      <x:c r="J38" s="312" t="str">
        <x:f>IF(A38="","",IF(G38="Fixed",IF(NOT(ISNUMBER(I38)),"",I38),IF(G38="Percentage",IF(OR(NOT(ISNUMBER(F38)),NOT(ISNUMBER(H38))),"",ROUND(F38*H38,2)),"")))</x:f>
      </x:c>
      <x:c r="K38" s="237"/>
      <x:c r="L38" s="312" t="str">
        <x:f>IF(OR(NOT(ISNUMBER(J38)),NOT(ISNUMBER(K38))),"",ROUND(J38*(1-K38),2))</x:f>
      </x:c>
      <x:c r="M38" s="237"/>
      <x:c r="N38" s="312" t="str">
        <x:f>IF(OR(NOT(ISNUMBER(L38)),NOT(ISNUMBER(M38))),"",ROUND(L38*M38,2))</x:f>
      </x:c>
      <x:c r="O38" s="238"/>
      <x:c r="P38" s="312" t="str">
        <x:f>IF(A38="","",IF(OR(E38&lt;&gt;"Completed",O38="",NOT(ISNUMBER(N38))),"",N38))</x:f>
      </x:c>
      <x:c r="Q38" s="238"/>
      <x:c r="R38" s="312" t="str">
        <x:f>IF(A38="","",SUMIFS('Payments'!$D$6:$D$205,'Payments'!$B$6:$B$205,A38))</x:f>
      </x:c>
      <x:c r="S38" s="312" t="str">
        <x:f>IF(NOT(ISNUMBER(P38)),"",P38-R38)</x:f>
      </x:c>
      <x:c r="T38" s="265" t="str">
        <x:f>IF(A38="","",IF(NOT(ISNUMBER(N38)),"Complete fee inputs",IF(NOT(ISNUMBER(P38)),IF(R38&lt;&gt;0,"Receipt before earned","Not earned"),IF(S38&lt;0,"Overpaid",IF(S38=0,"Paid",IF(Q38="","Set due date",IF(Q38&lt;TODAY(),"Overdue","Awaiting payment")))))))</x:f>
      </x:c>
      <x:c r="U38" s="235"/>
      <x:c r="V38" s="235"/>
      <x:c r="W38" s="239"/>
      <x:c r="X38" s="238"/>
      <x:c r="Y38" s="238"/>
      <x:c r="Z38" s="238"/>
      <x:c r="AA38" s="235"/>
      <x:c r="AB38" s="315" t="str">
        <x:f>IF(A38="","",IF(COUNTIFS($A$6:$A$205,A38)&gt;1,"Duplicate ID",IF(OR(B38="",COUNTIFS('Clients'!$A$6:$A$205,B38)&lt;&gt;1),"Check Client ID",IF(OR(C38="",COUNTIFS('Properties'!$A$6:$A$205,C38)&lt;&gt;1),"Check Property ID",IF(E38="","Set deal stage",IF(NOT(ISNUMBER(X38)),"Add opened date",IF(AND(E38&lt;&gt;"Completed",E38&lt;&gt;"Cancelled",NOT(ISNUMBER(Y38))),"Add target close date",IF(AND(OR(E38="Completed",E38="Cancelled"),NOT(ISNUMBER(Z38))),"Add closed date",IF(AND(E38="Completed",NOT(ISNUMBER(O38))),"Add earned date",IF(AND(E38="Cancelled",AA38=""),"Add outcome reason",IF(AND(E38&lt;&gt;"Cancelled",NOT(ISNUMBER(N38))),"Complete fee inputs",IF(AND(ISNUMBER(Z38),ISNUMBER(X38),Z38&lt;X38),"Check closed date",""))))))))))))</x:f>
      </x:c>
      <x:c r="AC38" s="791"/>
      <x:c r="AD38" s="791"/>
      <x:c r="AE38" s="791"/>
      <x:c r="AF38" s="791"/>
      <x:c r="AG38" s="794"/>
      <x:c r="AH38" s="791"/>
    </x:row>
    <x:row r="39" ht="26" customHeight="1">
      <x:c r="A39" s="319"/>
      <x:c r="B39" s="320"/>
      <x:c r="C39" s="274"/>
      <x:c r="D39" s="274"/>
      <x:c r="E39" s="274"/>
      <x:c r="F39" s="302"/>
      <x:c r="G39" s="274"/>
      <x:c r="H39" s="303"/>
      <x:c r="I39" s="302"/>
      <x:c r="J39" s="312" t="str">
        <x:f>IF(A39="","",IF(G39="Fixed",IF(NOT(ISNUMBER(I39)),"",I39),IF(G39="Percentage",IF(OR(NOT(ISNUMBER(F39)),NOT(ISNUMBER(H39))),"",ROUND(F39*H39,2)),"")))</x:f>
      </x:c>
      <x:c r="K39" s="303"/>
      <x:c r="L39" s="312" t="str">
        <x:f>IF(OR(NOT(ISNUMBER(J39)),NOT(ISNUMBER(K39))),"",ROUND(J39*(1-K39),2))</x:f>
      </x:c>
      <x:c r="M39" s="303"/>
      <x:c r="N39" s="312" t="str">
        <x:f>IF(OR(NOT(ISNUMBER(L39)),NOT(ISNUMBER(M39))),"",ROUND(L39*M39,2))</x:f>
      </x:c>
      <x:c r="O39" s="304"/>
      <x:c r="P39" s="312" t="str">
        <x:f>IF(A39="","",IF(OR(E39&lt;&gt;"Completed",O39="",NOT(ISNUMBER(N39))),"",N39))</x:f>
      </x:c>
      <x:c r="Q39" s="304"/>
      <x:c r="R39" s="312" t="str">
        <x:f>IF(A39="","",SUMIFS('Payments'!$D$6:$D$205,'Payments'!$B$6:$B$205,A39))</x:f>
      </x:c>
      <x:c r="S39" s="312" t="str">
        <x:f>IF(NOT(ISNUMBER(P39)),"",P39-R39)</x:f>
      </x:c>
      <x:c r="T39" s="265" t="str">
        <x:f>IF(A39="","",IF(NOT(ISNUMBER(N39)),"Complete fee inputs",IF(NOT(ISNUMBER(P39)),IF(R39&lt;&gt;0,"Receipt before earned","Not earned"),IF(S39&lt;0,"Overpaid",IF(S39=0,"Paid",IF(Q39="","Set due date",IF(Q39&lt;TODAY(),"Overdue","Awaiting payment")))))))</x:f>
      </x:c>
      <x:c r="U39" s="274"/>
      <x:c r="V39" s="274"/>
      <x:c r="W39" s="280"/>
      <x:c r="X39" s="304"/>
      <x:c r="Y39" s="304"/>
      <x:c r="Z39" s="304"/>
      <x:c r="AA39" s="274"/>
      <x:c r="AB39" s="315" t="str">
        <x:f>IF(A39="","",IF(COUNTIFS($A$6:$A$205,A39)&gt;1,"Duplicate ID",IF(OR(B39="",COUNTIFS('Clients'!$A$6:$A$205,B39)&lt;&gt;1),"Check Client ID",IF(OR(C39="",COUNTIFS('Properties'!$A$6:$A$205,C39)&lt;&gt;1),"Check Property ID",IF(E39="","Set deal stage",IF(NOT(ISNUMBER(X39)),"Add opened date",IF(AND(E39&lt;&gt;"Completed",E39&lt;&gt;"Cancelled",NOT(ISNUMBER(Y39))),"Add target close date",IF(AND(OR(E39="Completed",E39="Cancelled"),NOT(ISNUMBER(Z39))),"Add closed date",IF(AND(E39="Completed",NOT(ISNUMBER(O39))),"Add earned date",IF(AND(E39="Cancelled",AA39=""),"Add outcome reason",IF(AND(E39&lt;&gt;"Cancelled",NOT(ISNUMBER(N39))),"Complete fee inputs",IF(AND(ISNUMBER(Z39),ISNUMBER(X39),Z39&lt;X39),"Check closed date",""))))))))))))</x:f>
      </x:c>
      <x:c r="AC39" s="791"/>
      <x:c r="AD39" s="791"/>
      <x:c r="AE39" s="791"/>
      <x:c r="AF39" s="791"/>
      <x:c r="AG39" s="794"/>
      <x:c r="AH39" s="791"/>
    </x:row>
    <x:row r="40" ht="26" customHeight="1">
      <x:c r="A40" s="317"/>
      <x:c r="B40" s="318"/>
      <x:c r="C40" s="235"/>
      <x:c r="D40" s="235"/>
      <x:c r="E40" s="235"/>
      <x:c r="F40" s="236"/>
      <x:c r="G40" s="235"/>
      <x:c r="H40" s="237"/>
      <x:c r="I40" s="236"/>
      <x:c r="J40" s="312" t="str">
        <x:f>IF(A40="","",IF(G40="Fixed",IF(NOT(ISNUMBER(I40)),"",I40),IF(G40="Percentage",IF(OR(NOT(ISNUMBER(F40)),NOT(ISNUMBER(H40))),"",ROUND(F40*H40,2)),"")))</x:f>
      </x:c>
      <x:c r="K40" s="237"/>
      <x:c r="L40" s="312" t="str">
        <x:f>IF(OR(NOT(ISNUMBER(J40)),NOT(ISNUMBER(K40))),"",ROUND(J40*(1-K40),2))</x:f>
      </x:c>
      <x:c r="M40" s="237"/>
      <x:c r="N40" s="312" t="str">
        <x:f>IF(OR(NOT(ISNUMBER(L40)),NOT(ISNUMBER(M40))),"",ROUND(L40*M40,2))</x:f>
      </x:c>
      <x:c r="O40" s="238"/>
      <x:c r="P40" s="312" t="str">
        <x:f>IF(A40="","",IF(OR(E40&lt;&gt;"Completed",O40="",NOT(ISNUMBER(N40))),"",N40))</x:f>
      </x:c>
      <x:c r="Q40" s="238"/>
      <x:c r="R40" s="312" t="str">
        <x:f>IF(A40="","",SUMIFS('Payments'!$D$6:$D$205,'Payments'!$B$6:$B$205,A40))</x:f>
      </x:c>
      <x:c r="S40" s="312" t="str">
        <x:f>IF(NOT(ISNUMBER(P40)),"",P40-R40)</x:f>
      </x:c>
      <x:c r="T40" s="265" t="str">
        <x:f>IF(A40="","",IF(NOT(ISNUMBER(N40)),"Complete fee inputs",IF(NOT(ISNUMBER(P40)),IF(R40&lt;&gt;0,"Receipt before earned","Not earned"),IF(S40&lt;0,"Overpaid",IF(S40=0,"Paid",IF(Q40="","Set due date",IF(Q40&lt;TODAY(),"Overdue","Awaiting payment")))))))</x:f>
      </x:c>
      <x:c r="U40" s="235"/>
      <x:c r="V40" s="235"/>
      <x:c r="W40" s="239"/>
      <x:c r="X40" s="238"/>
      <x:c r="Y40" s="238"/>
      <x:c r="Z40" s="238"/>
      <x:c r="AA40" s="235"/>
      <x:c r="AB40" s="315" t="str">
        <x:f>IF(A40="","",IF(COUNTIFS($A$6:$A$205,A40)&gt;1,"Duplicate ID",IF(OR(B40="",COUNTIFS('Clients'!$A$6:$A$205,B40)&lt;&gt;1),"Check Client ID",IF(OR(C40="",COUNTIFS('Properties'!$A$6:$A$205,C40)&lt;&gt;1),"Check Property ID",IF(E40="","Set deal stage",IF(NOT(ISNUMBER(X40)),"Add opened date",IF(AND(E40&lt;&gt;"Completed",E40&lt;&gt;"Cancelled",NOT(ISNUMBER(Y40))),"Add target close date",IF(AND(OR(E40="Completed",E40="Cancelled"),NOT(ISNUMBER(Z40))),"Add closed date",IF(AND(E40="Completed",NOT(ISNUMBER(O40))),"Add earned date",IF(AND(E40="Cancelled",AA40=""),"Add outcome reason",IF(AND(E40&lt;&gt;"Cancelled",NOT(ISNUMBER(N40))),"Complete fee inputs",IF(AND(ISNUMBER(Z40),ISNUMBER(X40),Z40&lt;X40),"Check closed date",""))))))))))))</x:f>
      </x:c>
      <x:c r="AC40" s="791"/>
      <x:c r="AD40" s="791"/>
      <x:c r="AE40" s="791"/>
      <x:c r="AF40" s="791"/>
      <x:c r="AG40" s="794"/>
      <x:c r="AH40" s="791"/>
    </x:row>
    <x:row r="41" ht="26" customHeight="1">
      <x:c r="A41" s="319"/>
      <x:c r="B41" s="320"/>
      <x:c r="C41" s="274"/>
      <x:c r="D41" s="274"/>
      <x:c r="E41" s="274"/>
      <x:c r="F41" s="302"/>
      <x:c r="G41" s="274"/>
      <x:c r="H41" s="303"/>
      <x:c r="I41" s="302"/>
      <x:c r="J41" s="312" t="str">
        <x:f>IF(A41="","",IF(G41="Fixed",IF(NOT(ISNUMBER(I41)),"",I41),IF(G41="Percentage",IF(OR(NOT(ISNUMBER(F41)),NOT(ISNUMBER(H41))),"",ROUND(F41*H41,2)),"")))</x:f>
      </x:c>
      <x:c r="K41" s="303"/>
      <x:c r="L41" s="312" t="str">
        <x:f>IF(OR(NOT(ISNUMBER(J41)),NOT(ISNUMBER(K41))),"",ROUND(J41*(1-K41),2))</x:f>
      </x:c>
      <x:c r="M41" s="303"/>
      <x:c r="N41" s="312" t="str">
        <x:f>IF(OR(NOT(ISNUMBER(L41)),NOT(ISNUMBER(M41))),"",ROUND(L41*M41,2))</x:f>
      </x:c>
      <x:c r="O41" s="304"/>
      <x:c r="P41" s="312" t="str">
        <x:f>IF(A41="","",IF(OR(E41&lt;&gt;"Completed",O41="",NOT(ISNUMBER(N41))),"",N41))</x:f>
      </x:c>
      <x:c r="Q41" s="304"/>
      <x:c r="R41" s="312" t="str">
        <x:f>IF(A41="","",SUMIFS('Payments'!$D$6:$D$205,'Payments'!$B$6:$B$205,A41))</x:f>
      </x:c>
      <x:c r="S41" s="312" t="str">
        <x:f>IF(NOT(ISNUMBER(P41)),"",P41-R41)</x:f>
      </x:c>
      <x:c r="T41" s="265" t="str">
        <x:f>IF(A41="","",IF(NOT(ISNUMBER(N41)),"Complete fee inputs",IF(NOT(ISNUMBER(P41)),IF(R41&lt;&gt;0,"Receipt before earned","Not earned"),IF(S41&lt;0,"Overpaid",IF(S41=0,"Paid",IF(Q41="","Set due date",IF(Q41&lt;TODAY(),"Overdue","Awaiting payment")))))))</x:f>
      </x:c>
      <x:c r="U41" s="274"/>
      <x:c r="V41" s="274"/>
      <x:c r="W41" s="280"/>
      <x:c r="X41" s="304"/>
      <x:c r="Y41" s="304"/>
      <x:c r="Z41" s="304"/>
      <x:c r="AA41" s="274"/>
      <x:c r="AB41" s="315" t="str">
        <x:f>IF(A41="","",IF(COUNTIFS($A$6:$A$205,A41)&gt;1,"Duplicate ID",IF(OR(B41="",COUNTIFS('Clients'!$A$6:$A$205,B41)&lt;&gt;1),"Check Client ID",IF(OR(C41="",COUNTIFS('Properties'!$A$6:$A$205,C41)&lt;&gt;1),"Check Property ID",IF(E41="","Set deal stage",IF(NOT(ISNUMBER(X41)),"Add opened date",IF(AND(E41&lt;&gt;"Completed",E41&lt;&gt;"Cancelled",NOT(ISNUMBER(Y41))),"Add target close date",IF(AND(OR(E41="Completed",E41="Cancelled"),NOT(ISNUMBER(Z41))),"Add closed date",IF(AND(E41="Completed",NOT(ISNUMBER(O41))),"Add earned date",IF(AND(E41="Cancelled",AA41=""),"Add outcome reason",IF(AND(E41&lt;&gt;"Cancelled",NOT(ISNUMBER(N41))),"Complete fee inputs",IF(AND(ISNUMBER(Z41),ISNUMBER(X41),Z41&lt;X41),"Check closed date",""))))))))))))</x:f>
      </x:c>
      <x:c r="AC41" s="791"/>
      <x:c r="AD41" s="791"/>
      <x:c r="AE41" s="791"/>
      <x:c r="AF41" s="791"/>
      <x:c r="AG41" s="794"/>
      <x:c r="AH41" s="791"/>
    </x:row>
    <x:row r="42" ht="26" customHeight="1">
      <x:c r="A42" s="317"/>
      <x:c r="B42" s="318"/>
      <x:c r="C42" s="235"/>
      <x:c r="D42" s="235"/>
      <x:c r="E42" s="235"/>
      <x:c r="F42" s="236"/>
      <x:c r="G42" s="235"/>
      <x:c r="H42" s="237"/>
      <x:c r="I42" s="236"/>
      <x:c r="J42" s="312" t="str">
        <x:f>IF(A42="","",IF(G42="Fixed",IF(NOT(ISNUMBER(I42)),"",I42),IF(G42="Percentage",IF(OR(NOT(ISNUMBER(F42)),NOT(ISNUMBER(H42))),"",ROUND(F42*H42,2)),"")))</x:f>
      </x:c>
      <x:c r="K42" s="237"/>
      <x:c r="L42" s="312" t="str">
        <x:f>IF(OR(NOT(ISNUMBER(J42)),NOT(ISNUMBER(K42))),"",ROUND(J42*(1-K42),2))</x:f>
      </x:c>
      <x:c r="M42" s="237"/>
      <x:c r="N42" s="312" t="str">
        <x:f>IF(OR(NOT(ISNUMBER(L42)),NOT(ISNUMBER(M42))),"",ROUND(L42*M42,2))</x:f>
      </x:c>
      <x:c r="O42" s="238"/>
      <x:c r="P42" s="312" t="str">
        <x:f>IF(A42="","",IF(OR(E42&lt;&gt;"Completed",O42="",NOT(ISNUMBER(N42))),"",N42))</x:f>
      </x:c>
      <x:c r="Q42" s="238"/>
      <x:c r="R42" s="312" t="str">
        <x:f>IF(A42="","",SUMIFS('Payments'!$D$6:$D$205,'Payments'!$B$6:$B$205,A42))</x:f>
      </x:c>
      <x:c r="S42" s="312" t="str">
        <x:f>IF(NOT(ISNUMBER(P42)),"",P42-R42)</x:f>
      </x:c>
      <x:c r="T42" s="265" t="str">
        <x:f>IF(A42="","",IF(NOT(ISNUMBER(N42)),"Complete fee inputs",IF(NOT(ISNUMBER(P42)),IF(R42&lt;&gt;0,"Receipt before earned","Not earned"),IF(S42&lt;0,"Overpaid",IF(S42=0,"Paid",IF(Q42="","Set due date",IF(Q42&lt;TODAY(),"Overdue","Awaiting payment")))))))</x:f>
      </x:c>
      <x:c r="U42" s="235"/>
      <x:c r="V42" s="235"/>
      <x:c r="W42" s="239"/>
      <x:c r="X42" s="238"/>
      <x:c r="Y42" s="238"/>
      <x:c r="Z42" s="238"/>
      <x:c r="AA42" s="235"/>
      <x:c r="AB42" s="315" t="str">
        <x:f>IF(A42="","",IF(COUNTIFS($A$6:$A$205,A42)&gt;1,"Duplicate ID",IF(OR(B42="",COUNTIFS('Clients'!$A$6:$A$205,B42)&lt;&gt;1),"Check Client ID",IF(OR(C42="",COUNTIFS('Properties'!$A$6:$A$205,C42)&lt;&gt;1),"Check Property ID",IF(E42="","Set deal stage",IF(NOT(ISNUMBER(X42)),"Add opened date",IF(AND(E42&lt;&gt;"Completed",E42&lt;&gt;"Cancelled",NOT(ISNUMBER(Y42))),"Add target close date",IF(AND(OR(E42="Completed",E42="Cancelled"),NOT(ISNUMBER(Z42))),"Add closed date",IF(AND(E42="Completed",NOT(ISNUMBER(O42))),"Add earned date",IF(AND(E42="Cancelled",AA42=""),"Add outcome reason",IF(AND(E42&lt;&gt;"Cancelled",NOT(ISNUMBER(N42))),"Complete fee inputs",IF(AND(ISNUMBER(Z42),ISNUMBER(X42),Z42&lt;X42),"Check closed date",""))))))))))))</x:f>
      </x:c>
      <x:c r="AC42" s="791"/>
      <x:c r="AD42" s="791"/>
      <x:c r="AE42" s="791"/>
      <x:c r="AF42" s="791"/>
      <x:c r="AG42" s="794"/>
      <x:c r="AH42" s="791"/>
    </x:row>
    <x:row r="43" ht="26" customHeight="1">
      <x:c r="A43" s="319"/>
      <x:c r="B43" s="320"/>
      <x:c r="C43" s="274"/>
      <x:c r="D43" s="274"/>
      <x:c r="E43" s="274"/>
      <x:c r="F43" s="302"/>
      <x:c r="G43" s="274"/>
      <x:c r="H43" s="303"/>
      <x:c r="I43" s="302"/>
      <x:c r="J43" s="312" t="str">
        <x:f>IF(A43="","",IF(G43="Fixed",IF(NOT(ISNUMBER(I43)),"",I43),IF(G43="Percentage",IF(OR(NOT(ISNUMBER(F43)),NOT(ISNUMBER(H43))),"",ROUND(F43*H43,2)),"")))</x:f>
      </x:c>
      <x:c r="K43" s="303"/>
      <x:c r="L43" s="312" t="str">
        <x:f>IF(OR(NOT(ISNUMBER(J43)),NOT(ISNUMBER(K43))),"",ROUND(J43*(1-K43),2))</x:f>
      </x:c>
      <x:c r="M43" s="303"/>
      <x:c r="N43" s="312" t="str">
        <x:f>IF(OR(NOT(ISNUMBER(L43)),NOT(ISNUMBER(M43))),"",ROUND(L43*M43,2))</x:f>
      </x:c>
      <x:c r="O43" s="304"/>
      <x:c r="P43" s="312" t="str">
        <x:f>IF(A43="","",IF(OR(E43&lt;&gt;"Completed",O43="",NOT(ISNUMBER(N43))),"",N43))</x:f>
      </x:c>
      <x:c r="Q43" s="304"/>
      <x:c r="R43" s="312" t="str">
        <x:f>IF(A43="","",SUMIFS('Payments'!$D$6:$D$205,'Payments'!$B$6:$B$205,A43))</x:f>
      </x:c>
      <x:c r="S43" s="312" t="str">
        <x:f>IF(NOT(ISNUMBER(P43)),"",P43-R43)</x:f>
      </x:c>
      <x:c r="T43" s="265" t="str">
        <x:f>IF(A43="","",IF(NOT(ISNUMBER(N43)),"Complete fee inputs",IF(NOT(ISNUMBER(P43)),IF(R43&lt;&gt;0,"Receipt before earned","Not earned"),IF(S43&lt;0,"Overpaid",IF(S43=0,"Paid",IF(Q43="","Set due date",IF(Q43&lt;TODAY(),"Overdue","Awaiting payment")))))))</x:f>
      </x:c>
      <x:c r="U43" s="274"/>
      <x:c r="V43" s="274"/>
      <x:c r="W43" s="280"/>
      <x:c r="X43" s="304"/>
      <x:c r="Y43" s="304"/>
      <x:c r="Z43" s="304"/>
      <x:c r="AA43" s="274"/>
      <x:c r="AB43" s="315" t="str">
        <x:f>IF(A43="","",IF(COUNTIFS($A$6:$A$205,A43)&gt;1,"Duplicate ID",IF(OR(B43="",COUNTIFS('Clients'!$A$6:$A$205,B43)&lt;&gt;1),"Check Client ID",IF(OR(C43="",COUNTIFS('Properties'!$A$6:$A$205,C43)&lt;&gt;1),"Check Property ID",IF(E43="","Set deal stage",IF(NOT(ISNUMBER(X43)),"Add opened date",IF(AND(E43&lt;&gt;"Completed",E43&lt;&gt;"Cancelled",NOT(ISNUMBER(Y43))),"Add target close date",IF(AND(OR(E43="Completed",E43="Cancelled"),NOT(ISNUMBER(Z43))),"Add closed date",IF(AND(E43="Completed",NOT(ISNUMBER(O43))),"Add earned date",IF(AND(E43="Cancelled",AA43=""),"Add outcome reason",IF(AND(E43&lt;&gt;"Cancelled",NOT(ISNUMBER(N43))),"Complete fee inputs",IF(AND(ISNUMBER(Z43),ISNUMBER(X43),Z43&lt;X43),"Check closed date",""))))))))))))</x:f>
      </x:c>
      <x:c r="AC43" s="791"/>
      <x:c r="AD43" s="791"/>
      <x:c r="AE43" s="791"/>
      <x:c r="AF43" s="791"/>
      <x:c r="AG43" s="794"/>
      <x:c r="AH43" s="791"/>
    </x:row>
    <x:row r="44" ht="26" customHeight="1">
      <x:c r="A44" s="317"/>
      <x:c r="B44" s="318"/>
      <x:c r="C44" s="235"/>
      <x:c r="D44" s="235"/>
      <x:c r="E44" s="235"/>
      <x:c r="F44" s="236"/>
      <x:c r="G44" s="235"/>
      <x:c r="H44" s="237"/>
      <x:c r="I44" s="236"/>
      <x:c r="J44" s="312" t="str">
        <x:f>IF(A44="","",IF(G44="Fixed",IF(NOT(ISNUMBER(I44)),"",I44),IF(G44="Percentage",IF(OR(NOT(ISNUMBER(F44)),NOT(ISNUMBER(H44))),"",ROUND(F44*H44,2)),"")))</x:f>
      </x:c>
      <x:c r="K44" s="237"/>
      <x:c r="L44" s="312" t="str">
        <x:f>IF(OR(NOT(ISNUMBER(J44)),NOT(ISNUMBER(K44))),"",ROUND(J44*(1-K44),2))</x:f>
      </x:c>
      <x:c r="M44" s="237"/>
      <x:c r="N44" s="312" t="str">
        <x:f>IF(OR(NOT(ISNUMBER(L44)),NOT(ISNUMBER(M44))),"",ROUND(L44*M44,2))</x:f>
      </x:c>
      <x:c r="O44" s="238"/>
      <x:c r="P44" s="312" t="str">
        <x:f>IF(A44="","",IF(OR(E44&lt;&gt;"Completed",O44="",NOT(ISNUMBER(N44))),"",N44))</x:f>
      </x:c>
      <x:c r="Q44" s="238"/>
      <x:c r="R44" s="312" t="str">
        <x:f>IF(A44="","",SUMIFS('Payments'!$D$6:$D$205,'Payments'!$B$6:$B$205,A44))</x:f>
      </x:c>
      <x:c r="S44" s="312" t="str">
        <x:f>IF(NOT(ISNUMBER(P44)),"",P44-R44)</x:f>
      </x:c>
      <x:c r="T44" s="265" t="str">
        <x:f>IF(A44="","",IF(NOT(ISNUMBER(N44)),"Complete fee inputs",IF(NOT(ISNUMBER(P44)),IF(R44&lt;&gt;0,"Receipt before earned","Not earned"),IF(S44&lt;0,"Overpaid",IF(S44=0,"Paid",IF(Q44="","Set due date",IF(Q44&lt;TODAY(),"Overdue","Awaiting payment")))))))</x:f>
      </x:c>
      <x:c r="U44" s="235"/>
      <x:c r="V44" s="235"/>
      <x:c r="W44" s="239"/>
      <x:c r="X44" s="238"/>
      <x:c r="Y44" s="238"/>
      <x:c r="Z44" s="238"/>
      <x:c r="AA44" s="235"/>
      <x:c r="AB44" s="315" t="str">
        <x:f>IF(A44="","",IF(COUNTIFS($A$6:$A$205,A44)&gt;1,"Duplicate ID",IF(OR(B44="",COUNTIFS('Clients'!$A$6:$A$205,B44)&lt;&gt;1),"Check Client ID",IF(OR(C44="",COUNTIFS('Properties'!$A$6:$A$205,C44)&lt;&gt;1),"Check Property ID",IF(E44="","Set deal stage",IF(NOT(ISNUMBER(X44)),"Add opened date",IF(AND(E44&lt;&gt;"Completed",E44&lt;&gt;"Cancelled",NOT(ISNUMBER(Y44))),"Add target close date",IF(AND(OR(E44="Completed",E44="Cancelled"),NOT(ISNUMBER(Z44))),"Add closed date",IF(AND(E44="Completed",NOT(ISNUMBER(O44))),"Add earned date",IF(AND(E44="Cancelled",AA44=""),"Add outcome reason",IF(AND(E44&lt;&gt;"Cancelled",NOT(ISNUMBER(N44))),"Complete fee inputs",IF(AND(ISNUMBER(Z44),ISNUMBER(X44),Z44&lt;X44),"Check closed date",""))))))))))))</x:f>
      </x:c>
      <x:c r="AC44" s="791"/>
      <x:c r="AD44" s="791"/>
      <x:c r="AE44" s="791"/>
      <x:c r="AF44" s="791"/>
      <x:c r="AG44" s="794"/>
      <x:c r="AH44" s="791"/>
    </x:row>
    <x:row r="45" ht="26" customHeight="1">
      <x:c r="A45" s="319"/>
      <x:c r="B45" s="320"/>
      <x:c r="C45" s="274"/>
      <x:c r="D45" s="274"/>
      <x:c r="E45" s="274"/>
      <x:c r="F45" s="302"/>
      <x:c r="G45" s="274"/>
      <x:c r="H45" s="303"/>
      <x:c r="I45" s="302"/>
      <x:c r="J45" s="312" t="str">
        <x:f>IF(A45="","",IF(G45="Fixed",IF(NOT(ISNUMBER(I45)),"",I45),IF(G45="Percentage",IF(OR(NOT(ISNUMBER(F45)),NOT(ISNUMBER(H45))),"",ROUND(F45*H45,2)),"")))</x:f>
      </x:c>
      <x:c r="K45" s="303"/>
      <x:c r="L45" s="312" t="str">
        <x:f>IF(OR(NOT(ISNUMBER(J45)),NOT(ISNUMBER(K45))),"",ROUND(J45*(1-K45),2))</x:f>
      </x:c>
      <x:c r="M45" s="303"/>
      <x:c r="N45" s="312" t="str">
        <x:f>IF(OR(NOT(ISNUMBER(L45)),NOT(ISNUMBER(M45))),"",ROUND(L45*M45,2))</x:f>
      </x:c>
      <x:c r="O45" s="304"/>
      <x:c r="P45" s="312" t="str">
        <x:f>IF(A45="","",IF(OR(E45&lt;&gt;"Completed",O45="",NOT(ISNUMBER(N45))),"",N45))</x:f>
      </x:c>
      <x:c r="Q45" s="304"/>
      <x:c r="R45" s="312" t="str">
        <x:f>IF(A45="","",SUMIFS('Payments'!$D$6:$D$205,'Payments'!$B$6:$B$205,A45))</x:f>
      </x:c>
      <x:c r="S45" s="312" t="str">
        <x:f>IF(NOT(ISNUMBER(P45)),"",P45-R45)</x:f>
      </x:c>
      <x:c r="T45" s="265" t="str">
        <x:f>IF(A45="","",IF(NOT(ISNUMBER(N45)),"Complete fee inputs",IF(NOT(ISNUMBER(P45)),IF(R45&lt;&gt;0,"Receipt before earned","Not earned"),IF(S45&lt;0,"Overpaid",IF(S45=0,"Paid",IF(Q45="","Set due date",IF(Q45&lt;TODAY(),"Overdue","Awaiting payment")))))))</x:f>
      </x:c>
      <x:c r="U45" s="274"/>
      <x:c r="V45" s="274"/>
      <x:c r="W45" s="280"/>
      <x:c r="X45" s="304"/>
      <x:c r="Y45" s="304"/>
      <x:c r="Z45" s="304"/>
      <x:c r="AA45" s="274"/>
      <x:c r="AB45" s="315" t="str">
        <x:f>IF(A45="","",IF(COUNTIFS($A$6:$A$205,A45)&gt;1,"Duplicate ID",IF(OR(B45="",COUNTIFS('Clients'!$A$6:$A$205,B45)&lt;&gt;1),"Check Client ID",IF(OR(C45="",COUNTIFS('Properties'!$A$6:$A$205,C45)&lt;&gt;1),"Check Property ID",IF(E45="","Set deal stage",IF(NOT(ISNUMBER(X45)),"Add opened date",IF(AND(E45&lt;&gt;"Completed",E45&lt;&gt;"Cancelled",NOT(ISNUMBER(Y45))),"Add target close date",IF(AND(OR(E45="Completed",E45="Cancelled"),NOT(ISNUMBER(Z45))),"Add closed date",IF(AND(E45="Completed",NOT(ISNUMBER(O45))),"Add earned date",IF(AND(E45="Cancelled",AA45=""),"Add outcome reason",IF(AND(E45&lt;&gt;"Cancelled",NOT(ISNUMBER(N45))),"Complete fee inputs",IF(AND(ISNUMBER(Z45),ISNUMBER(X45),Z45&lt;X45),"Check closed date",""))))))))))))</x:f>
      </x:c>
      <x:c r="AC45" s="791"/>
      <x:c r="AD45" s="791"/>
      <x:c r="AE45" s="791"/>
      <x:c r="AF45" s="791"/>
      <x:c r="AG45" s="794"/>
      <x:c r="AH45" s="791"/>
    </x:row>
    <x:row r="46" ht="26" customHeight="1">
      <x:c r="A46" s="317"/>
      <x:c r="B46" s="318"/>
      <x:c r="C46" s="235"/>
      <x:c r="D46" s="235"/>
      <x:c r="E46" s="235"/>
      <x:c r="F46" s="236"/>
      <x:c r="G46" s="235"/>
      <x:c r="H46" s="237"/>
      <x:c r="I46" s="236"/>
      <x:c r="J46" s="312" t="str">
        <x:f>IF(A46="","",IF(G46="Fixed",IF(NOT(ISNUMBER(I46)),"",I46),IF(G46="Percentage",IF(OR(NOT(ISNUMBER(F46)),NOT(ISNUMBER(H46))),"",ROUND(F46*H46,2)),"")))</x:f>
      </x:c>
      <x:c r="K46" s="237"/>
      <x:c r="L46" s="312" t="str">
        <x:f>IF(OR(NOT(ISNUMBER(J46)),NOT(ISNUMBER(K46))),"",ROUND(J46*(1-K46),2))</x:f>
      </x:c>
      <x:c r="M46" s="237"/>
      <x:c r="N46" s="312" t="str">
        <x:f>IF(OR(NOT(ISNUMBER(L46)),NOT(ISNUMBER(M46))),"",ROUND(L46*M46,2))</x:f>
      </x:c>
      <x:c r="O46" s="238"/>
      <x:c r="P46" s="312" t="str">
        <x:f>IF(A46="","",IF(OR(E46&lt;&gt;"Completed",O46="",NOT(ISNUMBER(N46))),"",N46))</x:f>
      </x:c>
      <x:c r="Q46" s="238"/>
      <x:c r="R46" s="312" t="str">
        <x:f>IF(A46="","",SUMIFS('Payments'!$D$6:$D$205,'Payments'!$B$6:$B$205,A46))</x:f>
      </x:c>
      <x:c r="S46" s="312" t="str">
        <x:f>IF(NOT(ISNUMBER(P46)),"",P46-R46)</x:f>
      </x:c>
      <x:c r="T46" s="265" t="str">
        <x:f>IF(A46="","",IF(NOT(ISNUMBER(N46)),"Complete fee inputs",IF(NOT(ISNUMBER(P46)),IF(R46&lt;&gt;0,"Receipt before earned","Not earned"),IF(S46&lt;0,"Overpaid",IF(S46=0,"Paid",IF(Q46="","Set due date",IF(Q46&lt;TODAY(),"Overdue","Awaiting payment")))))))</x:f>
      </x:c>
      <x:c r="U46" s="235"/>
      <x:c r="V46" s="235"/>
      <x:c r="W46" s="239"/>
      <x:c r="X46" s="238"/>
      <x:c r="Y46" s="238"/>
      <x:c r="Z46" s="238"/>
      <x:c r="AA46" s="235"/>
      <x:c r="AB46" s="315" t="str">
        <x:f>IF(A46="","",IF(COUNTIFS($A$6:$A$205,A46)&gt;1,"Duplicate ID",IF(OR(B46="",COUNTIFS('Clients'!$A$6:$A$205,B46)&lt;&gt;1),"Check Client ID",IF(OR(C46="",COUNTIFS('Properties'!$A$6:$A$205,C46)&lt;&gt;1),"Check Property ID",IF(E46="","Set deal stage",IF(NOT(ISNUMBER(X46)),"Add opened date",IF(AND(E46&lt;&gt;"Completed",E46&lt;&gt;"Cancelled",NOT(ISNUMBER(Y46))),"Add target close date",IF(AND(OR(E46="Completed",E46="Cancelled"),NOT(ISNUMBER(Z46))),"Add closed date",IF(AND(E46="Completed",NOT(ISNUMBER(O46))),"Add earned date",IF(AND(E46="Cancelled",AA46=""),"Add outcome reason",IF(AND(E46&lt;&gt;"Cancelled",NOT(ISNUMBER(N46))),"Complete fee inputs",IF(AND(ISNUMBER(Z46),ISNUMBER(X46),Z46&lt;X46),"Check closed date",""))))))))))))</x:f>
      </x:c>
      <x:c r="AC46" s="791"/>
      <x:c r="AD46" s="791"/>
      <x:c r="AE46" s="791"/>
      <x:c r="AF46" s="791"/>
      <x:c r="AG46" s="794"/>
      <x:c r="AH46" s="791"/>
    </x:row>
    <x:row r="47" ht="26" customHeight="1">
      <x:c r="A47" s="319"/>
      <x:c r="B47" s="320"/>
      <x:c r="C47" s="274"/>
      <x:c r="D47" s="274"/>
      <x:c r="E47" s="274"/>
      <x:c r="F47" s="302"/>
      <x:c r="G47" s="274"/>
      <x:c r="H47" s="303"/>
      <x:c r="I47" s="302"/>
      <x:c r="J47" s="312" t="str">
        <x:f>IF(A47="","",IF(G47="Fixed",IF(NOT(ISNUMBER(I47)),"",I47),IF(G47="Percentage",IF(OR(NOT(ISNUMBER(F47)),NOT(ISNUMBER(H47))),"",ROUND(F47*H47,2)),"")))</x:f>
      </x:c>
      <x:c r="K47" s="303"/>
      <x:c r="L47" s="312" t="str">
        <x:f>IF(OR(NOT(ISNUMBER(J47)),NOT(ISNUMBER(K47))),"",ROUND(J47*(1-K47),2))</x:f>
      </x:c>
      <x:c r="M47" s="303"/>
      <x:c r="N47" s="312" t="str">
        <x:f>IF(OR(NOT(ISNUMBER(L47)),NOT(ISNUMBER(M47))),"",ROUND(L47*M47,2))</x:f>
      </x:c>
      <x:c r="O47" s="304"/>
      <x:c r="P47" s="312" t="str">
        <x:f>IF(A47="","",IF(OR(E47&lt;&gt;"Completed",O47="",NOT(ISNUMBER(N47))),"",N47))</x:f>
      </x:c>
      <x:c r="Q47" s="304"/>
      <x:c r="R47" s="312" t="str">
        <x:f>IF(A47="","",SUMIFS('Payments'!$D$6:$D$205,'Payments'!$B$6:$B$205,A47))</x:f>
      </x:c>
      <x:c r="S47" s="312" t="str">
        <x:f>IF(NOT(ISNUMBER(P47)),"",P47-R47)</x:f>
      </x:c>
      <x:c r="T47" s="265" t="str">
        <x:f>IF(A47="","",IF(NOT(ISNUMBER(N47)),"Complete fee inputs",IF(NOT(ISNUMBER(P47)),IF(R47&lt;&gt;0,"Receipt before earned","Not earned"),IF(S47&lt;0,"Overpaid",IF(S47=0,"Paid",IF(Q47="","Set due date",IF(Q47&lt;TODAY(),"Overdue","Awaiting payment")))))))</x:f>
      </x:c>
      <x:c r="U47" s="274"/>
      <x:c r="V47" s="274"/>
      <x:c r="W47" s="280"/>
      <x:c r="X47" s="304"/>
      <x:c r="Y47" s="304"/>
      <x:c r="Z47" s="304"/>
      <x:c r="AA47" s="274"/>
      <x:c r="AB47" s="315" t="str">
        <x:f>IF(A47="","",IF(COUNTIFS($A$6:$A$205,A47)&gt;1,"Duplicate ID",IF(OR(B47="",COUNTIFS('Clients'!$A$6:$A$205,B47)&lt;&gt;1),"Check Client ID",IF(OR(C47="",COUNTIFS('Properties'!$A$6:$A$205,C47)&lt;&gt;1),"Check Property ID",IF(E47="","Set deal stage",IF(NOT(ISNUMBER(X47)),"Add opened date",IF(AND(E47&lt;&gt;"Completed",E47&lt;&gt;"Cancelled",NOT(ISNUMBER(Y47))),"Add target close date",IF(AND(OR(E47="Completed",E47="Cancelled"),NOT(ISNUMBER(Z47))),"Add closed date",IF(AND(E47="Completed",NOT(ISNUMBER(O47))),"Add earned date",IF(AND(E47="Cancelled",AA47=""),"Add outcome reason",IF(AND(E47&lt;&gt;"Cancelled",NOT(ISNUMBER(N47))),"Complete fee inputs",IF(AND(ISNUMBER(Z47),ISNUMBER(X47),Z47&lt;X47),"Check closed date",""))))))))))))</x:f>
      </x:c>
      <x:c r="AC47" s="791"/>
      <x:c r="AD47" s="791"/>
      <x:c r="AE47" s="791"/>
      <x:c r="AF47" s="791"/>
      <x:c r="AG47" s="794"/>
      <x:c r="AH47" s="791"/>
    </x:row>
    <x:row r="48" ht="26" customHeight="1">
      <x:c r="A48" s="317"/>
      <x:c r="B48" s="318"/>
      <x:c r="C48" s="235"/>
      <x:c r="D48" s="235"/>
      <x:c r="E48" s="235"/>
      <x:c r="F48" s="236"/>
      <x:c r="G48" s="235"/>
      <x:c r="H48" s="237"/>
      <x:c r="I48" s="236"/>
      <x:c r="J48" s="312" t="str">
        <x:f>IF(A48="","",IF(G48="Fixed",IF(NOT(ISNUMBER(I48)),"",I48),IF(G48="Percentage",IF(OR(NOT(ISNUMBER(F48)),NOT(ISNUMBER(H48))),"",ROUND(F48*H48,2)),"")))</x:f>
      </x:c>
      <x:c r="K48" s="237"/>
      <x:c r="L48" s="312" t="str">
        <x:f>IF(OR(NOT(ISNUMBER(J48)),NOT(ISNUMBER(K48))),"",ROUND(J48*(1-K48),2))</x:f>
      </x:c>
      <x:c r="M48" s="237"/>
      <x:c r="N48" s="312" t="str">
        <x:f>IF(OR(NOT(ISNUMBER(L48)),NOT(ISNUMBER(M48))),"",ROUND(L48*M48,2))</x:f>
      </x:c>
      <x:c r="O48" s="238"/>
      <x:c r="P48" s="312" t="str">
        <x:f>IF(A48="","",IF(OR(E48&lt;&gt;"Completed",O48="",NOT(ISNUMBER(N48))),"",N48))</x:f>
      </x:c>
      <x:c r="Q48" s="238"/>
      <x:c r="R48" s="312" t="str">
        <x:f>IF(A48="","",SUMIFS('Payments'!$D$6:$D$205,'Payments'!$B$6:$B$205,A48))</x:f>
      </x:c>
      <x:c r="S48" s="312" t="str">
        <x:f>IF(NOT(ISNUMBER(P48)),"",P48-R48)</x:f>
      </x:c>
      <x:c r="T48" s="265" t="str">
        <x:f>IF(A48="","",IF(NOT(ISNUMBER(N48)),"Complete fee inputs",IF(NOT(ISNUMBER(P48)),IF(R48&lt;&gt;0,"Receipt before earned","Not earned"),IF(S48&lt;0,"Overpaid",IF(S48=0,"Paid",IF(Q48="","Set due date",IF(Q48&lt;TODAY(),"Overdue","Awaiting payment")))))))</x:f>
      </x:c>
      <x:c r="U48" s="235"/>
      <x:c r="V48" s="235"/>
      <x:c r="W48" s="239"/>
      <x:c r="X48" s="238"/>
      <x:c r="Y48" s="238"/>
      <x:c r="Z48" s="238"/>
      <x:c r="AA48" s="235"/>
      <x:c r="AB48" s="315" t="str">
        <x:f>IF(A48="","",IF(COUNTIFS($A$6:$A$205,A48)&gt;1,"Duplicate ID",IF(OR(B48="",COUNTIFS('Clients'!$A$6:$A$205,B48)&lt;&gt;1),"Check Client ID",IF(OR(C48="",COUNTIFS('Properties'!$A$6:$A$205,C48)&lt;&gt;1),"Check Property ID",IF(E48="","Set deal stage",IF(NOT(ISNUMBER(X48)),"Add opened date",IF(AND(E48&lt;&gt;"Completed",E48&lt;&gt;"Cancelled",NOT(ISNUMBER(Y48))),"Add target close date",IF(AND(OR(E48="Completed",E48="Cancelled"),NOT(ISNUMBER(Z48))),"Add closed date",IF(AND(E48="Completed",NOT(ISNUMBER(O48))),"Add earned date",IF(AND(E48="Cancelled",AA48=""),"Add outcome reason",IF(AND(E48&lt;&gt;"Cancelled",NOT(ISNUMBER(N48))),"Complete fee inputs",IF(AND(ISNUMBER(Z48),ISNUMBER(X48),Z48&lt;X48),"Check closed date",""))))))))))))</x:f>
      </x:c>
      <x:c r="AC48" s="791"/>
      <x:c r="AD48" s="791"/>
      <x:c r="AE48" s="791"/>
      <x:c r="AF48" s="791"/>
      <x:c r="AG48" s="794"/>
      <x:c r="AH48" s="791"/>
    </x:row>
    <x:row r="49" ht="26" customHeight="1">
      <x:c r="A49" s="319"/>
      <x:c r="B49" s="320"/>
      <x:c r="C49" s="274"/>
      <x:c r="D49" s="274"/>
      <x:c r="E49" s="274"/>
      <x:c r="F49" s="302"/>
      <x:c r="G49" s="274"/>
      <x:c r="H49" s="303"/>
      <x:c r="I49" s="302"/>
      <x:c r="J49" s="312" t="str">
        <x:f>IF(A49="","",IF(G49="Fixed",IF(NOT(ISNUMBER(I49)),"",I49),IF(G49="Percentage",IF(OR(NOT(ISNUMBER(F49)),NOT(ISNUMBER(H49))),"",ROUND(F49*H49,2)),"")))</x:f>
      </x:c>
      <x:c r="K49" s="303"/>
      <x:c r="L49" s="312" t="str">
        <x:f>IF(OR(NOT(ISNUMBER(J49)),NOT(ISNUMBER(K49))),"",ROUND(J49*(1-K49),2))</x:f>
      </x:c>
      <x:c r="M49" s="303"/>
      <x:c r="N49" s="312" t="str">
        <x:f>IF(OR(NOT(ISNUMBER(L49)),NOT(ISNUMBER(M49))),"",ROUND(L49*M49,2))</x:f>
      </x:c>
      <x:c r="O49" s="304"/>
      <x:c r="P49" s="312" t="str">
        <x:f>IF(A49="","",IF(OR(E49&lt;&gt;"Completed",O49="",NOT(ISNUMBER(N49))),"",N49))</x:f>
      </x:c>
      <x:c r="Q49" s="304"/>
      <x:c r="R49" s="312" t="str">
        <x:f>IF(A49="","",SUMIFS('Payments'!$D$6:$D$205,'Payments'!$B$6:$B$205,A49))</x:f>
      </x:c>
      <x:c r="S49" s="312" t="str">
        <x:f>IF(NOT(ISNUMBER(P49)),"",P49-R49)</x:f>
      </x:c>
      <x:c r="T49" s="265" t="str">
        <x:f>IF(A49="","",IF(NOT(ISNUMBER(N49)),"Complete fee inputs",IF(NOT(ISNUMBER(P49)),IF(R49&lt;&gt;0,"Receipt before earned","Not earned"),IF(S49&lt;0,"Overpaid",IF(S49=0,"Paid",IF(Q49="","Set due date",IF(Q49&lt;TODAY(),"Overdue","Awaiting payment")))))))</x:f>
      </x:c>
      <x:c r="U49" s="274"/>
      <x:c r="V49" s="274"/>
      <x:c r="W49" s="280"/>
      <x:c r="X49" s="304"/>
      <x:c r="Y49" s="304"/>
      <x:c r="Z49" s="304"/>
      <x:c r="AA49" s="274"/>
      <x:c r="AB49" s="315" t="str">
        <x:f>IF(A49="","",IF(COUNTIFS($A$6:$A$205,A49)&gt;1,"Duplicate ID",IF(OR(B49="",COUNTIFS('Clients'!$A$6:$A$205,B49)&lt;&gt;1),"Check Client ID",IF(OR(C49="",COUNTIFS('Properties'!$A$6:$A$205,C49)&lt;&gt;1),"Check Property ID",IF(E49="","Set deal stage",IF(NOT(ISNUMBER(X49)),"Add opened date",IF(AND(E49&lt;&gt;"Completed",E49&lt;&gt;"Cancelled",NOT(ISNUMBER(Y49))),"Add target close date",IF(AND(OR(E49="Completed",E49="Cancelled"),NOT(ISNUMBER(Z49))),"Add closed date",IF(AND(E49="Completed",NOT(ISNUMBER(O49))),"Add earned date",IF(AND(E49="Cancelled",AA49=""),"Add outcome reason",IF(AND(E49&lt;&gt;"Cancelled",NOT(ISNUMBER(N49))),"Complete fee inputs",IF(AND(ISNUMBER(Z49),ISNUMBER(X49),Z49&lt;X49),"Check closed date",""))))))))))))</x:f>
      </x:c>
      <x:c r="AC49" s="791"/>
      <x:c r="AD49" s="791"/>
      <x:c r="AE49" s="791"/>
      <x:c r="AF49" s="791"/>
      <x:c r="AG49" s="794"/>
      <x:c r="AH49" s="791"/>
    </x:row>
    <x:row r="50" ht="26" customHeight="1">
      <x:c r="A50" s="317"/>
      <x:c r="B50" s="318"/>
      <x:c r="C50" s="235"/>
      <x:c r="D50" s="235"/>
      <x:c r="E50" s="235"/>
      <x:c r="F50" s="236"/>
      <x:c r="G50" s="235"/>
      <x:c r="H50" s="237"/>
      <x:c r="I50" s="236"/>
      <x:c r="J50" s="312" t="str">
        <x:f>IF(A50="","",IF(G50="Fixed",IF(NOT(ISNUMBER(I50)),"",I50),IF(G50="Percentage",IF(OR(NOT(ISNUMBER(F50)),NOT(ISNUMBER(H50))),"",ROUND(F50*H50,2)),"")))</x:f>
      </x:c>
      <x:c r="K50" s="237"/>
      <x:c r="L50" s="312" t="str">
        <x:f>IF(OR(NOT(ISNUMBER(J50)),NOT(ISNUMBER(K50))),"",ROUND(J50*(1-K50),2))</x:f>
      </x:c>
      <x:c r="M50" s="237"/>
      <x:c r="N50" s="312" t="str">
        <x:f>IF(OR(NOT(ISNUMBER(L50)),NOT(ISNUMBER(M50))),"",ROUND(L50*M50,2))</x:f>
      </x:c>
      <x:c r="O50" s="238"/>
      <x:c r="P50" s="312" t="str">
        <x:f>IF(A50="","",IF(OR(E50&lt;&gt;"Completed",O50="",NOT(ISNUMBER(N50))),"",N50))</x:f>
      </x:c>
      <x:c r="Q50" s="238"/>
      <x:c r="R50" s="312" t="str">
        <x:f>IF(A50="","",SUMIFS('Payments'!$D$6:$D$205,'Payments'!$B$6:$B$205,A50))</x:f>
      </x:c>
      <x:c r="S50" s="312" t="str">
        <x:f>IF(NOT(ISNUMBER(P50)),"",P50-R50)</x:f>
      </x:c>
      <x:c r="T50" s="265" t="str">
        <x:f>IF(A50="","",IF(NOT(ISNUMBER(N50)),"Complete fee inputs",IF(NOT(ISNUMBER(P50)),IF(R50&lt;&gt;0,"Receipt before earned","Not earned"),IF(S50&lt;0,"Overpaid",IF(S50=0,"Paid",IF(Q50="","Set due date",IF(Q50&lt;TODAY(),"Overdue","Awaiting payment")))))))</x:f>
      </x:c>
      <x:c r="U50" s="235"/>
      <x:c r="V50" s="235"/>
      <x:c r="W50" s="239"/>
      <x:c r="X50" s="238"/>
      <x:c r="Y50" s="238"/>
      <x:c r="Z50" s="238"/>
      <x:c r="AA50" s="235"/>
      <x:c r="AB50" s="315" t="str">
        <x:f>IF(A50="","",IF(COUNTIFS($A$6:$A$205,A50)&gt;1,"Duplicate ID",IF(OR(B50="",COUNTIFS('Clients'!$A$6:$A$205,B50)&lt;&gt;1),"Check Client ID",IF(OR(C50="",COUNTIFS('Properties'!$A$6:$A$205,C50)&lt;&gt;1),"Check Property ID",IF(E50="","Set deal stage",IF(NOT(ISNUMBER(X50)),"Add opened date",IF(AND(E50&lt;&gt;"Completed",E50&lt;&gt;"Cancelled",NOT(ISNUMBER(Y50))),"Add target close date",IF(AND(OR(E50="Completed",E50="Cancelled"),NOT(ISNUMBER(Z50))),"Add closed date",IF(AND(E50="Completed",NOT(ISNUMBER(O50))),"Add earned date",IF(AND(E50="Cancelled",AA50=""),"Add outcome reason",IF(AND(E50&lt;&gt;"Cancelled",NOT(ISNUMBER(N50))),"Complete fee inputs",IF(AND(ISNUMBER(Z50),ISNUMBER(X50),Z50&lt;X50),"Check closed date",""))))))))))))</x:f>
      </x:c>
      <x:c r="AC50" s="791"/>
      <x:c r="AD50" s="791"/>
      <x:c r="AE50" s="791"/>
      <x:c r="AF50" s="791"/>
      <x:c r="AG50" s="794"/>
      <x:c r="AH50" s="791"/>
    </x:row>
    <x:row r="51" ht="26" customHeight="1">
      <x:c r="A51" s="319"/>
      <x:c r="B51" s="320"/>
      <x:c r="C51" s="274"/>
      <x:c r="D51" s="274"/>
      <x:c r="E51" s="274"/>
      <x:c r="F51" s="302"/>
      <x:c r="G51" s="274"/>
      <x:c r="H51" s="303"/>
      <x:c r="I51" s="302"/>
      <x:c r="J51" s="312" t="str">
        <x:f>IF(A51="","",IF(G51="Fixed",IF(NOT(ISNUMBER(I51)),"",I51),IF(G51="Percentage",IF(OR(NOT(ISNUMBER(F51)),NOT(ISNUMBER(H51))),"",ROUND(F51*H51,2)),"")))</x:f>
      </x:c>
      <x:c r="K51" s="303"/>
      <x:c r="L51" s="312" t="str">
        <x:f>IF(OR(NOT(ISNUMBER(J51)),NOT(ISNUMBER(K51))),"",ROUND(J51*(1-K51),2))</x:f>
      </x:c>
      <x:c r="M51" s="303"/>
      <x:c r="N51" s="312" t="str">
        <x:f>IF(OR(NOT(ISNUMBER(L51)),NOT(ISNUMBER(M51))),"",ROUND(L51*M51,2))</x:f>
      </x:c>
      <x:c r="O51" s="304"/>
      <x:c r="P51" s="312" t="str">
        <x:f>IF(A51="","",IF(OR(E51&lt;&gt;"Completed",O51="",NOT(ISNUMBER(N51))),"",N51))</x:f>
      </x:c>
      <x:c r="Q51" s="304"/>
      <x:c r="R51" s="312" t="str">
        <x:f>IF(A51="","",SUMIFS('Payments'!$D$6:$D$205,'Payments'!$B$6:$B$205,A51))</x:f>
      </x:c>
      <x:c r="S51" s="312" t="str">
        <x:f>IF(NOT(ISNUMBER(P51)),"",P51-R51)</x:f>
      </x:c>
      <x:c r="T51" s="265" t="str">
        <x:f>IF(A51="","",IF(NOT(ISNUMBER(N51)),"Complete fee inputs",IF(NOT(ISNUMBER(P51)),IF(R51&lt;&gt;0,"Receipt before earned","Not earned"),IF(S51&lt;0,"Overpaid",IF(S51=0,"Paid",IF(Q51="","Set due date",IF(Q51&lt;TODAY(),"Overdue","Awaiting payment")))))))</x:f>
      </x:c>
      <x:c r="U51" s="274"/>
      <x:c r="V51" s="274"/>
      <x:c r="W51" s="280"/>
      <x:c r="X51" s="304"/>
      <x:c r="Y51" s="304"/>
      <x:c r="Z51" s="304"/>
      <x:c r="AA51" s="274"/>
      <x:c r="AB51" s="315" t="str">
        <x:f>IF(A51="","",IF(COUNTIFS($A$6:$A$205,A51)&gt;1,"Duplicate ID",IF(OR(B51="",COUNTIFS('Clients'!$A$6:$A$205,B51)&lt;&gt;1),"Check Client ID",IF(OR(C51="",COUNTIFS('Properties'!$A$6:$A$205,C51)&lt;&gt;1),"Check Property ID",IF(E51="","Set deal stage",IF(NOT(ISNUMBER(X51)),"Add opened date",IF(AND(E51&lt;&gt;"Completed",E51&lt;&gt;"Cancelled",NOT(ISNUMBER(Y51))),"Add target close date",IF(AND(OR(E51="Completed",E51="Cancelled"),NOT(ISNUMBER(Z51))),"Add closed date",IF(AND(E51="Completed",NOT(ISNUMBER(O51))),"Add earned date",IF(AND(E51="Cancelled",AA51=""),"Add outcome reason",IF(AND(E51&lt;&gt;"Cancelled",NOT(ISNUMBER(N51))),"Complete fee inputs",IF(AND(ISNUMBER(Z51),ISNUMBER(X51),Z51&lt;X51),"Check closed date",""))))))))))))</x:f>
      </x:c>
      <x:c r="AC51" s="791"/>
      <x:c r="AD51" s="791"/>
      <x:c r="AE51" s="791"/>
      <x:c r="AF51" s="791"/>
      <x:c r="AG51" s="794"/>
      <x:c r="AH51" s="791"/>
    </x:row>
    <x:row r="52" ht="26" customHeight="1">
      <x:c r="A52" s="317"/>
      <x:c r="B52" s="318"/>
      <x:c r="C52" s="235"/>
      <x:c r="D52" s="235"/>
      <x:c r="E52" s="235"/>
      <x:c r="F52" s="236"/>
      <x:c r="G52" s="235"/>
      <x:c r="H52" s="237"/>
      <x:c r="I52" s="236"/>
      <x:c r="J52" s="312" t="str">
        <x:f>IF(A52="","",IF(G52="Fixed",IF(NOT(ISNUMBER(I52)),"",I52),IF(G52="Percentage",IF(OR(NOT(ISNUMBER(F52)),NOT(ISNUMBER(H52))),"",ROUND(F52*H52,2)),"")))</x:f>
      </x:c>
      <x:c r="K52" s="237"/>
      <x:c r="L52" s="312" t="str">
        <x:f>IF(OR(NOT(ISNUMBER(J52)),NOT(ISNUMBER(K52))),"",ROUND(J52*(1-K52),2))</x:f>
      </x:c>
      <x:c r="M52" s="237"/>
      <x:c r="N52" s="312" t="str">
        <x:f>IF(OR(NOT(ISNUMBER(L52)),NOT(ISNUMBER(M52))),"",ROUND(L52*M52,2))</x:f>
      </x:c>
      <x:c r="O52" s="238"/>
      <x:c r="P52" s="312" t="str">
        <x:f>IF(A52="","",IF(OR(E52&lt;&gt;"Completed",O52="",NOT(ISNUMBER(N52))),"",N52))</x:f>
      </x:c>
      <x:c r="Q52" s="238"/>
      <x:c r="R52" s="312" t="str">
        <x:f>IF(A52="","",SUMIFS('Payments'!$D$6:$D$205,'Payments'!$B$6:$B$205,A52))</x:f>
      </x:c>
      <x:c r="S52" s="312" t="str">
        <x:f>IF(NOT(ISNUMBER(P52)),"",P52-R52)</x:f>
      </x:c>
      <x:c r="T52" s="265" t="str">
        <x:f>IF(A52="","",IF(NOT(ISNUMBER(N52)),"Complete fee inputs",IF(NOT(ISNUMBER(P52)),IF(R52&lt;&gt;0,"Receipt before earned","Not earned"),IF(S52&lt;0,"Overpaid",IF(S52=0,"Paid",IF(Q52="","Set due date",IF(Q52&lt;TODAY(),"Overdue","Awaiting payment")))))))</x:f>
      </x:c>
      <x:c r="U52" s="235"/>
      <x:c r="V52" s="235"/>
      <x:c r="W52" s="239"/>
      <x:c r="X52" s="238"/>
      <x:c r="Y52" s="238"/>
      <x:c r="Z52" s="238"/>
      <x:c r="AA52" s="235"/>
      <x:c r="AB52" s="315" t="str">
        <x:f>IF(A52="","",IF(COUNTIFS($A$6:$A$205,A52)&gt;1,"Duplicate ID",IF(OR(B52="",COUNTIFS('Clients'!$A$6:$A$205,B52)&lt;&gt;1),"Check Client ID",IF(OR(C52="",COUNTIFS('Properties'!$A$6:$A$205,C52)&lt;&gt;1),"Check Property ID",IF(E52="","Set deal stage",IF(NOT(ISNUMBER(X52)),"Add opened date",IF(AND(E52&lt;&gt;"Completed",E52&lt;&gt;"Cancelled",NOT(ISNUMBER(Y52))),"Add target close date",IF(AND(OR(E52="Completed",E52="Cancelled"),NOT(ISNUMBER(Z52))),"Add closed date",IF(AND(E52="Completed",NOT(ISNUMBER(O52))),"Add earned date",IF(AND(E52="Cancelled",AA52=""),"Add outcome reason",IF(AND(E52&lt;&gt;"Cancelled",NOT(ISNUMBER(N52))),"Complete fee inputs",IF(AND(ISNUMBER(Z52),ISNUMBER(X52),Z52&lt;X52),"Check closed date",""))))))))))))</x:f>
      </x:c>
      <x:c r="AC52" s="791"/>
      <x:c r="AD52" s="791"/>
      <x:c r="AE52" s="791"/>
      <x:c r="AF52" s="791"/>
      <x:c r="AG52" s="794"/>
      <x:c r="AH52" s="791"/>
    </x:row>
    <x:row r="53" ht="26" customHeight="1">
      <x:c r="A53" s="319"/>
      <x:c r="B53" s="320"/>
      <x:c r="C53" s="274"/>
      <x:c r="D53" s="274"/>
      <x:c r="E53" s="274"/>
      <x:c r="F53" s="302"/>
      <x:c r="G53" s="274"/>
      <x:c r="H53" s="303"/>
      <x:c r="I53" s="302"/>
      <x:c r="J53" s="312" t="str">
        <x:f>IF(A53="","",IF(G53="Fixed",IF(NOT(ISNUMBER(I53)),"",I53),IF(G53="Percentage",IF(OR(NOT(ISNUMBER(F53)),NOT(ISNUMBER(H53))),"",ROUND(F53*H53,2)),"")))</x:f>
      </x:c>
      <x:c r="K53" s="303"/>
      <x:c r="L53" s="312" t="str">
        <x:f>IF(OR(NOT(ISNUMBER(J53)),NOT(ISNUMBER(K53))),"",ROUND(J53*(1-K53),2))</x:f>
      </x:c>
      <x:c r="M53" s="303"/>
      <x:c r="N53" s="312" t="str">
        <x:f>IF(OR(NOT(ISNUMBER(L53)),NOT(ISNUMBER(M53))),"",ROUND(L53*M53,2))</x:f>
      </x:c>
      <x:c r="O53" s="304"/>
      <x:c r="P53" s="312" t="str">
        <x:f>IF(A53="","",IF(OR(E53&lt;&gt;"Completed",O53="",NOT(ISNUMBER(N53))),"",N53))</x:f>
      </x:c>
      <x:c r="Q53" s="304"/>
      <x:c r="R53" s="312" t="str">
        <x:f>IF(A53="","",SUMIFS('Payments'!$D$6:$D$205,'Payments'!$B$6:$B$205,A53))</x:f>
      </x:c>
      <x:c r="S53" s="312" t="str">
        <x:f>IF(NOT(ISNUMBER(P53)),"",P53-R53)</x:f>
      </x:c>
      <x:c r="T53" s="265" t="str">
        <x:f>IF(A53="","",IF(NOT(ISNUMBER(N53)),"Complete fee inputs",IF(NOT(ISNUMBER(P53)),IF(R53&lt;&gt;0,"Receipt before earned","Not earned"),IF(S53&lt;0,"Overpaid",IF(S53=0,"Paid",IF(Q53="","Set due date",IF(Q53&lt;TODAY(),"Overdue","Awaiting payment")))))))</x:f>
      </x:c>
      <x:c r="U53" s="274"/>
      <x:c r="V53" s="274"/>
      <x:c r="W53" s="280"/>
      <x:c r="X53" s="304"/>
      <x:c r="Y53" s="304"/>
      <x:c r="Z53" s="304"/>
      <x:c r="AA53" s="274"/>
      <x:c r="AB53" s="315" t="str">
        <x:f>IF(A53="","",IF(COUNTIFS($A$6:$A$205,A53)&gt;1,"Duplicate ID",IF(OR(B53="",COUNTIFS('Clients'!$A$6:$A$205,B53)&lt;&gt;1),"Check Client ID",IF(OR(C53="",COUNTIFS('Properties'!$A$6:$A$205,C53)&lt;&gt;1),"Check Property ID",IF(E53="","Set deal stage",IF(NOT(ISNUMBER(X53)),"Add opened date",IF(AND(E53&lt;&gt;"Completed",E53&lt;&gt;"Cancelled",NOT(ISNUMBER(Y53))),"Add target close date",IF(AND(OR(E53="Completed",E53="Cancelled"),NOT(ISNUMBER(Z53))),"Add closed date",IF(AND(E53="Completed",NOT(ISNUMBER(O53))),"Add earned date",IF(AND(E53="Cancelled",AA53=""),"Add outcome reason",IF(AND(E53&lt;&gt;"Cancelled",NOT(ISNUMBER(N53))),"Complete fee inputs",IF(AND(ISNUMBER(Z53),ISNUMBER(X53),Z53&lt;X53),"Check closed date",""))))))))))))</x:f>
      </x:c>
      <x:c r="AC53" s="791"/>
      <x:c r="AD53" s="791"/>
      <x:c r="AE53" s="791"/>
      <x:c r="AF53" s="791"/>
      <x:c r="AG53" s="794"/>
      <x:c r="AH53" s="791"/>
    </x:row>
    <x:row r="54" ht="26" customHeight="1">
      <x:c r="A54" s="317"/>
      <x:c r="B54" s="318"/>
      <x:c r="C54" s="235"/>
      <x:c r="D54" s="235"/>
      <x:c r="E54" s="235"/>
      <x:c r="F54" s="236"/>
      <x:c r="G54" s="235"/>
      <x:c r="H54" s="237"/>
      <x:c r="I54" s="236"/>
      <x:c r="J54" s="312" t="str">
        <x:f>IF(A54="","",IF(G54="Fixed",IF(NOT(ISNUMBER(I54)),"",I54),IF(G54="Percentage",IF(OR(NOT(ISNUMBER(F54)),NOT(ISNUMBER(H54))),"",ROUND(F54*H54,2)),"")))</x:f>
      </x:c>
      <x:c r="K54" s="237"/>
      <x:c r="L54" s="312" t="str">
        <x:f>IF(OR(NOT(ISNUMBER(J54)),NOT(ISNUMBER(K54))),"",ROUND(J54*(1-K54),2))</x:f>
      </x:c>
      <x:c r="M54" s="237"/>
      <x:c r="N54" s="312" t="str">
        <x:f>IF(OR(NOT(ISNUMBER(L54)),NOT(ISNUMBER(M54))),"",ROUND(L54*M54,2))</x:f>
      </x:c>
      <x:c r="O54" s="238"/>
      <x:c r="P54" s="312" t="str">
        <x:f>IF(A54="","",IF(OR(E54&lt;&gt;"Completed",O54="",NOT(ISNUMBER(N54))),"",N54))</x:f>
      </x:c>
      <x:c r="Q54" s="238"/>
      <x:c r="R54" s="312" t="str">
        <x:f>IF(A54="","",SUMIFS('Payments'!$D$6:$D$205,'Payments'!$B$6:$B$205,A54))</x:f>
      </x:c>
      <x:c r="S54" s="312" t="str">
        <x:f>IF(NOT(ISNUMBER(P54)),"",P54-R54)</x:f>
      </x:c>
      <x:c r="T54" s="265" t="str">
        <x:f>IF(A54="","",IF(NOT(ISNUMBER(N54)),"Complete fee inputs",IF(NOT(ISNUMBER(P54)),IF(R54&lt;&gt;0,"Receipt before earned","Not earned"),IF(S54&lt;0,"Overpaid",IF(S54=0,"Paid",IF(Q54="","Set due date",IF(Q54&lt;TODAY(),"Overdue","Awaiting payment")))))))</x:f>
      </x:c>
      <x:c r="U54" s="235"/>
      <x:c r="V54" s="235"/>
      <x:c r="W54" s="239"/>
      <x:c r="X54" s="238"/>
      <x:c r="Y54" s="238"/>
      <x:c r="Z54" s="238"/>
      <x:c r="AA54" s="235"/>
      <x:c r="AB54" s="315" t="str">
        <x:f>IF(A54="","",IF(COUNTIFS($A$6:$A$205,A54)&gt;1,"Duplicate ID",IF(OR(B54="",COUNTIFS('Clients'!$A$6:$A$205,B54)&lt;&gt;1),"Check Client ID",IF(OR(C54="",COUNTIFS('Properties'!$A$6:$A$205,C54)&lt;&gt;1),"Check Property ID",IF(E54="","Set deal stage",IF(NOT(ISNUMBER(X54)),"Add opened date",IF(AND(E54&lt;&gt;"Completed",E54&lt;&gt;"Cancelled",NOT(ISNUMBER(Y54))),"Add target close date",IF(AND(OR(E54="Completed",E54="Cancelled"),NOT(ISNUMBER(Z54))),"Add closed date",IF(AND(E54="Completed",NOT(ISNUMBER(O54))),"Add earned date",IF(AND(E54="Cancelled",AA54=""),"Add outcome reason",IF(AND(E54&lt;&gt;"Cancelled",NOT(ISNUMBER(N54))),"Complete fee inputs",IF(AND(ISNUMBER(Z54),ISNUMBER(X54),Z54&lt;X54),"Check closed date",""))))))))))))</x:f>
      </x:c>
      <x:c r="AC54" s="791"/>
      <x:c r="AD54" s="791"/>
      <x:c r="AE54" s="791"/>
      <x:c r="AF54" s="791"/>
      <x:c r="AG54" s="794"/>
      <x:c r="AH54" s="791"/>
    </x:row>
    <x:row r="55" ht="26" customHeight="1">
      <x:c r="A55" s="319"/>
      <x:c r="B55" s="320"/>
      <x:c r="C55" s="274"/>
      <x:c r="D55" s="274"/>
      <x:c r="E55" s="274"/>
      <x:c r="F55" s="302"/>
      <x:c r="G55" s="274"/>
      <x:c r="H55" s="303"/>
      <x:c r="I55" s="302"/>
      <x:c r="J55" s="312" t="str">
        <x:f>IF(A55="","",IF(G55="Fixed",IF(NOT(ISNUMBER(I55)),"",I55),IF(G55="Percentage",IF(OR(NOT(ISNUMBER(F55)),NOT(ISNUMBER(H55))),"",ROUND(F55*H55,2)),"")))</x:f>
      </x:c>
      <x:c r="K55" s="303"/>
      <x:c r="L55" s="312" t="str">
        <x:f>IF(OR(NOT(ISNUMBER(J55)),NOT(ISNUMBER(K55))),"",ROUND(J55*(1-K55),2))</x:f>
      </x:c>
      <x:c r="M55" s="303"/>
      <x:c r="N55" s="312" t="str">
        <x:f>IF(OR(NOT(ISNUMBER(L55)),NOT(ISNUMBER(M55))),"",ROUND(L55*M55,2))</x:f>
      </x:c>
      <x:c r="O55" s="304"/>
      <x:c r="P55" s="312" t="str">
        <x:f>IF(A55="","",IF(OR(E55&lt;&gt;"Completed",O55="",NOT(ISNUMBER(N55))),"",N55))</x:f>
      </x:c>
      <x:c r="Q55" s="304"/>
      <x:c r="R55" s="312" t="str">
        <x:f>IF(A55="","",SUMIFS('Payments'!$D$6:$D$205,'Payments'!$B$6:$B$205,A55))</x:f>
      </x:c>
      <x:c r="S55" s="312" t="str">
        <x:f>IF(NOT(ISNUMBER(P55)),"",P55-R55)</x:f>
      </x:c>
      <x:c r="T55" s="265" t="str">
        <x:f>IF(A55="","",IF(NOT(ISNUMBER(N55)),"Complete fee inputs",IF(NOT(ISNUMBER(P55)),IF(R55&lt;&gt;0,"Receipt before earned","Not earned"),IF(S55&lt;0,"Overpaid",IF(S55=0,"Paid",IF(Q55="","Set due date",IF(Q55&lt;TODAY(),"Overdue","Awaiting payment")))))))</x:f>
      </x:c>
      <x:c r="U55" s="274"/>
      <x:c r="V55" s="274"/>
      <x:c r="W55" s="280"/>
      <x:c r="X55" s="304"/>
      <x:c r="Y55" s="304"/>
      <x:c r="Z55" s="304"/>
      <x:c r="AA55" s="274"/>
      <x:c r="AB55" s="315" t="str">
        <x:f>IF(A55="","",IF(COUNTIFS($A$6:$A$205,A55)&gt;1,"Duplicate ID",IF(OR(B55="",COUNTIFS('Clients'!$A$6:$A$205,B55)&lt;&gt;1),"Check Client ID",IF(OR(C55="",COUNTIFS('Properties'!$A$6:$A$205,C55)&lt;&gt;1),"Check Property ID",IF(E55="","Set deal stage",IF(NOT(ISNUMBER(X55)),"Add opened date",IF(AND(E55&lt;&gt;"Completed",E55&lt;&gt;"Cancelled",NOT(ISNUMBER(Y55))),"Add target close date",IF(AND(OR(E55="Completed",E55="Cancelled"),NOT(ISNUMBER(Z55))),"Add closed date",IF(AND(E55="Completed",NOT(ISNUMBER(O55))),"Add earned date",IF(AND(E55="Cancelled",AA55=""),"Add outcome reason",IF(AND(E55&lt;&gt;"Cancelled",NOT(ISNUMBER(N55))),"Complete fee inputs",IF(AND(ISNUMBER(Z55),ISNUMBER(X55),Z55&lt;X55),"Check closed date",""))))))))))))</x:f>
      </x:c>
      <x:c r="AC55" s="791"/>
      <x:c r="AD55" s="791"/>
      <x:c r="AE55" s="791"/>
      <x:c r="AF55" s="791"/>
      <x:c r="AG55" s="794"/>
      <x:c r="AH55" s="791"/>
    </x:row>
    <x:row r="56" ht="26" customHeight="1">
      <x:c r="A56" s="317"/>
      <x:c r="B56" s="318"/>
      <x:c r="C56" s="235"/>
      <x:c r="D56" s="235"/>
      <x:c r="E56" s="235"/>
      <x:c r="F56" s="236"/>
      <x:c r="G56" s="235"/>
      <x:c r="H56" s="237"/>
      <x:c r="I56" s="236"/>
      <x:c r="J56" s="312" t="str">
        <x:f>IF(A56="","",IF(G56="Fixed",IF(NOT(ISNUMBER(I56)),"",I56),IF(G56="Percentage",IF(OR(NOT(ISNUMBER(F56)),NOT(ISNUMBER(H56))),"",ROUND(F56*H56,2)),"")))</x:f>
      </x:c>
      <x:c r="K56" s="237"/>
      <x:c r="L56" s="312" t="str">
        <x:f>IF(OR(NOT(ISNUMBER(J56)),NOT(ISNUMBER(K56))),"",ROUND(J56*(1-K56),2))</x:f>
      </x:c>
      <x:c r="M56" s="237"/>
      <x:c r="N56" s="312" t="str">
        <x:f>IF(OR(NOT(ISNUMBER(L56)),NOT(ISNUMBER(M56))),"",ROUND(L56*M56,2))</x:f>
      </x:c>
      <x:c r="O56" s="238"/>
      <x:c r="P56" s="312" t="str">
        <x:f>IF(A56="","",IF(OR(E56&lt;&gt;"Completed",O56="",NOT(ISNUMBER(N56))),"",N56))</x:f>
      </x:c>
      <x:c r="Q56" s="238"/>
      <x:c r="R56" s="312" t="str">
        <x:f>IF(A56="","",SUMIFS('Payments'!$D$6:$D$205,'Payments'!$B$6:$B$205,A56))</x:f>
      </x:c>
      <x:c r="S56" s="312" t="str">
        <x:f>IF(NOT(ISNUMBER(P56)),"",P56-R56)</x:f>
      </x:c>
      <x:c r="T56" s="265" t="str">
        <x:f>IF(A56="","",IF(NOT(ISNUMBER(N56)),"Complete fee inputs",IF(NOT(ISNUMBER(P56)),IF(R56&lt;&gt;0,"Receipt before earned","Not earned"),IF(S56&lt;0,"Overpaid",IF(S56=0,"Paid",IF(Q56="","Set due date",IF(Q56&lt;TODAY(),"Overdue","Awaiting payment")))))))</x:f>
      </x:c>
      <x:c r="U56" s="235"/>
      <x:c r="V56" s="235"/>
      <x:c r="W56" s="239"/>
      <x:c r="X56" s="238"/>
      <x:c r="Y56" s="238"/>
      <x:c r="Z56" s="238"/>
      <x:c r="AA56" s="235"/>
      <x:c r="AB56" s="315" t="str">
        <x:f>IF(A56="","",IF(COUNTIFS($A$6:$A$205,A56)&gt;1,"Duplicate ID",IF(OR(B56="",COUNTIFS('Clients'!$A$6:$A$205,B56)&lt;&gt;1),"Check Client ID",IF(OR(C56="",COUNTIFS('Properties'!$A$6:$A$205,C56)&lt;&gt;1),"Check Property ID",IF(E56="","Set deal stage",IF(NOT(ISNUMBER(X56)),"Add opened date",IF(AND(E56&lt;&gt;"Completed",E56&lt;&gt;"Cancelled",NOT(ISNUMBER(Y56))),"Add target close date",IF(AND(OR(E56="Completed",E56="Cancelled"),NOT(ISNUMBER(Z56))),"Add closed date",IF(AND(E56="Completed",NOT(ISNUMBER(O56))),"Add earned date",IF(AND(E56="Cancelled",AA56=""),"Add outcome reason",IF(AND(E56&lt;&gt;"Cancelled",NOT(ISNUMBER(N56))),"Complete fee inputs",IF(AND(ISNUMBER(Z56),ISNUMBER(X56),Z56&lt;X56),"Check closed date",""))))))))))))</x:f>
      </x:c>
      <x:c r="AC56" s="791"/>
      <x:c r="AD56" s="791"/>
      <x:c r="AE56" s="791"/>
      <x:c r="AF56" s="791"/>
      <x:c r="AG56" s="794"/>
      <x:c r="AH56" s="791"/>
    </x:row>
    <x:row r="57" ht="26" customHeight="1">
      <x:c r="A57" s="319"/>
      <x:c r="B57" s="320"/>
      <x:c r="C57" s="274"/>
      <x:c r="D57" s="274"/>
      <x:c r="E57" s="274"/>
      <x:c r="F57" s="302"/>
      <x:c r="G57" s="274"/>
      <x:c r="H57" s="303"/>
      <x:c r="I57" s="302"/>
      <x:c r="J57" s="312" t="str">
        <x:f>IF(A57="","",IF(G57="Fixed",IF(NOT(ISNUMBER(I57)),"",I57),IF(G57="Percentage",IF(OR(NOT(ISNUMBER(F57)),NOT(ISNUMBER(H57))),"",ROUND(F57*H57,2)),"")))</x:f>
      </x:c>
      <x:c r="K57" s="303"/>
      <x:c r="L57" s="312" t="str">
        <x:f>IF(OR(NOT(ISNUMBER(J57)),NOT(ISNUMBER(K57))),"",ROUND(J57*(1-K57),2))</x:f>
      </x:c>
      <x:c r="M57" s="303"/>
      <x:c r="N57" s="312" t="str">
        <x:f>IF(OR(NOT(ISNUMBER(L57)),NOT(ISNUMBER(M57))),"",ROUND(L57*M57,2))</x:f>
      </x:c>
      <x:c r="O57" s="304"/>
      <x:c r="P57" s="312" t="str">
        <x:f>IF(A57="","",IF(OR(E57&lt;&gt;"Completed",O57="",NOT(ISNUMBER(N57))),"",N57))</x:f>
      </x:c>
      <x:c r="Q57" s="304"/>
      <x:c r="R57" s="312" t="str">
        <x:f>IF(A57="","",SUMIFS('Payments'!$D$6:$D$205,'Payments'!$B$6:$B$205,A57))</x:f>
      </x:c>
      <x:c r="S57" s="312" t="str">
        <x:f>IF(NOT(ISNUMBER(P57)),"",P57-R57)</x:f>
      </x:c>
      <x:c r="T57" s="265" t="str">
        <x:f>IF(A57="","",IF(NOT(ISNUMBER(N57)),"Complete fee inputs",IF(NOT(ISNUMBER(P57)),IF(R57&lt;&gt;0,"Receipt before earned","Not earned"),IF(S57&lt;0,"Overpaid",IF(S57=0,"Paid",IF(Q57="","Set due date",IF(Q57&lt;TODAY(),"Overdue","Awaiting payment")))))))</x:f>
      </x:c>
      <x:c r="U57" s="274"/>
      <x:c r="V57" s="274"/>
      <x:c r="W57" s="280"/>
      <x:c r="X57" s="304"/>
      <x:c r="Y57" s="304"/>
      <x:c r="Z57" s="304"/>
      <x:c r="AA57" s="274"/>
      <x:c r="AB57" s="315" t="str">
        <x:f>IF(A57="","",IF(COUNTIFS($A$6:$A$205,A57)&gt;1,"Duplicate ID",IF(OR(B57="",COUNTIFS('Clients'!$A$6:$A$205,B57)&lt;&gt;1),"Check Client ID",IF(OR(C57="",COUNTIFS('Properties'!$A$6:$A$205,C57)&lt;&gt;1),"Check Property ID",IF(E57="","Set deal stage",IF(NOT(ISNUMBER(X57)),"Add opened date",IF(AND(E57&lt;&gt;"Completed",E57&lt;&gt;"Cancelled",NOT(ISNUMBER(Y57))),"Add target close date",IF(AND(OR(E57="Completed",E57="Cancelled"),NOT(ISNUMBER(Z57))),"Add closed date",IF(AND(E57="Completed",NOT(ISNUMBER(O57))),"Add earned date",IF(AND(E57="Cancelled",AA57=""),"Add outcome reason",IF(AND(E57&lt;&gt;"Cancelled",NOT(ISNUMBER(N57))),"Complete fee inputs",IF(AND(ISNUMBER(Z57),ISNUMBER(X57),Z57&lt;X57),"Check closed date",""))))))))))))</x:f>
      </x:c>
      <x:c r="AC57" s="791"/>
      <x:c r="AD57" s="791"/>
      <x:c r="AE57" s="791"/>
      <x:c r="AF57" s="791"/>
      <x:c r="AG57" s="794"/>
      <x:c r="AH57" s="791"/>
    </x:row>
    <x:row r="58" ht="26" customHeight="1">
      <x:c r="A58" s="317"/>
      <x:c r="B58" s="318"/>
      <x:c r="C58" s="235"/>
      <x:c r="D58" s="235"/>
      <x:c r="E58" s="235"/>
      <x:c r="F58" s="236"/>
      <x:c r="G58" s="235"/>
      <x:c r="H58" s="237"/>
      <x:c r="I58" s="236"/>
      <x:c r="J58" s="312" t="str">
        <x:f>IF(A58="","",IF(G58="Fixed",IF(NOT(ISNUMBER(I58)),"",I58),IF(G58="Percentage",IF(OR(NOT(ISNUMBER(F58)),NOT(ISNUMBER(H58))),"",ROUND(F58*H58,2)),"")))</x:f>
      </x:c>
      <x:c r="K58" s="237"/>
      <x:c r="L58" s="312" t="str">
        <x:f>IF(OR(NOT(ISNUMBER(J58)),NOT(ISNUMBER(K58))),"",ROUND(J58*(1-K58),2))</x:f>
      </x:c>
      <x:c r="M58" s="237"/>
      <x:c r="N58" s="312" t="str">
        <x:f>IF(OR(NOT(ISNUMBER(L58)),NOT(ISNUMBER(M58))),"",ROUND(L58*M58,2))</x:f>
      </x:c>
      <x:c r="O58" s="238"/>
      <x:c r="P58" s="312" t="str">
        <x:f>IF(A58="","",IF(OR(E58&lt;&gt;"Completed",O58="",NOT(ISNUMBER(N58))),"",N58))</x:f>
      </x:c>
      <x:c r="Q58" s="238"/>
      <x:c r="R58" s="312" t="str">
        <x:f>IF(A58="","",SUMIFS('Payments'!$D$6:$D$205,'Payments'!$B$6:$B$205,A58))</x:f>
      </x:c>
      <x:c r="S58" s="312" t="str">
        <x:f>IF(NOT(ISNUMBER(P58)),"",P58-R58)</x:f>
      </x:c>
      <x:c r="T58" s="265" t="str">
        <x:f>IF(A58="","",IF(NOT(ISNUMBER(N58)),"Complete fee inputs",IF(NOT(ISNUMBER(P58)),IF(R58&lt;&gt;0,"Receipt before earned","Not earned"),IF(S58&lt;0,"Overpaid",IF(S58=0,"Paid",IF(Q58="","Set due date",IF(Q58&lt;TODAY(),"Overdue","Awaiting payment")))))))</x:f>
      </x:c>
      <x:c r="U58" s="235"/>
      <x:c r="V58" s="235"/>
      <x:c r="W58" s="239"/>
      <x:c r="X58" s="238"/>
      <x:c r="Y58" s="238"/>
      <x:c r="Z58" s="238"/>
      <x:c r="AA58" s="235"/>
      <x:c r="AB58" s="315" t="str">
        <x:f>IF(A58="","",IF(COUNTIFS($A$6:$A$205,A58)&gt;1,"Duplicate ID",IF(OR(B58="",COUNTIFS('Clients'!$A$6:$A$205,B58)&lt;&gt;1),"Check Client ID",IF(OR(C58="",COUNTIFS('Properties'!$A$6:$A$205,C58)&lt;&gt;1),"Check Property ID",IF(E58="","Set deal stage",IF(NOT(ISNUMBER(X58)),"Add opened date",IF(AND(E58&lt;&gt;"Completed",E58&lt;&gt;"Cancelled",NOT(ISNUMBER(Y58))),"Add target close date",IF(AND(OR(E58="Completed",E58="Cancelled"),NOT(ISNUMBER(Z58))),"Add closed date",IF(AND(E58="Completed",NOT(ISNUMBER(O58))),"Add earned date",IF(AND(E58="Cancelled",AA58=""),"Add outcome reason",IF(AND(E58&lt;&gt;"Cancelled",NOT(ISNUMBER(N58))),"Complete fee inputs",IF(AND(ISNUMBER(Z58),ISNUMBER(X58),Z58&lt;X58),"Check closed date",""))))))))))))</x:f>
      </x:c>
      <x:c r="AC58" s="791"/>
      <x:c r="AD58" s="791"/>
      <x:c r="AE58" s="791"/>
      <x:c r="AF58" s="791"/>
      <x:c r="AG58" s="794"/>
      <x:c r="AH58" s="791"/>
    </x:row>
    <x:row r="59" ht="26" customHeight="1">
      <x:c r="A59" s="319"/>
      <x:c r="B59" s="320"/>
      <x:c r="C59" s="274"/>
      <x:c r="D59" s="274"/>
      <x:c r="E59" s="274"/>
      <x:c r="F59" s="302"/>
      <x:c r="G59" s="274"/>
      <x:c r="H59" s="303"/>
      <x:c r="I59" s="302"/>
      <x:c r="J59" s="312" t="str">
        <x:f>IF(A59="","",IF(G59="Fixed",IF(NOT(ISNUMBER(I59)),"",I59),IF(G59="Percentage",IF(OR(NOT(ISNUMBER(F59)),NOT(ISNUMBER(H59))),"",ROUND(F59*H59,2)),"")))</x:f>
      </x:c>
      <x:c r="K59" s="303"/>
      <x:c r="L59" s="312" t="str">
        <x:f>IF(OR(NOT(ISNUMBER(J59)),NOT(ISNUMBER(K59))),"",ROUND(J59*(1-K59),2))</x:f>
      </x:c>
      <x:c r="M59" s="303"/>
      <x:c r="N59" s="312" t="str">
        <x:f>IF(OR(NOT(ISNUMBER(L59)),NOT(ISNUMBER(M59))),"",ROUND(L59*M59,2))</x:f>
      </x:c>
      <x:c r="O59" s="304"/>
      <x:c r="P59" s="312" t="str">
        <x:f>IF(A59="","",IF(OR(E59&lt;&gt;"Completed",O59="",NOT(ISNUMBER(N59))),"",N59))</x:f>
      </x:c>
      <x:c r="Q59" s="304"/>
      <x:c r="R59" s="312" t="str">
        <x:f>IF(A59="","",SUMIFS('Payments'!$D$6:$D$205,'Payments'!$B$6:$B$205,A59))</x:f>
      </x:c>
      <x:c r="S59" s="312" t="str">
        <x:f>IF(NOT(ISNUMBER(P59)),"",P59-R59)</x:f>
      </x:c>
      <x:c r="T59" s="265" t="str">
        <x:f>IF(A59="","",IF(NOT(ISNUMBER(N59)),"Complete fee inputs",IF(NOT(ISNUMBER(P59)),IF(R59&lt;&gt;0,"Receipt before earned","Not earned"),IF(S59&lt;0,"Overpaid",IF(S59=0,"Paid",IF(Q59="","Set due date",IF(Q59&lt;TODAY(),"Overdue","Awaiting payment")))))))</x:f>
      </x:c>
      <x:c r="U59" s="274"/>
      <x:c r="V59" s="274"/>
      <x:c r="W59" s="280"/>
      <x:c r="X59" s="304"/>
      <x:c r="Y59" s="304"/>
      <x:c r="Z59" s="304"/>
      <x:c r="AA59" s="274"/>
      <x:c r="AB59" s="315" t="str">
        <x:f>IF(A59="","",IF(COUNTIFS($A$6:$A$205,A59)&gt;1,"Duplicate ID",IF(OR(B59="",COUNTIFS('Clients'!$A$6:$A$205,B59)&lt;&gt;1),"Check Client ID",IF(OR(C59="",COUNTIFS('Properties'!$A$6:$A$205,C59)&lt;&gt;1),"Check Property ID",IF(E59="","Set deal stage",IF(NOT(ISNUMBER(X59)),"Add opened date",IF(AND(E59&lt;&gt;"Completed",E59&lt;&gt;"Cancelled",NOT(ISNUMBER(Y59))),"Add target close date",IF(AND(OR(E59="Completed",E59="Cancelled"),NOT(ISNUMBER(Z59))),"Add closed date",IF(AND(E59="Completed",NOT(ISNUMBER(O59))),"Add earned date",IF(AND(E59="Cancelled",AA59=""),"Add outcome reason",IF(AND(E59&lt;&gt;"Cancelled",NOT(ISNUMBER(N59))),"Complete fee inputs",IF(AND(ISNUMBER(Z59),ISNUMBER(X59),Z59&lt;X59),"Check closed date",""))))))))))))</x:f>
      </x:c>
      <x:c r="AC59" s="791"/>
      <x:c r="AD59" s="791"/>
      <x:c r="AE59" s="791"/>
      <x:c r="AF59" s="791"/>
      <x:c r="AG59" s="794"/>
      <x:c r="AH59" s="791"/>
    </x:row>
    <x:row r="60" ht="26" customHeight="1">
      <x:c r="A60" s="317"/>
      <x:c r="B60" s="318"/>
      <x:c r="C60" s="235"/>
      <x:c r="D60" s="235"/>
      <x:c r="E60" s="235"/>
      <x:c r="F60" s="236"/>
      <x:c r="G60" s="235"/>
      <x:c r="H60" s="237"/>
      <x:c r="I60" s="236"/>
      <x:c r="J60" s="312" t="str">
        <x:f>IF(A60="","",IF(G60="Fixed",IF(NOT(ISNUMBER(I60)),"",I60),IF(G60="Percentage",IF(OR(NOT(ISNUMBER(F60)),NOT(ISNUMBER(H60))),"",ROUND(F60*H60,2)),"")))</x:f>
      </x:c>
      <x:c r="K60" s="237"/>
      <x:c r="L60" s="312" t="str">
        <x:f>IF(OR(NOT(ISNUMBER(J60)),NOT(ISNUMBER(K60))),"",ROUND(J60*(1-K60),2))</x:f>
      </x:c>
      <x:c r="M60" s="237"/>
      <x:c r="N60" s="312" t="str">
        <x:f>IF(OR(NOT(ISNUMBER(L60)),NOT(ISNUMBER(M60))),"",ROUND(L60*M60,2))</x:f>
      </x:c>
      <x:c r="O60" s="238"/>
      <x:c r="P60" s="312" t="str">
        <x:f>IF(A60="","",IF(OR(E60&lt;&gt;"Completed",O60="",NOT(ISNUMBER(N60))),"",N60))</x:f>
      </x:c>
      <x:c r="Q60" s="238"/>
      <x:c r="R60" s="312" t="str">
        <x:f>IF(A60="","",SUMIFS('Payments'!$D$6:$D$205,'Payments'!$B$6:$B$205,A60))</x:f>
      </x:c>
      <x:c r="S60" s="312" t="str">
        <x:f>IF(NOT(ISNUMBER(P60)),"",P60-R60)</x:f>
      </x:c>
      <x:c r="T60" s="265" t="str">
        <x:f>IF(A60="","",IF(NOT(ISNUMBER(N60)),"Complete fee inputs",IF(NOT(ISNUMBER(P60)),IF(R60&lt;&gt;0,"Receipt before earned","Not earned"),IF(S60&lt;0,"Overpaid",IF(S60=0,"Paid",IF(Q60="","Set due date",IF(Q60&lt;TODAY(),"Overdue","Awaiting payment")))))))</x:f>
      </x:c>
      <x:c r="U60" s="235"/>
      <x:c r="V60" s="235"/>
      <x:c r="W60" s="239"/>
      <x:c r="X60" s="238"/>
      <x:c r="Y60" s="238"/>
      <x:c r="Z60" s="238"/>
      <x:c r="AA60" s="235"/>
      <x:c r="AB60" s="315" t="str">
        <x:f>IF(A60="","",IF(COUNTIFS($A$6:$A$205,A60)&gt;1,"Duplicate ID",IF(OR(B60="",COUNTIFS('Clients'!$A$6:$A$205,B60)&lt;&gt;1),"Check Client ID",IF(OR(C60="",COUNTIFS('Properties'!$A$6:$A$205,C60)&lt;&gt;1),"Check Property ID",IF(E60="","Set deal stage",IF(NOT(ISNUMBER(X60)),"Add opened date",IF(AND(E60&lt;&gt;"Completed",E60&lt;&gt;"Cancelled",NOT(ISNUMBER(Y60))),"Add target close date",IF(AND(OR(E60="Completed",E60="Cancelled"),NOT(ISNUMBER(Z60))),"Add closed date",IF(AND(E60="Completed",NOT(ISNUMBER(O60))),"Add earned date",IF(AND(E60="Cancelled",AA60=""),"Add outcome reason",IF(AND(E60&lt;&gt;"Cancelled",NOT(ISNUMBER(N60))),"Complete fee inputs",IF(AND(ISNUMBER(Z60),ISNUMBER(X60),Z60&lt;X60),"Check closed date",""))))))))))))</x:f>
      </x:c>
      <x:c r="AC60" s="791"/>
      <x:c r="AD60" s="791"/>
      <x:c r="AE60" s="791"/>
      <x:c r="AF60" s="791"/>
      <x:c r="AG60" s="794"/>
      <x:c r="AH60" s="791"/>
    </x:row>
    <x:row r="61" ht="26" customHeight="1">
      <x:c r="A61" s="319"/>
      <x:c r="B61" s="320"/>
      <x:c r="C61" s="274"/>
      <x:c r="D61" s="274"/>
      <x:c r="E61" s="274"/>
      <x:c r="F61" s="302"/>
      <x:c r="G61" s="274"/>
      <x:c r="H61" s="303"/>
      <x:c r="I61" s="302"/>
      <x:c r="J61" s="312" t="str">
        <x:f>IF(A61="","",IF(G61="Fixed",IF(NOT(ISNUMBER(I61)),"",I61),IF(G61="Percentage",IF(OR(NOT(ISNUMBER(F61)),NOT(ISNUMBER(H61))),"",ROUND(F61*H61,2)),"")))</x:f>
      </x:c>
      <x:c r="K61" s="303"/>
      <x:c r="L61" s="312" t="str">
        <x:f>IF(OR(NOT(ISNUMBER(J61)),NOT(ISNUMBER(K61))),"",ROUND(J61*(1-K61),2))</x:f>
      </x:c>
      <x:c r="M61" s="303"/>
      <x:c r="N61" s="312" t="str">
        <x:f>IF(OR(NOT(ISNUMBER(L61)),NOT(ISNUMBER(M61))),"",ROUND(L61*M61,2))</x:f>
      </x:c>
      <x:c r="O61" s="304"/>
      <x:c r="P61" s="312" t="str">
        <x:f>IF(A61="","",IF(OR(E61&lt;&gt;"Completed",O61="",NOT(ISNUMBER(N61))),"",N61))</x:f>
      </x:c>
      <x:c r="Q61" s="304"/>
      <x:c r="R61" s="312" t="str">
        <x:f>IF(A61="","",SUMIFS('Payments'!$D$6:$D$205,'Payments'!$B$6:$B$205,A61))</x:f>
      </x:c>
      <x:c r="S61" s="312" t="str">
        <x:f>IF(NOT(ISNUMBER(P61)),"",P61-R61)</x:f>
      </x:c>
      <x:c r="T61" s="265" t="str">
        <x:f>IF(A61="","",IF(NOT(ISNUMBER(N61)),"Complete fee inputs",IF(NOT(ISNUMBER(P61)),IF(R61&lt;&gt;0,"Receipt before earned","Not earned"),IF(S61&lt;0,"Overpaid",IF(S61=0,"Paid",IF(Q61="","Set due date",IF(Q61&lt;TODAY(),"Overdue","Awaiting payment")))))))</x:f>
      </x:c>
      <x:c r="U61" s="274"/>
      <x:c r="V61" s="274"/>
      <x:c r="W61" s="280"/>
      <x:c r="X61" s="304"/>
      <x:c r="Y61" s="304"/>
      <x:c r="Z61" s="304"/>
      <x:c r="AA61" s="274"/>
      <x:c r="AB61" s="315" t="str">
        <x:f>IF(A61="","",IF(COUNTIFS($A$6:$A$205,A61)&gt;1,"Duplicate ID",IF(OR(B61="",COUNTIFS('Clients'!$A$6:$A$205,B61)&lt;&gt;1),"Check Client ID",IF(OR(C61="",COUNTIFS('Properties'!$A$6:$A$205,C61)&lt;&gt;1),"Check Property ID",IF(E61="","Set deal stage",IF(NOT(ISNUMBER(X61)),"Add opened date",IF(AND(E61&lt;&gt;"Completed",E61&lt;&gt;"Cancelled",NOT(ISNUMBER(Y61))),"Add target close date",IF(AND(OR(E61="Completed",E61="Cancelled"),NOT(ISNUMBER(Z61))),"Add closed date",IF(AND(E61="Completed",NOT(ISNUMBER(O61))),"Add earned date",IF(AND(E61="Cancelled",AA61=""),"Add outcome reason",IF(AND(E61&lt;&gt;"Cancelled",NOT(ISNUMBER(N61))),"Complete fee inputs",IF(AND(ISNUMBER(Z61),ISNUMBER(X61),Z61&lt;X61),"Check closed date",""))))))))))))</x:f>
      </x:c>
      <x:c r="AC61" s="791"/>
      <x:c r="AD61" s="791"/>
      <x:c r="AE61" s="791"/>
      <x:c r="AF61" s="791"/>
      <x:c r="AG61" s="794"/>
      <x:c r="AH61" s="791"/>
    </x:row>
    <x:row r="62" ht="26" customHeight="1">
      <x:c r="A62" s="317"/>
      <x:c r="B62" s="318"/>
      <x:c r="C62" s="235"/>
      <x:c r="D62" s="235"/>
      <x:c r="E62" s="235"/>
      <x:c r="F62" s="236"/>
      <x:c r="G62" s="235"/>
      <x:c r="H62" s="237"/>
      <x:c r="I62" s="236"/>
      <x:c r="J62" s="312" t="str">
        <x:f>IF(A62="","",IF(G62="Fixed",IF(NOT(ISNUMBER(I62)),"",I62),IF(G62="Percentage",IF(OR(NOT(ISNUMBER(F62)),NOT(ISNUMBER(H62))),"",ROUND(F62*H62,2)),"")))</x:f>
      </x:c>
      <x:c r="K62" s="237"/>
      <x:c r="L62" s="312" t="str">
        <x:f>IF(OR(NOT(ISNUMBER(J62)),NOT(ISNUMBER(K62))),"",ROUND(J62*(1-K62),2))</x:f>
      </x:c>
      <x:c r="M62" s="237"/>
      <x:c r="N62" s="312" t="str">
        <x:f>IF(OR(NOT(ISNUMBER(L62)),NOT(ISNUMBER(M62))),"",ROUND(L62*M62,2))</x:f>
      </x:c>
      <x:c r="O62" s="238"/>
      <x:c r="P62" s="312" t="str">
        <x:f>IF(A62="","",IF(OR(E62&lt;&gt;"Completed",O62="",NOT(ISNUMBER(N62))),"",N62))</x:f>
      </x:c>
      <x:c r="Q62" s="238"/>
      <x:c r="R62" s="312" t="str">
        <x:f>IF(A62="","",SUMIFS('Payments'!$D$6:$D$205,'Payments'!$B$6:$B$205,A62))</x:f>
      </x:c>
      <x:c r="S62" s="312" t="str">
        <x:f>IF(NOT(ISNUMBER(P62)),"",P62-R62)</x:f>
      </x:c>
      <x:c r="T62" s="265" t="str">
        <x:f>IF(A62="","",IF(NOT(ISNUMBER(N62)),"Complete fee inputs",IF(NOT(ISNUMBER(P62)),IF(R62&lt;&gt;0,"Receipt before earned","Not earned"),IF(S62&lt;0,"Overpaid",IF(S62=0,"Paid",IF(Q62="","Set due date",IF(Q62&lt;TODAY(),"Overdue","Awaiting payment")))))))</x:f>
      </x:c>
      <x:c r="U62" s="235"/>
      <x:c r="V62" s="235"/>
      <x:c r="W62" s="239"/>
      <x:c r="X62" s="238"/>
      <x:c r="Y62" s="238"/>
      <x:c r="Z62" s="238"/>
      <x:c r="AA62" s="235"/>
      <x:c r="AB62" s="315" t="str">
        <x:f>IF(A62="","",IF(COUNTIFS($A$6:$A$205,A62)&gt;1,"Duplicate ID",IF(OR(B62="",COUNTIFS('Clients'!$A$6:$A$205,B62)&lt;&gt;1),"Check Client ID",IF(OR(C62="",COUNTIFS('Properties'!$A$6:$A$205,C62)&lt;&gt;1),"Check Property ID",IF(E62="","Set deal stage",IF(NOT(ISNUMBER(X62)),"Add opened date",IF(AND(E62&lt;&gt;"Completed",E62&lt;&gt;"Cancelled",NOT(ISNUMBER(Y62))),"Add target close date",IF(AND(OR(E62="Completed",E62="Cancelled"),NOT(ISNUMBER(Z62))),"Add closed date",IF(AND(E62="Completed",NOT(ISNUMBER(O62))),"Add earned date",IF(AND(E62="Cancelled",AA62=""),"Add outcome reason",IF(AND(E62&lt;&gt;"Cancelled",NOT(ISNUMBER(N62))),"Complete fee inputs",IF(AND(ISNUMBER(Z62),ISNUMBER(X62),Z62&lt;X62),"Check closed date",""))))))))))))</x:f>
      </x:c>
      <x:c r="AC62" s="791"/>
      <x:c r="AD62" s="791"/>
      <x:c r="AE62" s="791"/>
      <x:c r="AF62" s="791"/>
      <x:c r="AG62" s="794"/>
      <x:c r="AH62" s="791"/>
    </x:row>
    <x:row r="63" ht="26" customHeight="1">
      <x:c r="A63" s="319"/>
      <x:c r="B63" s="320"/>
      <x:c r="C63" s="274"/>
      <x:c r="D63" s="274"/>
      <x:c r="E63" s="274"/>
      <x:c r="F63" s="302"/>
      <x:c r="G63" s="274"/>
      <x:c r="H63" s="303"/>
      <x:c r="I63" s="302"/>
      <x:c r="J63" s="312" t="str">
        <x:f>IF(A63="","",IF(G63="Fixed",IF(NOT(ISNUMBER(I63)),"",I63),IF(G63="Percentage",IF(OR(NOT(ISNUMBER(F63)),NOT(ISNUMBER(H63))),"",ROUND(F63*H63,2)),"")))</x:f>
      </x:c>
      <x:c r="K63" s="303"/>
      <x:c r="L63" s="312" t="str">
        <x:f>IF(OR(NOT(ISNUMBER(J63)),NOT(ISNUMBER(K63))),"",ROUND(J63*(1-K63),2))</x:f>
      </x:c>
      <x:c r="M63" s="303"/>
      <x:c r="N63" s="312" t="str">
        <x:f>IF(OR(NOT(ISNUMBER(L63)),NOT(ISNUMBER(M63))),"",ROUND(L63*M63,2))</x:f>
      </x:c>
      <x:c r="O63" s="304"/>
      <x:c r="P63" s="312" t="str">
        <x:f>IF(A63="","",IF(OR(E63&lt;&gt;"Completed",O63="",NOT(ISNUMBER(N63))),"",N63))</x:f>
      </x:c>
      <x:c r="Q63" s="304"/>
      <x:c r="R63" s="312" t="str">
        <x:f>IF(A63="","",SUMIFS('Payments'!$D$6:$D$205,'Payments'!$B$6:$B$205,A63))</x:f>
      </x:c>
      <x:c r="S63" s="312" t="str">
        <x:f>IF(NOT(ISNUMBER(P63)),"",P63-R63)</x:f>
      </x:c>
      <x:c r="T63" s="265" t="str">
        <x:f>IF(A63="","",IF(NOT(ISNUMBER(N63)),"Complete fee inputs",IF(NOT(ISNUMBER(P63)),IF(R63&lt;&gt;0,"Receipt before earned","Not earned"),IF(S63&lt;0,"Overpaid",IF(S63=0,"Paid",IF(Q63="","Set due date",IF(Q63&lt;TODAY(),"Overdue","Awaiting payment")))))))</x:f>
      </x:c>
      <x:c r="U63" s="274"/>
      <x:c r="V63" s="274"/>
      <x:c r="W63" s="280"/>
      <x:c r="X63" s="304"/>
      <x:c r="Y63" s="304"/>
      <x:c r="Z63" s="304"/>
      <x:c r="AA63" s="274"/>
      <x:c r="AB63" s="315" t="str">
        <x:f>IF(A63="","",IF(COUNTIFS($A$6:$A$205,A63)&gt;1,"Duplicate ID",IF(OR(B63="",COUNTIFS('Clients'!$A$6:$A$205,B63)&lt;&gt;1),"Check Client ID",IF(OR(C63="",COUNTIFS('Properties'!$A$6:$A$205,C63)&lt;&gt;1),"Check Property ID",IF(E63="","Set deal stage",IF(NOT(ISNUMBER(X63)),"Add opened date",IF(AND(E63&lt;&gt;"Completed",E63&lt;&gt;"Cancelled",NOT(ISNUMBER(Y63))),"Add target close date",IF(AND(OR(E63="Completed",E63="Cancelled"),NOT(ISNUMBER(Z63))),"Add closed date",IF(AND(E63="Completed",NOT(ISNUMBER(O63))),"Add earned date",IF(AND(E63="Cancelled",AA63=""),"Add outcome reason",IF(AND(E63&lt;&gt;"Cancelled",NOT(ISNUMBER(N63))),"Complete fee inputs",IF(AND(ISNUMBER(Z63),ISNUMBER(X63),Z63&lt;X63),"Check closed date",""))))))))))))</x:f>
      </x:c>
      <x:c r="AC63" s="791"/>
      <x:c r="AD63" s="791"/>
      <x:c r="AE63" s="791"/>
      <x:c r="AF63" s="791"/>
      <x:c r="AG63" s="794"/>
      <x:c r="AH63" s="791"/>
    </x:row>
    <x:row r="64" ht="26" customHeight="1">
      <x:c r="A64" s="317"/>
      <x:c r="B64" s="318"/>
      <x:c r="C64" s="235"/>
      <x:c r="D64" s="235"/>
      <x:c r="E64" s="235"/>
      <x:c r="F64" s="236"/>
      <x:c r="G64" s="235"/>
      <x:c r="H64" s="237"/>
      <x:c r="I64" s="236"/>
      <x:c r="J64" s="312" t="str">
        <x:f>IF(A64="","",IF(G64="Fixed",IF(NOT(ISNUMBER(I64)),"",I64),IF(G64="Percentage",IF(OR(NOT(ISNUMBER(F64)),NOT(ISNUMBER(H64))),"",ROUND(F64*H64,2)),"")))</x:f>
      </x:c>
      <x:c r="K64" s="237"/>
      <x:c r="L64" s="312" t="str">
        <x:f>IF(OR(NOT(ISNUMBER(J64)),NOT(ISNUMBER(K64))),"",ROUND(J64*(1-K64),2))</x:f>
      </x:c>
      <x:c r="M64" s="237"/>
      <x:c r="N64" s="312" t="str">
        <x:f>IF(OR(NOT(ISNUMBER(L64)),NOT(ISNUMBER(M64))),"",ROUND(L64*M64,2))</x:f>
      </x:c>
      <x:c r="O64" s="238"/>
      <x:c r="P64" s="312" t="str">
        <x:f>IF(A64="","",IF(OR(E64&lt;&gt;"Completed",O64="",NOT(ISNUMBER(N64))),"",N64))</x:f>
      </x:c>
      <x:c r="Q64" s="238"/>
      <x:c r="R64" s="312" t="str">
        <x:f>IF(A64="","",SUMIFS('Payments'!$D$6:$D$205,'Payments'!$B$6:$B$205,A64))</x:f>
      </x:c>
      <x:c r="S64" s="312" t="str">
        <x:f>IF(NOT(ISNUMBER(P64)),"",P64-R64)</x:f>
      </x:c>
      <x:c r="T64" s="265" t="str">
        <x:f>IF(A64="","",IF(NOT(ISNUMBER(N64)),"Complete fee inputs",IF(NOT(ISNUMBER(P64)),IF(R64&lt;&gt;0,"Receipt before earned","Not earned"),IF(S64&lt;0,"Overpaid",IF(S64=0,"Paid",IF(Q64="","Set due date",IF(Q64&lt;TODAY(),"Overdue","Awaiting payment")))))))</x:f>
      </x:c>
      <x:c r="U64" s="235"/>
      <x:c r="V64" s="235"/>
      <x:c r="W64" s="239"/>
      <x:c r="X64" s="238"/>
      <x:c r="Y64" s="238"/>
      <x:c r="Z64" s="238"/>
      <x:c r="AA64" s="235"/>
      <x:c r="AB64" s="315" t="str">
        <x:f>IF(A64="","",IF(COUNTIFS($A$6:$A$205,A64)&gt;1,"Duplicate ID",IF(OR(B64="",COUNTIFS('Clients'!$A$6:$A$205,B64)&lt;&gt;1),"Check Client ID",IF(OR(C64="",COUNTIFS('Properties'!$A$6:$A$205,C64)&lt;&gt;1),"Check Property ID",IF(E64="","Set deal stage",IF(NOT(ISNUMBER(X64)),"Add opened date",IF(AND(E64&lt;&gt;"Completed",E64&lt;&gt;"Cancelled",NOT(ISNUMBER(Y64))),"Add target close date",IF(AND(OR(E64="Completed",E64="Cancelled"),NOT(ISNUMBER(Z64))),"Add closed date",IF(AND(E64="Completed",NOT(ISNUMBER(O64))),"Add earned date",IF(AND(E64="Cancelled",AA64=""),"Add outcome reason",IF(AND(E64&lt;&gt;"Cancelled",NOT(ISNUMBER(N64))),"Complete fee inputs",IF(AND(ISNUMBER(Z64),ISNUMBER(X64),Z64&lt;X64),"Check closed date",""))))))))))))</x:f>
      </x:c>
      <x:c r="AC64" s="791"/>
      <x:c r="AD64" s="791"/>
      <x:c r="AE64" s="791"/>
      <x:c r="AF64" s="791"/>
      <x:c r="AG64" s="794"/>
      <x:c r="AH64" s="791"/>
    </x:row>
    <x:row r="65" ht="26" customHeight="1">
      <x:c r="A65" s="319"/>
      <x:c r="B65" s="320"/>
      <x:c r="C65" s="274"/>
      <x:c r="D65" s="274"/>
      <x:c r="E65" s="274"/>
      <x:c r="F65" s="302"/>
      <x:c r="G65" s="274"/>
      <x:c r="H65" s="303"/>
      <x:c r="I65" s="302"/>
      <x:c r="J65" s="312" t="str">
        <x:f>IF(A65="","",IF(G65="Fixed",IF(NOT(ISNUMBER(I65)),"",I65),IF(G65="Percentage",IF(OR(NOT(ISNUMBER(F65)),NOT(ISNUMBER(H65))),"",ROUND(F65*H65,2)),"")))</x:f>
      </x:c>
      <x:c r="K65" s="303"/>
      <x:c r="L65" s="312" t="str">
        <x:f>IF(OR(NOT(ISNUMBER(J65)),NOT(ISNUMBER(K65))),"",ROUND(J65*(1-K65),2))</x:f>
      </x:c>
      <x:c r="M65" s="303"/>
      <x:c r="N65" s="312" t="str">
        <x:f>IF(OR(NOT(ISNUMBER(L65)),NOT(ISNUMBER(M65))),"",ROUND(L65*M65,2))</x:f>
      </x:c>
      <x:c r="O65" s="304"/>
      <x:c r="P65" s="312" t="str">
        <x:f>IF(A65="","",IF(OR(E65&lt;&gt;"Completed",O65="",NOT(ISNUMBER(N65))),"",N65))</x:f>
      </x:c>
      <x:c r="Q65" s="304"/>
      <x:c r="R65" s="312" t="str">
        <x:f>IF(A65="","",SUMIFS('Payments'!$D$6:$D$205,'Payments'!$B$6:$B$205,A65))</x:f>
      </x:c>
      <x:c r="S65" s="312" t="str">
        <x:f>IF(NOT(ISNUMBER(P65)),"",P65-R65)</x:f>
      </x:c>
      <x:c r="T65" s="265" t="str">
        <x:f>IF(A65="","",IF(NOT(ISNUMBER(N65)),"Complete fee inputs",IF(NOT(ISNUMBER(P65)),IF(R65&lt;&gt;0,"Receipt before earned","Not earned"),IF(S65&lt;0,"Overpaid",IF(S65=0,"Paid",IF(Q65="","Set due date",IF(Q65&lt;TODAY(),"Overdue","Awaiting payment")))))))</x:f>
      </x:c>
      <x:c r="U65" s="274"/>
      <x:c r="V65" s="274"/>
      <x:c r="W65" s="280"/>
      <x:c r="X65" s="304"/>
      <x:c r="Y65" s="304"/>
      <x:c r="Z65" s="304"/>
      <x:c r="AA65" s="274"/>
      <x:c r="AB65" s="315" t="str">
        <x:f>IF(A65="","",IF(COUNTIFS($A$6:$A$205,A65)&gt;1,"Duplicate ID",IF(OR(B65="",COUNTIFS('Clients'!$A$6:$A$205,B65)&lt;&gt;1),"Check Client ID",IF(OR(C65="",COUNTIFS('Properties'!$A$6:$A$205,C65)&lt;&gt;1),"Check Property ID",IF(E65="","Set deal stage",IF(NOT(ISNUMBER(X65)),"Add opened date",IF(AND(E65&lt;&gt;"Completed",E65&lt;&gt;"Cancelled",NOT(ISNUMBER(Y65))),"Add target close date",IF(AND(OR(E65="Completed",E65="Cancelled"),NOT(ISNUMBER(Z65))),"Add closed date",IF(AND(E65="Completed",NOT(ISNUMBER(O65))),"Add earned date",IF(AND(E65="Cancelled",AA65=""),"Add outcome reason",IF(AND(E65&lt;&gt;"Cancelled",NOT(ISNUMBER(N65))),"Complete fee inputs",IF(AND(ISNUMBER(Z65),ISNUMBER(X65),Z65&lt;X65),"Check closed date",""))))))))))))</x:f>
      </x:c>
      <x:c r="AC65" s="791"/>
      <x:c r="AD65" s="791"/>
      <x:c r="AE65" s="791"/>
      <x:c r="AF65" s="791"/>
      <x:c r="AG65" s="794"/>
      <x:c r="AH65" s="791"/>
    </x:row>
    <x:row r="66" ht="26" customHeight="1">
      <x:c r="A66" s="317"/>
      <x:c r="B66" s="318"/>
      <x:c r="C66" s="235"/>
      <x:c r="D66" s="235"/>
      <x:c r="E66" s="235"/>
      <x:c r="F66" s="236"/>
      <x:c r="G66" s="235"/>
      <x:c r="H66" s="237"/>
      <x:c r="I66" s="236"/>
      <x:c r="J66" s="312" t="str">
        <x:f>IF(A66="","",IF(G66="Fixed",IF(NOT(ISNUMBER(I66)),"",I66),IF(G66="Percentage",IF(OR(NOT(ISNUMBER(F66)),NOT(ISNUMBER(H66))),"",ROUND(F66*H66,2)),"")))</x:f>
      </x:c>
      <x:c r="K66" s="237"/>
      <x:c r="L66" s="312" t="str">
        <x:f>IF(OR(NOT(ISNUMBER(J66)),NOT(ISNUMBER(K66))),"",ROUND(J66*(1-K66),2))</x:f>
      </x:c>
      <x:c r="M66" s="237"/>
      <x:c r="N66" s="312" t="str">
        <x:f>IF(OR(NOT(ISNUMBER(L66)),NOT(ISNUMBER(M66))),"",ROUND(L66*M66,2))</x:f>
      </x:c>
      <x:c r="O66" s="238"/>
      <x:c r="P66" s="312" t="str">
        <x:f>IF(A66="","",IF(OR(E66&lt;&gt;"Completed",O66="",NOT(ISNUMBER(N66))),"",N66))</x:f>
      </x:c>
      <x:c r="Q66" s="238"/>
      <x:c r="R66" s="312" t="str">
        <x:f>IF(A66="","",SUMIFS('Payments'!$D$6:$D$205,'Payments'!$B$6:$B$205,A66))</x:f>
      </x:c>
      <x:c r="S66" s="312" t="str">
        <x:f>IF(NOT(ISNUMBER(P66)),"",P66-R66)</x:f>
      </x:c>
      <x:c r="T66" s="265" t="str">
        <x:f>IF(A66="","",IF(NOT(ISNUMBER(N66)),"Complete fee inputs",IF(NOT(ISNUMBER(P66)),IF(R66&lt;&gt;0,"Receipt before earned","Not earned"),IF(S66&lt;0,"Overpaid",IF(S66=0,"Paid",IF(Q66="","Set due date",IF(Q66&lt;TODAY(),"Overdue","Awaiting payment")))))))</x:f>
      </x:c>
      <x:c r="U66" s="235"/>
      <x:c r="V66" s="235"/>
      <x:c r="W66" s="239"/>
      <x:c r="X66" s="238"/>
      <x:c r="Y66" s="238"/>
      <x:c r="Z66" s="238"/>
      <x:c r="AA66" s="235"/>
      <x:c r="AB66" s="315" t="str">
        <x:f>IF(A66="","",IF(COUNTIFS($A$6:$A$205,A66)&gt;1,"Duplicate ID",IF(OR(B66="",COUNTIFS('Clients'!$A$6:$A$205,B66)&lt;&gt;1),"Check Client ID",IF(OR(C66="",COUNTIFS('Properties'!$A$6:$A$205,C66)&lt;&gt;1),"Check Property ID",IF(E66="","Set deal stage",IF(NOT(ISNUMBER(X66)),"Add opened date",IF(AND(E66&lt;&gt;"Completed",E66&lt;&gt;"Cancelled",NOT(ISNUMBER(Y66))),"Add target close date",IF(AND(OR(E66="Completed",E66="Cancelled"),NOT(ISNUMBER(Z66))),"Add closed date",IF(AND(E66="Completed",NOT(ISNUMBER(O66))),"Add earned date",IF(AND(E66="Cancelled",AA66=""),"Add outcome reason",IF(AND(E66&lt;&gt;"Cancelled",NOT(ISNUMBER(N66))),"Complete fee inputs",IF(AND(ISNUMBER(Z66),ISNUMBER(X66),Z66&lt;X66),"Check closed date",""))))))))))))</x:f>
      </x:c>
      <x:c r="AC66" s="791"/>
      <x:c r="AD66" s="791"/>
      <x:c r="AE66" s="791"/>
      <x:c r="AF66" s="791"/>
      <x:c r="AG66" s="794"/>
      <x:c r="AH66" s="791"/>
    </x:row>
    <x:row r="67" ht="26" customHeight="1">
      <x:c r="A67" s="319"/>
      <x:c r="B67" s="320"/>
      <x:c r="C67" s="274"/>
      <x:c r="D67" s="274"/>
      <x:c r="E67" s="274"/>
      <x:c r="F67" s="302"/>
      <x:c r="G67" s="274"/>
      <x:c r="H67" s="303"/>
      <x:c r="I67" s="302"/>
      <x:c r="J67" s="312" t="str">
        <x:f>IF(A67="","",IF(G67="Fixed",IF(NOT(ISNUMBER(I67)),"",I67),IF(G67="Percentage",IF(OR(NOT(ISNUMBER(F67)),NOT(ISNUMBER(H67))),"",ROUND(F67*H67,2)),"")))</x:f>
      </x:c>
      <x:c r="K67" s="303"/>
      <x:c r="L67" s="312" t="str">
        <x:f>IF(OR(NOT(ISNUMBER(J67)),NOT(ISNUMBER(K67))),"",ROUND(J67*(1-K67),2))</x:f>
      </x:c>
      <x:c r="M67" s="303"/>
      <x:c r="N67" s="312" t="str">
        <x:f>IF(OR(NOT(ISNUMBER(L67)),NOT(ISNUMBER(M67))),"",ROUND(L67*M67,2))</x:f>
      </x:c>
      <x:c r="O67" s="304"/>
      <x:c r="P67" s="312" t="str">
        <x:f>IF(A67="","",IF(OR(E67&lt;&gt;"Completed",O67="",NOT(ISNUMBER(N67))),"",N67))</x:f>
      </x:c>
      <x:c r="Q67" s="304"/>
      <x:c r="R67" s="312" t="str">
        <x:f>IF(A67="","",SUMIFS('Payments'!$D$6:$D$205,'Payments'!$B$6:$B$205,A67))</x:f>
      </x:c>
      <x:c r="S67" s="312" t="str">
        <x:f>IF(NOT(ISNUMBER(P67)),"",P67-R67)</x:f>
      </x:c>
      <x:c r="T67" s="265" t="str">
        <x:f>IF(A67="","",IF(NOT(ISNUMBER(N67)),"Complete fee inputs",IF(NOT(ISNUMBER(P67)),IF(R67&lt;&gt;0,"Receipt before earned","Not earned"),IF(S67&lt;0,"Overpaid",IF(S67=0,"Paid",IF(Q67="","Set due date",IF(Q67&lt;TODAY(),"Overdue","Awaiting payment")))))))</x:f>
      </x:c>
      <x:c r="U67" s="274"/>
      <x:c r="V67" s="274"/>
      <x:c r="W67" s="280"/>
      <x:c r="X67" s="304"/>
      <x:c r="Y67" s="304"/>
      <x:c r="Z67" s="304"/>
      <x:c r="AA67" s="274"/>
      <x:c r="AB67" s="315" t="str">
        <x:f>IF(A67="","",IF(COUNTIFS($A$6:$A$205,A67)&gt;1,"Duplicate ID",IF(OR(B67="",COUNTIFS('Clients'!$A$6:$A$205,B67)&lt;&gt;1),"Check Client ID",IF(OR(C67="",COUNTIFS('Properties'!$A$6:$A$205,C67)&lt;&gt;1),"Check Property ID",IF(E67="","Set deal stage",IF(NOT(ISNUMBER(X67)),"Add opened date",IF(AND(E67&lt;&gt;"Completed",E67&lt;&gt;"Cancelled",NOT(ISNUMBER(Y67))),"Add target close date",IF(AND(OR(E67="Completed",E67="Cancelled"),NOT(ISNUMBER(Z67))),"Add closed date",IF(AND(E67="Completed",NOT(ISNUMBER(O67))),"Add earned date",IF(AND(E67="Cancelled",AA67=""),"Add outcome reason",IF(AND(E67&lt;&gt;"Cancelled",NOT(ISNUMBER(N67))),"Complete fee inputs",IF(AND(ISNUMBER(Z67),ISNUMBER(X67),Z67&lt;X67),"Check closed date",""))))))))))))</x:f>
      </x:c>
      <x:c r="AC67" s="791"/>
      <x:c r="AD67" s="791"/>
      <x:c r="AE67" s="791"/>
      <x:c r="AF67" s="791"/>
      <x:c r="AG67" s="794"/>
      <x:c r="AH67" s="791"/>
    </x:row>
    <x:row r="68" ht="26" customHeight="1">
      <x:c r="A68" s="317"/>
      <x:c r="B68" s="318"/>
      <x:c r="C68" s="235"/>
      <x:c r="D68" s="235"/>
      <x:c r="E68" s="235"/>
      <x:c r="F68" s="236"/>
      <x:c r="G68" s="235"/>
      <x:c r="H68" s="237"/>
      <x:c r="I68" s="236"/>
      <x:c r="J68" s="312" t="str">
        <x:f>IF(A68="","",IF(G68="Fixed",IF(NOT(ISNUMBER(I68)),"",I68),IF(G68="Percentage",IF(OR(NOT(ISNUMBER(F68)),NOT(ISNUMBER(H68))),"",ROUND(F68*H68,2)),"")))</x:f>
      </x:c>
      <x:c r="K68" s="237"/>
      <x:c r="L68" s="312" t="str">
        <x:f>IF(OR(NOT(ISNUMBER(J68)),NOT(ISNUMBER(K68))),"",ROUND(J68*(1-K68),2))</x:f>
      </x:c>
      <x:c r="M68" s="237"/>
      <x:c r="N68" s="312" t="str">
        <x:f>IF(OR(NOT(ISNUMBER(L68)),NOT(ISNUMBER(M68))),"",ROUND(L68*M68,2))</x:f>
      </x:c>
      <x:c r="O68" s="238"/>
      <x:c r="P68" s="312" t="str">
        <x:f>IF(A68="","",IF(OR(E68&lt;&gt;"Completed",O68="",NOT(ISNUMBER(N68))),"",N68))</x:f>
      </x:c>
      <x:c r="Q68" s="238"/>
      <x:c r="R68" s="312" t="str">
        <x:f>IF(A68="","",SUMIFS('Payments'!$D$6:$D$205,'Payments'!$B$6:$B$205,A68))</x:f>
      </x:c>
      <x:c r="S68" s="312" t="str">
        <x:f>IF(NOT(ISNUMBER(P68)),"",P68-R68)</x:f>
      </x:c>
      <x:c r="T68" s="265" t="str">
        <x:f>IF(A68="","",IF(NOT(ISNUMBER(N68)),"Complete fee inputs",IF(NOT(ISNUMBER(P68)),IF(R68&lt;&gt;0,"Receipt before earned","Not earned"),IF(S68&lt;0,"Overpaid",IF(S68=0,"Paid",IF(Q68="","Set due date",IF(Q68&lt;TODAY(),"Overdue","Awaiting payment")))))))</x:f>
      </x:c>
      <x:c r="U68" s="235"/>
      <x:c r="V68" s="235"/>
      <x:c r="W68" s="239"/>
      <x:c r="X68" s="238"/>
      <x:c r="Y68" s="238"/>
      <x:c r="Z68" s="238"/>
      <x:c r="AA68" s="235"/>
      <x:c r="AB68" s="315" t="str">
        <x:f>IF(A68="","",IF(COUNTIFS($A$6:$A$205,A68)&gt;1,"Duplicate ID",IF(OR(B68="",COUNTIFS('Clients'!$A$6:$A$205,B68)&lt;&gt;1),"Check Client ID",IF(OR(C68="",COUNTIFS('Properties'!$A$6:$A$205,C68)&lt;&gt;1),"Check Property ID",IF(E68="","Set deal stage",IF(NOT(ISNUMBER(X68)),"Add opened date",IF(AND(E68&lt;&gt;"Completed",E68&lt;&gt;"Cancelled",NOT(ISNUMBER(Y68))),"Add target close date",IF(AND(OR(E68="Completed",E68="Cancelled"),NOT(ISNUMBER(Z68))),"Add closed date",IF(AND(E68="Completed",NOT(ISNUMBER(O68))),"Add earned date",IF(AND(E68="Cancelled",AA68=""),"Add outcome reason",IF(AND(E68&lt;&gt;"Cancelled",NOT(ISNUMBER(N68))),"Complete fee inputs",IF(AND(ISNUMBER(Z68),ISNUMBER(X68),Z68&lt;X68),"Check closed date",""))))))))))))</x:f>
      </x:c>
      <x:c r="AC68" s="791"/>
      <x:c r="AD68" s="791"/>
      <x:c r="AE68" s="791"/>
      <x:c r="AF68" s="791"/>
      <x:c r="AG68" s="794"/>
      <x:c r="AH68" s="791"/>
    </x:row>
    <x:row r="69" ht="26" customHeight="1">
      <x:c r="A69" s="319"/>
      <x:c r="B69" s="320"/>
      <x:c r="C69" s="274"/>
      <x:c r="D69" s="274"/>
      <x:c r="E69" s="274"/>
      <x:c r="F69" s="302"/>
      <x:c r="G69" s="274"/>
      <x:c r="H69" s="303"/>
      <x:c r="I69" s="302"/>
      <x:c r="J69" s="312" t="str">
        <x:f>IF(A69="","",IF(G69="Fixed",IF(NOT(ISNUMBER(I69)),"",I69),IF(G69="Percentage",IF(OR(NOT(ISNUMBER(F69)),NOT(ISNUMBER(H69))),"",ROUND(F69*H69,2)),"")))</x:f>
      </x:c>
      <x:c r="K69" s="303"/>
      <x:c r="L69" s="312" t="str">
        <x:f>IF(OR(NOT(ISNUMBER(J69)),NOT(ISNUMBER(K69))),"",ROUND(J69*(1-K69),2))</x:f>
      </x:c>
      <x:c r="M69" s="303"/>
      <x:c r="N69" s="312" t="str">
        <x:f>IF(OR(NOT(ISNUMBER(L69)),NOT(ISNUMBER(M69))),"",ROUND(L69*M69,2))</x:f>
      </x:c>
      <x:c r="O69" s="304"/>
      <x:c r="P69" s="312" t="str">
        <x:f>IF(A69="","",IF(OR(E69&lt;&gt;"Completed",O69="",NOT(ISNUMBER(N69))),"",N69))</x:f>
      </x:c>
      <x:c r="Q69" s="304"/>
      <x:c r="R69" s="312" t="str">
        <x:f>IF(A69="","",SUMIFS('Payments'!$D$6:$D$205,'Payments'!$B$6:$B$205,A69))</x:f>
      </x:c>
      <x:c r="S69" s="312" t="str">
        <x:f>IF(NOT(ISNUMBER(P69)),"",P69-R69)</x:f>
      </x:c>
      <x:c r="T69" s="265" t="str">
        <x:f>IF(A69="","",IF(NOT(ISNUMBER(N69)),"Complete fee inputs",IF(NOT(ISNUMBER(P69)),IF(R69&lt;&gt;0,"Receipt before earned","Not earned"),IF(S69&lt;0,"Overpaid",IF(S69=0,"Paid",IF(Q69="","Set due date",IF(Q69&lt;TODAY(),"Overdue","Awaiting payment")))))))</x:f>
      </x:c>
      <x:c r="U69" s="274"/>
      <x:c r="V69" s="274"/>
      <x:c r="W69" s="280"/>
      <x:c r="X69" s="304"/>
      <x:c r="Y69" s="304"/>
      <x:c r="Z69" s="304"/>
      <x:c r="AA69" s="274"/>
      <x:c r="AB69" s="315" t="str">
        <x:f>IF(A69="","",IF(COUNTIFS($A$6:$A$205,A69)&gt;1,"Duplicate ID",IF(OR(B69="",COUNTIFS('Clients'!$A$6:$A$205,B69)&lt;&gt;1),"Check Client ID",IF(OR(C69="",COUNTIFS('Properties'!$A$6:$A$205,C69)&lt;&gt;1),"Check Property ID",IF(E69="","Set deal stage",IF(NOT(ISNUMBER(X69)),"Add opened date",IF(AND(E69&lt;&gt;"Completed",E69&lt;&gt;"Cancelled",NOT(ISNUMBER(Y69))),"Add target close date",IF(AND(OR(E69="Completed",E69="Cancelled"),NOT(ISNUMBER(Z69))),"Add closed date",IF(AND(E69="Completed",NOT(ISNUMBER(O69))),"Add earned date",IF(AND(E69="Cancelled",AA69=""),"Add outcome reason",IF(AND(E69&lt;&gt;"Cancelled",NOT(ISNUMBER(N69))),"Complete fee inputs",IF(AND(ISNUMBER(Z69),ISNUMBER(X69),Z69&lt;X69),"Check closed date",""))))))))))))</x:f>
      </x:c>
      <x:c r="AC69" s="791"/>
      <x:c r="AD69" s="791"/>
      <x:c r="AE69" s="791"/>
      <x:c r="AF69" s="791"/>
      <x:c r="AG69" s="794"/>
      <x:c r="AH69" s="791"/>
    </x:row>
    <x:row r="70" ht="26" customHeight="1">
      <x:c r="A70" s="317"/>
      <x:c r="B70" s="318"/>
      <x:c r="C70" s="235"/>
      <x:c r="D70" s="235"/>
      <x:c r="E70" s="235"/>
      <x:c r="F70" s="236"/>
      <x:c r="G70" s="235"/>
      <x:c r="H70" s="237"/>
      <x:c r="I70" s="236"/>
      <x:c r="J70" s="312" t="str">
        <x:f>IF(A70="","",IF(G70="Fixed",IF(NOT(ISNUMBER(I70)),"",I70),IF(G70="Percentage",IF(OR(NOT(ISNUMBER(F70)),NOT(ISNUMBER(H70))),"",ROUND(F70*H70,2)),"")))</x:f>
      </x:c>
      <x:c r="K70" s="237"/>
      <x:c r="L70" s="312" t="str">
        <x:f>IF(OR(NOT(ISNUMBER(J70)),NOT(ISNUMBER(K70))),"",ROUND(J70*(1-K70),2))</x:f>
      </x:c>
      <x:c r="M70" s="237"/>
      <x:c r="N70" s="312" t="str">
        <x:f>IF(OR(NOT(ISNUMBER(L70)),NOT(ISNUMBER(M70))),"",ROUND(L70*M70,2))</x:f>
      </x:c>
      <x:c r="O70" s="238"/>
      <x:c r="P70" s="312" t="str">
        <x:f>IF(A70="","",IF(OR(E70&lt;&gt;"Completed",O70="",NOT(ISNUMBER(N70))),"",N70))</x:f>
      </x:c>
      <x:c r="Q70" s="238"/>
      <x:c r="R70" s="312" t="str">
        <x:f>IF(A70="","",SUMIFS('Payments'!$D$6:$D$205,'Payments'!$B$6:$B$205,A70))</x:f>
      </x:c>
      <x:c r="S70" s="312" t="str">
        <x:f>IF(NOT(ISNUMBER(P70)),"",P70-R70)</x:f>
      </x:c>
      <x:c r="T70" s="265" t="str">
        <x:f>IF(A70="","",IF(NOT(ISNUMBER(N70)),"Complete fee inputs",IF(NOT(ISNUMBER(P70)),IF(R70&lt;&gt;0,"Receipt before earned","Not earned"),IF(S70&lt;0,"Overpaid",IF(S70=0,"Paid",IF(Q70="","Set due date",IF(Q70&lt;TODAY(),"Overdue","Awaiting payment")))))))</x:f>
      </x:c>
      <x:c r="U70" s="235"/>
      <x:c r="V70" s="235"/>
      <x:c r="W70" s="239"/>
      <x:c r="X70" s="238"/>
      <x:c r="Y70" s="238"/>
      <x:c r="Z70" s="238"/>
      <x:c r="AA70" s="235"/>
      <x:c r="AB70" s="315" t="str">
        <x:f>IF(A70="","",IF(COUNTIFS($A$6:$A$205,A70)&gt;1,"Duplicate ID",IF(OR(B70="",COUNTIFS('Clients'!$A$6:$A$205,B70)&lt;&gt;1),"Check Client ID",IF(OR(C70="",COUNTIFS('Properties'!$A$6:$A$205,C70)&lt;&gt;1),"Check Property ID",IF(E70="","Set deal stage",IF(NOT(ISNUMBER(X70)),"Add opened date",IF(AND(E70&lt;&gt;"Completed",E70&lt;&gt;"Cancelled",NOT(ISNUMBER(Y70))),"Add target close date",IF(AND(OR(E70="Completed",E70="Cancelled"),NOT(ISNUMBER(Z70))),"Add closed date",IF(AND(E70="Completed",NOT(ISNUMBER(O70))),"Add earned date",IF(AND(E70="Cancelled",AA70=""),"Add outcome reason",IF(AND(E70&lt;&gt;"Cancelled",NOT(ISNUMBER(N70))),"Complete fee inputs",IF(AND(ISNUMBER(Z70),ISNUMBER(X70),Z70&lt;X70),"Check closed date",""))))))))))))</x:f>
      </x:c>
      <x:c r="AC70" s="791"/>
      <x:c r="AD70" s="791"/>
      <x:c r="AE70" s="791"/>
      <x:c r="AF70" s="791"/>
      <x:c r="AG70" s="794"/>
      <x:c r="AH70" s="791"/>
    </x:row>
    <x:row r="71" ht="26" customHeight="1">
      <x:c r="A71" s="319"/>
      <x:c r="B71" s="320"/>
      <x:c r="C71" s="274"/>
      <x:c r="D71" s="274"/>
      <x:c r="E71" s="274"/>
      <x:c r="F71" s="302"/>
      <x:c r="G71" s="274"/>
      <x:c r="H71" s="303"/>
      <x:c r="I71" s="302"/>
      <x:c r="J71" s="312" t="str">
        <x:f>IF(A71="","",IF(G71="Fixed",IF(NOT(ISNUMBER(I71)),"",I71),IF(G71="Percentage",IF(OR(NOT(ISNUMBER(F71)),NOT(ISNUMBER(H71))),"",ROUND(F71*H71,2)),"")))</x:f>
      </x:c>
      <x:c r="K71" s="303"/>
      <x:c r="L71" s="312" t="str">
        <x:f>IF(OR(NOT(ISNUMBER(J71)),NOT(ISNUMBER(K71))),"",ROUND(J71*(1-K71),2))</x:f>
      </x:c>
      <x:c r="M71" s="303"/>
      <x:c r="N71" s="312" t="str">
        <x:f>IF(OR(NOT(ISNUMBER(L71)),NOT(ISNUMBER(M71))),"",ROUND(L71*M71,2))</x:f>
      </x:c>
      <x:c r="O71" s="304"/>
      <x:c r="P71" s="312" t="str">
        <x:f>IF(A71="","",IF(OR(E71&lt;&gt;"Completed",O71="",NOT(ISNUMBER(N71))),"",N71))</x:f>
      </x:c>
      <x:c r="Q71" s="304"/>
      <x:c r="R71" s="312" t="str">
        <x:f>IF(A71="","",SUMIFS('Payments'!$D$6:$D$205,'Payments'!$B$6:$B$205,A71))</x:f>
      </x:c>
      <x:c r="S71" s="312" t="str">
        <x:f>IF(NOT(ISNUMBER(P71)),"",P71-R71)</x:f>
      </x:c>
      <x:c r="T71" s="265" t="str">
        <x:f>IF(A71="","",IF(NOT(ISNUMBER(N71)),"Complete fee inputs",IF(NOT(ISNUMBER(P71)),IF(R71&lt;&gt;0,"Receipt before earned","Not earned"),IF(S71&lt;0,"Overpaid",IF(S71=0,"Paid",IF(Q71="","Set due date",IF(Q71&lt;TODAY(),"Overdue","Awaiting payment")))))))</x:f>
      </x:c>
      <x:c r="U71" s="274"/>
      <x:c r="V71" s="274"/>
      <x:c r="W71" s="280"/>
      <x:c r="X71" s="304"/>
      <x:c r="Y71" s="304"/>
      <x:c r="Z71" s="304"/>
      <x:c r="AA71" s="274"/>
      <x:c r="AB71" s="315" t="str">
        <x:f>IF(A71="","",IF(COUNTIFS($A$6:$A$205,A71)&gt;1,"Duplicate ID",IF(OR(B71="",COUNTIFS('Clients'!$A$6:$A$205,B71)&lt;&gt;1),"Check Client ID",IF(OR(C71="",COUNTIFS('Properties'!$A$6:$A$205,C71)&lt;&gt;1),"Check Property ID",IF(E71="","Set deal stage",IF(NOT(ISNUMBER(X71)),"Add opened date",IF(AND(E71&lt;&gt;"Completed",E71&lt;&gt;"Cancelled",NOT(ISNUMBER(Y71))),"Add target close date",IF(AND(OR(E71="Completed",E71="Cancelled"),NOT(ISNUMBER(Z71))),"Add closed date",IF(AND(E71="Completed",NOT(ISNUMBER(O71))),"Add earned date",IF(AND(E71="Cancelled",AA71=""),"Add outcome reason",IF(AND(E71&lt;&gt;"Cancelled",NOT(ISNUMBER(N71))),"Complete fee inputs",IF(AND(ISNUMBER(Z71),ISNUMBER(X71),Z71&lt;X71),"Check closed date",""))))))))))))</x:f>
      </x:c>
      <x:c r="AC71" s="791"/>
      <x:c r="AD71" s="791"/>
      <x:c r="AE71" s="791"/>
      <x:c r="AF71" s="791"/>
      <x:c r="AG71" s="794"/>
      <x:c r="AH71" s="791"/>
    </x:row>
    <x:row r="72" ht="26" customHeight="1">
      <x:c r="A72" s="317"/>
      <x:c r="B72" s="318"/>
      <x:c r="C72" s="235"/>
      <x:c r="D72" s="235"/>
      <x:c r="E72" s="235"/>
      <x:c r="F72" s="236"/>
      <x:c r="G72" s="235"/>
      <x:c r="H72" s="237"/>
      <x:c r="I72" s="236"/>
      <x:c r="J72" s="312" t="str">
        <x:f>IF(A72="","",IF(G72="Fixed",IF(NOT(ISNUMBER(I72)),"",I72),IF(G72="Percentage",IF(OR(NOT(ISNUMBER(F72)),NOT(ISNUMBER(H72))),"",ROUND(F72*H72,2)),"")))</x:f>
      </x:c>
      <x:c r="K72" s="237"/>
      <x:c r="L72" s="312" t="str">
        <x:f>IF(OR(NOT(ISNUMBER(J72)),NOT(ISNUMBER(K72))),"",ROUND(J72*(1-K72),2))</x:f>
      </x:c>
      <x:c r="M72" s="237"/>
      <x:c r="N72" s="312" t="str">
        <x:f>IF(OR(NOT(ISNUMBER(L72)),NOT(ISNUMBER(M72))),"",ROUND(L72*M72,2))</x:f>
      </x:c>
      <x:c r="O72" s="238"/>
      <x:c r="P72" s="312" t="str">
        <x:f>IF(A72="","",IF(OR(E72&lt;&gt;"Completed",O72="",NOT(ISNUMBER(N72))),"",N72))</x:f>
      </x:c>
      <x:c r="Q72" s="238"/>
      <x:c r="R72" s="312" t="str">
        <x:f>IF(A72="","",SUMIFS('Payments'!$D$6:$D$205,'Payments'!$B$6:$B$205,A72))</x:f>
      </x:c>
      <x:c r="S72" s="312" t="str">
        <x:f>IF(NOT(ISNUMBER(P72)),"",P72-R72)</x:f>
      </x:c>
      <x:c r="T72" s="265" t="str">
        <x:f>IF(A72="","",IF(NOT(ISNUMBER(N72)),"Complete fee inputs",IF(NOT(ISNUMBER(P72)),IF(R72&lt;&gt;0,"Receipt before earned","Not earned"),IF(S72&lt;0,"Overpaid",IF(S72=0,"Paid",IF(Q72="","Set due date",IF(Q72&lt;TODAY(),"Overdue","Awaiting payment")))))))</x:f>
      </x:c>
      <x:c r="U72" s="235"/>
      <x:c r="V72" s="235"/>
      <x:c r="W72" s="239"/>
      <x:c r="X72" s="238"/>
      <x:c r="Y72" s="238"/>
      <x:c r="Z72" s="238"/>
      <x:c r="AA72" s="235"/>
      <x:c r="AB72" s="315" t="str">
        <x:f>IF(A72="","",IF(COUNTIFS($A$6:$A$205,A72)&gt;1,"Duplicate ID",IF(OR(B72="",COUNTIFS('Clients'!$A$6:$A$205,B72)&lt;&gt;1),"Check Client ID",IF(OR(C72="",COUNTIFS('Properties'!$A$6:$A$205,C72)&lt;&gt;1),"Check Property ID",IF(E72="","Set deal stage",IF(NOT(ISNUMBER(X72)),"Add opened date",IF(AND(E72&lt;&gt;"Completed",E72&lt;&gt;"Cancelled",NOT(ISNUMBER(Y72))),"Add target close date",IF(AND(OR(E72="Completed",E72="Cancelled"),NOT(ISNUMBER(Z72))),"Add closed date",IF(AND(E72="Completed",NOT(ISNUMBER(O72))),"Add earned date",IF(AND(E72="Cancelled",AA72=""),"Add outcome reason",IF(AND(E72&lt;&gt;"Cancelled",NOT(ISNUMBER(N72))),"Complete fee inputs",IF(AND(ISNUMBER(Z72),ISNUMBER(X72),Z72&lt;X72),"Check closed date",""))))))))))))</x:f>
      </x:c>
      <x:c r="AC72" s="791"/>
      <x:c r="AD72" s="791"/>
      <x:c r="AE72" s="791"/>
      <x:c r="AF72" s="791"/>
      <x:c r="AG72" s="794"/>
      <x:c r="AH72" s="791"/>
    </x:row>
    <x:row r="73" ht="26" customHeight="1">
      <x:c r="A73" s="319"/>
      <x:c r="B73" s="320"/>
      <x:c r="C73" s="274"/>
      <x:c r="D73" s="274"/>
      <x:c r="E73" s="274"/>
      <x:c r="F73" s="302"/>
      <x:c r="G73" s="274"/>
      <x:c r="H73" s="303"/>
      <x:c r="I73" s="302"/>
      <x:c r="J73" s="312" t="str">
        <x:f>IF(A73="","",IF(G73="Fixed",IF(NOT(ISNUMBER(I73)),"",I73),IF(G73="Percentage",IF(OR(NOT(ISNUMBER(F73)),NOT(ISNUMBER(H73))),"",ROUND(F73*H73,2)),"")))</x:f>
      </x:c>
      <x:c r="K73" s="303"/>
      <x:c r="L73" s="312" t="str">
        <x:f>IF(OR(NOT(ISNUMBER(J73)),NOT(ISNUMBER(K73))),"",ROUND(J73*(1-K73),2))</x:f>
      </x:c>
      <x:c r="M73" s="303"/>
      <x:c r="N73" s="312" t="str">
        <x:f>IF(OR(NOT(ISNUMBER(L73)),NOT(ISNUMBER(M73))),"",ROUND(L73*M73,2))</x:f>
      </x:c>
      <x:c r="O73" s="304"/>
      <x:c r="P73" s="312" t="str">
        <x:f>IF(A73="","",IF(OR(E73&lt;&gt;"Completed",O73="",NOT(ISNUMBER(N73))),"",N73))</x:f>
      </x:c>
      <x:c r="Q73" s="304"/>
      <x:c r="R73" s="312" t="str">
        <x:f>IF(A73="","",SUMIFS('Payments'!$D$6:$D$205,'Payments'!$B$6:$B$205,A73))</x:f>
      </x:c>
      <x:c r="S73" s="312" t="str">
        <x:f>IF(NOT(ISNUMBER(P73)),"",P73-R73)</x:f>
      </x:c>
      <x:c r="T73" s="265" t="str">
        <x:f>IF(A73="","",IF(NOT(ISNUMBER(N73)),"Complete fee inputs",IF(NOT(ISNUMBER(P73)),IF(R73&lt;&gt;0,"Receipt before earned","Not earned"),IF(S73&lt;0,"Overpaid",IF(S73=0,"Paid",IF(Q73="","Set due date",IF(Q73&lt;TODAY(),"Overdue","Awaiting payment")))))))</x:f>
      </x:c>
      <x:c r="U73" s="274"/>
      <x:c r="V73" s="274"/>
      <x:c r="W73" s="280"/>
      <x:c r="X73" s="304"/>
      <x:c r="Y73" s="304"/>
      <x:c r="Z73" s="304"/>
      <x:c r="AA73" s="274"/>
      <x:c r="AB73" s="315" t="str">
        <x:f>IF(A73="","",IF(COUNTIFS($A$6:$A$205,A73)&gt;1,"Duplicate ID",IF(OR(B73="",COUNTIFS('Clients'!$A$6:$A$205,B73)&lt;&gt;1),"Check Client ID",IF(OR(C73="",COUNTIFS('Properties'!$A$6:$A$205,C73)&lt;&gt;1),"Check Property ID",IF(E73="","Set deal stage",IF(NOT(ISNUMBER(X73)),"Add opened date",IF(AND(E73&lt;&gt;"Completed",E73&lt;&gt;"Cancelled",NOT(ISNUMBER(Y73))),"Add target close date",IF(AND(OR(E73="Completed",E73="Cancelled"),NOT(ISNUMBER(Z73))),"Add closed date",IF(AND(E73="Completed",NOT(ISNUMBER(O73))),"Add earned date",IF(AND(E73="Cancelled",AA73=""),"Add outcome reason",IF(AND(E73&lt;&gt;"Cancelled",NOT(ISNUMBER(N73))),"Complete fee inputs",IF(AND(ISNUMBER(Z73),ISNUMBER(X73),Z73&lt;X73),"Check closed date",""))))))))))))</x:f>
      </x:c>
      <x:c r="AC73" s="791"/>
      <x:c r="AD73" s="791"/>
      <x:c r="AE73" s="791"/>
      <x:c r="AF73" s="791"/>
      <x:c r="AG73" s="794"/>
      <x:c r="AH73" s="791"/>
    </x:row>
    <x:row r="74" ht="26" customHeight="1">
      <x:c r="A74" s="317"/>
      <x:c r="B74" s="318"/>
      <x:c r="C74" s="235"/>
      <x:c r="D74" s="235"/>
      <x:c r="E74" s="235"/>
      <x:c r="F74" s="236"/>
      <x:c r="G74" s="235"/>
      <x:c r="H74" s="237"/>
      <x:c r="I74" s="236"/>
      <x:c r="J74" s="312" t="str">
        <x:f>IF(A74="","",IF(G74="Fixed",IF(NOT(ISNUMBER(I74)),"",I74),IF(G74="Percentage",IF(OR(NOT(ISNUMBER(F74)),NOT(ISNUMBER(H74))),"",ROUND(F74*H74,2)),"")))</x:f>
      </x:c>
      <x:c r="K74" s="237"/>
      <x:c r="L74" s="312" t="str">
        <x:f>IF(OR(NOT(ISNUMBER(J74)),NOT(ISNUMBER(K74))),"",ROUND(J74*(1-K74),2))</x:f>
      </x:c>
      <x:c r="M74" s="237"/>
      <x:c r="N74" s="312" t="str">
        <x:f>IF(OR(NOT(ISNUMBER(L74)),NOT(ISNUMBER(M74))),"",ROUND(L74*M74,2))</x:f>
      </x:c>
      <x:c r="O74" s="238"/>
      <x:c r="P74" s="312" t="str">
        <x:f>IF(A74="","",IF(OR(E74&lt;&gt;"Completed",O74="",NOT(ISNUMBER(N74))),"",N74))</x:f>
      </x:c>
      <x:c r="Q74" s="238"/>
      <x:c r="R74" s="312" t="str">
        <x:f>IF(A74="","",SUMIFS('Payments'!$D$6:$D$205,'Payments'!$B$6:$B$205,A74))</x:f>
      </x:c>
      <x:c r="S74" s="312" t="str">
        <x:f>IF(NOT(ISNUMBER(P74)),"",P74-R74)</x:f>
      </x:c>
      <x:c r="T74" s="265" t="str">
        <x:f>IF(A74="","",IF(NOT(ISNUMBER(N74)),"Complete fee inputs",IF(NOT(ISNUMBER(P74)),IF(R74&lt;&gt;0,"Receipt before earned","Not earned"),IF(S74&lt;0,"Overpaid",IF(S74=0,"Paid",IF(Q74="","Set due date",IF(Q74&lt;TODAY(),"Overdue","Awaiting payment")))))))</x:f>
      </x:c>
      <x:c r="U74" s="235"/>
      <x:c r="V74" s="235"/>
      <x:c r="W74" s="239"/>
      <x:c r="X74" s="238"/>
      <x:c r="Y74" s="238"/>
      <x:c r="Z74" s="238"/>
      <x:c r="AA74" s="235"/>
      <x:c r="AB74" s="315" t="str">
        <x:f>IF(A74="","",IF(COUNTIFS($A$6:$A$205,A74)&gt;1,"Duplicate ID",IF(OR(B74="",COUNTIFS('Clients'!$A$6:$A$205,B74)&lt;&gt;1),"Check Client ID",IF(OR(C74="",COUNTIFS('Properties'!$A$6:$A$205,C74)&lt;&gt;1),"Check Property ID",IF(E74="","Set deal stage",IF(NOT(ISNUMBER(X74)),"Add opened date",IF(AND(E74&lt;&gt;"Completed",E74&lt;&gt;"Cancelled",NOT(ISNUMBER(Y74))),"Add target close date",IF(AND(OR(E74="Completed",E74="Cancelled"),NOT(ISNUMBER(Z74))),"Add closed date",IF(AND(E74="Completed",NOT(ISNUMBER(O74))),"Add earned date",IF(AND(E74="Cancelled",AA74=""),"Add outcome reason",IF(AND(E74&lt;&gt;"Cancelled",NOT(ISNUMBER(N74))),"Complete fee inputs",IF(AND(ISNUMBER(Z74),ISNUMBER(X74),Z74&lt;X74),"Check closed date",""))))))))))))</x:f>
      </x:c>
      <x:c r="AC74" s="791"/>
      <x:c r="AD74" s="791"/>
      <x:c r="AE74" s="791"/>
      <x:c r="AF74" s="791"/>
      <x:c r="AG74" s="794"/>
      <x:c r="AH74" s="791"/>
    </x:row>
    <x:row r="75" ht="26" customHeight="1">
      <x:c r="A75" s="319"/>
      <x:c r="B75" s="320"/>
      <x:c r="C75" s="274"/>
      <x:c r="D75" s="274"/>
      <x:c r="E75" s="274"/>
      <x:c r="F75" s="302"/>
      <x:c r="G75" s="274"/>
      <x:c r="H75" s="303"/>
      <x:c r="I75" s="302"/>
      <x:c r="J75" s="312" t="str">
        <x:f>IF(A75="","",IF(G75="Fixed",IF(NOT(ISNUMBER(I75)),"",I75),IF(G75="Percentage",IF(OR(NOT(ISNUMBER(F75)),NOT(ISNUMBER(H75))),"",ROUND(F75*H75,2)),"")))</x:f>
      </x:c>
      <x:c r="K75" s="303"/>
      <x:c r="L75" s="312" t="str">
        <x:f>IF(OR(NOT(ISNUMBER(J75)),NOT(ISNUMBER(K75))),"",ROUND(J75*(1-K75),2))</x:f>
      </x:c>
      <x:c r="M75" s="303"/>
      <x:c r="N75" s="312" t="str">
        <x:f>IF(OR(NOT(ISNUMBER(L75)),NOT(ISNUMBER(M75))),"",ROUND(L75*M75,2))</x:f>
      </x:c>
      <x:c r="O75" s="304"/>
      <x:c r="P75" s="312" t="str">
        <x:f>IF(A75="","",IF(OR(E75&lt;&gt;"Completed",O75="",NOT(ISNUMBER(N75))),"",N75))</x:f>
      </x:c>
      <x:c r="Q75" s="304"/>
      <x:c r="R75" s="312" t="str">
        <x:f>IF(A75="","",SUMIFS('Payments'!$D$6:$D$205,'Payments'!$B$6:$B$205,A75))</x:f>
      </x:c>
      <x:c r="S75" s="312" t="str">
        <x:f>IF(NOT(ISNUMBER(P75)),"",P75-R75)</x:f>
      </x:c>
      <x:c r="T75" s="265" t="str">
        <x:f>IF(A75="","",IF(NOT(ISNUMBER(N75)),"Complete fee inputs",IF(NOT(ISNUMBER(P75)),IF(R75&lt;&gt;0,"Receipt before earned","Not earned"),IF(S75&lt;0,"Overpaid",IF(S75=0,"Paid",IF(Q75="","Set due date",IF(Q75&lt;TODAY(),"Overdue","Awaiting payment")))))))</x:f>
      </x:c>
      <x:c r="U75" s="274"/>
      <x:c r="V75" s="274"/>
      <x:c r="W75" s="280"/>
      <x:c r="X75" s="304"/>
      <x:c r="Y75" s="304"/>
      <x:c r="Z75" s="304"/>
      <x:c r="AA75" s="274"/>
      <x:c r="AB75" s="315" t="str">
        <x:f>IF(A75="","",IF(COUNTIFS($A$6:$A$205,A75)&gt;1,"Duplicate ID",IF(OR(B75="",COUNTIFS('Clients'!$A$6:$A$205,B75)&lt;&gt;1),"Check Client ID",IF(OR(C75="",COUNTIFS('Properties'!$A$6:$A$205,C75)&lt;&gt;1),"Check Property ID",IF(E75="","Set deal stage",IF(NOT(ISNUMBER(X75)),"Add opened date",IF(AND(E75&lt;&gt;"Completed",E75&lt;&gt;"Cancelled",NOT(ISNUMBER(Y75))),"Add target close date",IF(AND(OR(E75="Completed",E75="Cancelled"),NOT(ISNUMBER(Z75))),"Add closed date",IF(AND(E75="Completed",NOT(ISNUMBER(O75))),"Add earned date",IF(AND(E75="Cancelled",AA75=""),"Add outcome reason",IF(AND(E75&lt;&gt;"Cancelled",NOT(ISNUMBER(N75))),"Complete fee inputs",IF(AND(ISNUMBER(Z75),ISNUMBER(X75),Z75&lt;X75),"Check closed date",""))))))))))))</x:f>
      </x:c>
      <x:c r="AC75" s="791"/>
      <x:c r="AD75" s="791"/>
      <x:c r="AE75" s="791"/>
      <x:c r="AF75" s="791"/>
      <x:c r="AG75" s="794"/>
      <x:c r="AH75" s="791"/>
    </x:row>
    <x:row r="76" ht="26" customHeight="1">
      <x:c r="A76" s="317"/>
      <x:c r="B76" s="318"/>
      <x:c r="C76" s="235"/>
      <x:c r="D76" s="235"/>
      <x:c r="E76" s="235"/>
      <x:c r="F76" s="236"/>
      <x:c r="G76" s="235"/>
      <x:c r="H76" s="237"/>
      <x:c r="I76" s="236"/>
      <x:c r="J76" s="312" t="str">
        <x:f>IF(A76="","",IF(G76="Fixed",IF(NOT(ISNUMBER(I76)),"",I76),IF(G76="Percentage",IF(OR(NOT(ISNUMBER(F76)),NOT(ISNUMBER(H76))),"",ROUND(F76*H76,2)),"")))</x:f>
      </x:c>
      <x:c r="K76" s="237"/>
      <x:c r="L76" s="312" t="str">
        <x:f>IF(OR(NOT(ISNUMBER(J76)),NOT(ISNUMBER(K76))),"",ROUND(J76*(1-K76),2))</x:f>
      </x:c>
      <x:c r="M76" s="237"/>
      <x:c r="N76" s="312" t="str">
        <x:f>IF(OR(NOT(ISNUMBER(L76)),NOT(ISNUMBER(M76))),"",ROUND(L76*M76,2))</x:f>
      </x:c>
      <x:c r="O76" s="238"/>
      <x:c r="P76" s="312" t="str">
        <x:f>IF(A76="","",IF(OR(E76&lt;&gt;"Completed",O76="",NOT(ISNUMBER(N76))),"",N76))</x:f>
      </x:c>
      <x:c r="Q76" s="238"/>
      <x:c r="R76" s="312" t="str">
        <x:f>IF(A76="","",SUMIFS('Payments'!$D$6:$D$205,'Payments'!$B$6:$B$205,A76))</x:f>
      </x:c>
      <x:c r="S76" s="312" t="str">
        <x:f>IF(NOT(ISNUMBER(P76)),"",P76-R76)</x:f>
      </x:c>
      <x:c r="T76" s="265" t="str">
        <x:f>IF(A76="","",IF(NOT(ISNUMBER(N76)),"Complete fee inputs",IF(NOT(ISNUMBER(P76)),IF(R76&lt;&gt;0,"Receipt before earned","Not earned"),IF(S76&lt;0,"Overpaid",IF(S76=0,"Paid",IF(Q76="","Set due date",IF(Q76&lt;TODAY(),"Overdue","Awaiting payment")))))))</x:f>
      </x:c>
      <x:c r="U76" s="235"/>
      <x:c r="V76" s="235"/>
      <x:c r="W76" s="239"/>
      <x:c r="X76" s="238"/>
      <x:c r="Y76" s="238"/>
      <x:c r="Z76" s="238"/>
      <x:c r="AA76" s="235"/>
      <x:c r="AB76" s="315" t="str">
        <x:f>IF(A76="","",IF(COUNTIFS($A$6:$A$205,A76)&gt;1,"Duplicate ID",IF(OR(B76="",COUNTIFS('Clients'!$A$6:$A$205,B76)&lt;&gt;1),"Check Client ID",IF(OR(C76="",COUNTIFS('Properties'!$A$6:$A$205,C76)&lt;&gt;1),"Check Property ID",IF(E76="","Set deal stage",IF(NOT(ISNUMBER(X76)),"Add opened date",IF(AND(E76&lt;&gt;"Completed",E76&lt;&gt;"Cancelled",NOT(ISNUMBER(Y76))),"Add target close date",IF(AND(OR(E76="Completed",E76="Cancelled"),NOT(ISNUMBER(Z76))),"Add closed date",IF(AND(E76="Completed",NOT(ISNUMBER(O76))),"Add earned date",IF(AND(E76="Cancelled",AA76=""),"Add outcome reason",IF(AND(E76&lt;&gt;"Cancelled",NOT(ISNUMBER(N76))),"Complete fee inputs",IF(AND(ISNUMBER(Z76),ISNUMBER(X76),Z76&lt;X76),"Check closed date",""))))))))))))</x:f>
      </x:c>
      <x:c r="AC76" s="791"/>
      <x:c r="AD76" s="791"/>
      <x:c r="AE76" s="791"/>
      <x:c r="AF76" s="791"/>
      <x:c r="AG76" s="794"/>
      <x:c r="AH76" s="791"/>
    </x:row>
    <x:row r="77" ht="26" customHeight="1">
      <x:c r="A77" s="319"/>
      <x:c r="B77" s="320"/>
      <x:c r="C77" s="274"/>
      <x:c r="D77" s="274"/>
      <x:c r="E77" s="274"/>
      <x:c r="F77" s="302"/>
      <x:c r="G77" s="274"/>
      <x:c r="H77" s="303"/>
      <x:c r="I77" s="302"/>
      <x:c r="J77" s="312" t="str">
        <x:f>IF(A77="","",IF(G77="Fixed",IF(NOT(ISNUMBER(I77)),"",I77),IF(G77="Percentage",IF(OR(NOT(ISNUMBER(F77)),NOT(ISNUMBER(H77))),"",ROUND(F77*H77,2)),"")))</x:f>
      </x:c>
      <x:c r="K77" s="303"/>
      <x:c r="L77" s="312" t="str">
        <x:f>IF(OR(NOT(ISNUMBER(J77)),NOT(ISNUMBER(K77))),"",ROUND(J77*(1-K77),2))</x:f>
      </x:c>
      <x:c r="M77" s="303"/>
      <x:c r="N77" s="312" t="str">
        <x:f>IF(OR(NOT(ISNUMBER(L77)),NOT(ISNUMBER(M77))),"",ROUND(L77*M77,2))</x:f>
      </x:c>
      <x:c r="O77" s="304"/>
      <x:c r="P77" s="312" t="str">
        <x:f>IF(A77="","",IF(OR(E77&lt;&gt;"Completed",O77="",NOT(ISNUMBER(N77))),"",N77))</x:f>
      </x:c>
      <x:c r="Q77" s="304"/>
      <x:c r="R77" s="312" t="str">
        <x:f>IF(A77="","",SUMIFS('Payments'!$D$6:$D$205,'Payments'!$B$6:$B$205,A77))</x:f>
      </x:c>
      <x:c r="S77" s="312" t="str">
        <x:f>IF(NOT(ISNUMBER(P77)),"",P77-R77)</x:f>
      </x:c>
      <x:c r="T77" s="265" t="str">
        <x:f>IF(A77="","",IF(NOT(ISNUMBER(N77)),"Complete fee inputs",IF(NOT(ISNUMBER(P77)),IF(R77&lt;&gt;0,"Receipt before earned","Not earned"),IF(S77&lt;0,"Overpaid",IF(S77=0,"Paid",IF(Q77="","Set due date",IF(Q77&lt;TODAY(),"Overdue","Awaiting payment")))))))</x:f>
      </x:c>
      <x:c r="U77" s="274"/>
      <x:c r="V77" s="274"/>
      <x:c r="W77" s="280"/>
      <x:c r="X77" s="304"/>
      <x:c r="Y77" s="304"/>
      <x:c r="Z77" s="304"/>
      <x:c r="AA77" s="274"/>
      <x:c r="AB77" s="315" t="str">
        <x:f>IF(A77="","",IF(COUNTIFS($A$6:$A$205,A77)&gt;1,"Duplicate ID",IF(OR(B77="",COUNTIFS('Clients'!$A$6:$A$205,B77)&lt;&gt;1),"Check Client ID",IF(OR(C77="",COUNTIFS('Properties'!$A$6:$A$205,C77)&lt;&gt;1),"Check Property ID",IF(E77="","Set deal stage",IF(NOT(ISNUMBER(X77)),"Add opened date",IF(AND(E77&lt;&gt;"Completed",E77&lt;&gt;"Cancelled",NOT(ISNUMBER(Y77))),"Add target close date",IF(AND(OR(E77="Completed",E77="Cancelled"),NOT(ISNUMBER(Z77))),"Add closed date",IF(AND(E77="Completed",NOT(ISNUMBER(O77))),"Add earned date",IF(AND(E77="Cancelled",AA77=""),"Add outcome reason",IF(AND(E77&lt;&gt;"Cancelled",NOT(ISNUMBER(N77))),"Complete fee inputs",IF(AND(ISNUMBER(Z77),ISNUMBER(X77),Z77&lt;X77),"Check closed date",""))))))))))))</x:f>
      </x:c>
      <x:c r="AC77" s="791"/>
      <x:c r="AD77" s="791"/>
      <x:c r="AE77" s="791"/>
      <x:c r="AF77" s="791"/>
      <x:c r="AG77" s="794"/>
      <x:c r="AH77" s="791"/>
    </x:row>
    <x:row r="78" ht="26" customHeight="1">
      <x:c r="A78" s="317"/>
      <x:c r="B78" s="318"/>
      <x:c r="C78" s="235"/>
      <x:c r="D78" s="235"/>
      <x:c r="E78" s="235"/>
      <x:c r="F78" s="236"/>
      <x:c r="G78" s="235"/>
      <x:c r="H78" s="237"/>
      <x:c r="I78" s="236"/>
      <x:c r="J78" s="312" t="str">
        <x:f>IF(A78="","",IF(G78="Fixed",IF(NOT(ISNUMBER(I78)),"",I78),IF(G78="Percentage",IF(OR(NOT(ISNUMBER(F78)),NOT(ISNUMBER(H78))),"",ROUND(F78*H78,2)),"")))</x:f>
      </x:c>
      <x:c r="K78" s="237"/>
      <x:c r="L78" s="312" t="str">
        <x:f>IF(OR(NOT(ISNUMBER(J78)),NOT(ISNUMBER(K78))),"",ROUND(J78*(1-K78),2))</x:f>
      </x:c>
      <x:c r="M78" s="237"/>
      <x:c r="N78" s="312" t="str">
        <x:f>IF(OR(NOT(ISNUMBER(L78)),NOT(ISNUMBER(M78))),"",ROUND(L78*M78,2))</x:f>
      </x:c>
      <x:c r="O78" s="238"/>
      <x:c r="P78" s="312" t="str">
        <x:f>IF(A78="","",IF(OR(E78&lt;&gt;"Completed",O78="",NOT(ISNUMBER(N78))),"",N78))</x:f>
      </x:c>
      <x:c r="Q78" s="238"/>
      <x:c r="R78" s="312" t="str">
        <x:f>IF(A78="","",SUMIFS('Payments'!$D$6:$D$205,'Payments'!$B$6:$B$205,A78))</x:f>
      </x:c>
      <x:c r="S78" s="312" t="str">
        <x:f>IF(NOT(ISNUMBER(P78)),"",P78-R78)</x:f>
      </x:c>
      <x:c r="T78" s="265" t="str">
        <x:f>IF(A78="","",IF(NOT(ISNUMBER(N78)),"Complete fee inputs",IF(NOT(ISNUMBER(P78)),IF(R78&lt;&gt;0,"Receipt before earned","Not earned"),IF(S78&lt;0,"Overpaid",IF(S78=0,"Paid",IF(Q78="","Set due date",IF(Q78&lt;TODAY(),"Overdue","Awaiting payment")))))))</x:f>
      </x:c>
      <x:c r="U78" s="235"/>
      <x:c r="V78" s="235"/>
      <x:c r="W78" s="239"/>
      <x:c r="X78" s="238"/>
      <x:c r="Y78" s="238"/>
      <x:c r="Z78" s="238"/>
      <x:c r="AA78" s="235"/>
      <x:c r="AB78" s="315" t="str">
        <x:f>IF(A78="","",IF(COUNTIFS($A$6:$A$205,A78)&gt;1,"Duplicate ID",IF(OR(B78="",COUNTIFS('Clients'!$A$6:$A$205,B78)&lt;&gt;1),"Check Client ID",IF(OR(C78="",COUNTIFS('Properties'!$A$6:$A$205,C78)&lt;&gt;1),"Check Property ID",IF(E78="","Set deal stage",IF(NOT(ISNUMBER(X78)),"Add opened date",IF(AND(E78&lt;&gt;"Completed",E78&lt;&gt;"Cancelled",NOT(ISNUMBER(Y78))),"Add target close date",IF(AND(OR(E78="Completed",E78="Cancelled"),NOT(ISNUMBER(Z78))),"Add closed date",IF(AND(E78="Completed",NOT(ISNUMBER(O78))),"Add earned date",IF(AND(E78="Cancelled",AA78=""),"Add outcome reason",IF(AND(E78&lt;&gt;"Cancelled",NOT(ISNUMBER(N78))),"Complete fee inputs",IF(AND(ISNUMBER(Z78),ISNUMBER(X78),Z78&lt;X78),"Check closed date",""))))))))))))</x:f>
      </x:c>
      <x:c r="AC78" s="791"/>
      <x:c r="AD78" s="791"/>
      <x:c r="AE78" s="791"/>
      <x:c r="AF78" s="791"/>
      <x:c r="AG78" s="794"/>
      <x:c r="AH78" s="791"/>
    </x:row>
    <x:row r="79" ht="26" customHeight="1">
      <x:c r="A79" s="319"/>
      <x:c r="B79" s="320"/>
      <x:c r="C79" s="274"/>
      <x:c r="D79" s="274"/>
      <x:c r="E79" s="274"/>
      <x:c r="F79" s="302"/>
      <x:c r="G79" s="274"/>
      <x:c r="H79" s="303"/>
      <x:c r="I79" s="302"/>
      <x:c r="J79" s="312" t="str">
        <x:f>IF(A79="","",IF(G79="Fixed",IF(NOT(ISNUMBER(I79)),"",I79),IF(G79="Percentage",IF(OR(NOT(ISNUMBER(F79)),NOT(ISNUMBER(H79))),"",ROUND(F79*H79,2)),"")))</x:f>
      </x:c>
      <x:c r="K79" s="303"/>
      <x:c r="L79" s="312" t="str">
        <x:f>IF(OR(NOT(ISNUMBER(J79)),NOT(ISNUMBER(K79))),"",ROUND(J79*(1-K79),2))</x:f>
      </x:c>
      <x:c r="M79" s="303"/>
      <x:c r="N79" s="312" t="str">
        <x:f>IF(OR(NOT(ISNUMBER(L79)),NOT(ISNUMBER(M79))),"",ROUND(L79*M79,2))</x:f>
      </x:c>
      <x:c r="O79" s="304"/>
      <x:c r="P79" s="312" t="str">
        <x:f>IF(A79="","",IF(OR(E79&lt;&gt;"Completed",O79="",NOT(ISNUMBER(N79))),"",N79))</x:f>
      </x:c>
      <x:c r="Q79" s="304"/>
      <x:c r="R79" s="312" t="str">
        <x:f>IF(A79="","",SUMIFS('Payments'!$D$6:$D$205,'Payments'!$B$6:$B$205,A79))</x:f>
      </x:c>
      <x:c r="S79" s="312" t="str">
        <x:f>IF(NOT(ISNUMBER(P79)),"",P79-R79)</x:f>
      </x:c>
      <x:c r="T79" s="265" t="str">
        <x:f>IF(A79="","",IF(NOT(ISNUMBER(N79)),"Complete fee inputs",IF(NOT(ISNUMBER(P79)),IF(R79&lt;&gt;0,"Receipt before earned","Not earned"),IF(S79&lt;0,"Overpaid",IF(S79=0,"Paid",IF(Q79="","Set due date",IF(Q79&lt;TODAY(),"Overdue","Awaiting payment")))))))</x:f>
      </x:c>
      <x:c r="U79" s="274"/>
      <x:c r="V79" s="274"/>
      <x:c r="W79" s="280"/>
      <x:c r="X79" s="304"/>
      <x:c r="Y79" s="304"/>
      <x:c r="Z79" s="304"/>
      <x:c r="AA79" s="274"/>
      <x:c r="AB79" s="315" t="str">
        <x:f>IF(A79="","",IF(COUNTIFS($A$6:$A$205,A79)&gt;1,"Duplicate ID",IF(OR(B79="",COUNTIFS('Clients'!$A$6:$A$205,B79)&lt;&gt;1),"Check Client ID",IF(OR(C79="",COUNTIFS('Properties'!$A$6:$A$205,C79)&lt;&gt;1),"Check Property ID",IF(E79="","Set deal stage",IF(NOT(ISNUMBER(X79)),"Add opened date",IF(AND(E79&lt;&gt;"Completed",E79&lt;&gt;"Cancelled",NOT(ISNUMBER(Y79))),"Add target close date",IF(AND(OR(E79="Completed",E79="Cancelled"),NOT(ISNUMBER(Z79))),"Add closed date",IF(AND(E79="Completed",NOT(ISNUMBER(O79))),"Add earned date",IF(AND(E79="Cancelled",AA79=""),"Add outcome reason",IF(AND(E79&lt;&gt;"Cancelled",NOT(ISNUMBER(N79))),"Complete fee inputs",IF(AND(ISNUMBER(Z79),ISNUMBER(X79),Z79&lt;X79),"Check closed date",""))))))))))))</x:f>
      </x:c>
      <x:c r="AC79" s="791"/>
      <x:c r="AD79" s="791"/>
      <x:c r="AE79" s="791"/>
      <x:c r="AF79" s="791"/>
      <x:c r="AG79" s="794"/>
      <x:c r="AH79" s="791"/>
    </x:row>
    <x:row r="80" ht="26" customHeight="1">
      <x:c r="A80" s="317"/>
      <x:c r="B80" s="318"/>
      <x:c r="C80" s="235"/>
      <x:c r="D80" s="235"/>
      <x:c r="E80" s="235"/>
      <x:c r="F80" s="236"/>
      <x:c r="G80" s="235"/>
      <x:c r="H80" s="237"/>
      <x:c r="I80" s="236"/>
      <x:c r="J80" s="312" t="str">
        <x:f>IF(A80="","",IF(G80="Fixed",IF(NOT(ISNUMBER(I80)),"",I80),IF(G80="Percentage",IF(OR(NOT(ISNUMBER(F80)),NOT(ISNUMBER(H80))),"",ROUND(F80*H80,2)),"")))</x:f>
      </x:c>
      <x:c r="K80" s="237"/>
      <x:c r="L80" s="312" t="str">
        <x:f>IF(OR(NOT(ISNUMBER(J80)),NOT(ISNUMBER(K80))),"",ROUND(J80*(1-K80),2))</x:f>
      </x:c>
      <x:c r="M80" s="237"/>
      <x:c r="N80" s="312" t="str">
        <x:f>IF(OR(NOT(ISNUMBER(L80)),NOT(ISNUMBER(M80))),"",ROUND(L80*M80,2))</x:f>
      </x:c>
      <x:c r="O80" s="238"/>
      <x:c r="P80" s="312" t="str">
        <x:f>IF(A80="","",IF(OR(E80&lt;&gt;"Completed",O80="",NOT(ISNUMBER(N80))),"",N80))</x:f>
      </x:c>
      <x:c r="Q80" s="238"/>
      <x:c r="R80" s="312" t="str">
        <x:f>IF(A80="","",SUMIFS('Payments'!$D$6:$D$205,'Payments'!$B$6:$B$205,A80))</x:f>
      </x:c>
      <x:c r="S80" s="312" t="str">
        <x:f>IF(NOT(ISNUMBER(P80)),"",P80-R80)</x:f>
      </x:c>
      <x:c r="T80" s="265" t="str">
        <x:f>IF(A80="","",IF(NOT(ISNUMBER(N80)),"Complete fee inputs",IF(NOT(ISNUMBER(P80)),IF(R80&lt;&gt;0,"Receipt before earned","Not earned"),IF(S80&lt;0,"Overpaid",IF(S80=0,"Paid",IF(Q80="","Set due date",IF(Q80&lt;TODAY(),"Overdue","Awaiting payment")))))))</x:f>
      </x:c>
      <x:c r="U80" s="235"/>
      <x:c r="V80" s="235"/>
      <x:c r="W80" s="239"/>
      <x:c r="X80" s="238"/>
      <x:c r="Y80" s="238"/>
      <x:c r="Z80" s="238"/>
      <x:c r="AA80" s="235"/>
      <x:c r="AB80" s="315" t="str">
        <x:f>IF(A80="","",IF(COUNTIFS($A$6:$A$205,A80)&gt;1,"Duplicate ID",IF(OR(B80="",COUNTIFS('Clients'!$A$6:$A$205,B80)&lt;&gt;1),"Check Client ID",IF(OR(C80="",COUNTIFS('Properties'!$A$6:$A$205,C80)&lt;&gt;1),"Check Property ID",IF(E80="","Set deal stage",IF(NOT(ISNUMBER(X80)),"Add opened date",IF(AND(E80&lt;&gt;"Completed",E80&lt;&gt;"Cancelled",NOT(ISNUMBER(Y80))),"Add target close date",IF(AND(OR(E80="Completed",E80="Cancelled"),NOT(ISNUMBER(Z80))),"Add closed date",IF(AND(E80="Completed",NOT(ISNUMBER(O80))),"Add earned date",IF(AND(E80="Cancelled",AA80=""),"Add outcome reason",IF(AND(E80&lt;&gt;"Cancelled",NOT(ISNUMBER(N80))),"Complete fee inputs",IF(AND(ISNUMBER(Z80),ISNUMBER(X80),Z80&lt;X80),"Check closed date",""))))))))))))</x:f>
      </x:c>
      <x:c r="AC80" s="791"/>
      <x:c r="AD80" s="791"/>
      <x:c r="AE80" s="791"/>
      <x:c r="AF80" s="791"/>
      <x:c r="AG80" s="794"/>
      <x:c r="AH80" s="791"/>
    </x:row>
    <x:row r="81" ht="26" customHeight="1">
      <x:c r="A81" s="319"/>
      <x:c r="B81" s="320"/>
      <x:c r="C81" s="274"/>
      <x:c r="D81" s="274"/>
      <x:c r="E81" s="274"/>
      <x:c r="F81" s="302"/>
      <x:c r="G81" s="274"/>
      <x:c r="H81" s="303"/>
      <x:c r="I81" s="302"/>
      <x:c r="J81" s="312" t="str">
        <x:f>IF(A81="","",IF(G81="Fixed",IF(NOT(ISNUMBER(I81)),"",I81),IF(G81="Percentage",IF(OR(NOT(ISNUMBER(F81)),NOT(ISNUMBER(H81))),"",ROUND(F81*H81,2)),"")))</x:f>
      </x:c>
      <x:c r="K81" s="303"/>
      <x:c r="L81" s="312" t="str">
        <x:f>IF(OR(NOT(ISNUMBER(J81)),NOT(ISNUMBER(K81))),"",ROUND(J81*(1-K81),2))</x:f>
      </x:c>
      <x:c r="M81" s="303"/>
      <x:c r="N81" s="312" t="str">
        <x:f>IF(OR(NOT(ISNUMBER(L81)),NOT(ISNUMBER(M81))),"",ROUND(L81*M81,2))</x:f>
      </x:c>
      <x:c r="O81" s="304"/>
      <x:c r="P81" s="312" t="str">
        <x:f>IF(A81="","",IF(OR(E81&lt;&gt;"Completed",O81="",NOT(ISNUMBER(N81))),"",N81))</x:f>
      </x:c>
      <x:c r="Q81" s="304"/>
      <x:c r="R81" s="312" t="str">
        <x:f>IF(A81="","",SUMIFS('Payments'!$D$6:$D$205,'Payments'!$B$6:$B$205,A81))</x:f>
      </x:c>
      <x:c r="S81" s="312" t="str">
        <x:f>IF(NOT(ISNUMBER(P81)),"",P81-R81)</x:f>
      </x:c>
      <x:c r="T81" s="265" t="str">
        <x:f>IF(A81="","",IF(NOT(ISNUMBER(N81)),"Complete fee inputs",IF(NOT(ISNUMBER(P81)),IF(R81&lt;&gt;0,"Receipt before earned","Not earned"),IF(S81&lt;0,"Overpaid",IF(S81=0,"Paid",IF(Q81="","Set due date",IF(Q81&lt;TODAY(),"Overdue","Awaiting payment")))))))</x:f>
      </x:c>
      <x:c r="U81" s="274"/>
      <x:c r="V81" s="274"/>
      <x:c r="W81" s="280"/>
      <x:c r="X81" s="304"/>
      <x:c r="Y81" s="304"/>
      <x:c r="Z81" s="304"/>
      <x:c r="AA81" s="274"/>
      <x:c r="AB81" s="315" t="str">
        <x:f>IF(A81="","",IF(COUNTIFS($A$6:$A$205,A81)&gt;1,"Duplicate ID",IF(OR(B81="",COUNTIFS('Clients'!$A$6:$A$205,B81)&lt;&gt;1),"Check Client ID",IF(OR(C81="",COUNTIFS('Properties'!$A$6:$A$205,C81)&lt;&gt;1),"Check Property ID",IF(E81="","Set deal stage",IF(NOT(ISNUMBER(X81)),"Add opened date",IF(AND(E81&lt;&gt;"Completed",E81&lt;&gt;"Cancelled",NOT(ISNUMBER(Y81))),"Add target close date",IF(AND(OR(E81="Completed",E81="Cancelled"),NOT(ISNUMBER(Z81))),"Add closed date",IF(AND(E81="Completed",NOT(ISNUMBER(O81))),"Add earned date",IF(AND(E81="Cancelled",AA81=""),"Add outcome reason",IF(AND(E81&lt;&gt;"Cancelled",NOT(ISNUMBER(N81))),"Complete fee inputs",IF(AND(ISNUMBER(Z81),ISNUMBER(X81),Z81&lt;X81),"Check closed date",""))))))))))))</x:f>
      </x:c>
      <x:c r="AC81" s="791"/>
      <x:c r="AD81" s="791"/>
      <x:c r="AE81" s="791"/>
      <x:c r="AF81" s="791"/>
      <x:c r="AG81" s="794"/>
      <x:c r="AH81" s="791"/>
    </x:row>
    <x:row r="82" ht="26" customHeight="1">
      <x:c r="A82" s="317"/>
      <x:c r="B82" s="318"/>
      <x:c r="C82" s="235"/>
      <x:c r="D82" s="235"/>
      <x:c r="E82" s="235"/>
      <x:c r="F82" s="236"/>
      <x:c r="G82" s="235"/>
      <x:c r="H82" s="237"/>
      <x:c r="I82" s="236"/>
      <x:c r="J82" s="312" t="str">
        <x:f>IF(A82="","",IF(G82="Fixed",IF(NOT(ISNUMBER(I82)),"",I82),IF(G82="Percentage",IF(OR(NOT(ISNUMBER(F82)),NOT(ISNUMBER(H82))),"",ROUND(F82*H82,2)),"")))</x:f>
      </x:c>
      <x:c r="K82" s="237"/>
      <x:c r="L82" s="312" t="str">
        <x:f>IF(OR(NOT(ISNUMBER(J82)),NOT(ISNUMBER(K82))),"",ROUND(J82*(1-K82),2))</x:f>
      </x:c>
      <x:c r="M82" s="237"/>
      <x:c r="N82" s="312" t="str">
        <x:f>IF(OR(NOT(ISNUMBER(L82)),NOT(ISNUMBER(M82))),"",ROUND(L82*M82,2))</x:f>
      </x:c>
      <x:c r="O82" s="238"/>
      <x:c r="P82" s="312" t="str">
        <x:f>IF(A82="","",IF(OR(E82&lt;&gt;"Completed",O82="",NOT(ISNUMBER(N82))),"",N82))</x:f>
      </x:c>
      <x:c r="Q82" s="238"/>
      <x:c r="R82" s="312" t="str">
        <x:f>IF(A82="","",SUMIFS('Payments'!$D$6:$D$205,'Payments'!$B$6:$B$205,A82))</x:f>
      </x:c>
      <x:c r="S82" s="312" t="str">
        <x:f>IF(NOT(ISNUMBER(P82)),"",P82-R82)</x:f>
      </x:c>
      <x:c r="T82" s="265" t="str">
        <x:f>IF(A82="","",IF(NOT(ISNUMBER(N82)),"Complete fee inputs",IF(NOT(ISNUMBER(P82)),IF(R82&lt;&gt;0,"Receipt before earned","Not earned"),IF(S82&lt;0,"Overpaid",IF(S82=0,"Paid",IF(Q82="","Set due date",IF(Q82&lt;TODAY(),"Overdue","Awaiting payment")))))))</x:f>
      </x:c>
      <x:c r="U82" s="235"/>
      <x:c r="V82" s="235"/>
      <x:c r="W82" s="239"/>
      <x:c r="X82" s="238"/>
      <x:c r="Y82" s="238"/>
      <x:c r="Z82" s="238"/>
      <x:c r="AA82" s="235"/>
      <x:c r="AB82" s="315" t="str">
        <x:f>IF(A82="","",IF(COUNTIFS($A$6:$A$205,A82)&gt;1,"Duplicate ID",IF(OR(B82="",COUNTIFS('Clients'!$A$6:$A$205,B82)&lt;&gt;1),"Check Client ID",IF(OR(C82="",COUNTIFS('Properties'!$A$6:$A$205,C82)&lt;&gt;1),"Check Property ID",IF(E82="","Set deal stage",IF(NOT(ISNUMBER(X82)),"Add opened date",IF(AND(E82&lt;&gt;"Completed",E82&lt;&gt;"Cancelled",NOT(ISNUMBER(Y82))),"Add target close date",IF(AND(OR(E82="Completed",E82="Cancelled"),NOT(ISNUMBER(Z82))),"Add closed date",IF(AND(E82="Completed",NOT(ISNUMBER(O82))),"Add earned date",IF(AND(E82="Cancelled",AA82=""),"Add outcome reason",IF(AND(E82&lt;&gt;"Cancelled",NOT(ISNUMBER(N82))),"Complete fee inputs",IF(AND(ISNUMBER(Z82),ISNUMBER(X82),Z82&lt;X82),"Check closed date",""))))))))))))</x:f>
      </x:c>
      <x:c r="AC82" s="791"/>
      <x:c r="AD82" s="791"/>
      <x:c r="AE82" s="791"/>
      <x:c r="AF82" s="791"/>
      <x:c r="AG82" s="794"/>
      <x:c r="AH82" s="791"/>
    </x:row>
    <x:row r="83" ht="26" customHeight="1">
      <x:c r="A83" s="319"/>
      <x:c r="B83" s="320"/>
      <x:c r="C83" s="274"/>
      <x:c r="D83" s="274"/>
      <x:c r="E83" s="274"/>
      <x:c r="F83" s="302"/>
      <x:c r="G83" s="274"/>
      <x:c r="H83" s="303"/>
      <x:c r="I83" s="302"/>
      <x:c r="J83" s="312" t="str">
        <x:f>IF(A83="","",IF(G83="Fixed",IF(NOT(ISNUMBER(I83)),"",I83),IF(G83="Percentage",IF(OR(NOT(ISNUMBER(F83)),NOT(ISNUMBER(H83))),"",ROUND(F83*H83,2)),"")))</x:f>
      </x:c>
      <x:c r="K83" s="303"/>
      <x:c r="L83" s="312" t="str">
        <x:f>IF(OR(NOT(ISNUMBER(J83)),NOT(ISNUMBER(K83))),"",ROUND(J83*(1-K83),2))</x:f>
      </x:c>
      <x:c r="M83" s="303"/>
      <x:c r="N83" s="312" t="str">
        <x:f>IF(OR(NOT(ISNUMBER(L83)),NOT(ISNUMBER(M83))),"",ROUND(L83*M83,2))</x:f>
      </x:c>
      <x:c r="O83" s="304"/>
      <x:c r="P83" s="312" t="str">
        <x:f>IF(A83="","",IF(OR(E83&lt;&gt;"Completed",O83="",NOT(ISNUMBER(N83))),"",N83))</x:f>
      </x:c>
      <x:c r="Q83" s="304"/>
      <x:c r="R83" s="312" t="str">
        <x:f>IF(A83="","",SUMIFS('Payments'!$D$6:$D$205,'Payments'!$B$6:$B$205,A83))</x:f>
      </x:c>
      <x:c r="S83" s="312" t="str">
        <x:f>IF(NOT(ISNUMBER(P83)),"",P83-R83)</x:f>
      </x:c>
      <x:c r="T83" s="265" t="str">
        <x:f>IF(A83="","",IF(NOT(ISNUMBER(N83)),"Complete fee inputs",IF(NOT(ISNUMBER(P83)),IF(R83&lt;&gt;0,"Receipt before earned","Not earned"),IF(S83&lt;0,"Overpaid",IF(S83=0,"Paid",IF(Q83="","Set due date",IF(Q83&lt;TODAY(),"Overdue","Awaiting payment")))))))</x:f>
      </x:c>
      <x:c r="U83" s="274"/>
      <x:c r="V83" s="274"/>
      <x:c r="W83" s="280"/>
      <x:c r="X83" s="304"/>
      <x:c r="Y83" s="304"/>
      <x:c r="Z83" s="304"/>
      <x:c r="AA83" s="274"/>
      <x:c r="AB83" s="315" t="str">
        <x:f>IF(A83="","",IF(COUNTIFS($A$6:$A$205,A83)&gt;1,"Duplicate ID",IF(OR(B83="",COUNTIFS('Clients'!$A$6:$A$205,B83)&lt;&gt;1),"Check Client ID",IF(OR(C83="",COUNTIFS('Properties'!$A$6:$A$205,C83)&lt;&gt;1),"Check Property ID",IF(E83="","Set deal stage",IF(NOT(ISNUMBER(X83)),"Add opened date",IF(AND(E83&lt;&gt;"Completed",E83&lt;&gt;"Cancelled",NOT(ISNUMBER(Y83))),"Add target close date",IF(AND(OR(E83="Completed",E83="Cancelled"),NOT(ISNUMBER(Z83))),"Add closed date",IF(AND(E83="Completed",NOT(ISNUMBER(O83))),"Add earned date",IF(AND(E83="Cancelled",AA83=""),"Add outcome reason",IF(AND(E83&lt;&gt;"Cancelled",NOT(ISNUMBER(N83))),"Complete fee inputs",IF(AND(ISNUMBER(Z83),ISNUMBER(X83),Z83&lt;X83),"Check closed date",""))))))))))))</x:f>
      </x:c>
      <x:c r="AC83" s="791"/>
      <x:c r="AD83" s="791"/>
      <x:c r="AE83" s="791"/>
      <x:c r="AF83" s="791"/>
      <x:c r="AG83" s="794"/>
      <x:c r="AH83" s="791"/>
    </x:row>
    <x:row r="84" ht="26" customHeight="1">
      <x:c r="A84" s="317"/>
      <x:c r="B84" s="318"/>
      <x:c r="C84" s="235"/>
      <x:c r="D84" s="235"/>
      <x:c r="E84" s="235"/>
      <x:c r="F84" s="236"/>
      <x:c r="G84" s="235"/>
      <x:c r="H84" s="237"/>
      <x:c r="I84" s="236"/>
      <x:c r="J84" s="312" t="str">
        <x:f>IF(A84="","",IF(G84="Fixed",IF(NOT(ISNUMBER(I84)),"",I84),IF(G84="Percentage",IF(OR(NOT(ISNUMBER(F84)),NOT(ISNUMBER(H84))),"",ROUND(F84*H84,2)),"")))</x:f>
      </x:c>
      <x:c r="K84" s="237"/>
      <x:c r="L84" s="312" t="str">
        <x:f>IF(OR(NOT(ISNUMBER(J84)),NOT(ISNUMBER(K84))),"",ROUND(J84*(1-K84),2))</x:f>
      </x:c>
      <x:c r="M84" s="237"/>
      <x:c r="N84" s="312" t="str">
        <x:f>IF(OR(NOT(ISNUMBER(L84)),NOT(ISNUMBER(M84))),"",ROUND(L84*M84,2))</x:f>
      </x:c>
      <x:c r="O84" s="238"/>
      <x:c r="P84" s="312" t="str">
        <x:f>IF(A84="","",IF(OR(E84&lt;&gt;"Completed",O84="",NOT(ISNUMBER(N84))),"",N84))</x:f>
      </x:c>
      <x:c r="Q84" s="238"/>
      <x:c r="R84" s="312" t="str">
        <x:f>IF(A84="","",SUMIFS('Payments'!$D$6:$D$205,'Payments'!$B$6:$B$205,A84))</x:f>
      </x:c>
      <x:c r="S84" s="312" t="str">
        <x:f>IF(NOT(ISNUMBER(P84)),"",P84-R84)</x:f>
      </x:c>
      <x:c r="T84" s="265" t="str">
        <x:f>IF(A84="","",IF(NOT(ISNUMBER(N84)),"Complete fee inputs",IF(NOT(ISNUMBER(P84)),IF(R84&lt;&gt;0,"Receipt before earned","Not earned"),IF(S84&lt;0,"Overpaid",IF(S84=0,"Paid",IF(Q84="","Set due date",IF(Q84&lt;TODAY(),"Overdue","Awaiting payment")))))))</x:f>
      </x:c>
      <x:c r="U84" s="235"/>
      <x:c r="V84" s="235"/>
      <x:c r="W84" s="239"/>
      <x:c r="X84" s="238"/>
      <x:c r="Y84" s="238"/>
      <x:c r="Z84" s="238"/>
      <x:c r="AA84" s="235"/>
      <x:c r="AB84" s="315" t="str">
        <x:f>IF(A84="","",IF(COUNTIFS($A$6:$A$205,A84)&gt;1,"Duplicate ID",IF(OR(B84="",COUNTIFS('Clients'!$A$6:$A$205,B84)&lt;&gt;1),"Check Client ID",IF(OR(C84="",COUNTIFS('Properties'!$A$6:$A$205,C84)&lt;&gt;1),"Check Property ID",IF(E84="","Set deal stage",IF(NOT(ISNUMBER(X84)),"Add opened date",IF(AND(E84&lt;&gt;"Completed",E84&lt;&gt;"Cancelled",NOT(ISNUMBER(Y84))),"Add target close date",IF(AND(OR(E84="Completed",E84="Cancelled"),NOT(ISNUMBER(Z84))),"Add closed date",IF(AND(E84="Completed",NOT(ISNUMBER(O84))),"Add earned date",IF(AND(E84="Cancelled",AA84=""),"Add outcome reason",IF(AND(E84&lt;&gt;"Cancelled",NOT(ISNUMBER(N84))),"Complete fee inputs",IF(AND(ISNUMBER(Z84),ISNUMBER(X84),Z84&lt;X84),"Check closed date",""))))))))))))</x:f>
      </x:c>
      <x:c r="AC84" s="791"/>
      <x:c r="AD84" s="791"/>
      <x:c r="AE84" s="791"/>
      <x:c r="AF84" s="791"/>
      <x:c r="AG84" s="794"/>
      <x:c r="AH84" s="791"/>
    </x:row>
    <x:row r="85" ht="26" customHeight="1">
      <x:c r="A85" s="319"/>
      <x:c r="B85" s="320"/>
      <x:c r="C85" s="274"/>
      <x:c r="D85" s="274"/>
      <x:c r="E85" s="274"/>
      <x:c r="F85" s="302"/>
      <x:c r="G85" s="274"/>
      <x:c r="H85" s="303"/>
      <x:c r="I85" s="302"/>
      <x:c r="J85" s="312" t="str">
        <x:f>IF(A85="","",IF(G85="Fixed",IF(NOT(ISNUMBER(I85)),"",I85),IF(G85="Percentage",IF(OR(NOT(ISNUMBER(F85)),NOT(ISNUMBER(H85))),"",ROUND(F85*H85,2)),"")))</x:f>
      </x:c>
      <x:c r="K85" s="303"/>
      <x:c r="L85" s="312" t="str">
        <x:f>IF(OR(NOT(ISNUMBER(J85)),NOT(ISNUMBER(K85))),"",ROUND(J85*(1-K85),2))</x:f>
      </x:c>
      <x:c r="M85" s="303"/>
      <x:c r="N85" s="312" t="str">
        <x:f>IF(OR(NOT(ISNUMBER(L85)),NOT(ISNUMBER(M85))),"",ROUND(L85*M85,2))</x:f>
      </x:c>
      <x:c r="O85" s="304"/>
      <x:c r="P85" s="312" t="str">
        <x:f>IF(A85="","",IF(OR(E85&lt;&gt;"Completed",O85="",NOT(ISNUMBER(N85))),"",N85))</x:f>
      </x:c>
      <x:c r="Q85" s="304"/>
      <x:c r="R85" s="312" t="str">
        <x:f>IF(A85="","",SUMIFS('Payments'!$D$6:$D$205,'Payments'!$B$6:$B$205,A85))</x:f>
      </x:c>
      <x:c r="S85" s="312" t="str">
        <x:f>IF(NOT(ISNUMBER(P85)),"",P85-R85)</x:f>
      </x:c>
      <x:c r="T85" s="265" t="str">
        <x:f>IF(A85="","",IF(NOT(ISNUMBER(N85)),"Complete fee inputs",IF(NOT(ISNUMBER(P85)),IF(R85&lt;&gt;0,"Receipt before earned","Not earned"),IF(S85&lt;0,"Overpaid",IF(S85=0,"Paid",IF(Q85="","Set due date",IF(Q85&lt;TODAY(),"Overdue","Awaiting payment")))))))</x:f>
      </x:c>
      <x:c r="U85" s="274"/>
      <x:c r="V85" s="274"/>
      <x:c r="W85" s="280"/>
      <x:c r="X85" s="304"/>
      <x:c r="Y85" s="304"/>
      <x:c r="Z85" s="304"/>
      <x:c r="AA85" s="274"/>
      <x:c r="AB85" s="315" t="str">
        <x:f>IF(A85="","",IF(COUNTIFS($A$6:$A$205,A85)&gt;1,"Duplicate ID",IF(OR(B85="",COUNTIFS('Clients'!$A$6:$A$205,B85)&lt;&gt;1),"Check Client ID",IF(OR(C85="",COUNTIFS('Properties'!$A$6:$A$205,C85)&lt;&gt;1),"Check Property ID",IF(E85="","Set deal stage",IF(NOT(ISNUMBER(X85)),"Add opened date",IF(AND(E85&lt;&gt;"Completed",E85&lt;&gt;"Cancelled",NOT(ISNUMBER(Y85))),"Add target close date",IF(AND(OR(E85="Completed",E85="Cancelled"),NOT(ISNUMBER(Z85))),"Add closed date",IF(AND(E85="Completed",NOT(ISNUMBER(O85))),"Add earned date",IF(AND(E85="Cancelled",AA85=""),"Add outcome reason",IF(AND(E85&lt;&gt;"Cancelled",NOT(ISNUMBER(N85))),"Complete fee inputs",IF(AND(ISNUMBER(Z85),ISNUMBER(X85),Z85&lt;X85),"Check closed date",""))))))))))))</x:f>
      </x:c>
      <x:c r="AC85" s="791"/>
      <x:c r="AD85" s="791"/>
      <x:c r="AE85" s="791"/>
      <x:c r="AF85" s="791"/>
      <x:c r="AG85" s="794"/>
      <x:c r="AH85" s="791"/>
    </x:row>
    <x:row r="86" ht="26" customHeight="1">
      <x:c r="A86" s="317"/>
      <x:c r="B86" s="318"/>
      <x:c r="C86" s="235"/>
      <x:c r="D86" s="235"/>
      <x:c r="E86" s="235"/>
      <x:c r="F86" s="236"/>
      <x:c r="G86" s="235"/>
      <x:c r="H86" s="237"/>
      <x:c r="I86" s="236"/>
      <x:c r="J86" s="312" t="str">
        <x:f>IF(A86="","",IF(G86="Fixed",IF(NOT(ISNUMBER(I86)),"",I86),IF(G86="Percentage",IF(OR(NOT(ISNUMBER(F86)),NOT(ISNUMBER(H86))),"",ROUND(F86*H86,2)),"")))</x:f>
      </x:c>
      <x:c r="K86" s="237"/>
      <x:c r="L86" s="312" t="str">
        <x:f>IF(OR(NOT(ISNUMBER(J86)),NOT(ISNUMBER(K86))),"",ROUND(J86*(1-K86),2))</x:f>
      </x:c>
      <x:c r="M86" s="237"/>
      <x:c r="N86" s="312" t="str">
        <x:f>IF(OR(NOT(ISNUMBER(L86)),NOT(ISNUMBER(M86))),"",ROUND(L86*M86,2))</x:f>
      </x:c>
      <x:c r="O86" s="238"/>
      <x:c r="P86" s="312" t="str">
        <x:f>IF(A86="","",IF(OR(E86&lt;&gt;"Completed",O86="",NOT(ISNUMBER(N86))),"",N86))</x:f>
      </x:c>
      <x:c r="Q86" s="238"/>
      <x:c r="R86" s="312" t="str">
        <x:f>IF(A86="","",SUMIFS('Payments'!$D$6:$D$205,'Payments'!$B$6:$B$205,A86))</x:f>
      </x:c>
      <x:c r="S86" s="312" t="str">
        <x:f>IF(NOT(ISNUMBER(P86)),"",P86-R86)</x:f>
      </x:c>
      <x:c r="T86" s="265" t="str">
        <x:f>IF(A86="","",IF(NOT(ISNUMBER(N86)),"Complete fee inputs",IF(NOT(ISNUMBER(P86)),IF(R86&lt;&gt;0,"Receipt before earned","Not earned"),IF(S86&lt;0,"Overpaid",IF(S86=0,"Paid",IF(Q86="","Set due date",IF(Q86&lt;TODAY(),"Overdue","Awaiting payment")))))))</x:f>
      </x:c>
      <x:c r="U86" s="235"/>
      <x:c r="V86" s="235"/>
      <x:c r="W86" s="239"/>
      <x:c r="X86" s="238"/>
      <x:c r="Y86" s="238"/>
      <x:c r="Z86" s="238"/>
      <x:c r="AA86" s="235"/>
      <x:c r="AB86" s="315" t="str">
        <x:f>IF(A86="","",IF(COUNTIFS($A$6:$A$205,A86)&gt;1,"Duplicate ID",IF(OR(B86="",COUNTIFS('Clients'!$A$6:$A$205,B86)&lt;&gt;1),"Check Client ID",IF(OR(C86="",COUNTIFS('Properties'!$A$6:$A$205,C86)&lt;&gt;1),"Check Property ID",IF(E86="","Set deal stage",IF(NOT(ISNUMBER(X86)),"Add opened date",IF(AND(E86&lt;&gt;"Completed",E86&lt;&gt;"Cancelled",NOT(ISNUMBER(Y86))),"Add target close date",IF(AND(OR(E86="Completed",E86="Cancelled"),NOT(ISNUMBER(Z86))),"Add closed date",IF(AND(E86="Completed",NOT(ISNUMBER(O86))),"Add earned date",IF(AND(E86="Cancelled",AA86=""),"Add outcome reason",IF(AND(E86&lt;&gt;"Cancelled",NOT(ISNUMBER(N86))),"Complete fee inputs",IF(AND(ISNUMBER(Z86),ISNUMBER(X86),Z86&lt;X86),"Check closed date",""))))))))))))</x:f>
      </x:c>
      <x:c r="AC86" s="791"/>
      <x:c r="AD86" s="791"/>
      <x:c r="AE86" s="791"/>
      <x:c r="AF86" s="791"/>
      <x:c r="AG86" s="794"/>
      <x:c r="AH86" s="791"/>
    </x:row>
    <x:row r="87" ht="26" customHeight="1">
      <x:c r="A87" s="319"/>
      <x:c r="B87" s="320"/>
      <x:c r="C87" s="274"/>
      <x:c r="D87" s="274"/>
      <x:c r="E87" s="274"/>
      <x:c r="F87" s="302"/>
      <x:c r="G87" s="274"/>
      <x:c r="H87" s="303"/>
      <x:c r="I87" s="302"/>
      <x:c r="J87" s="312" t="str">
        <x:f>IF(A87="","",IF(G87="Fixed",IF(NOT(ISNUMBER(I87)),"",I87),IF(G87="Percentage",IF(OR(NOT(ISNUMBER(F87)),NOT(ISNUMBER(H87))),"",ROUND(F87*H87,2)),"")))</x:f>
      </x:c>
      <x:c r="K87" s="303"/>
      <x:c r="L87" s="312" t="str">
        <x:f>IF(OR(NOT(ISNUMBER(J87)),NOT(ISNUMBER(K87))),"",ROUND(J87*(1-K87),2))</x:f>
      </x:c>
      <x:c r="M87" s="303"/>
      <x:c r="N87" s="312" t="str">
        <x:f>IF(OR(NOT(ISNUMBER(L87)),NOT(ISNUMBER(M87))),"",ROUND(L87*M87,2))</x:f>
      </x:c>
      <x:c r="O87" s="304"/>
      <x:c r="P87" s="312" t="str">
        <x:f>IF(A87="","",IF(OR(E87&lt;&gt;"Completed",O87="",NOT(ISNUMBER(N87))),"",N87))</x:f>
      </x:c>
      <x:c r="Q87" s="304"/>
      <x:c r="R87" s="312" t="str">
        <x:f>IF(A87="","",SUMIFS('Payments'!$D$6:$D$205,'Payments'!$B$6:$B$205,A87))</x:f>
      </x:c>
      <x:c r="S87" s="312" t="str">
        <x:f>IF(NOT(ISNUMBER(P87)),"",P87-R87)</x:f>
      </x:c>
      <x:c r="T87" s="265" t="str">
        <x:f>IF(A87="","",IF(NOT(ISNUMBER(N87)),"Complete fee inputs",IF(NOT(ISNUMBER(P87)),IF(R87&lt;&gt;0,"Receipt before earned","Not earned"),IF(S87&lt;0,"Overpaid",IF(S87=0,"Paid",IF(Q87="","Set due date",IF(Q87&lt;TODAY(),"Overdue","Awaiting payment")))))))</x:f>
      </x:c>
      <x:c r="U87" s="274"/>
      <x:c r="V87" s="274"/>
      <x:c r="W87" s="280"/>
      <x:c r="X87" s="304"/>
      <x:c r="Y87" s="304"/>
      <x:c r="Z87" s="304"/>
      <x:c r="AA87" s="274"/>
      <x:c r="AB87" s="315" t="str">
        <x:f>IF(A87="","",IF(COUNTIFS($A$6:$A$205,A87)&gt;1,"Duplicate ID",IF(OR(B87="",COUNTIFS('Clients'!$A$6:$A$205,B87)&lt;&gt;1),"Check Client ID",IF(OR(C87="",COUNTIFS('Properties'!$A$6:$A$205,C87)&lt;&gt;1),"Check Property ID",IF(E87="","Set deal stage",IF(NOT(ISNUMBER(X87)),"Add opened date",IF(AND(E87&lt;&gt;"Completed",E87&lt;&gt;"Cancelled",NOT(ISNUMBER(Y87))),"Add target close date",IF(AND(OR(E87="Completed",E87="Cancelled"),NOT(ISNUMBER(Z87))),"Add closed date",IF(AND(E87="Completed",NOT(ISNUMBER(O87))),"Add earned date",IF(AND(E87="Cancelled",AA87=""),"Add outcome reason",IF(AND(E87&lt;&gt;"Cancelled",NOT(ISNUMBER(N87))),"Complete fee inputs",IF(AND(ISNUMBER(Z87),ISNUMBER(X87),Z87&lt;X87),"Check closed date",""))))))))))))</x:f>
      </x:c>
      <x:c r="AC87" s="791"/>
      <x:c r="AD87" s="791"/>
      <x:c r="AE87" s="791"/>
      <x:c r="AF87" s="791"/>
      <x:c r="AG87" s="794"/>
      <x:c r="AH87" s="791"/>
    </x:row>
    <x:row r="88" ht="26" customHeight="1">
      <x:c r="A88" s="317"/>
      <x:c r="B88" s="318"/>
      <x:c r="C88" s="235"/>
      <x:c r="D88" s="235"/>
      <x:c r="E88" s="235"/>
      <x:c r="F88" s="236"/>
      <x:c r="G88" s="235"/>
      <x:c r="H88" s="237"/>
      <x:c r="I88" s="236"/>
      <x:c r="J88" s="312" t="str">
        <x:f>IF(A88="","",IF(G88="Fixed",IF(NOT(ISNUMBER(I88)),"",I88),IF(G88="Percentage",IF(OR(NOT(ISNUMBER(F88)),NOT(ISNUMBER(H88))),"",ROUND(F88*H88,2)),"")))</x:f>
      </x:c>
      <x:c r="K88" s="237"/>
      <x:c r="L88" s="312" t="str">
        <x:f>IF(OR(NOT(ISNUMBER(J88)),NOT(ISNUMBER(K88))),"",ROUND(J88*(1-K88),2))</x:f>
      </x:c>
      <x:c r="M88" s="237"/>
      <x:c r="N88" s="312" t="str">
        <x:f>IF(OR(NOT(ISNUMBER(L88)),NOT(ISNUMBER(M88))),"",ROUND(L88*M88,2))</x:f>
      </x:c>
      <x:c r="O88" s="238"/>
      <x:c r="P88" s="312" t="str">
        <x:f>IF(A88="","",IF(OR(E88&lt;&gt;"Completed",O88="",NOT(ISNUMBER(N88))),"",N88))</x:f>
      </x:c>
      <x:c r="Q88" s="238"/>
      <x:c r="R88" s="312" t="str">
        <x:f>IF(A88="","",SUMIFS('Payments'!$D$6:$D$205,'Payments'!$B$6:$B$205,A88))</x:f>
      </x:c>
      <x:c r="S88" s="312" t="str">
        <x:f>IF(NOT(ISNUMBER(P88)),"",P88-R88)</x:f>
      </x:c>
      <x:c r="T88" s="265" t="str">
        <x:f>IF(A88="","",IF(NOT(ISNUMBER(N88)),"Complete fee inputs",IF(NOT(ISNUMBER(P88)),IF(R88&lt;&gt;0,"Receipt before earned","Not earned"),IF(S88&lt;0,"Overpaid",IF(S88=0,"Paid",IF(Q88="","Set due date",IF(Q88&lt;TODAY(),"Overdue","Awaiting payment")))))))</x:f>
      </x:c>
      <x:c r="U88" s="235"/>
      <x:c r="V88" s="235"/>
      <x:c r="W88" s="239"/>
      <x:c r="X88" s="238"/>
      <x:c r="Y88" s="238"/>
      <x:c r="Z88" s="238"/>
      <x:c r="AA88" s="235"/>
      <x:c r="AB88" s="315" t="str">
        <x:f>IF(A88="","",IF(COUNTIFS($A$6:$A$205,A88)&gt;1,"Duplicate ID",IF(OR(B88="",COUNTIFS('Clients'!$A$6:$A$205,B88)&lt;&gt;1),"Check Client ID",IF(OR(C88="",COUNTIFS('Properties'!$A$6:$A$205,C88)&lt;&gt;1),"Check Property ID",IF(E88="","Set deal stage",IF(NOT(ISNUMBER(X88)),"Add opened date",IF(AND(E88&lt;&gt;"Completed",E88&lt;&gt;"Cancelled",NOT(ISNUMBER(Y88))),"Add target close date",IF(AND(OR(E88="Completed",E88="Cancelled"),NOT(ISNUMBER(Z88))),"Add closed date",IF(AND(E88="Completed",NOT(ISNUMBER(O88))),"Add earned date",IF(AND(E88="Cancelled",AA88=""),"Add outcome reason",IF(AND(E88&lt;&gt;"Cancelled",NOT(ISNUMBER(N88))),"Complete fee inputs",IF(AND(ISNUMBER(Z88),ISNUMBER(X88),Z88&lt;X88),"Check closed date",""))))))))))))</x:f>
      </x:c>
      <x:c r="AC88" s="791"/>
      <x:c r="AD88" s="791"/>
      <x:c r="AE88" s="791"/>
      <x:c r="AF88" s="791"/>
      <x:c r="AG88" s="794"/>
      <x:c r="AH88" s="791"/>
    </x:row>
    <x:row r="89" ht="26" customHeight="1">
      <x:c r="A89" s="319"/>
      <x:c r="B89" s="320"/>
      <x:c r="C89" s="274"/>
      <x:c r="D89" s="274"/>
      <x:c r="E89" s="274"/>
      <x:c r="F89" s="302"/>
      <x:c r="G89" s="274"/>
      <x:c r="H89" s="303"/>
      <x:c r="I89" s="302"/>
      <x:c r="J89" s="312" t="str">
        <x:f>IF(A89="","",IF(G89="Fixed",IF(NOT(ISNUMBER(I89)),"",I89),IF(G89="Percentage",IF(OR(NOT(ISNUMBER(F89)),NOT(ISNUMBER(H89))),"",ROUND(F89*H89,2)),"")))</x:f>
      </x:c>
      <x:c r="K89" s="303"/>
      <x:c r="L89" s="312" t="str">
        <x:f>IF(OR(NOT(ISNUMBER(J89)),NOT(ISNUMBER(K89))),"",ROUND(J89*(1-K89),2))</x:f>
      </x:c>
      <x:c r="M89" s="303"/>
      <x:c r="N89" s="312" t="str">
        <x:f>IF(OR(NOT(ISNUMBER(L89)),NOT(ISNUMBER(M89))),"",ROUND(L89*M89,2))</x:f>
      </x:c>
      <x:c r="O89" s="304"/>
      <x:c r="P89" s="312" t="str">
        <x:f>IF(A89="","",IF(OR(E89&lt;&gt;"Completed",O89="",NOT(ISNUMBER(N89))),"",N89))</x:f>
      </x:c>
      <x:c r="Q89" s="304"/>
      <x:c r="R89" s="312" t="str">
        <x:f>IF(A89="","",SUMIFS('Payments'!$D$6:$D$205,'Payments'!$B$6:$B$205,A89))</x:f>
      </x:c>
      <x:c r="S89" s="312" t="str">
        <x:f>IF(NOT(ISNUMBER(P89)),"",P89-R89)</x:f>
      </x:c>
      <x:c r="T89" s="265" t="str">
        <x:f>IF(A89="","",IF(NOT(ISNUMBER(N89)),"Complete fee inputs",IF(NOT(ISNUMBER(P89)),IF(R89&lt;&gt;0,"Receipt before earned","Not earned"),IF(S89&lt;0,"Overpaid",IF(S89=0,"Paid",IF(Q89="","Set due date",IF(Q89&lt;TODAY(),"Overdue","Awaiting payment")))))))</x:f>
      </x:c>
      <x:c r="U89" s="274"/>
      <x:c r="V89" s="274"/>
      <x:c r="W89" s="280"/>
      <x:c r="X89" s="304"/>
      <x:c r="Y89" s="304"/>
      <x:c r="Z89" s="304"/>
      <x:c r="AA89" s="274"/>
      <x:c r="AB89" s="315" t="str">
        <x:f>IF(A89="","",IF(COUNTIFS($A$6:$A$205,A89)&gt;1,"Duplicate ID",IF(OR(B89="",COUNTIFS('Clients'!$A$6:$A$205,B89)&lt;&gt;1),"Check Client ID",IF(OR(C89="",COUNTIFS('Properties'!$A$6:$A$205,C89)&lt;&gt;1),"Check Property ID",IF(E89="","Set deal stage",IF(NOT(ISNUMBER(X89)),"Add opened date",IF(AND(E89&lt;&gt;"Completed",E89&lt;&gt;"Cancelled",NOT(ISNUMBER(Y89))),"Add target close date",IF(AND(OR(E89="Completed",E89="Cancelled"),NOT(ISNUMBER(Z89))),"Add closed date",IF(AND(E89="Completed",NOT(ISNUMBER(O89))),"Add earned date",IF(AND(E89="Cancelled",AA89=""),"Add outcome reason",IF(AND(E89&lt;&gt;"Cancelled",NOT(ISNUMBER(N89))),"Complete fee inputs",IF(AND(ISNUMBER(Z89),ISNUMBER(X89),Z89&lt;X89),"Check closed date",""))))))))))))</x:f>
      </x:c>
      <x:c r="AC89" s="791"/>
      <x:c r="AD89" s="791"/>
      <x:c r="AE89" s="791"/>
      <x:c r="AF89" s="791"/>
      <x:c r="AG89" s="794"/>
      <x:c r="AH89" s="791"/>
    </x:row>
    <x:row r="90" ht="26" customHeight="1">
      <x:c r="A90" s="317"/>
      <x:c r="B90" s="318"/>
      <x:c r="C90" s="235"/>
      <x:c r="D90" s="235"/>
      <x:c r="E90" s="235"/>
      <x:c r="F90" s="236"/>
      <x:c r="G90" s="235"/>
      <x:c r="H90" s="237"/>
      <x:c r="I90" s="236"/>
      <x:c r="J90" s="312" t="str">
        <x:f>IF(A90="","",IF(G90="Fixed",IF(NOT(ISNUMBER(I90)),"",I90),IF(G90="Percentage",IF(OR(NOT(ISNUMBER(F90)),NOT(ISNUMBER(H90))),"",ROUND(F90*H90,2)),"")))</x:f>
      </x:c>
      <x:c r="K90" s="237"/>
      <x:c r="L90" s="312" t="str">
        <x:f>IF(OR(NOT(ISNUMBER(J90)),NOT(ISNUMBER(K90))),"",ROUND(J90*(1-K90),2))</x:f>
      </x:c>
      <x:c r="M90" s="237"/>
      <x:c r="N90" s="312" t="str">
        <x:f>IF(OR(NOT(ISNUMBER(L90)),NOT(ISNUMBER(M90))),"",ROUND(L90*M90,2))</x:f>
      </x:c>
      <x:c r="O90" s="238"/>
      <x:c r="P90" s="312" t="str">
        <x:f>IF(A90="","",IF(OR(E90&lt;&gt;"Completed",O90="",NOT(ISNUMBER(N90))),"",N90))</x:f>
      </x:c>
      <x:c r="Q90" s="238"/>
      <x:c r="R90" s="312" t="str">
        <x:f>IF(A90="","",SUMIFS('Payments'!$D$6:$D$205,'Payments'!$B$6:$B$205,A90))</x:f>
      </x:c>
      <x:c r="S90" s="312" t="str">
        <x:f>IF(NOT(ISNUMBER(P90)),"",P90-R90)</x:f>
      </x:c>
      <x:c r="T90" s="265" t="str">
        <x:f>IF(A90="","",IF(NOT(ISNUMBER(N90)),"Complete fee inputs",IF(NOT(ISNUMBER(P90)),IF(R90&lt;&gt;0,"Receipt before earned","Not earned"),IF(S90&lt;0,"Overpaid",IF(S90=0,"Paid",IF(Q90="","Set due date",IF(Q90&lt;TODAY(),"Overdue","Awaiting payment")))))))</x:f>
      </x:c>
      <x:c r="U90" s="235"/>
      <x:c r="V90" s="235"/>
      <x:c r="W90" s="239"/>
      <x:c r="X90" s="238"/>
      <x:c r="Y90" s="238"/>
      <x:c r="Z90" s="238"/>
      <x:c r="AA90" s="235"/>
      <x:c r="AB90" s="315" t="str">
        <x:f>IF(A90="","",IF(COUNTIFS($A$6:$A$205,A90)&gt;1,"Duplicate ID",IF(OR(B90="",COUNTIFS('Clients'!$A$6:$A$205,B90)&lt;&gt;1),"Check Client ID",IF(OR(C90="",COUNTIFS('Properties'!$A$6:$A$205,C90)&lt;&gt;1),"Check Property ID",IF(E90="","Set deal stage",IF(NOT(ISNUMBER(X90)),"Add opened date",IF(AND(E90&lt;&gt;"Completed",E90&lt;&gt;"Cancelled",NOT(ISNUMBER(Y90))),"Add target close date",IF(AND(OR(E90="Completed",E90="Cancelled"),NOT(ISNUMBER(Z90))),"Add closed date",IF(AND(E90="Completed",NOT(ISNUMBER(O90))),"Add earned date",IF(AND(E90="Cancelled",AA90=""),"Add outcome reason",IF(AND(E90&lt;&gt;"Cancelled",NOT(ISNUMBER(N90))),"Complete fee inputs",IF(AND(ISNUMBER(Z90),ISNUMBER(X90),Z90&lt;X90),"Check closed date",""))))))))))))</x:f>
      </x:c>
      <x:c r="AC90" s="791"/>
      <x:c r="AD90" s="791"/>
      <x:c r="AE90" s="791"/>
      <x:c r="AF90" s="791"/>
      <x:c r="AG90" s="794"/>
      <x:c r="AH90" s="791"/>
    </x:row>
    <x:row r="91" ht="26" customHeight="1">
      <x:c r="A91" s="319"/>
      <x:c r="B91" s="320"/>
      <x:c r="C91" s="274"/>
      <x:c r="D91" s="274"/>
      <x:c r="E91" s="274"/>
      <x:c r="F91" s="302"/>
      <x:c r="G91" s="274"/>
      <x:c r="H91" s="303"/>
      <x:c r="I91" s="302"/>
      <x:c r="J91" s="312" t="str">
        <x:f>IF(A91="","",IF(G91="Fixed",IF(NOT(ISNUMBER(I91)),"",I91),IF(G91="Percentage",IF(OR(NOT(ISNUMBER(F91)),NOT(ISNUMBER(H91))),"",ROUND(F91*H91,2)),"")))</x:f>
      </x:c>
      <x:c r="K91" s="303"/>
      <x:c r="L91" s="312" t="str">
        <x:f>IF(OR(NOT(ISNUMBER(J91)),NOT(ISNUMBER(K91))),"",ROUND(J91*(1-K91),2))</x:f>
      </x:c>
      <x:c r="M91" s="303"/>
      <x:c r="N91" s="312" t="str">
        <x:f>IF(OR(NOT(ISNUMBER(L91)),NOT(ISNUMBER(M91))),"",ROUND(L91*M91,2))</x:f>
      </x:c>
      <x:c r="O91" s="304"/>
      <x:c r="P91" s="312" t="str">
        <x:f>IF(A91="","",IF(OR(E91&lt;&gt;"Completed",O91="",NOT(ISNUMBER(N91))),"",N91))</x:f>
      </x:c>
      <x:c r="Q91" s="304"/>
      <x:c r="R91" s="312" t="str">
        <x:f>IF(A91="","",SUMIFS('Payments'!$D$6:$D$205,'Payments'!$B$6:$B$205,A91))</x:f>
      </x:c>
      <x:c r="S91" s="312" t="str">
        <x:f>IF(NOT(ISNUMBER(P91)),"",P91-R91)</x:f>
      </x:c>
      <x:c r="T91" s="265" t="str">
        <x:f>IF(A91="","",IF(NOT(ISNUMBER(N91)),"Complete fee inputs",IF(NOT(ISNUMBER(P91)),IF(R91&lt;&gt;0,"Receipt before earned","Not earned"),IF(S91&lt;0,"Overpaid",IF(S91=0,"Paid",IF(Q91="","Set due date",IF(Q91&lt;TODAY(),"Overdue","Awaiting payment")))))))</x:f>
      </x:c>
      <x:c r="U91" s="274"/>
      <x:c r="V91" s="274"/>
      <x:c r="W91" s="280"/>
      <x:c r="X91" s="304"/>
      <x:c r="Y91" s="304"/>
      <x:c r="Z91" s="304"/>
      <x:c r="AA91" s="274"/>
      <x:c r="AB91" s="315" t="str">
        <x:f>IF(A91="","",IF(COUNTIFS($A$6:$A$205,A91)&gt;1,"Duplicate ID",IF(OR(B91="",COUNTIFS('Clients'!$A$6:$A$205,B91)&lt;&gt;1),"Check Client ID",IF(OR(C91="",COUNTIFS('Properties'!$A$6:$A$205,C91)&lt;&gt;1),"Check Property ID",IF(E91="","Set deal stage",IF(NOT(ISNUMBER(X91)),"Add opened date",IF(AND(E91&lt;&gt;"Completed",E91&lt;&gt;"Cancelled",NOT(ISNUMBER(Y91))),"Add target close date",IF(AND(OR(E91="Completed",E91="Cancelled"),NOT(ISNUMBER(Z91))),"Add closed date",IF(AND(E91="Completed",NOT(ISNUMBER(O91))),"Add earned date",IF(AND(E91="Cancelled",AA91=""),"Add outcome reason",IF(AND(E91&lt;&gt;"Cancelled",NOT(ISNUMBER(N91))),"Complete fee inputs",IF(AND(ISNUMBER(Z91),ISNUMBER(X91),Z91&lt;X91),"Check closed date",""))))))))))))</x:f>
      </x:c>
      <x:c r="AC91" s="791"/>
      <x:c r="AD91" s="791"/>
      <x:c r="AE91" s="791"/>
      <x:c r="AF91" s="791"/>
      <x:c r="AG91" s="794"/>
      <x:c r="AH91" s="791"/>
    </x:row>
    <x:row r="92" ht="26" customHeight="1">
      <x:c r="A92" s="317"/>
      <x:c r="B92" s="318"/>
      <x:c r="C92" s="235"/>
      <x:c r="D92" s="235"/>
      <x:c r="E92" s="235"/>
      <x:c r="F92" s="236"/>
      <x:c r="G92" s="235"/>
      <x:c r="H92" s="237"/>
      <x:c r="I92" s="236"/>
      <x:c r="J92" s="312" t="str">
        <x:f>IF(A92="","",IF(G92="Fixed",IF(NOT(ISNUMBER(I92)),"",I92),IF(G92="Percentage",IF(OR(NOT(ISNUMBER(F92)),NOT(ISNUMBER(H92))),"",ROUND(F92*H92,2)),"")))</x:f>
      </x:c>
      <x:c r="K92" s="237"/>
      <x:c r="L92" s="312" t="str">
        <x:f>IF(OR(NOT(ISNUMBER(J92)),NOT(ISNUMBER(K92))),"",ROUND(J92*(1-K92),2))</x:f>
      </x:c>
      <x:c r="M92" s="237"/>
      <x:c r="N92" s="312" t="str">
        <x:f>IF(OR(NOT(ISNUMBER(L92)),NOT(ISNUMBER(M92))),"",ROUND(L92*M92,2))</x:f>
      </x:c>
      <x:c r="O92" s="238"/>
      <x:c r="P92" s="312" t="str">
        <x:f>IF(A92="","",IF(OR(E92&lt;&gt;"Completed",O92="",NOT(ISNUMBER(N92))),"",N92))</x:f>
      </x:c>
      <x:c r="Q92" s="238"/>
      <x:c r="R92" s="312" t="str">
        <x:f>IF(A92="","",SUMIFS('Payments'!$D$6:$D$205,'Payments'!$B$6:$B$205,A92))</x:f>
      </x:c>
      <x:c r="S92" s="312" t="str">
        <x:f>IF(NOT(ISNUMBER(P92)),"",P92-R92)</x:f>
      </x:c>
      <x:c r="T92" s="265" t="str">
        <x:f>IF(A92="","",IF(NOT(ISNUMBER(N92)),"Complete fee inputs",IF(NOT(ISNUMBER(P92)),IF(R92&lt;&gt;0,"Receipt before earned","Not earned"),IF(S92&lt;0,"Overpaid",IF(S92=0,"Paid",IF(Q92="","Set due date",IF(Q92&lt;TODAY(),"Overdue","Awaiting payment")))))))</x:f>
      </x:c>
      <x:c r="U92" s="235"/>
      <x:c r="V92" s="235"/>
      <x:c r="W92" s="239"/>
      <x:c r="X92" s="238"/>
      <x:c r="Y92" s="238"/>
      <x:c r="Z92" s="238"/>
      <x:c r="AA92" s="235"/>
      <x:c r="AB92" s="315" t="str">
        <x:f>IF(A92="","",IF(COUNTIFS($A$6:$A$205,A92)&gt;1,"Duplicate ID",IF(OR(B92="",COUNTIFS('Clients'!$A$6:$A$205,B92)&lt;&gt;1),"Check Client ID",IF(OR(C92="",COUNTIFS('Properties'!$A$6:$A$205,C92)&lt;&gt;1),"Check Property ID",IF(E92="","Set deal stage",IF(NOT(ISNUMBER(X92)),"Add opened date",IF(AND(E92&lt;&gt;"Completed",E92&lt;&gt;"Cancelled",NOT(ISNUMBER(Y92))),"Add target close date",IF(AND(OR(E92="Completed",E92="Cancelled"),NOT(ISNUMBER(Z92))),"Add closed date",IF(AND(E92="Completed",NOT(ISNUMBER(O92))),"Add earned date",IF(AND(E92="Cancelled",AA92=""),"Add outcome reason",IF(AND(E92&lt;&gt;"Cancelled",NOT(ISNUMBER(N92))),"Complete fee inputs",IF(AND(ISNUMBER(Z92),ISNUMBER(X92),Z92&lt;X92),"Check closed date",""))))))))))))</x:f>
      </x:c>
      <x:c r="AC92" s="791"/>
      <x:c r="AD92" s="791"/>
      <x:c r="AE92" s="791"/>
      <x:c r="AF92" s="791"/>
      <x:c r="AG92" s="794"/>
      <x:c r="AH92" s="791"/>
    </x:row>
    <x:row r="93" ht="26" customHeight="1">
      <x:c r="A93" s="319"/>
      <x:c r="B93" s="320"/>
      <x:c r="C93" s="274"/>
      <x:c r="D93" s="274"/>
      <x:c r="E93" s="274"/>
      <x:c r="F93" s="302"/>
      <x:c r="G93" s="274"/>
      <x:c r="H93" s="303"/>
      <x:c r="I93" s="302"/>
      <x:c r="J93" s="312" t="str">
        <x:f>IF(A93="","",IF(G93="Fixed",IF(NOT(ISNUMBER(I93)),"",I93),IF(G93="Percentage",IF(OR(NOT(ISNUMBER(F93)),NOT(ISNUMBER(H93))),"",ROUND(F93*H93,2)),"")))</x:f>
      </x:c>
      <x:c r="K93" s="303"/>
      <x:c r="L93" s="312" t="str">
        <x:f>IF(OR(NOT(ISNUMBER(J93)),NOT(ISNUMBER(K93))),"",ROUND(J93*(1-K93),2))</x:f>
      </x:c>
      <x:c r="M93" s="303"/>
      <x:c r="N93" s="312" t="str">
        <x:f>IF(OR(NOT(ISNUMBER(L93)),NOT(ISNUMBER(M93))),"",ROUND(L93*M93,2))</x:f>
      </x:c>
      <x:c r="O93" s="304"/>
      <x:c r="P93" s="312" t="str">
        <x:f>IF(A93="","",IF(OR(E93&lt;&gt;"Completed",O93="",NOT(ISNUMBER(N93))),"",N93))</x:f>
      </x:c>
      <x:c r="Q93" s="304"/>
      <x:c r="R93" s="312" t="str">
        <x:f>IF(A93="","",SUMIFS('Payments'!$D$6:$D$205,'Payments'!$B$6:$B$205,A93))</x:f>
      </x:c>
      <x:c r="S93" s="312" t="str">
        <x:f>IF(NOT(ISNUMBER(P93)),"",P93-R93)</x:f>
      </x:c>
      <x:c r="T93" s="265" t="str">
        <x:f>IF(A93="","",IF(NOT(ISNUMBER(N93)),"Complete fee inputs",IF(NOT(ISNUMBER(P93)),IF(R93&lt;&gt;0,"Receipt before earned","Not earned"),IF(S93&lt;0,"Overpaid",IF(S93=0,"Paid",IF(Q93="","Set due date",IF(Q93&lt;TODAY(),"Overdue","Awaiting payment")))))))</x:f>
      </x:c>
      <x:c r="U93" s="274"/>
      <x:c r="V93" s="274"/>
      <x:c r="W93" s="280"/>
      <x:c r="X93" s="304"/>
      <x:c r="Y93" s="304"/>
      <x:c r="Z93" s="304"/>
      <x:c r="AA93" s="274"/>
      <x:c r="AB93" s="315" t="str">
        <x:f>IF(A93="","",IF(COUNTIFS($A$6:$A$205,A93)&gt;1,"Duplicate ID",IF(OR(B93="",COUNTIFS('Clients'!$A$6:$A$205,B93)&lt;&gt;1),"Check Client ID",IF(OR(C93="",COUNTIFS('Properties'!$A$6:$A$205,C93)&lt;&gt;1),"Check Property ID",IF(E93="","Set deal stage",IF(NOT(ISNUMBER(X93)),"Add opened date",IF(AND(E93&lt;&gt;"Completed",E93&lt;&gt;"Cancelled",NOT(ISNUMBER(Y93))),"Add target close date",IF(AND(OR(E93="Completed",E93="Cancelled"),NOT(ISNUMBER(Z93))),"Add closed date",IF(AND(E93="Completed",NOT(ISNUMBER(O93))),"Add earned date",IF(AND(E93="Cancelled",AA93=""),"Add outcome reason",IF(AND(E93&lt;&gt;"Cancelled",NOT(ISNUMBER(N93))),"Complete fee inputs",IF(AND(ISNUMBER(Z93),ISNUMBER(X93),Z93&lt;X93),"Check closed date",""))))))))))))</x:f>
      </x:c>
      <x:c r="AC93" s="791"/>
      <x:c r="AD93" s="791"/>
      <x:c r="AE93" s="791"/>
      <x:c r="AF93" s="791"/>
      <x:c r="AG93" s="794"/>
      <x:c r="AH93" s="791"/>
    </x:row>
    <x:row r="94" ht="26" customHeight="1">
      <x:c r="A94" s="317"/>
      <x:c r="B94" s="318"/>
      <x:c r="C94" s="235"/>
      <x:c r="D94" s="235"/>
      <x:c r="E94" s="235"/>
      <x:c r="F94" s="236"/>
      <x:c r="G94" s="235"/>
      <x:c r="H94" s="237"/>
      <x:c r="I94" s="236"/>
      <x:c r="J94" s="312" t="str">
        <x:f>IF(A94="","",IF(G94="Fixed",IF(NOT(ISNUMBER(I94)),"",I94),IF(G94="Percentage",IF(OR(NOT(ISNUMBER(F94)),NOT(ISNUMBER(H94))),"",ROUND(F94*H94,2)),"")))</x:f>
      </x:c>
      <x:c r="K94" s="237"/>
      <x:c r="L94" s="312" t="str">
        <x:f>IF(OR(NOT(ISNUMBER(J94)),NOT(ISNUMBER(K94))),"",ROUND(J94*(1-K94),2))</x:f>
      </x:c>
      <x:c r="M94" s="237"/>
      <x:c r="N94" s="312" t="str">
        <x:f>IF(OR(NOT(ISNUMBER(L94)),NOT(ISNUMBER(M94))),"",ROUND(L94*M94,2))</x:f>
      </x:c>
      <x:c r="O94" s="238"/>
      <x:c r="P94" s="312" t="str">
        <x:f>IF(A94="","",IF(OR(E94&lt;&gt;"Completed",O94="",NOT(ISNUMBER(N94))),"",N94))</x:f>
      </x:c>
      <x:c r="Q94" s="238"/>
      <x:c r="R94" s="312" t="str">
        <x:f>IF(A94="","",SUMIFS('Payments'!$D$6:$D$205,'Payments'!$B$6:$B$205,A94))</x:f>
      </x:c>
      <x:c r="S94" s="312" t="str">
        <x:f>IF(NOT(ISNUMBER(P94)),"",P94-R94)</x:f>
      </x:c>
      <x:c r="T94" s="265" t="str">
        <x:f>IF(A94="","",IF(NOT(ISNUMBER(N94)),"Complete fee inputs",IF(NOT(ISNUMBER(P94)),IF(R94&lt;&gt;0,"Receipt before earned","Not earned"),IF(S94&lt;0,"Overpaid",IF(S94=0,"Paid",IF(Q94="","Set due date",IF(Q94&lt;TODAY(),"Overdue","Awaiting payment")))))))</x:f>
      </x:c>
      <x:c r="U94" s="235"/>
      <x:c r="V94" s="235"/>
      <x:c r="W94" s="239"/>
      <x:c r="X94" s="238"/>
      <x:c r="Y94" s="238"/>
      <x:c r="Z94" s="238"/>
      <x:c r="AA94" s="235"/>
      <x:c r="AB94" s="315" t="str">
        <x:f>IF(A94="","",IF(COUNTIFS($A$6:$A$205,A94)&gt;1,"Duplicate ID",IF(OR(B94="",COUNTIFS('Clients'!$A$6:$A$205,B94)&lt;&gt;1),"Check Client ID",IF(OR(C94="",COUNTIFS('Properties'!$A$6:$A$205,C94)&lt;&gt;1),"Check Property ID",IF(E94="","Set deal stage",IF(NOT(ISNUMBER(X94)),"Add opened date",IF(AND(E94&lt;&gt;"Completed",E94&lt;&gt;"Cancelled",NOT(ISNUMBER(Y94))),"Add target close date",IF(AND(OR(E94="Completed",E94="Cancelled"),NOT(ISNUMBER(Z94))),"Add closed date",IF(AND(E94="Completed",NOT(ISNUMBER(O94))),"Add earned date",IF(AND(E94="Cancelled",AA94=""),"Add outcome reason",IF(AND(E94&lt;&gt;"Cancelled",NOT(ISNUMBER(N94))),"Complete fee inputs",IF(AND(ISNUMBER(Z94),ISNUMBER(X94),Z94&lt;X94),"Check closed date",""))))))))))))</x:f>
      </x:c>
      <x:c r="AC94" s="791"/>
      <x:c r="AD94" s="791"/>
      <x:c r="AE94" s="791"/>
      <x:c r="AF94" s="791"/>
      <x:c r="AG94" s="794"/>
      <x:c r="AH94" s="791"/>
    </x:row>
    <x:row r="95" ht="26" customHeight="1">
      <x:c r="A95" s="319"/>
      <x:c r="B95" s="320"/>
      <x:c r="C95" s="274"/>
      <x:c r="D95" s="274"/>
      <x:c r="E95" s="274"/>
      <x:c r="F95" s="302"/>
      <x:c r="G95" s="274"/>
      <x:c r="H95" s="303"/>
      <x:c r="I95" s="302"/>
      <x:c r="J95" s="312" t="str">
        <x:f>IF(A95="","",IF(G95="Fixed",IF(NOT(ISNUMBER(I95)),"",I95),IF(G95="Percentage",IF(OR(NOT(ISNUMBER(F95)),NOT(ISNUMBER(H95))),"",ROUND(F95*H95,2)),"")))</x:f>
      </x:c>
      <x:c r="K95" s="303"/>
      <x:c r="L95" s="312" t="str">
        <x:f>IF(OR(NOT(ISNUMBER(J95)),NOT(ISNUMBER(K95))),"",ROUND(J95*(1-K95),2))</x:f>
      </x:c>
      <x:c r="M95" s="303"/>
      <x:c r="N95" s="312" t="str">
        <x:f>IF(OR(NOT(ISNUMBER(L95)),NOT(ISNUMBER(M95))),"",ROUND(L95*M95,2))</x:f>
      </x:c>
      <x:c r="O95" s="304"/>
      <x:c r="P95" s="312" t="str">
        <x:f>IF(A95="","",IF(OR(E95&lt;&gt;"Completed",O95="",NOT(ISNUMBER(N95))),"",N95))</x:f>
      </x:c>
      <x:c r="Q95" s="304"/>
      <x:c r="R95" s="312" t="str">
        <x:f>IF(A95="","",SUMIFS('Payments'!$D$6:$D$205,'Payments'!$B$6:$B$205,A95))</x:f>
      </x:c>
      <x:c r="S95" s="312" t="str">
        <x:f>IF(NOT(ISNUMBER(P95)),"",P95-R95)</x:f>
      </x:c>
      <x:c r="T95" s="265" t="str">
        <x:f>IF(A95="","",IF(NOT(ISNUMBER(N95)),"Complete fee inputs",IF(NOT(ISNUMBER(P95)),IF(R95&lt;&gt;0,"Receipt before earned","Not earned"),IF(S95&lt;0,"Overpaid",IF(S95=0,"Paid",IF(Q95="","Set due date",IF(Q95&lt;TODAY(),"Overdue","Awaiting payment")))))))</x:f>
      </x:c>
      <x:c r="U95" s="274"/>
      <x:c r="V95" s="274"/>
      <x:c r="W95" s="280"/>
      <x:c r="X95" s="304"/>
      <x:c r="Y95" s="304"/>
      <x:c r="Z95" s="304"/>
      <x:c r="AA95" s="274"/>
      <x:c r="AB95" s="315" t="str">
        <x:f>IF(A95="","",IF(COUNTIFS($A$6:$A$205,A95)&gt;1,"Duplicate ID",IF(OR(B95="",COUNTIFS('Clients'!$A$6:$A$205,B95)&lt;&gt;1),"Check Client ID",IF(OR(C95="",COUNTIFS('Properties'!$A$6:$A$205,C95)&lt;&gt;1),"Check Property ID",IF(E95="","Set deal stage",IF(NOT(ISNUMBER(X95)),"Add opened date",IF(AND(E95&lt;&gt;"Completed",E95&lt;&gt;"Cancelled",NOT(ISNUMBER(Y95))),"Add target close date",IF(AND(OR(E95="Completed",E95="Cancelled"),NOT(ISNUMBER(Z95))),"Add closed date",IF(AND(E95="Completed",NOT(ISNUMBER(O95))),"Add earned date",IF(AND(E95="Cancelled",AA95=""),"Add outcome reason",IF(AND(E95&lt;&gt;"Cancelled",NOT(ISNUMBER(N95))),"Complete fee inputs",IF(AND(ISNUMBER(Z95),ISNUMBER(X95),Z95&lt;X95),"Check closed date",""))))))))))))</x:f>
      </x:c>
      <x:c r="AC95" s="791"/>
      <x:c r="AD95" s="791"/>
      <x:c r="AE95" s="791"/>
      <x:c r="AF95" s="791"/>
      <x:c r="AG95" s="794"/>
      <x:c r="AH95" s="791"/>
    </x:row>
    <x:row r="96" ht="26" customHeight="1">
      <x:c r="A96" s="317"/>
      <x:c r="B96" s="318"/>
      <x:c r="C96" s="235"/>
      <x:c r="D96" s="235"/>
      <x:c r="E96" s="235"/>
      <x:c r="F96" s="236"/>
      <x:c r="G96" s="235"/>
      <x:c r="H96" s="237"/>
      <x:c r="I96" s="236"/>
      <x:c r="J96" s="312" t="str">
        <x:f>IF(A96="","",IF(G96="Fixed",IF(NOT(ISNUMBER(I96)),"",I96),IF(G96="Percentage",IF(OR(NOT(ISNUMBER(F96)),NOT(ISNUMBER(H96))),"",ROUND(F96*H96,2)),"")))</x:f>
      </x:c>
      <x:c r="K96" s="237"/>
      <x:c r="L96" s="312" t="str">
        <x:f>IF(OR(NOT(ISNUMBER(J96)),NOT(ISNUMBER(K96))),"",ROUND(J96*(1-K96),2))</x:f>
      </x:c>
      <x:c r="M96" s="237"/>
      <x:c r="N96" s="312" t="str">
        <x:f>IF(OR(NOT(ISNUMBER(L96)),NOT(ISNUMBER(M96))),"",ROUND(L96*M96,2))</x:f>
      </x:c>
      <x:c r="O96" s="238"/>
      <x:c r="P96" s="312" t="str">
        <x:f>IF(A96="","",IF(OR(E96&lt;&gt;"Completed",O96="",NOT(ISNUMBER(N96))),"",N96))</x:f>
      </x:c>
      <x:c r="Q96" s="238"/>
      <x:c r="R96" s="312" t="str">
        <x:f>IF(A96="","",SUMIFS('Payments'!$D$6:$D$205,'Payments'!$B$6:$B$205,A96))</x:f>
      </x:c>
      <x:c r="S96" s="312" t="str">
        <x:f>IF(NOT(ISNUMBER(P96)),"",P96-R96)</x:f>
      </x:c>
      <x:c r="T96" s="265" t="str">
        <x:f>IF(A96="","",IF(NOT(ISNUMBER(N96)),"Complete fee inputs",IF(NOT(ISNUMBER(P96)),IF(R96&lt;&gt;0,"Receipt before earned","Not earned"),IF(S96&lt;0,"Overpaid",IF(S96=0,"Paid",IF(Q96="","Set due date",IF(Q96&lt;TODAY(),"Overdue","Awaiting payment")))))))</x:f>
      </x:c>
      <x:c r="U96" s="235"/>
      <x:c r="V96" s="235"/>
      <x:c r="W96" s="239"/>
      <x:c r="X96" s="238"/>
      <x:c r="Y96" s="238"/>
      <x:c r="Z96" s="238"/>
      <x:c r="AA96" s="235"/>
      <x:c r="AB96" s="315" t="str">
        <x:f>IF(A96="","",IF(COUNTIFS($A$6:$A$205,A96)&gt;1,"Duplicate ID",IF(OR(B96="",COUNTIFS('Clients'!$A$6:$A$205,B96)&lt;&gt;1),"Check Client ID",IF(OR(C96="",COUNTIFS('Properties'!$A$6:$A$205,C96)&lt;&gt;1),"Check Property ID",IF(E96="","Set deal stage",IF(NOT(ISNUMBER(X96)),"Add opened date",IF(AND(E96&lt;&gt;"Completed",E96&lt;&gt;"Cancelled",NOT(ISNUMBER(Y96))),"Add target close date",IF(AND(OR(E96="Completed",E96="Cancelled"),NOT(ISNUMBER(Z96))),"Add closed date",IF(AND(E96="Completed",NOT(ISNUMBER(O96))),"Add earned date",IF(AND(E96="Cancelled",AA96=""),"Add outcome reason",IF(AND(E96&lt;&gt;"Cancelled",NOT(ISNUMBER(N96))),"Complete fee inputs",IF(AND(ISNUMBER(Z96),ISNUMBER(X96),Z96&lt;X96),"Check closed date",""))))))))))))</x:f>
      </x:c>
      <x:c r="AC96" s="791"/>
      <x:c r="AD96" s="791"/>
      <x:c r="AE96" s="791"/>
      <x:c r="AF96" s="791"/>
      <x:c r="AG96" s="794"/>
      <x:c r="AH96" s="791"/>
    </x:row>
    <x:row r="97" ht="26" customHeight="1">
      <x:c r="A97" s="319"/>
      <x:c r="B97" s="320"/>
      <x:c r="C97" s="274"/>
      <x:c r="D97" s="274"/>
      <x:c r="E97" s="274"/>
      <x:c r="F97" s="302"/>
      <x:c r="G97" s="274"/>
      <x:c r="H97" s="303"/>
      <x:c r="I97" s="302"/>
      <x:c r="J97" s="312" t="str">
        <x:f>IF(A97="","",IF(G97="Fixed",IF(NOT(ISNUMBER(I97)),"",I97),IF(G97="Percentage",IF(OR(NOT(ISNUMBER(F97)),NOT(ISNUMBER(H97))),"",ROUND(F97*H97,2)),"")))</x:f>
      </x:c>
      <x:c r="K97" s="303"/>
      <x:c r="L97" s="312" t="str">
        <x:f>IF(OR(NOT(ISNUMBER(J97)),NOT(ISNUMBER(K97))),"",ROUND(J97*(1-K97),2))</x:f>
      </x:c>
      <x:c r="M97" s="303"/>
      <x:c r="N97" s="312" t="str">
        <x:f>IF(OR(NOT(ISNUMBER(L97)),NOT(ISNUMBER(M97))),"",ROUND(L97*M97,2))</x:f>
      </x:c>
      <x:c r="O97" s="304"/>
      <x:c r="P97" s="312" t="str">
        <x:f>IF(A97="","",IF(OR(E97&lt;&gt;"Completed",O97="",NOT(ISNUMBER(N97))),"",N97))</x:f>
      </x:c>
      <x:c r="Q97" s="304"/>
      <x:c r="R97" s="312" t="str">
        <x:f>IF(A97="","",SUMIFS('Payments'!$D$6:$D$205,'Payments'!$B$6:$B$205,A97))</x:f>
      </x:c>
      <x:c r="S97" s="312" t="str">
        <x:f>IF(NOT(ISNUMBER(P97)),"",P97-R97)</x:f>
      </x:c>
      <x:c r="T97" s="265" t="str">
        <x:f>IF(A97="","",IF(NOT(ISNUMBER(N97)),"Complete fee inputs",IF(NOT(ISNUMBER(P97)),IF(R97&lt;&gt;0,"Receipt before earned","Not earned"),IF(S97&lt;0,"Overpaid",IF(S97=0,"Paid",IF(Q97="","Set due date",IF(Q97&lt;TODAY(),"Overdue","Awaiting payment")))))))</x:f>
      </x:c>
      <x:c r="U97" s="274"/>
      <x:c r="V97" s="274"/>
      <x:c r="W97" s="280"/>
      <x:c r="X97" s="304"/>
      <x:c r="Y97" s="304"/>
      <x:c r="Z97" s="304"/>
      <x:c r="AA97" s="274"/>
      <x:c r="AB97" s="315" t="str">
        <x:f>IF(A97="","",IF(COUNTIFS($A$6:$A$205,A97)&gt;1,"Duplicate ID",IF(OR(B97="",COUNTIFS('Clients'!$A$6:$A$205,B97)&lt;&gt;1),"Check Client ID",IF(OR(C97="",COUNTIFS('Properties'!$A$6:$A$205,C97)&lt;&gt;1),"Check Property ID",IF(E97="","Set deal stage",IF(NOT(ISNUMBER(X97)),"Add opened date",IF(AND(E97&lt;&gt;"Completed",E97&lt;&gt;"Cancelled",NOT(ISNUMBER(Y97))),"Add target close date",IF(AND(OR(E97="Completed",E97="Cancelled"),NOT(ISNUMBER(Z97))),"Add closed date",IF(AND(E97="Completed",NOT(ISNUMBER(O97))),"Add earned date",IF(AND(E97="Cancelled",AA97=""),"Add outcome reason",IF(AND(E97&lt;&gt;"Cancelled",NOT(ISNUMBER(N97))),"Complete fee inputs",IF(AND(ISNUMBER(Z97),ISNUMBER(X97),Z97&lt;X97),"Check closed date",""))))))))))))</x:f>
      </x:c>
      <x:c r="AC97" s="791"/>
      <x:c r="AD97" s="791"/>
      <x:c r="AE97" s="791"/>
      <x:c r="AF97" s="791"/>
      <x:c r="AG97" s="794"/>
      <x:c r="AH97" s="791"/>
    </x:row>
    <x:row r="98" ht="26" customHeight="1">
      <x:c r="A98" s="317"/>
      <x:c r="B98" s="318"/>
      <x:c r="C98" s="235"/>
      <x:c r="D98" s="235"/>
      <x:c r="E98" s="235"/>
      <x:c r="F98" s="236"/>
      <x:c r="G98" s="235"/>
      <x:c r="H98" s="237"/>
      <x:c r="I98" s="236"/>
      <x:c r="J98" s="312" t="str">
        <x:f>IF(A98="","",IF(G98="Fixed",IF(NOT(ISNUMBER(I98)),"",I98),IF(G98="Percentage",IF(OR(NOT(ISNUMBER(F98)),NOT(ISNUMBER(H98))),"",ROUND(F98*H98,2)),"")))</x:f>
      </x:c>
      <x:c r="K98" s="237"/>
      <x:c r="L98" s="312" t="str">
        <x:f>IF(OR(NOT(ISNUMBER(J98)),NOT(ISNUMBER(K98))),"",ROUND(J98*(1-K98),2))</x:f>
      </x:c>
      <x:c r="M98" s="237"/>
      <x:c r="N98" s="312" t="str">
        <x:f>IF(OR(NOT(ISNUMBER(L98)),NOT(ISNUMBER(M98))),"",ROUND(L98*M98,2))</x:f>
      </x:c>
      <x:c r="O98" s="238"/>
      <x:c r="P98" s="312" t="str">
        <x:f>IF(A98="","",IF(OR(E98&lt;&gt;"Completed",O98="",NOT(ISNUMBER(N98))),"",N98))</x:f>
      </x:c>
      <x:c r="Q98" s="238"/>
      <x:c r="R98" s="312" t="str">
        <x:f>IF(A98="","",SUMIFS('Payments'!$D$6:$D$205,'Payments'!$B$6:$B$205,A98))</x:f>
      </x:c>
      <x:c r="S98" s="312" t="str">
        <x:f>IF(NOT(ISNUMBER(P98)),"",P98-R98)</x:f>
      </x:c>
      <x:c r="T98" s="265" t="str">
        <x:f>IF(A98="","",IF(NOT(ISNUMBER(N98)),"Complete fee inputs",IF(NOT(ISNUMBER(P98)),IF(R98&lt;&gt;0,"Receipt before earned","Not earned"),IF(S98&lt;0,"Overpaid",IF(S98=0,"Paid",IF(Q98="","Set due date",IF(Q98&lt;TODAY(),"Overdue","Awaiting payment")))))))</x:f>
      </x:c>
      <x:c r="U98" s="235"/>
      <x:c r="V98" s="235"/>
      <x:c r="W98" s="239"/>
      <x:c r="X98" s="238"/>
      <x:c r="Y98" s="238"/>
      <x:c r="Z98" s="238"/>
      <x:c r="AA98" s="235"/>
      <x:c r="AB98" s="315" t="str">
        <x:f>IF(A98="","",IF(COUNTIFS($A$6:$A$205,A98)&gt;1,"Duplicate ID",IF(OR(B98="",COUNTIFS('Clients'!$A$6:$A$205,B98)&lt;&gt;1),"Check Client ID",IF(OR(C98="",COUNTIFS('Properties'!$A$6:$A$205,C98)&lt;&gt;1),"Check Property ID",IF(E98="","Set deal stage",IF(NOT(ISNUMBER(X98)),"Add opened date",IF(AND(E98&lt;&gt;"Completed",E98&lt;&gt;"Cancelled",NOT(ISNUMBER(Y98))),"Add target close date",IF(AND(OR(E98="Completed",E98="Cancelled"),NOT(ISNUMBER(Z98))),"Add closed date",IF(AND(E98="Completed",NOT(ISNUMBER(O98))),"Add earned date",IF(AND(E98="Cancelled",AA98=""),"Add outcome reason",IF(AND(E98&lt;&gt;"Cancelled",NOT(ISNUMBER(N98))),"Complete fee inputs",IF(AND(ISNUMBER(Z98),ISNUMBER(X98),Z98&lt;X98),"Check closed date",""))))))))))))</x:f>
      </x:c>
      <x:c r="AC98" s="791"/>
      <x:c r="AD98" s="791"/>
      <x:c r="AE98" s="791"/>
      <x:c r="AF98" s="791"/>
      <x:c r="AG98" s="794"/>
      <x:c r="AH98" s="791"/>
    </x:row>
    <x:row r="99" ht="26" customHeight="1">
      <x:c r="A99" s="319"/>
      <x:c r="B99" s="320"/>
      <x:c r="C99" s="274"/>
      <x:c r="D99" s="274"/>
      <x:c r="E99" s="274"/>
      <x:c r="F99" s="302"/>
      <x:c r="G99" s="274"/>
      <x:c r="H99" s="303"/>
      <x:c r="I99" s="302"/>
      <x:c r="J99" s="312" t="str">
        <x:f>IF(A99="","",IF(G99="Fixed",IF(NOT(ISNUMBER(I99)),"",I99),IF(G99="Percentage",IF(OR(NOT(ISNUMBER(F99)),NOT(ISNUMBER(H99))),"",ROUND(F99*H99,2)),"")))</x:f>
      </x:c>
      <x:c r="K99" s="303"/>
      <x:c r="L99" s="312" t="str">
        <x:f>IF(OR(NOT(ISNUMBER(J99)),NOT(ISNUMBER(K99))),"",ROUND(J99*(1-K99),2))</x:f>
      </x:c>
      <x:c r="M99" s="303"/>
      <x:c r="N99" s="312" t="str">
        <x:f>IF(OR(NOT(ISNUMBER(L99)),NOT(ISNUMBER(M99))),"",ROUND(L99*M99,2))</x:f>
      </x:c>
      <x:c r="O99" s="304"/>
      <x:c r="P99" s="312" t="str">
        <x:f>IF(A99="","",IF(OR(E99&lt;&gt;"Completed",O99="",NOT(ISNUMBER(N99))),"",N99))</x:f>
      </x:c>
      <x:c r="Q99" s="304"/>
      <x:c r="R99" s="312" t="str">
        <x:f>IF(A99="","",SUMIFS('Payments'!$D$6:$D$205,'Payments'!$B$6:$B$205,A99))</x:f>
      </x:c>
      <x:c r="S99" s="312" t="str">
        <x:f>IF(NOT(ISNUMBER(P99)),"",P99-R99)</x:f>
      </x:c>
      <x:c r="T99" s="265" t="str">
        <x:f>IF(A99="","",IF(NOT(ISNUMBER(N99)),"Complete fee inputs",IF(NOT(ISNUMBER(P99)),IF(R99&lt;&gt;0,"Receipt before earned","Not earned"),IF(S99&lt;0,"Overpaid",IF(S99=0,"Paid",IF(Q99="","Set due date",IF(Q99&lt;TODAY(),"Overdue","Awaiting payment")))))))</x:f>
      </x:c>
      <x:c r="U99" s="274"/>
      <x:c r="V99" s="274"/>
      <x:c r="W99" s="280"/>
      <x:c r="X99" s="304"/>
      <x:c r="Y99" s="304"/>
      <x:c r="Z99" s="304"/>
      <x:c r="AA99" s="274"/>
      <x:c r="AB99" s="315" t="str">
        <x:f>IF(A99="","",IF(COUNTIFS($A$6:$A$205,A99)&gt;1,"Duplicate ID",IF(OR(B99="",COUNTIFS('Clients'!$A$6:$A$205,B99)&lt;&gt;1),"Check Client ID",IF(OR(C99="",COUNTIFS('Properties'!$A$6:$A$205,C99)&lt;&gt;1),"Check Property ID",IF(E99="","Set deal stage",IF(NOT(ISNUMBER(X99)),"Add opened date",IF(AND(E99&lt;&gt;"Completed",E99&lt;&gt;"Cancelled",NOT(ISNUMBER(Y99))),"Add target close date",IF(AND(OR(E99="Completed",E99="Cancelled"),NOT(ISNUMBER(Z99))),"Add closed date",IF(AND(E99="Completed",NOT(ISNUMBER(O99))),"Add earned date",IF(AND(E99="Cancelled",AA99=""),"Add outcome reason",IF(AND(E99&lt;&gt;"Cancelled",NOT(ISNUMBER(N99))),"Complete fee inputs",IF(AND(ISNUMBER(Z99),ISNUMBER(X99),Z99&lt;X99),"Check closed date",""))))))))))))</x:f>
      </x:c>
      <x:c r="AC99" s="791"/>
      <x:c r="AD99" s="791"/>
      <x:c r="AE99" s="791"/>
      <x:c r="AF99" s="791"/>
      <x:c r="AG99" s="794"/>
      <x:c r="AH99" s="791"/>
    </x:row>
    <x:row r="100" ht="26" customHeight="1">
      <x:c r="A100" s="317"/>
      <x:c r="B100" s="318"/>
      <x:c r="C100" s="235"/>
      <x:c r="D100" s="235"/>
      <x:c r="E100" s="235"/>
      <x:c r="F100" s="236"/>
      <x:c r="G100" s="235"/>
      <x:c r="H100" s="237"/>
      <x:c r="I100" s="236"/>
      <x:c r="J100" s="312" t="str">
        <x:f>IF(A100="","",IF(G100="Fixed",IF(NOT(ISNUMBER(I100)),"",I100),IF(G100="Percentage",IF(OR(NOT(ISNUMBER(F100)),NOT(ISNUMBER(H100))),"",ROUND(F100*H100,2)),"")))</x:f>
      </x:c>
      <x:c r="K100" s="237"/>
      <x:c r="L100" s="312" t="str">
        <x:f>IF(OR(NOT(ISNUMBER(J100)),NOT(ISNUMBER(K100))),"",ROUND(J100*(1-K100),2))</x:f>
      </x:c>
      <x:c r="M100" s="237"/>
      <x:c r="N100" s="312" t="str">
        <x:f>IF(OR(NOT(ISNUMBER(L100)),NOT(ISNUMBER(M100))),"",ROUND(L100*M100,2))</x:f>
      </x:c>
      <x:c r="O100" s="238"/>
      <x:c r="P100" s="312" t="str">
        <x:f>IF(A100="","",IF(OR(E100&lt;&gt;"Completed",O100="",NOT(ISNUMBER(N100))),"",N100))</x:f>
      </x:c>
      <x:c r="Q100" s="238"/>
      <x:c r="R100" s="312" t="str">
        <x:f>IF(A100="","",SUMIFS('Payments'!$D$6:$D$205,'Payments'!$B$6:$B$205,A100))</x:f>
      </x:c>
      <x:c r="S100" s="312" t="str">
        <x:f>IF(NOT(ISNUMBER(P100)),"",P100-R100)</x:f>
      </x:c>
      <x:c r="T100" s="265" t="str">
        <x:f>IF(A100="","",IF(NOT(ISNUMBER(N100)),"Complete fee inputs",IF(NOT(ISNUMBER(P100)),IF(R100&lt;&gt;0,"Receipt before earned","Not earned"),IF(S100&lt;0,"Overpaid",IF(S100=0,"Paid",IF(Q100="","Set due date",IF(Q100&lt;TODAY(),"Overdue","Awaiting payment")))))))</x:f>
      </x:c>
      <x:c r="U100" s="235"/>
      <x:c r="V100" s="235"/>
      <x:c r="W100" s="239"/>
      <x:c r="X100" s="238"/>
      <x:c r="Y100" s="238"/>
      <x:c r="Z100" s="238"/>
      <x:c r="AA100" s="235"/>
      <x:c r="AB100" s="315" t="str">
        <x:f>IF(A100="","",IF(COUNTIFS($A$6:$A$205,A100)&gt;1,"Duplicate ID",IF(OR(B100="",COUNTIFS('Clients'!$A$6:$A$205,B100)&lt;&gt;1),"Check Client ID",IF(OR(C100="",COUNTIFS('Properties'!$A$6:$A$205,C100)&lt;&gt;1),"Check Property ID",IF(E100="","Set deal stage",IF(NOT(ISNUMBER(X100)),"Add opened date",IF(AND(E100&lt;&gt;"Completed",E100&lt;&gt;"Cancelled",NOT(ISNUMBER(Y100))),"Add target close date",IF(AND(OR(E100="Completed",E100="Cancelled"),NOT(ISNUMBER(Z100))),"Add closed date",IF(AND(E100="Completed",NOT(ISNUMBER(O100))),"Add earned date",IF(AND(E100="Cancelled",AA100=""),"Add outcome reason",IF(AND(E100&lt;&gt;"Cancelled",NOT(ISNUMBER(N100))),"Complete fee inputs",IF(AND(ISNUMBER(Z100),ISNUMBER(X100),Z100&lt;X100),"Check closed date",""))))))))))))</x:f>
      </x:c>
      <x:c r="AC100" s="791"/>
      <x:c r="AD100" s="791"/>
      <x:c r="AE100" s="791"/>
      <x:c r="AF100" s="791"/>
      <x:c r="AG100" s="794"/>
      <x:c r="AH100" s="791"/>
    </x:row>
    <x:row r="101" ht="26" customHeight="1">
      <x:c r="A101" s="319"/>
      <x:c r="B101" s="320"/>
      <x:c r="C101" s="274"/>
      <x:c r="D101" s="274"/>
      <x:c r="E101" s="274"/>
      <x:c r="F101" s="302"/>
      <x:c r="G101" s="274"/>
      <x:c r="H101" s="303"/>
      <x:c r="I101" s="302"/>
      <x:c r="J101" s="312" t="str">
        <x:f>IF(A101="","",IF(G101="Fixed",IF(NOT(ISNUMBER(I101)),"",I101),IF(G101="Percentage",IF(OR(NOT(ISNUMBER(F101)),NOT(ISNUMBER(H101))),"",ROUND(F101*H101,2)),"")))</x:f>
      </x:c>
      <x:c r="K101" s="303"/>
      <x:c r="L101" s="312" t="str">
        <x:f>IF(OR(NOT(ISNUMBER(J101)),NOT(ISNUMBER(K101))),"",ROUND(J101*(1-K101),2))</x:f>
      </x:c>
      <x:c r="M101" s="303"/>
      <x:c r="N101" s="312" t="str">
        <x:f>IF(OR(NOT(ISNUMBER(L101)),NOT(ISNUMBER(M101))),"",ROUND(L101*M101,2))</x:f>
      </x:c>
      <x:c r="O101" s="304"/>
      <x:c r="P101" s="312" t="str">
        <x:f>IF(A101="","",IF(OR(E101&lt;&gt;"Completed",O101="",NOT(ISNUMBER(N101))),"",N101))</x:f>
      </x:c>
      <x:c r="Q101" s="304"/>
      <x:c r="R101" s="312" t="str">
        <x:f>IF(A101="","",SUMIFS('Payments'!$D$6:$D$205,'Payments'!$B$6:$B$205,A101))</x:f>
      </x:c>
      <x:c r="S101" s="312" t="str">
        <x:f>IF(NOT(ISNUMBER(P101)),"",P101-R101)</x:f>
      </x:c>
      <x:c r="T101" s="265" t="str">
        <x:f>IF(A101="","",IF(NOT(ISNUMBER(N101)),"Complete fee inputs",IF(NOT(ISNUMBER(P101)),IF(R101&lt;&gt;0,"Receipt before earned","Not earned"),IF(S101&lt;0,"Overpaid",IF(S101=0,"Paid",IF(Q101="","Set due date",IF(Q101&lt;TODAY(),"Overdue","Awaiting payment")))))))</x:f>
      </x:c>
      <x:c r="U101" s="274"/>
      <x:c r="V101" s="274"/>
      <x:c r="W101" s="280"/>
      <x:c r="X101" s="304"/>
      <x:c r="Y101" s="304"/>
      <x:c r="Z101" s="304"/>
      <x:c r="AA101" s="274"/>
      <x:c r="AB101" s="315" t="str">
        <x:f>IF(A101="","",IF(COUNTIFS($A$6:$A$205,A101)&gt;1,"Duplicate ID",IF(OR(B101="",COUNTIFS('Clients'!$A$6:$A$205,B101)&lt;&gt;1),"Check Client ID",IF(OR(C101="",COUNTIFS('Properties'!$A$6:$A$205,C101)&lt;&gt;1),"Check Property ID",IF(E101="","Set deal stage",IF(NOT(ISNUMBER(X101)),"Add opened date",IF(AND(E101&lt;&gt;"Completed",E101&lt;&gt;"Cancelled",NOT(ISNUMBER(Y101))),"Add target close date",IF(AND(OR(E101="Completed",E101="Cancelled"),NOT(ISNUMBER(Z101))),"Add closed date",IF(AND(E101="Completed",NOT(ISNUMBER(O101))),"Add earned date",IF(AND(E101="Cancelled",AA101=""),"Add outcome reason",IF(AND(E101&lt;&gt;"Cancelled",NOT(ISNUMBER(N101))),"Complete fee inputs",IF(AND(ISNUMBER(Z101),ISNUMBER(X101),Z101&lt;X101),"Check closed date",""))))))))))))</x:f>
      </x:c>
      <x:c r="AC101" s="791"/>
      <x:c r="AD101" s="791"/>
      <x:c r="AE101" s="791"/>
      <x:c r="AF101" s="791"/>
      <x:c r="AG101" s="794"/>
      <x:c r="AH101" s="791"/>
    </x:row>
    <x:row r="102" ht="26" customHeight="1">
      <x:c r="A102" s="317"/>
      <x:c r="B102" s="318"/>
      <x:c r="C102" s="235"/>
      <x:c r="D102" s="235"/>
      <x:c r="E102" s="235"/>
      <x:c r="F102" s="236"/>
      <x:c r="G102" s="235"/>
      <x:c r="H102" s="237"/>
      <x:c r="I102" s="236"/>
      <x:c r="J102" s="312" t="str">
        <x:f>IF(A102="","",IF(G102="Fixed",IF(NOT(ISNUMBER(I102)),"",I102),IF(G102="Percentage",IF(OR(NOT(ISNUMBER(F102)),NOT(ISNUMBER(H102))),"",ROUND(F102*H102,2)),"")))</x:f>
      </x:c>
      <x:c r="K102" s="237"/>
      <x:c r="L102" s="312" t="str">
        <x:f>IF(OR(NOT(ISNUMBER(J102)),NOT(ISNUMBER(K102))),"",ROUND(J102*(1-K102),2))</x:f>
      </x:c>
      <x:c r="M102" s="237"/>
      <x:c r="N102" s="312" t="str">
        <x:f>IF(OR(NOT(ISNUMBER(L102)),NOT(ISNUMBER(M102))),"",ROUND(L102*M102,2))</x:f>
      </x:c>
      <x:c r="O102" s="238"/>
      <x:c r="P102" s="312" t="str">
        <x:f>IF(A102="","",IF(OR(E102&lt;&gt;"Completed",O102="",NOT(ISNUMBER(N102))),"",N102))</x:f>
      </x:c>
      <x:c r="Q102" s="238"/>
      <x:c r="R102" s="312" t="str">
        <x:f>IF(A102="","",SUMIFS('Payments'!$D$6:$D$205,'Payments'!$B$6:$B$205,A102))</x:f>
      </x:c>
      <x:c r="S102" s="312" t="str">
        <x:f>IF(NOT(ISNUMBER(P102)),"",P102-R102)</x:f>
      </x:c>
      <x:c r="T102" s="265" t="str">
        <x:f>IF(A102="","",IF(NOT(ISNUMBER(N102)),"Complete fee inputs",IF(NOT(ISNUMBER(P102)),IF(R102&lt;&gt;0,"Receipt before earned","Not earned"),IF(S102&lt;0,"Overpaid",IF(S102=0,"Paid",IF(Q102="","Set due date",IF(Q102&lt;TODAY(),"Overdue","Awaiting payment")))))))</x:f>
      </x:c>
      <x:c r="U102" s="235"/>
      <x:c r="V102" s="235"/>
      <x:c r="W102" s="239"/>
      <x:c r="X102" s="238"/>
      <x:c r="Y102" s="238"/>
      <x:c r="Z102" s="238"/>
      <x:c r="AA102" s="235"/>
      <x:c r="AB102" s="315" t="str">
        <x:f>IF(A102="","",IF(COUNTIFS($A$6:$A$205,A102)&gt;1,"Duplicate ID",IF(OR(B102="",COUNTIFS('Clients'!$A$6:$A$205,B102)&lt;&gt;1),"Check Client ID",IF(OR(C102="",COUNTIFS('Properties'!$A$6:$A$205,C102)&lt;&gt;1),"Check Property ID",IF(E102="","Set deal stage",IF(NOT(ISNUMBER(X102)),"Add opened date",IF(AND(E102&lt;&gt;"Completed",E102&lt;&gt;"Cancelled",NOT(ISNUMBER(Y102))),"Add target close date",IF(AND(OR(E102="Completed",E102="Cancelled"),NOT(ISNUMBER(Z102))),"Add closed date",IF(AND(E102="Completed",NOT(ISNUMBER(O102))),"Add earned date",IF(AND(E102="Cancelled",AA102=""),"Add outcome reason",IF(AND(E102&lt;&gt;"Cancelled",NOT(ISNUMBER(N102))),"Complete fee inputs",IF(AND(ISNUMBER(Z102),ISNUMBER(X102),Z102&lt;X102),"Check closed date",""))))))))))))</x:f>
      </x:c>
      <x:c r="AC102" s="791"/>
      <x:c r="AD102" s="791"/>
      <x:c r="AE102" s="791"/>
      <x:c r="AF102" s="791"/>
      <x:c r="AG102" s="794"/>
      <x:c r="AH102" s="791"/>
    </x:row>
    <x:row r="103" ht="26" customHeight="1">
      <x:c r="A103" s="319"/>
      <x:c r="B103" s="320"/>
      <x:c r="C103" s="274"/>
      <x:c r="D103" s="274"/>
      <x:c r="E103" s="274"/>
      <x:c r="F103" s="302"/>
      <x:c r="G103" s="274"/>
      <x:c r="H103" s="303"/>
      <x:c r="I103" s="302"/>
      <x:c r="J103" s="312" t="str">
        <x:f>IF(A103="","",IF(G103="Fixed",IF(NOT(ISNUMBER(I103)),"",I103),IF(G103="Percentage",IF(OR(NOT(ISNUMBER(F103)),NOT(ISNUMBER(H103))),"",ROUND(F103*H103,2)),"")))</x:f>
      </x:c>
      <x:c r="K103" s="303"/>
      <x:c r="L103" s="312" t="str">
        <x:f>IF(OR(NOT(ISNUMBER(J103)),NOT(ISNUMBER(K103))),"",ROUND(J103*(1-K103),2))</x:f>
      </x:c>
      <x:c r="M103" s="303"/>
      <x:c r="N103" s="312" t="str">
        <x:f>IF(OR(NOT(ISNUMBER(L103)),NOT(ISNUMBER(M103))),"",ROUND(L103*M103,2))</x:f>
      </x:c>
      <x:c r="O103" s="304"/>
      <x:c r="P103" s="312" t="str">
        <x:f>IF(A103="","",IF(OR(E103&lt;&gt;"Completed",O103="",NOT(ISNUMBER(N103))),"",N103))</x:f>
      </x:c>
      <x:c r="Q103" s="304"/>
      <x:c r="R103" s="312" t="str">
        <x:f>IF(A103="","",SUMIFS('Payments'!$D$6:$D$205,'Payments'!$B$6:$B$205,A103))</x:f>
      </x:c>
      <x:c r="S103" s="312" t="str">
        <x:f>IF(NOT(ISNUMBER(P103)),"",P103-R103)</x:f>
      </x:c>
      <x:c r="T103" s="265" t="str">
        <x:f>IF(A103="","",IF(NOT(ISNUMBER(N103)),"Complete fee inputs",IF(NOT(ISNUMBER(P103)),IF(R103&lt;&gt;0,"Receipt before earned","Not earned"),IF(S103&lt;0,"Overpaid",IF(S103=0,"Paid",IF(Q103="","Set due date",IF(Q103&lt;TODAY(),"Overdue","Awaiting payment")))))))</x:f>
      </x:c>
      <x:c r="U103" s="274"/>
      <x:c r="V103" s="274"/>
      <x:c r="W103" s="280"/>
      <x:c r="X103" s="304"/>
      <x:c r="Y103" s="304"/>
      <x:c r="Z103" s="304"/>
      <x:c r="AA103" s="274"/>
      <x:c r="AB103" s="315" t="str">
        <x:f>IF(A103="","",IF(COUNTIFS($A$6:$A$205,A103)&gt;1,"Duplicate ID",IF(OR(B103="",COUNTIFS('Clients'!$A$6:$A$205,B103)&lt;&gt;1),"Check Client ID",IF(OR(C103="",COUNTIFS('Properties'!$A$6:$A$205,C103)&lt;&gt;1),"Check Property ID",IF(E103="","Set deal stage",IF(NOT(ISNUMBER(X103)),"Add opened date",IF(AND(E103&lt;&gt;"Completed",E103&lt;&gt;"Cancelled",NOT(ISNUMBER(Y103))),"Add target close date",IF(AND(OR(E103="Completed",E103="Cancelled"),NOT(ISNUMBER(Z103))),"Add closed date",IF(AND(E103="Completed",NOT(ISNUMBER(O103))),"Add earned date",IF(AND(E103="Cancelled",AA103=""),"Add outcome reason",IF(AND(E103&lt;&gt;"Cancelled",NOT(ISNUMBER(N103))),"Complete fee inputs",IF(AND(ISNUMBER(Z103),ISNUMBER(X103),Z103&lt;X103),"Check closed date",""))))))))))))</x:f>
      </x:c>
      <x:c r="AC103" s="791"/>
      <x:c r="AD103" s="791"/>
      <x:c r="AE103" s="791"/>
      <x:c r="AF103" s="791"/>
      <x:c r="AG103" s="794"/>
      <x:c r="AH103" s="791"/>
    </x:row>
    <x:row r="104" ht="26" customHeight="1">
      <x:c r="A104" s="317"/>
      <x:c r="B104" s="318"/>
      <x:c r="C104" s="235"/>
      <x:c r="D104" s="235"/>
      <x:c r="E104" s="235"/>
      <x:c r="F104" s="236"/>
      <x:c r="G104" s="235"/>
      <x:c r="H104" s="237"/>
      <x:c r="I104" s="236"/>
      <x:c r="J104" s="312" t="str">
        <x:f>IF(A104="","",IF(G104="Fixed",IF(NOT(ISNUMBER(I104)),"",I104),IF(G104="Percentage",IF(OR(NOT(ISNUMBER(F104)),NOT(ISNUMBER(H104))),"",ROUND(F104*H104,2)),"")))</x:f>
      </x:c>
      <x:c r="K104" s="237"/>
      <x:c r="L104" s="312" t="str">
        <x:f>IF(OR(NOT(ISNUMBER(J104)),NOT(ISNUMBER(K104))),"",ROUND(J104*(1-K104),2))</x:f>
      </x:c>
      <x:c r="M104" s="237"/>
      <x:c r="N104" s="312" t="str">
        <x:f>IF(OR(NOT(ISNUMBER(L104)),NOT(ISNUMBER(M104))),"",ROUND(L104*M104,2))</x:f>
      </x:c>
      <x:c r="O104" s="238"/>
      <x:c r="P104" s="312" t="str">
        <x:f>IF(A104="","",IF(OR(E104&lt;&gt;"Completed",O104="",NOT(ISNUMBER(N104))),"",N104))</x:f>
      </x:c>
      <x:c r="Q104" s="238"/>
      <x:c r="R104" s="312" t="str">
        <x:f>IF(A104="","",SUMIFS('Payments'!$D$6:$D$205,'Payments'!$B$6:$B$205,A104))</x:f>
      </x:c>
      <x:c r="S104" s="312" t="str">
        <x:f>IF(NOT(ISNUMBER(P104)),"",P104-R104)</x:f>
      </x:c>
      <x:c r="T104" s="265" t="str">
        <x:f>IF(A104="","",IF(NOT(ISNUMBER(N104)),"Complete fee inputs",IF(NOT(ISNUMBER(P104)),IF(R104&lt;&gt;0,"Receipt before earned","Not earned"),IF(S104&lt;0,"Overpaid",IF(S104=0,"Paid",IF(Q104="","Set due date",IF(Q104&lt;TODAY(),"Overdue","Awaiting payment")))))))</x:f>
      </x:c>
      <x:c r="U104" s="235"/>
      <x:c r="V104" s="235"/>
      <x:c r="W104" s="239"/>
      <x:c r="X104" s="238"/>
      <x:c r="Y104" s="238"/>
      <x:c r="Z104" s="238"/>
      <x:c r="AA104" s="235"/>
      <x:c r="AB104" s="315" t="str">
        <x:f>IF(A104="","",IF(COUNTIFS($A$6:$A$205,A104)&gt;1,"Duplicate ID",IF(OR(B104="",COUNTIFS('Clients'!$A$6:$A$205,B104)&lt;&gt;1),"Check Client ID",IF(OR(C104="",COUNTIFS('Properties'!$A$6:$A$205,C104)&lt;&gt;1),"Check Property ID",IF(E104="","Set deal stage",IF(NOT(ISNUMBER(X104)),"Add opened date",IF(AND(E104&lt;&gt;"Completed",E104&lt;&gt;"Cancelled",NOT(ISNUMBER(Y104))),"Add target close date",IF(AND(OR(E104="Completed",E104="Cancelled"),NOT(ISNUMBER(Z104))),"Add closed date",IF(AND(E104="Completed",NOT(ISNUMBER(O104))),"Add earned date",IF(AND(E104="Cancelled",AA104=""),"Add outcome reason",IF(AND(E104&lt;&gt;"Cancelled",NOT(ISNUMBER(N104))),"Complete fee inputs",IF(AND(ISNUMBER(Z104),ISNUMBER(X104),Z104&lt;X104),"Check closed date",""))))))))))))</x:f>
      </x:c>
      <x:c r="AC104" s="791"/>
      <x:c r="AD104" s="791"/>
      <x:c r="AE104" s="791"/>
      <x:c r="AF104" s="791"/>
      <x:c r="AG104" s="794"/>
      <x:c r="AH104" s="791"/>
    </x:row>
    <x:row r="105" ht="26" customHeight="1">
      <x:c r="A105" s="319"/>
      <x:c r="B105" s="320"/>
      <x:c r="C105" s="274"/>
      <x:c r="D105" s="274"/>
      <x:c r="E105" s="274"/>
      <x:c r="F105" s="302"/>
      <x:c r="G105" s="274"/>
      <x:c r="H105" s="303"/>
      <x:c r="I105" s="302"/>
      <x:c r="J105" s="312" t="str">
        <x:f>IF(A105="","",IF(G105="Fixed",IF(NOT(ISNUMBER(I105)),"",I105),IF(G105="Percentage",IF(OR(NOT(ISNUMBER(F105)),NOT(ISNUMBER(H105))),"",ROUND(F105*H105,2)),"")))</x:f>
      </x:c>
      <x:c r="K105" s="303"/>
      <x:c r="L105" s="312" t="str">
        <x:f>IF(OR(NOT(ISNUMBER(J105)),NOT(ISNUMBER(K105))),"",ROUND(J105*(1-K105),2))</x:f>
      </x:c>
      <x:c r="M105" s="303"/>
      <x:c r="N105" s="312" t="str">
        <x:f>IF(OR(NOT(ISNUMBER(L105)),NOT(ISNUMBER(M105))),"",ROUND(L105*M105,2))</x:f>
      </x:c>
      <x:c r="O105" s="304"/>
      <x:c r="P105" s="312" t="str">
        <x:f>IF(A105="","",IF(OR(E105&lt;&gt;"Completed",O105="",NOT(ISNUMBER(N105))),"",N105))</x:f>
      </x:c>
      <x:c r="Q105" s="304"/>
      <x:c r="R105" s="312" t="str">
        <x:f>IF(A105="","",SUMIFS('Payments'!$D$6:$D$205,'Payments'!$B$6:$B$205,A105))</x:f>
      </x:c>
      <x:c r="S105" s="312" t="str">
        <x:f>IF(NOT(ISNUMBER(P105)),"",P105-R105)</x:f>
      </x:c>
      <x:c r="T105" s="265" t="str">
        <x:f>IF(A105="","",IF(NOT(ISNUMBER(N105)),"Complete fee inputs",IF(NOT(ISNUMBER(P105)),IF(R105&lt;&gt;0,"Receipt before earned","Not earned"),IF(S105&lt;0,"Overpaid",IF(S105=0,"Paid",IF(Q105="","Set due date",IF(Q105&lt;TODAY(),"Overdue","Awaiting payment")))))))</x:f>
      </x:c>
      <x:c r="U105" s="274"/>
      <x:c r="V105" s="274"/>
      <x:c r="W105" s="280"/>
      <x:c r="X105" s="304"/>
      <x:c r="Y105" s="304"/>
      <x:c r="Z105" s="304"/>
      <x:c r="AA105" s="274"/>
      <x:c r="AB105" s="315" t="str">
        <x:f>IF(A105="","",IF(COUNTIFS($A$6:$A$205,A105)&gt;1,"Duplicate ID",IF(OR(B105="",COUNTIFS('Clients'!$A$6:$A$205,B105)&lt;&gt;1),"Check Client ID",IF(OR(C105="",COUNTIFS('Properties'!$A$6:$A$205,C105)&lt;&gt;1),"Check Property ID",IF(E105="","Set deal stage",IF(NOT(ISNUMBER(X105)),"Add opened date",IF(AND(E105&lt;&gt;"Completed",E105&lt;&gt;"Cancelled",NOT(ISNUMBER(Y105))),"Add target close date",IF(AND(OR(E105="Completed",E105="Cancelled"),NOT(ISNUMBER(Z105))),"Add closed date",IF(AND(E105="Completed",NOT(ISNUMBER(O105))),"Add earned date",IF(AND(E105="Cancelled",AA105=""),"Add outcome reason",IF(AND(E105&lt;&gt;"Cancelled",NOT(ISNUMBER(N105))),"Complete fee inputs",IF(AND(ISNUMBER(Z105),ISNUMBER(X105),Z105&lt;X105),"Check closed date",""))))))))))))</x:f>
      </x:c>
      <x:c r="AC105" s="791"/>
      <x:c r="AD105" s="791"/>
      <x:c r="AE105" s="791"/>
      <x:c r="AF105" s="791"/>
      <x:c r="AG105" s="794"/>
      <x:c r="AH105" s="791"/>
    </x:row>
    <x:row r="106" ht="26" customHeight="1">
      <x:c r="A106" s="317"/>
      <x:c r="B106" s="318"/>
      <x:c r="C106" s="235"/>
      <x:c r="D106" s="235"/>
      <x:c r="E106" s="235"/>
      <x:c r="F106" s="236"/>
      <x:c r="G106" s="235"/>
      <x:c r="H106" s="237"/>
      <x:c r="I106" s="236"/>
      <x:c r="J106" s="312" t="str">
        <x:f>IF(A106="","",IF(G106="Fixed",IF(NOT(ISNUMBER(I106)),"",I106),IF(G106="Percentage",IF(OR(NOT(ISNUMBER(F106)),NOT(ISNUMBER(H106))),"",ROUND(F106*H106,2)),"")))</x:f>
      </x:c>
      <x:c r="K106" s="237"/>
      <x:c r="L106" s="312" t="str">
        <x:f>IF(OR(NOT(ISNUMBER(J106)),NOT(ISNUMBER(K106))),"",ROUND(J106*(1-K106),2))</x:f>
      </x:c>
      <x:c r="M106" s="237"/>
      <x:c r="N106" s="312" t="str">
        <x:f>IF(OR(NOT(ISNUMBER(L106)),NOT(ISNUMBER(M106))),"",ROUND(L106*M106,2))</x:f>
      </x:c>
      <x:c r="O106" s="238"/>
      <x:c r="P106" s="312" t="str">
        <x:f>IF(A106="","",IF(OR(E106&lt;&gt;"Completed",O106="",NOT(ISNUMBER(N106))),"",N106))</x:f>
      </x:c>
      <x:c r="Q106" s="238"/>
      <x:c r="R106" s="312" t="str">
        <x:f>IF(A106="","",SUMIFS('Payments'!$D$6:$D$205,'Payments'!$B$6:$B$205,A106))</x:f>
      </x:c>
      <x:c r="S106" s="312" t="str">
        <x:f>IF(NOT(ISNUMBER(P106)),"",P106-R106)</x:f>
      </x:c>
      <x:c r="T106" s="265" t="str">
        <x:f>IF(A106="","",IF(NOT(ISNUMBER(N106)),"Complete fee inputs",IF(NOT(ISNUMBER(P106)),IF(R106&lt;&gt;0,"Receipt before earned","Not earned"),IF(S106&lt;0,"Overpaid",IF(S106=0,"Paid",IF(Q106="","Set due date",IF(Q106&lt;TODAY(),"Overdue","Awaiting payment")))))))</x:f>
      </x:c>
      <x:c r="U106" s="235"/>
      <x:c r="V106" s="235"/>
      <x:c r="W106" s="239"/>
      <x:c r="X106" s="238"/>
      <x:c r="Y106" s="238"/>
      <x:c r="Z106" s="238"/>
      <x:c r="AA106" s="235"/>
      <x:c r="AB106" s="315" t="str">
        <x:f>IF(A106="","",IF(COUNTIFS($A$6:$A$205,A106)&gt;1,"Duplicate ID",IF(OR(B106="",COUNTIFS('Clients'!$A$6:$A$205,B106)&lt;&gt;1),"Check Client ID",IF(OR(C106="",COUNTIFS('Properties'!$A$6:$A$205,C106)&lt;&gt;1),"Check Property ID",IF(E106="","Set deal stage",IF(NOT(ISNUMBER(X106)),"Add opened date",IF(AND(E106&lt;&gt;"Completed",E106&lt;&gt;"Cancelled",NOT(ISNUMBER(Y106))),"Add target close date",IF(AND(OR(E106="Completed",E106="Cancelled"),NOT(ISNUMBER(Z106))),"Add closed date",IF(AND(E106="Completed",NOT(ISNUMBER(O106))),"Add earned date",IF(AND(E106="Cancelled",AA106=""),"Add outcome reason",IF(AND(E106&lt;&gt;"Cancelled",NOT(ISNUMBER(N106))),"Complete fee inputs",IF(AND(ISNUMBER(Z106),ISNUMBER(X106),Z106&lt;X106),"Check closed date",""))))))))))))</x:f>
      </x:c>
      <x:c r="AC106" s="791"/>
      <x:c r="AD106" s="791"/>
      <x:c r="AE106" s="791"/>
      <x:c r="AF106" s="791"/>
      <x:c r="AG106" s="794"/>
      <x:c r="AH106" s="791"/>
    </x:row>
    <x:row r="107" ht="26" customHeight="1">
      <x:c r="A107" s="319"/>
      <x:c r="B107" s="320"/>
      <x:c r="C107" s="274"/>
      <x:c r="D107" s="274"/>
      <x:c r="E107" s="274"/>
      <x:c r="F107" s="302"/>
      <x:c r="G107" s="274"/>
      <x:c r="H107" s="303"/>
      <x:c r="I107" s="302"/>
      <x:c r="J107" s="312" t="str">
        <x:f>IF(A107="","",IF(G107="Fixed",IF(NOT(ISNUMBER(I107)),"",I107),IF(G107="Percentage",IF(OR(NOT(ISNUMBER(F107)),NOT(ISNUMBER(H107))),"",ROUND(F107*H107,2)),"")))</x:f>
      </x:c>
      <x:c r="K107" s="303"/>
      <x:c r="L107" s="312" t="str">
        <x:f>IF(OR(NOT(ISNUMBER(J107)),NOT(ISNUMBER(K107))),"",ROUND(J107*(1-K107),2))</x:f>
      </x:c>
      <x:c r="M107" s="303"/>
      <x:c r="N107" s="312" t="str">
        <x:f>IF(OR(NOT(ISNUMBER(L107)),NOT(ISNUMBER(M107))),"",ROUND(L107*M107,2))</x:f>
      </x:c>
      <x:c r="O107" s="304"/>
      <x:c r="P107" s="312" t="str">
        <x:f>IF(A107="","",IF(OR(E107&lt;&gt;"Completed",O107="",NOT(ISNUMBER(N107))),"",N107))</x:f>
      </x:c>
      <x:c r="Q107" s="304"/>
      <x:c r="R107" s="312" t="str">
        <x:f>IF(A107="","",SUMIFS('Payments'!$D$6:$D$205,'Payments'!$B$6:$B$205,A107))</x:f>
      </x:c>
      <x:c r="S107" s="312" t="str">
        <x:f>IF(NOT(ISNUMBER(P107)),"",P107-R107)</x:f>
      </x:c>
      <x:c r="T107" s="265" t="str">
        <x:f>IF(A107="","",IF(NOT(ISNUMBER(N107)),"Complete fee inputs",IF(NOT(ISNUMBER(P107)),IF(R107&lt;&gt;0,"Receipt before earned","Not earned"),IF(S107&lt;0,"Overpaid",IF(S107=0,"Paid",IF(Q107="","Set due date",IF(Q107&lt;TODAY(),"Overdue","Awaiting payment")))))))</x:f>
      </x:c>
      <x:c r="U107" s="274"/>
      <x:c r="V107" s="274"/>
      <x:c r="W107" s="280"/>
      <x:c r="X107" s="304"/>
      <x:c r="Y107" s="304"/>
      <x:c r="Z107" s="304"/>
      <x:c r="AA107" s="274"/>
      <x:c r="AB107" s="315" t="str">
        <x:f>IF(A107="","",IF(COUNTIFS($A$6:$A$205,A107)&gt;1,"Duplicate ID",IF(OR(B107="",COUNTIFS('Clients'!$A$6:$A$205,B107)&lt;&gt;1),"Check Client ID",IF(OR(C107="",COUNTIFS('Properties'!$A$6:$A$205,C107)&lt;&gt;1),"Check Property ID",IF(E107="","Set deal stage",IF(NOT(ISNUMBER(X107)),"Add opened date",IF(AND(E107&lt;&gt;"Completed",E107&lt;&gt;"Cancelled",NOT(ISNUMBER(Y107))),"Add target close date",IF(AND(OR(E107="Completed",E107="Cancelled"),NOT(ISNUMBER(Z107))),"Add closed date",IF(AND(E107="Completed",NOT(ISNUMBER(O107))),"Add earned date",IF(AND(E107="Cancelled",AA107=""),"Add outcome reason",IF(AND(E107&lt;&gt;"Cancelled",NOT(ISNUMBER(N107))),"Complete fee inputs",IF(AND(ISNUMBER(Z107),ISNUMBER(X107),Z107&lt;X107),"Check closed date",""))))))))))))</x:f>
      </x:c>
      <x:c r="AC107" s="791"/>
      <x:c r="AD107" s="791"/>
      <x:c r="AE107" s="791"/>
      <x:c r="AF107" s="791"/>
      <x:c r="AG107" s="794"/>
      <x:c r="AH107" s="791"/>
    </x:row>
    <x:row r="108" ht="26" customHeight="1">
      <x:c r="A108" s="317"/>
      <x:c r="B108" s="318"/>
      <x:c r="C108" s="235"/>
      <x:c r="D108" s="235"/>
      <x:c r="E108" s="235"/>
      <x:c r="F108" s="236"/>
      <x:c r="G108" s="235"/>
      <x:c r="H108" s="237"/>
      <x:c r="I108" s="236"/>
      <x:c r="J108" s="312" t="str">
        <x:f>IF(A108="","",IF(G108="Fixed",IF(NOT(ISNUMBER(I108)),"",I108),IF(G108="Percentage",IF(OR(NOT(ISNUMBER(F108)),NOT(ISNUMBER(H108))),"",ROUND(F108*H108,2)),"")))</x:f>
      </x:c>
      <x:c r="K108" s="237"/>
      <x:c r="L108" s="312" t="str">
        <x:f>IF(OR(NOT(ISNUMBER(J108)),NOT(ISNUMBER(K108))),"",ROUND(J108*(1-K108),2))</x:f>
      </x:c>
      <x:c r="M108" s="237"/>
      <x:c r="N108" s="312" t="str">
        <x:f>IF(OR(NOT(ISNUMBER(L108)),NOT(ISNUMBER(M108))),"",ROUND(L108*M108,2))</x:f>
      </x:c>
      <x:c r="O108" s="238"/>
      <x:c r="P108" s="312" t="str">
        <x:f>IF(A108="","",IF(OR(E108&lt;&gt;"Completed",O108="",NOT(ISNUMBER(N108))),"",N108))</x:f>
      </x:c>
      <x:c r="Q108" s="238"/>
      <x:c r="R108" s="312" t="str">
        <x:f>IF(A108="","",SUMIFS('Payments'!$D$6:$D$205,'Payments'!$B$6:$B$205,A108))</x:f>
      </x:c>
      <x:c r="S108" s="312" t="str">
        <x:f>IF(NOT(ISNUMBER(P108)),"",P108-R108)</x:f>
      </x:c>
      <x:c r="T108" s="265" t="str">
        <x:f>IF(A108="","",IF(NOT(ISNUMBER(N108)),"Complete fee inputs",IF(NOT(ISNUMBER(P108)),IF(R108&lt;&gt;0,"Receipt before earned","Not earned"),IF(S108&lt;0,"Overpaid",IF(S108=0,"Paid",IF(Q108="","Set due date",IF(Q108&lt;TODAY(),"Overdue","Awaiting payment")))))))</x:f>
      </x:c>
      <x:c r="U108" s="235"/>
      <x:c r="V108" s="235"/>
      <x:c r="W108" s="239"/>
      <x:c r="X108" s="238"/>
      <x:c r="Y108" s="238"/>
      <x:c r="Z108" s="238"/>
      <x:c r="AA108" s="235"/>
      <x:c r="AB108" s="315" t="str">
        <x:f>IF(A108="","",IF(COUNTIFS($A$6:$A$205,A108)&gt;1,"Duplicate ID",IF(OR(B108="",COUNTIFS('Clients'!$A$6:$A$205,B108)&lt;&gt;1),"Check Client ID",IF(OR(C108="",COUNTIFS('Properties'!$A$6:$A$205,C108)&lt;&gt;1),"Check Property ID",IF(E108="","Set deal stage",IF(NOT(ISNUMBER(X108)),"Add opened date",IF(AND(E108&lt;&gt;"Completed",E108&lt;&gt;"Cancelled",NOT(ISNUMBER(Y108))),"Add target close date",IF(AND(OR(E108="Completed",E108="Cancelled"),NOT(ISNUMBER(Z108))),"Add closed date",IF(AND(E108="Completed",NOT(ISNUMBER(O108))),"Add earned date",IF(AND(E108="Cancelled",AA108=""),"Add outcome reason",IF(AND(E108&lt;&gt;"Cancelled",NOT(ISNUMBER(N108))),"Complete fee inputs",IF(AND(ISNUMBER(Z108),ISNUMBER(X108),Z108&lt;X108),"Check closed date",""))))))))))))</x:f>
      </x:c>
      <x:c r="AC108" s="791"/>
      <x:c r="AD108" s="791"/>
      <x:c r="AE108" s="791"/>
      <x:c r="AF108" s="791"/>
      <x:c r="AG108" s="794"/>
      <x:c r="AH108" s="791"/>
    </x:row>
    <x:row r="109" ht="26" customHeight="1">
      <x:c r="A109" s="319"/>
      <x:c r="B109" s="320"/>
      <x:c r="C109" s="274"/>
      <x:c r="D109" s="274"/>
      <x:c r="E109" s="274"/>
      <x:c r="F109" s="302"/>
      <x:c r="G109" s="274"/>
      <x:c r="H109" s="303"/>
      <x:c r="I109" s="302"/>
      <x:c r="J109" s="312" t="str">
        <x:f>IF(A109="","",IF(G109="Fixed",IF(NOT(ISNUMBER(I109)),"",I109),IF(G109="Percentage",IF(OR(NOT(ISNUMBER(F109)),NOT(ISNUMBER(H109))),"",ROUND(F109*H109,2)),"")))</x:f>
      </x:c>
      <x:c r="K109" s="303"/>
      <x:c r="L109" s="312" t="str">
        <x:f>IF(OR(NOT(ISNUMBER(J109)),NOT(ISNUMBER(K109))),"",ROUND(J109*(1-K109),2))</x:f>
      </x:c>
      <x:c r="M109" s="303"/>
      <x:c r="N109" s="312" t="str">
        <x:f>IF(OR(NOT(ISNUMBER(L109)),NOT(ISNUMBER(M109))),"",ROUND(L109*M109,2))</x:f>
      </x:c>
      <x:c r="O109" s="304"/>
      <x:c r="P109" s="312" t="str">
        <x:f>IF(A109="","",IF(OR(E109&lt;&gt;"Completed",O109="",NOT(ISNUMBER(N109))),"",N109))</x:f>
      </x:c>
      <x:c r="Q109" s="304"/>
      <x:c r="R109" s="312" t="str">
        <x:f>IF(A109="","",SUMIFS('Payments'!$D$6:$D$205,'Payments'!$B$6:$B$205,A109))</x:f>
      </x:c>
      <x:c r="S109" s="312" t="str">
        <x:f>IF(NOT(ISNUMBER(P109)),"",P109-R109)</x:f>
      </x:c>
      <x:c r="T109" s="265" t="str">
        <x:f>IF(A109="","",IF(NOT(ISNUMBER(N109)),"Complete fee inputs",IF(NOT(ISNUMBER(P109)),IF(R109&lt;&gt;0,"Receipt before earned","Not earned"),IF(S109&lt;0,"Overpaid",IF(S109=0,"Paid",IF(Q109="","Set due date",IF(Q109&lt;TODAY(),"Overdue","Awaiting payment")))))))</x:f>
      </x:c>
      <x:c r="U109" s="274"/>
      <x:c r="V109" s="274"/>
      <x:c r="W109" s="280"/>
      <x:c r="X109" s="304"/>
      <x:c r="Y109" s="304"/>
      <x:c r="Z109" s="304"/>
      <x:c r="AA109" s="274"/>
      <x:c r="AB109" s="315" t="str">
        <x:f>IF(A109="","",IF(COUNTIFS($A$6:$A$205,A109)&gt;1,"Duplicate ID",IF(OR(B109="",COUNTIFS('Clients'!$A$6:$A$205,B109)&lt;&gt;1),"Check Client ID",IF(OR(C109="",COUNTIFS('Properties'!$A$6:$A$205,C109)&lt;&gt;1),"Check Property ID",IF(E109="","Set deal stage",IF(NOT(ISNUMBER(X109)),"Add opened date",IF(AND(E109&lt;&gt;"Completed",E109&lt;&gt;"Cancelled",NOT(ISNUMBER(Y109))),"Add target close date",IF(AND(OR(E109="Completed",E109="Cancelled"),NOT(ISNUMBER(Z109))),"Add closed date",IF(AND(E109="Completed",NOT(ISNUMBER(O109))),"Add earned date",IF(AND(E109="Cancelled",AA109=""),"Add outcome reason",IF(AND(E109&lt;&gt;"Cancelled",NOT(ISNUMBER(N109))),"Complete fee inputs",IF(AND(ISNUMBER(Z109),ISNUMBER(X109),Z109&lt;X109),"Check closed date",""))))))))))))</x:f>
      </x:c>
      <x:c r="AC109" s="791"/>
      <x:c r="AD109" s="791"/>
      <x:c r="AE109" s="791"/>
      <x:c r="AF109" s="791"/>
      <x:c r="AG109" s="794"/>
      <x:c r="AH109" s="791"/>
    </x:row>
    <x:row r="110" ht="26" customHeight="1">
      <x:c r="A110" s="317"/>
      <x:c r="B110" s="318"/>
      <x:c r="C110" s="235"/>
      <x:c r="D110" s="235"/>
      <x:c r="E110" s="235"/>
      <x:c r="F110" s="236"/>
      <x:c r="G110" s="235"/>
      <x:c r="H110" s="237"/>
      <x:c r="I110" s="236"/>
      <x:c r="J110" s="312" t="str">
        <x:f>IF(A110="","",IF(G110="Fixed",IF(NOT(ISNUMBER(I110)),"",I110),IF(G110="Percentage",IF(OR(NOT(ISNUMBER(F110)),NOT(ISNUMBER(H110))),"",ROUND(F110*H110,2)),"")))</x:f>
      </x:c>
      <x:c r="K110" s="237"/>
      <x:c r="L110" s="312" t="str">
        <x:f>IF(OR(NOT(ISNUMBER(J110)),NOT(ISNUMBER(K110))),"",ROUND(J110*(1-K110),2))</x:f>
      </x:c>
      <x:c r="M110" s="237"/>
      <x:c r="N110" s="312" t="str">
        <x:f>IF(OR(NOT(ISNUMBER(L110)),NOT(ISNUMBER(M110))),"",ROUND(L110*M110,2))</x:f>
      </x:c>
      <x:c r="O110" s="238"/>
      <x:c r="P110" s="312" t="str">
        <x:f>IF(A110="","",IF(OR(E110&lt;&gt;"Completed",O110="",NOT(ISNUMBER(N110))),"",N110))</x:f>
      </x:c>
      <x:c r="Q110" s="238"/>
      <x:c r="R110" s="312" t="str">
        <x:f>IF(A110="","",SUMIFS('Payments'!$D$6:$D$205,'Payments'!$B$6:$B$205,A110))</x:f>
      </x:c>
      <x:c r="S110" s="312" t="str">
        <x:f>IF(NOT(ISNUMBER(P110)),"",P110-R110)</x:f>
      </x:c>
      <x:c r="T110" s="265" t="str">
        <x:f>IF(A110="","",IF(NOT(ISNUMBER(N110)),"Complete fee inputs",IF(NOT(ISNUMBER(P110)),IF(R110&lt;&gt;0,"Receipt before earned","Not earned"),IF(S110&lt;0,"Overpaid",IF(S110=0,"Paid",IF(Q110="","Set due date",IF(Q110&lt;TODAY(),"Overdue","Awaiting payment")))))))</x:f>
      </x:c>
      <x:c r="U110" s="235"/>
      <x:c r="V110" s="235"/>
      <x:c r="W110" s="239"/>
      <x:c r="X110" s="238"/>
      <x:c r="Y110" s="238"/>
      <x:c r="Z110" s="238"/>
      <x:c r="AA110" s="235"/>
      <x:c r="AB110" s="315" t="str">
        <x:f>IF(A110="","",IF(COUNTIFS($A$6:$A$205,A110)&gt;1,"Duplicate ID",IF(OR(B110="",COUNTIFS('Clients'!$A$6:$A$205,B110)&lt;&gt;1),"Check Client ID",IF(OR(C110="",COUNTIFS('Properties'!$A$6:$A$205,C110)&lt;&gt;1),"Check Property ID",IF(E110="","Set deal stage",IF(NOT(ISNUMBER(X110)),"Add opened date",IF(AND(E110&lt;&gt;"Completed",E110&lt;&gt;"Cancelled",NOT(ISNUMBER(Y110))),"Add target close date",IF(AND(OR(E110="Completed",E110="Cancelled"),NOT(ISNUMBER(Z110))),"Add closed date",IF(AND(E110="Completed",NOT(ISNUMBER(O110))),"Add earned date",IF(AND(E110="Cancelled",AA110=""),"Add outcome reason",IF(AND(E110&lt;&gt;"Cancelled",NOT(ISNUMBER(N110))),"Complete fee inputs",IF(AND(ISNUMBER(Z110),ISNUMBER(X110),Z110&lt;X110),"Check closed date",""))))))))))))</x:f>
      </x:c>
      <x:c r="AC110" s="791"/>
      <x:c r="AD110" s="791"/>
      <x:c r="AE110" s="791"/>
      <x:c r="AF110" s="791"/>
      <x:c r="AG110" s="794"/>
      <x:c r="AH110" s="791"/>
    </x:row>
    <x:row r="111" ht="26" customHeight="1">
      <x:c r="A111" s="319"/>
      <x:c r="B111" s="320"/>
      <x:c r="C111" s="274"/>
      <x:c r="D111" s="274"/>
      <x:c r="E111" s="274"/>
      <x:c r="F111" s="302"/>
      <x:c r="G111" s="274"/>
      <x:c r="H111" s="303"/>
      <x:c r="I111" s="302"/>
      <x:c r="J111" s="312" t="str">
        <x:f>IF(A111="","",IF(G111="Fixed",IF(NOT(ISNUMBER(I111)),"",I111),IF(G111="Percentage",IF(OR(NOT(ISNUMBER(F111)),NOT(ISNUMBER(H111))),"",ROUND(F111*H111,2)),"")))</x:f>
      </x:c>
      <x:c r="K111" s="303"/>
      <x:c r="L111" s="312" t="str">
        <x:f>IF(OR(NOT(ISNUMBER(J111)),NOT(ISNUMBER(K111))),"",ROUND(J111*(1-K111),2))</x:f>
      </x:c>
      <x:c r="M111" s="303"/>
      <x:c r="N111" s="312" t="str">
        <x:f>IF(OR(NOT(ISNUMBER(L111)),NOT(ISNUMBER(M111))),"",ROUND(L111*M111,2))</x:f>
      </x:c>
      <x:c r="O111" s="304"/>
      <x:c r="P111" s="312" t="str">
        <x:f>IF(A111="","",IF(OR(E111&lt;&gt;"Completed",O111="",NOT(ISNUMBER(N111))),"",N111))</x:f>
      </x:c>
      <x:c r="Q111" s="304"/>
      <x:c r="R111" s="312" t="str">
        <x:f>IF(A111="","",SUMIFS('Payments'!$D$6:$D$205,'Payments'!$B$6:$B$205,A111))</x:f>
      </x:c>
      <x:c r="S111" s="312" t="str">
        <x:f>IF(NOT(ISNUMBER(P111)),"",P111-R111)</x:f>
      </x:c>
      <x:c r="T111" s="265" t="str">
        <x:f>IF(A111="","",IF(NOT(ISNUMBER(N111)),"Complete fee inputs",IF(NOT(ISNUMBER(P111)),IF(R111&lt;&gt;0,"Receipt before earned","Not earned"),IF(S111&lt;0,"Overpaid",IF(S111=0,"Paid",IF(Q111="","Set due date",IF(Q111&lt;TODAY(),"Overdue","Awaiting payment")))))))</x:f>
      </x:c>
      <x:c r="U111" s="274"/>
      <x:c r="V111" s="274"/>
      <x:c r="W111" s="280"/>
      <x:c r="X111" s="304"/>
      <x:c r="Y111" s="304"/>
      <x:c r="Z111" s="304"/>
      <x:c r="AA111" s="274"/>
      <x:c r="AB111" s="315" t="str">
        <x:f>IF(A111="","",IF(COUNTIFS($A$6:$A$205,A111)&gt;1,"Duplicate ID",IF(OR(B111="",COUNTIFS('Clients'!$A$6:$A$205,B111)&lt;&gt;1),"Check Client ID",IF(OR(C111="",COUNTIFS('Properties'!$A$6:$A$205,C111)&lt;&gt;1),"Check Property ID",IF(E111="","Set deal stage",IF(NOT(ISNUMBER(X111)),"Add opened date",IF(AND(E111&lt;&gt;"Completed",E111&lt;&gt;"Cancelled",NOT(ISNUMBER(Y111))),"Add target close date",IF(AND(OR(E111="Completed",E111="Cancelled"),NOT(ISNUMBER(Z111))),"Add closed date",IF(AND(E111="Completed",NOT(ISNUMBER(O111))),"Add earned date",IF(AND(E111="Cancelled",AA111=""),"Add outcome reason",IF(AND(E111&lt;&gt;"Cancelled",NOT(ISNUMBER(N111))),"Complete fee inputs",IF(AND(ISNUMBER(Z111),ISNUMBER(X111),Z111&lt;X111),"Check closed date",""))))))))))))</x:f>
      </x:c>
      <x:c r="AC111" s="791"/>
      <x:c r="AD111" s="791"/>
      <x:c r="AE111" s="791"/>
      <x:c r="AF111" s="791"/>
      <x:c r="AG111" s="794"/>
      <x:c r="AH111" s="791"/>
    </x:row>
    <x:row r="112" ht="26" customHeight="1">
      <x:c r="A112" s="317"/>
      <x:c r="B112" s="318"/>
      <x:c r="C112" s="235"/>
      <x:c r="D112" s="235"/>
      <x:c r="E112" s="235"/>
      <x:c r="F112" s="236"/>
      <x:c r="G112" s="235"/>
      <x:c r="H112" s="237"/>
      <x:c r="I112" s="236"/>
      <x:c r="J112" s="312" t="str">
        <x:f>IF(A112="","",IF(G112="Fixed",IF(NOT(ISNUMBER(I112)),"",I112),IF(G112="Percentage",IF(OR(NOT(ISNUMBER(F112)),NOT(ISNUMBER(H112))),"",ROUND(F112*H112,2)),"")))</x:f>
      </x:c>
      <x:c r="K112" s="237"/>
      <x:c r="L112" s="312" t="str">
        <x:f>IF(OR(NOT(ISNUMBER(J112)),NOT(ISNUMBER(K112))),"",ROUND(J112*(1-K112),2))</x:f>
      </x:c>
      <x:c r="M112" s="237"/>
      <x:c r="N112" s="312" t="str">
        <x:f>IF(OR(NOT(ISNUMBER(L112)),NOT(ISNUMBER(M112))),"",ROUND(L112*M112,2))</x:f>
      </x:c>
      <x:c r="O112" s="238"/>
      <x:c r="P112" s="312" t="str">
        <x:f>IF(A112="","",IF(OR(E112&lt;&gt;"Completed",O112="",NOT(ISNUMBER(N112))),"",N112))</x:f>
      </x:c>
      <x:c r="Q112" s="238"/>
      <x:c r="R112" s="312" t="str">
        <x:f>IF(A112="","",SUMIFS('Payments'!$D$6:$D$205,'Payments'!$B$6:$B$205,A112))</x:f>
      </x:c>
      <x:c r="S112" s="312" t="str">
        <x:f>IF(NOT(ISNUMBER(P112)),"",P112-R112)</x:f>
      </x:c>
      <x:c r="T112" s="265" t="str">
        <x:f>IF(A112="","",IF(NOT(ISNUMBER(N112)),"Complete fee inputs",IF(NOT(ISNUMBER(P112)),IF(R112&lt;&gt;0,"Receipt before earned","Not earned"),IF(S112&lt;0,"Overpaid",IF(S112=0,"Paid",IF(Q112="","Set due date",IF(Q112&lt;TODAY(),"Overdue","Awaiting payment")))))))</x:f>
      </x:c>
      <x:c r="U112" s="235"/>
      <x:c r="V112" s="235"/>
      <x:c r="W112" s="239"/>
      <x:c r="X112" s="238"/>
      <x:c r="Y112" s="238"/>
      <x:c r="Z112" s="238"/>
      <x:c r="AA112" s="235"/>
      <x:c r="AB112" s="315" t="str">
        <x:f>IF(A112="","",IF(COUNTIFS($A$6:$A$205,A112)&gt;1,"Duplicate ID",IF(OR(B112="",COUNTIFS('Clients'!$A$6:$A$205,B112)&lt;&gt;1),"Check Client ID",IF(OR(C112="",COUNTIFS('Properties'!$A$6:$A$205,C112)&lt;&gt;1),"Check Property ID",IF(E112="","Set deal stage",IF(NOT(ISNUMBER(X112)),"Add opened date",IF(AND(E112&lt;&gt;"Completed",E112&lt;&gt;"Cancelled",NOT(ISNUMBER(Y112))),"Add target close date",IF(AND(OR(E112="Completed",E112="Cancelled"),NOT(ISNUMBER(Z112))),"Add closed date",IF(AND(E112="Completed",NOT(ISNUMBER(O112))),"Add earned date",IF(AND(E112="Cancelled",AA112=""),"Add outcome reason",IF(AND(E112&lt;&gt;"Cancelled",NOT(ISNUMBER(N112))),"Complete fee inputs",IF(AND(ISNUMBER(Z112),ISNUMBER(X112),Z112&lt;X112),"Check closed date",""))))))))))))</x:f>
      </x:c>
      <x:c r="AC112" s="791"/>
      <x:c r="AD112" s="791"/>
      <x:c r="AE112" s="791"/>
      <x:c r="AF112" s="791"/>
      <x:c r="AG112" s="794"/>
      <x:c r="AH112" s="791"/>
    </x:row>
    <x:row r="113" ht="26" customHeight="1">
      <x:c r="A113" s="319"/>
      <x:c r="B113" s="320"/>
      <x:c r="C113" s="274"/>
      <x:c r="D113" s="274"/>
      <x:c r="E113" s="274"/>
      <x:c r="F113" s="302"/>
      <x:c r="G113" s="274"/>
      <x:c r="H113" s="303"/>
      <x:c r="I113" s="302"/>
      <x:c r="J113" s="312" t="str">
        <x:f>IF(A113="","",IF(G113="Fixed",IF(NOT(ISNUMBER(I113)),"",I113),IF(G113="Percentage",IF(OR(NOT(ISNUMBER(F113)),NOT(ISNUMBER(H113))),"",ROUND(F113*H113,2)),"")))</x:f>
      </x:c>
      <x:c r="K113" s="303"/>
      <x:c r="L113" s="312" t="str">
        <x:f>IF(OR(NOT(ISNUMBER(J113)),NOT(ISNUMBER(K113))),"",ROUND(J113*(1-K113),2))</x:f>
      </x:c>
      <x:c r="M113" s="303"/>
      <x:c r="N113" s="312" t="str">
        <x:f>IF(OR(NOT(ISNUMBER(L113)),NOT(ISNUMBER(M113))),"",ROUND(L113*M113,2))</x:f>
      </x:c>
      <x:c r="O113" s="304"/>
      <x:c r="P113" s="312" t="str">
        <x:f>IF(A113="","",IF(OR(E113&lt;&gt;"Completed",O113="",NOT(ISNUMBER(N113))),"",N113))</x:f>
      </x:c>
      <x:c r="Q113" s="304"/>
      <x:c r="R113" s="312" t="str">
        <x:f>IF(A113="","",SUMIFS('Payments'!$D$6:$D$205,'Payments'!$B$6:$B$205,A113))</x:f>
      </x:c>
      <x:c r="S113" s="312" t="str">
        <x:f>IF(NOT(ISNUMBER(P113)),"",P113-R113)</x:f>
      </x:c>
      <x:c r="T113" s="265" t="str">
        <x:f>IF(A113="","",IF(NOT(ISNUMBER(N113)),"Complete fee inputs",IF(NOT(ISNUMBER(P113)),IF(R113&lt;&gt;0,"Receipt before earned","Not earned"),IF(S113&lt;0,"Overpaid",IF(S113=0,"Paid",IF(Q113="","Set due date",IF(Q113&lt;TODAY(),"Overdue","Awaiting payment")))))))</x:f>
      </x:c>
      <x:c r="U113" s="274"/>
      <x:c r="V113" s="274"/>
      <x:c r="W113" s="280"/>
      <x:c r="X113" s="304"/>
      <x:c r="Y113" s="304"/>
      <x:c r="Z113" s="304"/>
      <x:c r="AA113" s="274"/>
      <x:c r="AB113" s="315" t="str">
        <x:f>IF(A113="","",IF(COUNTIFS($A$6:$A$205,A113)&gt;1,"Duplicate ID",IF(OR(B113="",COUNTIFS('Clients'!$A$6:$A$205,B113)&lt;&gt;1),"Check Client ID",IF(OR(C113="",COUNTIFS('Properties'!$A$6:$A$205,C113)&lt;&gt;1),"Check Property ID",IF(E113="","Set deal stage",IF(NOT(ISNUMBER(X113)),"Add opened date",IF(AND(E113&lt;&gt;"Completed",E113&lt;&gt;"Cancelled",NOT(ISNUMBER(Y113))),"Add target close date",IF(AND(OR(E113="Completed",E113="Cancelled"),NOT(ISNUMBER(Z113))),"Add closed date",IF(AND(E113="Completed",NOT(ISNUMBER(O113))),"Add earned date",IF(AND(E113="Cancelled",AA113=""),"Add outcome reason",IF(AND(E113&lt;&gt;"Cancelled",NOT(ISNUMBER(N113))),"Complete fee inputs",IF(AND(ISNUMBER(Z113),ISNUMBER(X113),Z113&lt;X113),"Check closed date",""))))))))))))</x:f>
      </x:c>
      <x:c r="AC113" s="791"/>
      <x:c r="AD113" s="791"/>
      <x:c r="AE113" s="791"/>
      <x:c r="AF113" s="791"/>
      <x:c r="AG113" s="794"/>
      <x:c r="AH113" s="791"/>
    </x:row>
    <x:row r="114" ht="26" customHeight="1">
      <x:c r="A114" s="317"/>
      <x:c r="B114" s="318"/>
      <x:c r="C114" s="235"/>
      <x:c r="D114" s="235"/>
      <x:c r="E114" s="235"/>
      <x:c r="F114" s="236"/>
      <x:c r="G114" s="235"/>
      <x:c r="H114" s="237"/>
      <x:c r="I114" s="236"/>
      <x:c r="J114" s="312" t="str">
        <x:f>IF(A114="","",IF(G114="Fixed",IF(NOT(ISNUMBER(I114)),"",I114),IF(G114="Percentage",IF(OR(NOT(ISNUMBER(F114)),NOT(ISNUMBER(H114))),"",ROUND(F114*H114,2)),"")))</x:f>
      </x:c>
      <x:c r="K114" s="237"/>
      <x:c r="L114" s="312" t="str">
        <x:f>IF(OR(NOT(ISNUMBER(J114)),NOT(ISNUMBER(K114))),"",ROUND(J114*(1-K114),2))</x:f>
      </x:c>
      <x:c r="M114" s="237"/>
      <x:c r="N114" s="312" t="str">
        <x:f>IF(OR(NOT(ISNUMBER(L114)),NOT(ISNUMBER(M114))),"",ROUND(L114*M114,2))</x:f>
      </x:c>
      <x:c r="O114" s="238"/>
      <x:c r="P114" s="312" t="str">
        <x:f>IF(A114="","",IF(OR(E114&lt;&gt;"Completed",O114="",NOT(ISNUMBER(N114))),"",N114))</x:f>
      </x:c>
      <x:c r="Q114" s="238"/>
      <x:c r="R114" s="312" t="str">
        <x:f>IF(A114="","",SUMIFS('Payments'!$D$6:$D$205,'Payments'!$B$6:$B$205,A114))</x:f>
      </x:c>
      <x:c r="S114" s="312" t="str">
        <x:f>IF(NOT(ISNUMBER(P114)),"",P114-R114)</x:f>
      </x:c>
      <x:c r="T114" s="265" t="str">
        <x:f>IF(A114="","",IF(NOT(ISNUMBER(N114)),"Complete fee inputs",IF(NOT(ISNUMBER(P114)),IF(R114&lt;&gt;0,"Receipt before earned","Not earned"),IF(S114&lt;0,"Overpaid",IF(S114=0,"Paid",IF(Q114="","Set due date",IF(Q114&lt;TODAY(),"Overdue","Awaiting payment")))))))</x:f>
      </x:c>
      <x:c r="U114" s="235"/>
      <x:c r="V114" s="235"/>
      <x:c r="W114" s="239"/>
      <x:c r="X114" s="238"/>
      <x:c r="Y114" s="238"/>
      <x:c r="Z114" s="238"/>
      <x:c r="AA114" s="235"/>
      <x:c r="AB114" s="315" t="str">
        <x:f>IF(A114="","",IF(COUNTIFS($A$6:$A$205,A114)&gt;1,"Duplicate ID",IF(OR(B114="",COUNTIFS('Clients'!$A$6:$A$205,B114)&lt;&gt;1),"Check Client ID",IF(OR(C114="",COUNTIFS('Properties'!$A$6:$A$205,C114)&lt;&gt;1),"Check Property ID",IF(E114="","Set deal stage",IF(NOT(ISNUMBER(X114)),"Add opened date",IF(AND(E114&lt;&gt;"Completed",E114&lt;&gt;"Cancelled",NOT(ISNUMBER(Y114))),"Add target close date",IF(AND(OR(E114="Completed",E114="Cancelled"),NOT(ISNUMBER(Z114))),"Add closed date",IF(AND(E114="Completed",NOT(ISNUMBER(O114))),"Add earned date",IF(AND(E114="Cancelled",AA114=""),"Add outcome reason",IF(AND(E114&lt;&gt;"Cancelled",NOT(ISNUMBER(N114))),"Complete fee inputs",IF(AND(ISNUMBER(Z114),ISNUMBER(X114),Z114&lt;X114),"Check closed date",""))))))))))))</x:f>
      </x:c>
      <x:c r="AC114" s="791"/>
      <x:c r="AD114" s="791"/>
      <x:c r="AE114" s="791"/>
      <x:c r="AF114" s="791"/>
      <x:c r="AG114" s="794"/>
      <x:c r="AH114" s="791"/>
    </x:row>
    <x:row r="115" ht="26" customHeight="1">
      <x:c r="A115" s="319"/>
      <x:c r="B115" s="320"/>
      <x:c r="C115" s="274"/>
      <x:c r="D115" s="274"/>
      <x:c r="E115" s="274"/>
      <x:c r="F115" s="302"/>
      <x:c r="G115" s="274"/>
      <x:c r="H115" s="303"/>
      <x:c r="I115" s="302"/>
      <x:c r="J115" s="312" t="str">
        <x:f>IF(A115="","",IF(G115="Fixed",IF(NOT(ISNUMBER(I115)),"",I115),IF(G115="Percentage",IF(OR(NOT(ISNUMBER(F115)),NOT(ISNUMBER(H115))),"",ROUND(F115*H115,2)),"")))</x:f>
      </x:c>
      <x:c r="K115" s="303"/>
      <x:c r="L115" s="312" t="str">
        <x:f>IF(OR(NOT(ISNUMBER(J115)),NOT(ISNUMBER(K115))),"",ROUND(J115*(1-K115),2))</x:f>
      </x:c>
      <x:c r="M115" s="303"/>
      <x:c r="N115" s="312" t="str">
        <x:f>IF(OR(NOT(ISNUMBER(L115)),NOT(ISNUMBER(M115))),"",ROUND(L115*M115,2))</x:f>
      </x:c>
      <x:c r="O115" s="304"/>
      <x:c r="P115" s="312" t="str">
        <x:f>IF(A115="","",IF(OR(E115&lt;&gt;"Completed",O115="",NOT(ISNUMBER(N115))),"",N115))</x:f>
      </x:c>
      <x:c r="Q115" s="304"/>
      <x:c r="R115" s="312" t="str">
        <x:f>IF(A115="","",SUMIFS('Payments'!$D$6:$D$205,'Payments'!$B$6:$B$205,A115))</x:f>
      </x:c>
      <x:c r="S115" s="312" t="str">
        <x:f>IF(NOT(ISNUMBER(P115)),"",P115-R115)</x:f>
      </x:c>
      <x:c r="T115" s="265" t="str">
        <x:f>IF(A115="","",IF(NOT(ISNUMBER(N115)),"Complete fee inputs",IF(NOT(ISNUMBER(P115)),IF(R115&lt;&gt;0,"Receipt before earned","Not earned"),IF(S115&lt;0,"Overpaid",IF(S115=0,"Paid",IF(Q115="","Set due date",IF(Q115&lt;TODAY(),"Overdue","Awaiting payment")))))))</x:f>
      </x:c>
      <x:c r="U115" s="274"/>
      <x:c r="V115" s="274"/>
      <x:c r="W115" s="280"/>
      <x:c r="X115" s="304"/>
      <x:c r="Y115" s="304"/>
      <x:c r="Z115" s="304"/>
      <x:c r="AA115" s="274"/>
      <x:c r="AB115" s="315" t="str">
        <x:f>IF(A115="","",IF(COUNTIFS($A$6:$A$205,A115)&gt;1,"Duplicate ID",IF(OR(B115="",COUNTIFS('Clients'!$A$6:$A$205,B115)&lt;&gt;1),"Check Client ID",IF(OR(C115="",COUNTIFS('Properties'!$A$6:$A$205,C115)&lt;&gt;1),"Check Property ID",IF(E115="","Set deal stage",IF(NOT(ISNUMBER(X115)),"Add opened date",IF(AND(E115&lt;&gt;"Completed",E115&lt;&gt;"Cancelled",NOT(ISNUMBER(Y115))),"Add target close date",IF(AND(OR(E115="Completed",E115="Cancelled"),NOT(ISNUMBER(Z115))),"Add closed date",IF(AND(E115="Completed",NOT(ISNUMBER(O115))),"Add earned date",IF(AND(E115="Cancelled",AA115=""),"Add outcome reason",IF(AND(E115&lt;&gt;"Cancelled",NOT(ISNUMBER(N115))),"Complete fee inputs",IF(AND(ISNUMBER(Z115),ISNUMBER(X115),Z115&lt;X115),"Check closed date",""))))))))))))</x:f>
      </x:c>
      <x:c r="AC115" s="791"/>
      <x:c r="AD115" s="791"/>
      <x:c r="AE115" s="791"/>
      <x:c r="AF115" s="791"/>
      <x:c r="AG115" s="794"/>
      <x:c r="AH115" s="791"/>
    </x:row>
    <x:row r="116" ht="26" customHeight="1">
      <x:c r="A116" s="317"/>
      <x:c r="B116" s="318"/>
      <x:c r="C116" s="235"/>
      <x:c r="D116" s="235"/>
      <x:c r="E116" s="235"/>
      <x:c r="F116" s="236"/>
      <x:c r="G116" s="235"/>
      <x:c r="H116" s="237"/>
      <x:c r="I116" s="236"/>
      <x:c r="J116" s="312" t="str">
        <x:f>IF(A116="","",IF(G116="Fixed",IF(NOT(ISNUMBER(I116)),"",I116),IF(G116="Percentage",IF(OR(NOT(ISNUMBER(F116)),NOT(ISNUMBER(H116))),"",ROUND(F116*H116,2)),"")))</x:f>
      </x:c>
      <x:c r="K116" s="237"/>
      <x:c r="L116" s="312" t="str">
        <x:f>IF(OR(NOT(ISNUMBER(J116)),NOT(ISNUMBER(K116))),"",ROUND(J116*(1-K116),2))</x:f>
      </x:c>
      <x:c r="M116" s="237"/>
      <x:c r="N116" s="312" t="str">
        <x:f>IF(OR(NOT(ISNUMBER(L116)),NOT(ISNUMBER(M116))),"",ROUND(L116*M116,2))</x:f>
      </x:c>
      <x:c r="O116" s="238"/>
      <x:c r="P116" s="312" t="str">
        <x:f>IF(A116="","",IF(OR(E116&lt;&gt;"Completed",O116="",NOT(ISNUMBER(N116))),"",N116))</x:f>
      </x:c>
      <x:c r="Q116" s="238"/>
      <x:c r="R116" s="312" t="str">
        <x:f>IF(A116="","",SUMIFS('Payments'!$D$6:$D$205,'Payments'!$B$6:$B$205,A116))</x:f>
      </x:c>
      <x:c r="S116" s="312" t="str">
        <x:f>IF(NOT(ISNUMBER(P116)),"",P116-R116)</x:f>
      </x:c>
      <x:c r="T116" s="265" t="str">
        <x:f>IF(A116="","",IF(NOT(ISNUMBER(N116)),"Complete fee inputs",IF(NOT(ISNUMBER(P116)),IF(R116&lt;&gt;0,"Receipt before earned","Not earned"),IF(S116&lt;0,"Overpaid",IF(S116=0,"Paid",IF(Q116="","Set due date",IF(Q116&lt;TODAY(),"Overdue","Awaiting payment")))))))</x:f>
      </x:c>
      <x:c r="U116" s="235"/>
      <x:c r="V116" s="235"/>
      <x:c r="W116" s="239"/>
      <x:c r="X116" s="238"/>
      <x:c r="Y116" s="238"/>
      <x:c r="Z116" s="238"/>
      <x:c r="AA116" s="235"/>
      <x:c r="AB116" s="315" t="str">
        <x:f>IF(A116="","",IF(COUNTIFS($A$6:$A$205,A116)&gt;1,"Duplicate ID",IF(OR(B116="",COUNTIFS('Clients'!$A$6:$A$205,B116)&lt;&gt;1),"Check Client ID",IF(OR(C116="",COUNTIFS('Properties'!$A$6:$A$205,C116)&lt;&gt;1),"Check Property ID",IF(E116="","Set deal stage",IF(NOT(ISNUMBER(X116)),"Add opened date",IF(AND(E116&lt;&gt;"Completed",E116&lt;&gt;"Cancelled",NOT(ISNUMBER(Y116))),"Add target close date",IF(AND(OR(E116="Completed",E116="Cancelled"),NOT(ISNUMBER(Z116))),"Add closed date",IF(AND(E116="Completed",NOT(ISNUMBER(O116))),"Add earned date",IF(AND(E116="Cancelled",AA116=""),"Add outcome reason",IF(AND(E116&lt;&gt;"Cancelled",NOT(ISNUMBER(N116))),"Complete fee inputs",IF(AND(ISNUMBER(Z116),ISNUMBER(X116),Z116&lt;X116),"Check closed date",""))))))))))))</x:f>
      </x:c>
      <x:c r="AC116" s="791"/>
      <x:c r="AD116" s="791"/>
      <x:c r="AE116" s="791"/>
      <x:c r="AF116" s="791"/>
      <x:c r="AG116" s="794"/>
      <x:c r="AH116" s="791"/>
    </x:row>
    <x:row r="117" ht="26" customHeight="1">
      <x:c r="A117" s="319"/>
      <x:c r="B117" s="320"/>
      <x:c r="C117" s="274"/>
      <x:c r="D117" s="274"/>
      <x:c r="E117" s="274"/>
      <x:c r="F117" s="302"/>
      <x:c r="G117" s="274"/>
      <x:c r="H117" s="303"/>
      <x:c r="I117" s="302"/>
      <x:c r="J117" s="312" t="str">
        <x:f>IF(A117="","",IF(G117="Fixed",IF(NOT(ISNUMBER(I117)),"",I117),IF(G117="Percentage",IF(OR(NOT(ISNUMBER(F117)),NOT(ISNUMBER(H117))),"",ROUND(F117*H117,2)),"")))</x:f>
      </x:c>
      <x:c r="K117" s="303"/>
      <x:c r="L117" s="312" t="str">
        <x:f>IF(OR(NOT(ISNUMBER(J117)),NOT(ISNUMBER(K117))),"",ROUND(J117*(1-K117),2))</x:f>
      </x:c>
      <x:c r="M117" s="303"/>
      <x:c r="N117" s="312" t="str">
        <x:f>IF(OR(NOT(ISNUMBER(L117)),NOT(ISNUMBER(M117))),"",ROUND(L117*M117,2))</x:f>
      </x:c>
      <x:c r="O117" s="304"/>
      <x:c r="P117" s="312" t="str">
        <x:f>IF(A117="","",IF(OR(E117&lt;&gt;"Completed",O117="",NOT(ISNUMBER(N117))),"",N117))</x:f>
      </x:c>
      <x:c r="Q117" s="304"/>
      <x:c r="R117" s="312" t="str">
        <x:f>IF(A117="","",SUMIFS('Payments'!$D$6:$D$205,'Payments'!$B$6:$B$205,A117))</x:f>
      </x:c>
      <x:c r="S117" s="312" t="str">
        <x:f>IF(NOT(ISNUMBER(P117)),"",P117-R117)</x:f>
      </x:c>
      <x:c r="T117" s="265" t="str">
        <x:f>IF(A117="","",IF(NOT(ISNUMBER(N117)),"Complete fee inputs",IF(NOT(ISNUMBER(P117)),IF(R117&lt;&gt;0,"Receipt before earned","Not earned"),IF(S117&lt;0,"Overpaid",IF(S117=0,"Paid",IF(Q117="","Set due date",IF(Q117&lt;TODAY(),"Overdue","Awaiting payment")))))))</x:f>
      </x:c>
      <x:c r="U117" s="274"/>
      <x:c r="V117" s="274"/>
      <x:c r="W117" s="280"/>
      <x:c r="X117" s="304"/>
      <x:c r="Y117" s="304"/>
      <x:c r="Z117" s="304"/>
      <x:c r="AA117" s="274"/>
      <x:c r="AB117" s="315" t="str">
        <x:f>IF(A117="","",IF(COUNTIFS($A$6:$A$205,A117)&gt;1,"Duplicate ID",IF(OR(B117="",COUNTIFS('Clients'!$A$6:$A$205,B117)&lt;&gt;1),"Check Client ID",IF(OR(C117="",COUNTIFS('Properties'!$A$6:$A$205,C117)&lt;&gt;1),"Check Property ID",IF(E117="","Set deal stage",IF(NOT(ISNUMBER(X117)),"Add opened date",IF(AND(E117&lt;&gt;"Completed",E117&lt;&gt;"Cancelled",NOT(ISNUMBER(Y117))),"Add target close date",IF(AND(OR(E117="Completed",E117="Cancelled"),NOT(ISNUMBER(Z117))),"Add closed date",IF(AND(E117="Completed",NOT(ISNUMBER(O117))),"Add earned date",IF(AND(E117="Cancelled",AA117=""),"Add outcome reason",IF(AND(E117&lt;&gt;"Cancelled",NOT(ISNUMBER(N117))),"Complete fee inputs",IF(AND(ISNUMBER(Z117),ISNUMBER(X117),Z117&lt;X117),"Check closed date",""))))))))))))</x:f>
      </x:c>
      <x:c r="AC117" s="791"/>
      <x:c r="AD117" s="791"/>
      <x:c r="AE117" s="791"/>
      <x:c r="AF117" s="791"/>
      <x:c r="AG117" s="794"/>
      <x:c r="AH117" s="791"/>
    </x:row>
    <x:row r="118" ht="26" customHeight="1">
      <x:c r="A118" s="317"/>
      <x:c r="B118" s="318"/>
      <x:c r="C118" s="235"/>
      <x:c r="D118" s="235"/>
      <x:c r="E118" s="235"/>
      <x:c r="F118" s="236"/>
      <x:c r="G118" s="235"/>
      <x:c r="H118" s="237"/>
      <x:c r="I118" s="236"/>
      <x:c r="J118" s="312" t="str">
        <x:f>IF(A118="","",IF(G118="Fixed",IF(NOT(ISNUMBER(I118)),"",I118),IF(G118="Percentage",IF(OR(NOT(ISNUMBER(F118)),NOT(ISNUMBER(H118))),"",ROUND(F118*H118,2)),"")))</x:f>
      </x:c>
      <x:c r="K118" s="237"/>
      <x:c r="L118" s="312" t="str">
        <x:f>IF(OR(NOT(ISNUMBER(J118)),NOT(ISNUMBER(K118))),"",ROUND(J118*(1-K118),2))</x:f>
      </x:c>
      <x:c r="M118" s="237"/>
      <x:c r="N118" s="312" t="str">
        <x:f>IF(OR(NOT(ISNUMBER(L118)),NOT(ISNUMBER(M118))),"",ROUND(L118*M118,2))</x:f>
      </x:c>
      <x:c r="O118" s="238"/>
      <x:c r="P118" s="312" t="str">
        <x:f>IF(A118="","",IF(OR(E118&lt;&gt;"Completed",O118="",NOT(ISNUMBER(N118))),"",N118))</x:f>
      </x:c>
      <x:c r="Q118" s="238"/>
      <x:c r="R118" s="312" t="str">
        <x:f>IF(A118="","",SUMIFS('Payments'!$D$6:$D$205,'Payments'!$B$6:$B$205,A118))</x:f>
      </x:c>
      <x:c r="S118" s="312" t="str">
        <x:f>IF(NOT(ISNUMBER(P118)),"",P118-R118)</x:f>
      </x:c>
      <x:c r="T118" s="265" t="str">
        <x:f>IF(A118="","",IF(NOT(ISNUMBER(N118)),"Complete fee inputs",IF(NOT(ISNUMBER(P118)),IF(R118&lt;&gt;0,"Receipt before earned","Not earned"),IF(S118&lt;0,"Overpaid",IF(S118=0,"Paid",IF(Q118="","Set due date",IF(Q118&lt;TODAY(),"Overdue","Awaiting payment")))))))</x:f>
      </x:c>
      <x:c r="U118" s="235"/>
      <x:c r="V118" s="235"/>
      <x:c r="W118" s="239"/>
      <x:c r="X118" s="238"/>
      <x:c r="Y118" s="238"/>
      <x:c r="Z118" s="238"/>
      <x:c r="AA118" s="235"/>
      <x:c r="AB118" s="315" t="str">
        <x:f>IF(A118="","",IF(COUNTIFS($A$6:$A$205,A118)&gt;1,"Duplicate ID",IF(OR(B118="",COUNTIFS('Clients'!$A$6:$A$205,B118)&lt;&gt;1),"Check Client ID",IF(OR(C118="",COUNTIFS('Properties'!$A$6:$A$205,C118)&lt;&gt;1),"Check Property ID",IF(E118="","Set deal stage",IF(NOT(ISNUMBER(X118)),"Add opened date",IF(AND(E118&lt;&gt;"Completed",E118&lt;&gt;"Cancelled",NOT(ISNUMBER(Y118))),"Add target close date",IF(AND(OR(E118="Completed",E118="Cancelled"),NOT(ISNUMBER(Z118))),"Add closed date",IF(AND(E118="Completed",NOT(ISNUMBER(O118))),"Add earned date",IF(AND(E118="Cancelled",AA118=""),"Add outcome reason",IF(AND(E118&lt;&gt;"Cancelled",NOT(ISNUMBER(N118))),"Complete fee inputs",IF(AND(ISNUMBER(Z118),ISNUMBER(X118),Z118&lt;X118),"Check closed date",""))))))))))))</x:f>
      </x:c>
      <x:c r="AC118" s="791"/>
      <x:c r="AD118" s="791"/>
      <x:c r="AE118" s="791"/>
      <x:c r="AF118" s="791"/>
      <x:c r="AG118" s="794"/>
      <x:c r="AH118" s="791"/>
    </x:row>
    <x:row r="119" ht="26" customHeight="1">
      <x:c r="A119" s="319"/>
      <x:c r="B119" s="320"/>
      <x:c r="C119" s="274"/>
      <x:c r="D119" s="274"/>
      <x:c r="E119" s="274"/>
      <x:c r="F119" s="302"/>
      <x:c r="G119" s="274"/>
      <x:c r="H119" s="303"/>
      <x:c r="I119" s="302"/>
      <x:c r="J119" s="312" t="str">
        <x:f>IF(A119="","",IF(G119="Fixed",IF(NOT(ISNUMBER(I119)),"",I119),IF(G119="Percentage",IF(OR(NOT(ISNUMBER(F119)),NOT(ISNUMBER(H119))),"",ROUND(F119*H119,2)),"")))</x:f>
      </x:c>
      <x:c r="K119" s="303"/>
      <x:c r="L119" s="312" t="str">
        <x:f>IF(OR(NOT(ISNUMBER(J119)),NOT(ISNUMBER(K119))),"",ROUND(J119*(1-K119),2))</x:f>
      </x:c>
      <x:c r="M119" s="303"/>
      <x:c r="N119" s="312" t="str">
        <x:f>IF(OR(NOT(ISNUMBER(L119)),NOT(ISNUMBER(M119))),"",ROUND(L119*M119,2))</x:f>
      </x:c>
      <x:c r="O119" s="304"/>
      <x:c r="P119" s="312" t="str">
        <x:f>IF(A119="","",IF(OR(E119&lt;&gt;"Completed",O119="",NOT(ISNUMBER(N119))),"",N119))</x:f>
      </x:c>
      <x:c r="Q119" s="304"/>
      <x:c r="R119" s="312" t="str">
        <x:f>IF(A119="","",SUMIFS('Payments'!$D$6:$D$205,'Payments'!$B$6:$B$205,A119))</x:f>
      </x:c>
      <x:c r="S119" s="312" t="str">
        <x:f>IF(NOT(ISNUMBER(P119)),"",P119-R119)</x:f>
      </x:c>
      <x:c r="T119" s="265" t="str">
        <x:f>IF(A119="","",IF(NOT(ISNUMBER(N119)),"Complete fee inputs",IF(NOT(ISNUMBER(P119)),IF(R119&lt;&gt;0,"Receipt before earned","Not earned"),IF(S119&lt;0,"Overpaid",IF(S119=0,"Paid",IF(Q119="","Set due date",IF(Q119&lt;TODAY(),"Overdue","Awaiting payment")))))))</x:f>
      </x:c>
      <x:c r="U119" s="274"/>
      <x:c r="V119" s="274"/>
      <x:c r="W119" s="280"/>
      <x:c r="X119" s="304"/>
      <x:c r="Y119" s="304"/>
      <x:c r="Z119" s="304"/>
      <x:c r="AA119" s="274"/>
      <x:c r="AB119" s="315" t="str">
        <x:f>IF(A119="","",IF(COUNTIFS($A$6:$A$205,A119)&gt;1,"Duplicate ID",IF(OR(B119="",COUNTIFS('Clients'!$A$6:$A$205,B119)&lt;&gt;1),"Check Client ID",IF(OR(C119="",COUNTIFS('Properties'!$A$6:$A$205,C119)&lt;&gt;1),"Check Property ID",IF(E119="","Set deal stage",IF(NOT(ISNUMBER(X119)),"Add opened date",IF(AND(E119&lt;&gt;"Completed",E119&lt;&gt;"Cancelled",NOT(ISNUMBER(Y119))),"Add target close date",IF(AND(OR(E119="Completed",E119="Cancelled"),NOT(ISNUMBER(Z119))),"Add closed date",IF(AND(E119="Completed",NOT(ISNUMBER(O119))),"Add earned date",IF(AND(E119="Cancelled",AA119=""),"Add outcome reason",IF(AND(E119&lt;&gt;"Cancelled",NOT(ISNUMBER(N119))),"Complete fee inputs",IF(AND(ISNUMBER(Z119),ISNUMBER(X119),Z119&lt;X119),"Check closed date",""))))))))))))</x:f>
      </x:c>
      <x:c r="AC119" s="791"/>
      <x:c r="AD119" s="791"/>
      <x:c r="AE119" s="791"/>
      <x:c r="AF119" s="791"/>
      <x:c r="AG119" s="794"/>
      <x:c r="AH119" s="791"/>
    </x:row>
    <x:row r="120" ht="26" customHeight="1">
      <x:c r="A120" s="317"/>
      <x:c r="B120" s="318"/>
      <x:c r="C120" s="235"/>
      <x:c r="D120" s="235"/>
      <x:c r="E120" s="235"/>
      <x:c r="F120" s="236"/>
      <x:c r="G120" s="235"/>
      <x:c r="H120" s="237"/>
      <x:c r="I120" s="236"/>
      <x:c r="J120" s="312" t="str">
        <x:f>IF(A120="","",IF(G120="Fixed",IF(NOT(ISNUMBER(I120)),"",I120),IF(G120="Percentage",IF(OR(NOT(ISNUMBER(F120)),NOT(ISNUMBER(H120))),"",ROUND(F120*H120,2)),"")))</x:f>
      </x:c>
      <x:c r="K120" s="237"/>
      <x:c r="L120" s="312" t="str">
        <x:f>IF(OR(NOT(ISNUMBER(J120)),NOT(ISNUMBER(K120))),"",ROUND(J120*(1-K120),2))</x:f>
      </x:c>
      <x:c r="M120" s="237"/>
      <x:c r="N120" s="312" t="str">
        <x:f>IF(OR(NOT(ISNUMBER(L120)),NOT(ISNUMBER(M120))),"",ROUND(L120*M120,2))</x:f>
      </x:c>
      <x:c r="O120" s="238"/>
      <x:c r="P120" s="312" t="str">
        <x:f>IF(A120="","",IF(OR(E120&lt;&gt;"Completed",O120="",NOT(ISNUMBER(N120))),"",N120))</x:f>
      </x:c>
      <x:c r="Q120" s="238"/>
      <x:c r="R120" s="312" t="str">
        <x:f>IF(A120="","",SUMIFS('Payments'!$D$6:$D$205,'Payments'!$B$6:$B$205,A120))</x:f>
      </x:c>
      <x:c r="S120" s="312" t="str">
        <x:f>IF(NOT(ISNUMBER(P120)),"",P120-R120)</x:f>
      </x:c>
      <x:c r="T120" s="265" t="str">
        <x:f>IF(A120="","",IF(NOT(ISNUMBER(N120)),"Complete fee inputs",IF(NOT(ISNUMBER(P120)),IF(R120&lt;&gt;0,"Receipt before earned","Not earned"),IF(S120&lt;0,"Overpaid",IF(S120=0,"Paid",IF(Q120="","Set due date",IF(Q120&lt;TODAY(),"Overdue","Awaiting payment")))))))</x:f>
      </x:c>
      <x:c r="U120" s="235"/>
      <x:c r="V120" s="235"/>
      <x:c r="W120" s="239"/>
      <x:c r="X120" s="238"/>
      <x:c r="Y120" s="238"/>
      <x:c r="Z120" s="238"/>
      <x:c r="AA120" s="235"/>
      <x:c r="AB120" s="315" t="str">
        <x:f>IF(A120="","",IF(COUNTIFS($A$6:$A$205,A120)&gt;1,"Duplicate ID",IF(OR(B120="",COUNTIFS('Clients'!$A$6:$A$205,B120)&lt;&gt;1),"Check Client ID",IF(OR(C120="",COUNTIFS('Properties'!$A$6:$A$205,C120)&lt;&gt;1),"Check Property ID",IF(E120="","Set deal stage",IF(NOT(ISNUMBER(X120)),"Add opened date",IF(AND(E120&lt;&gt;"Completed",E120&lt;&gt;"Cancelled",NOT(ISNUMBER(Y120))),"Add target close date",IF(AND(OR(E120="Completed",E120="Cancelled"),NOT(ISNUMBER(Z120))),"Add closed date",IF(AND(E120="Completed",NOT(ISNUMBER(O120))),"Add earned date",IF(AND(E120="Cancelled",AA120=""),"Add outcome reason",IF(AND(E120&lt;&gt;"Cancelled",NOT(ISNUMBER(N120))),"Complete fee inputs",IF(AND(ISNUMBER(Z120),ISNUMBER(X120),Z120&lt;X120),"Check closed date",""))))))))))))</x:f>
      </x:c>
      <x:c r="AC120" s="791"/>
      <x:c r="AD120" s="791"/>
      <x:c r="AE120" s="791"/>
      <x:c r="AF120" s="791"/>
      <x:c r="AG120" s="794"/>
      <x:c r="AH120" s="791"/>
    </x:row>
    <x:row r="121" ht="26" customHeight="1">
      <x:c r="A121" s="319"/>
      <x:c r="B121" s="320"/>
      <x:c r="C121" s="274"/>
      <x:c r="D121" s="274"/>
      <x:c r="E121" s="274"/>
      <x:c r="F121" s="302"/>
      <x:c r="G121" s="274"/>
      <x:c r="H121" s="303"/>
      <x:c r="I121" s="302"/>
      <x:c r="J121" s="312" t="str">
        <x:f>IF(A121="","",IF(G121="Fixed",IF(NOT(ISNUMBER(I121)),"",I121),IF(G121="Percentage",IF(OR(NOT(ISNUMBER(F121)),NOT(ISNUMBER(H121))),"",ROUND(F121*H121,2)),"")))</x:f>
      </x:c>
      <x:c r="K121" s="303"/>
      <x:c r="L121" s="312" t="str">
        <x:f>IF(OR(NOT(ISNUMBER(J121)),NOT(ISNUMBER(K121))),"",ROUND(J121*(1-K121),2))</x:f>
      </x:c>
      <x:c r="M121" s="303"/>
      <x:c r="N121" s="312" t="str">
        <x:f>IF(OR(NOT(ISNUMBER(L121)),NOT(ISNUMBER(M121))),"",ROUND(L121*M121,2))</x:f>
      </x:c>
      <x:c r="O121" s="304"/>
      <x:c r="P121" s="312" t="str">
        <x:f>IF(A121="","",IF(OR(E121&lt;&gt;"Completed",O121="",NOT(ISNUMBER(N121))),"",N121))</x:f>
      </x:c>
      <x:c r="Q121" s="304"/>
      <x:c r="R121" s="312" t="str">
        <x:f>IF(A121="","",SUMIFS('Payments'!$D$6:$D$205,'Payments'!$B$6:$B$205,A121))</x:f>
      </x:c>
      <x:c r="S121" s="312" t="str">
        <x:f>IF(NOT(ISNUMBER(P121)),"",P121-R121)</x:f>
      </x:c>
      <x:c r="T121" s="265" t="str">
        <x:f>IF(A121="","",IF(NOT(ISNUMBER(N121)),"Complete fee inputs",IF(NOT(ISNUMBER(P121)),IF(R121&lt;&gt;0,"Receipt before earned","Not earned"),IF(S121&lt;0,"Overpaid",IF(S121=0,"Paid",IF(Q121="","Set due date",IF(Q121&lt;TODAY(),"Overdue","Awaiting payment")))))))</x:f>
      </x:c>
      <x:c r="U121" s="274"/>
      <x:c r="V121" s="274"/>
      <x:c r="W121" s="280"/>
      <x:c r="X121" s="304"/>
      <x:c r="Y121" s="304"/>
      <x:c r="Z121" s="304"/>
      <x:c r="AA121" s="274"/>
      <x:c r="AB121" s="315" t="str">
        <x:f>IF(A121="","",IF(COUNTIFS($A$6:$A$205,A121)&gt;1,"Duplicate ID",IF(OR(B121="",COUNTIFS('Clients'!$A$6:$A$205,B121)&lt;&gt;1),"Check Client ID",IF(OR(C121="",COUNTIFS('Properties'!$A$6:$A$205,C121)&lt;&gt;1),"Check Property ID",IF(E121="","Set deal stage",IF(NOT(ISNUMBER(X121)),"Add opened date",IF(AND(E121&lt;&gt;"Completed",E121&lt;&gt;"Cancelled",NOT(ISNUMBER(Y121))),"Add target close date",IF(AND(OR(E121="Completed",E121="Cancelled"),NOT(ISNUMBER(Z121))),"Add closed date",IF(AND(E121="Completed",NOT(ISNUMBER(O121))),"Add earned date",IF(AND(E121="Cancelled",AA121=""),"Add outcome reason",IF(AND(E121&lt;&gt;"Cancelled",NOT(ISNUMBER(N121))),"Complete fee inputs",IF(AND(ISNUMBER(Z121),ISNUMBER(X121),Z121&lt;X121),"Check closed date",""))))))))))))</x:f>
      </x:c>
      <x:c r="AC121" s="791"/>
      <x:c r="AD121" s="791"/>
      <x:c r="AE121" s="791"/>
      <x:c r="AF121" s="791"/>
      <x:c r="AG121" s="794"/>
      <x:c r="AH121" s="791"/>
    </x:row>
    <x:row r="122" ht="26" customHeight="1">
      <x:c r="A122" s="317"/>
      <x:c r="B122" s="318"/>
      <x:c r="C122" s="235"/>
      <x:c r="D122" s="235"/>
      <x:c r="E122" s="235"/>
      <x:c r="F122" s="236"/>
      <x:c r="G122" s="235"/>
      <x:c r="H122" s="237"/>
      <x:c r="I122" s="236"/>
      <x:c r="J122" s="312" t="str">
        <x:f>IF(A122="","",IF(G122="Fixed",IF(NOT(ISNUMBER(I122)),"",I122),IF(G122="Percentage",IF(OR(NOT(ISNUMBER(F122)),NOT(ISNUMBER(H122))),"",ROUND(F122*H122,2)),"")))</x:f>
      </x:c>
      <x:c r="K122" s="237"/>
      <x:c r="L122" s="312" t="str">
        <x:f>IF(OR(NOT(ISNUMBER(J122)),NOT(ISNUMBER(K122))),"",ROUND(J122*(1-K122),2))</x:f>
      </x:c>
      <x:c r="M122" s="237"/>
      <x:c r="N122" s="312" t="str">
        <x:f>IF(OR(NOT(ISNUMBER(L122)),NOT(ISNUMBER(M122))),"",ROUND(L122*M122,2))</x:f>
      </x:c>
      <x:c r="O122" s="238"/>
      <x:c r="P122" s="312" t="str">
        <x:f>IF(A122="","",IF(OR(E122&lt;&gt;"Completed",O122="",NOT(ISNUMBER(N122))),"",N122))</x:f>
      </x:c>
      <x:c r="Q122" s="238"/>
      <x:c r="R122" s="312" t="str">
        <x:f>IF(A122="","",SUMIFS('Payments'!$D$6:$D$205,'Payments'!$B$6:$B$205,A122))</x:f>
      </x:c>
      <x:c r="S122" s="312" t="str">
        <x:f>IF(NOT(ISNUMBER(P122)),"",P122-R122)</x:f>
      </x:c>
      <x:c r="T122" s="265" t="str">
        <x:f>IF(A122="","",IF(NOT(ISNUMBER(N122)),"Complete fee inputs",IF(NOT(ISNUMBER(P122)),IF(R122&lt;&gt;0,"Receipt before earned","Not earned"),IF(S122&lt;0,"Overpaid",IF(S122=0,"Paid",IF(Q122="","Set due date",IF(Q122&lt;TODAY(),"Overdue","Awaiting payment")))))))</x:f>
      </x:c>
      <x:c r="U122" s="235"/>
      <x:c r="V122" s="235"/>
      <x:c r="W122" s="239"/>
      <x:c r="X122" s="238"/>
      <x:c r="Y122" s="238"/>
      <x:c r="Z122" s="238"/>
      <x:c r="AA122" s="235"/>
      <x:c r="AB122" s="315" t="str">
        <x:f>IF(A122="","",IF(COUNTIFS($A$6:$A$205,A122)&gt;1,"Duplicate ID",IF(OR(B122="",COUNTIFS('Clients'!$A$6:$A$205,B122)&lt;&gt;1),"Check Client ID",IF(OR(C122="",COUNTIFS('Properties'!$A$6:$A$205,C122)&lt;&gt;1),"Check Property ID",IF(E122="","Set deal stage",IF(NOT(ISNUMBER(X122)),"Add opened date",IF(AND(E122&lt;&gt;"Completed",E122&lt;&gt;"Cancelled",NOT(ISNUMBER(Y122))),"Add target close date",IF(AND(OR(E122="Completed",E122="Cancelled"),NOT(ISNUMBER(Z122))),"Add closed date",IF(AND(E122="Completed",NOT(ISNUMBER(O122))),"Add earned date",IF(AND(E122="Cancelled",AA122=""),"Add outcome reason",IF(AND(E122&lt;&gt;"Cancelled",NOT(ISNUMBER(N122))),"Complete fee inputs",IF(AND(ISNUMBER(Z122),ISNUMBER(X122),Z122&lt;X122),"Check closed date",""))))))))))))</x:f>
      </x:c>
      <x:c r="AC122" s="791"/>
      <x:c r="AD122" s="791"/>
      <x:c r="AE122" s="791"/>
      <x:c r="AF122" s="791"/>
      <x:c r="AG122" s="794"/>
      <x:c r="AH122" s="791"/>
    </x:row>
    <x:row r="123" ht="26" customHeight="1">
      <x:c r="A123" s="319"/>
      <x:c r="B123" s="320"/>
      <x:c r="C123" s="274"/>
      <x:c r="D123" s="274"/>
      <x:c r="E123" s="274"/>
      <x:c r="F123" s="302"/>
      <x:c r="G123" s="274"/>
      <x:c r="H123" s="303"/>
      <x:c r="I123" s="302"/>
      <x:c r="J123" s="312" t="str">
        <x:f>IF(A123="","",IF(G123="Fixed",IF(NOT(ISNUMBER(I123)),"",I123),IF(G123="Percentage",IF(OR(NOT(ISNUMBER(F123)),NOT(ISNUMBER(H123))),"",ROUND(F123*H123,2)),"")))</x:f>
      </x:c>
      <x:c r="K123" s="303"/>
      <x:c r="L123" s="312" t="str">
        <x:f>IF(OR(NOT(ISNUMBER(J123)),NOT(ISNUMBER(K123))),"",ROUND(J123*(1-K123),2))</x:f>
      </x:c>
      <x:c r="M123" s="303"/>
      <x:c r="N123" s="312" t="str">
        <x:f>IF(OR(NOT(ISNUMBER(L123)),NOT(ISNUMBER(M123))),"",ROUND(L123*M123,2))</x:f>
      </x:c>
      <x:c r="O123" s="304"/>
      <x:c r="P123" s="312" t="str">
        <x:f>IF(A123="","",IF(OR(E123&lt;&gt;"Completed",O123="",NOT(ISNUMBER(N123))),"",N123))</x:f>
      </x:c>
      <x:c r="Q123" s="304"/>
      <x:c r="R123" s="312" t="str">
        <x:f>IF(A123="","",SUMIFS('Payments'!$D$6:$D$205,'Payments'!$B$6:$B$205,A123))</x:f>
      </x:c>
      <x:c r="S123" s="312" t="str">
        <x:f>IF(NOT(ISNUMBER(P123)),"",P123-R123)</x:f>
      </x:c>
      <x:c r="T123" s="265" t="str">
        <x:f>IF(A123="","",IF(NOT(ISNUMBER(N123)),"Complete fee inputs",IF(NOT(ISNUMBER(P123)),IF(R123&lt;&gt;0,"Receipt before earned","Not earned"),IF(S123&lt;0,"Overpaid",IF(S123=0,"Paid",IF(Q123="","Set due date",IF(Q123&lt;TODAY(),"Overdue","Awaiting payment")))))))</x:f>
      </x:c>
      <x:c r="U123" s="274"/>
      <x:c r="V123" s="274"/>
      <x:c r="W123" s="280"/>
      <x:c r="X123" s="304"/>
      <x:c r="Y123" s="304"/>
      <x:c r="Z123" s="304"/>
      <x:c r="AA123" s="274"/>
      <x:c r="AB123" s="315" t="str">
        <x:f>IF(A123="","",IF(COUNTIFS($A$6:$A$205,A123)&gt;1,"Duplicate ID",IF(OR(B123="",COUNTIFS('Clients'!$A$6:$A$205,B123)&lt;&gt;1),"Check Client ID",IF(OR(C123="",COUNTIFS('Properties'!$A$6:$A$205,C123)&lt;&gt;1),"Check Property ID",IF(E123="","Set deal stage",IF(NOT(ISNUMBER(X123)),"Add opened date",IF(AND(E123&lt;&gt;"Completed",E123&lt;&gt;"Cancelled",NOT(ISNUMBER(Y123))),"Add target close date",IF(AND(OR(E123="Completed",E123="Cancelled"),NOT(ISNUMBER(Z123))),"Add closed date",IF(AND(E123="Completed",NOT(ISNUMBER(O123))),"Add earned date",IF(AND(E123="Cancelled",AA123=""),"Add outcome reason",IF(AND(E123&lt;&gt;"Cancelled",NOT(ISNUMBER(N123))),"Complete fee inputs",IF(AND(ISNUMBER(Z123),ISNUMBER(X123),Z123&lt;X123),"Check closed date",""))))))))))))</x:f>
      </x:c>
      <x:c r="AC123" s="791"/>
      <x:c r="AD123" s="791"/>
      <x:c r="AE123" s="791"/>
      <x:c r="AF123" s="791"/>
      <x:c r="AG123" s="794"/>
      <x:c r="AH123" s="791"/>
    </x:row>
    <x:row r="124" ht="26" customHeight="1">
      <x:c r="A124" s="317"/>
      <x:c r="B124" s="318"/>
      <x:c r="C124" s="235"/>
      <x:c r="D124" s="235"/>
      <x:c r="E124" s="235"/>
      <x:c r="F124" s="236"/>
      <x:c r="G124" s="235"/>
      <x:c r="H124" s="237"/>
      <x:c r="I124" s="236"/>
      <x:c r="J124" s="312" t="str">
        <x:f>IF(A124="","",IF(G124="Fixed",IF(NOT(ISNUMBER(I124)),"",I124),IF(G124="Percentage",IF(OR(NOT(ISNUMBER(F124)),NOT(ISNUMBER(H124))),"",ROUND(F124*H124,2)),"")))</x:f>
      </x:c>
      <x:c r="K124" s="237"/>
      <x:c r="L124" s="312" t="str">
        <x:f>IF(OR(NOT(ISNUMBER(J124)),NOT(ISNUMBER(K124))),"",ROUND(J124*(1-K124),2))</x:f>
      </x:c>
      <x:c r="M124" s="237"/>
      <x:c r="N124" s="312" t="str">
        <x:f>IF(OR(NOT(ISNUMBER(L124)),NOT(ISNUMBER(M124))),"",ROUND(L124*M124,2))</x:f>
      </x:c>
      <x:c r="O124" s="238"/>
      <x:c r="P124" s="312" t="str">
        <x:f>IF(A124="","",IF(OR(E124&lt;&gt;"Completed",O124="",NOT(ISNUMBER(N124))),"",N124))</x:f>
      </x:c>
      <x:c r="Q124" s="238"/>
      <x:c r="R124" s="312" t="str">
        <x:f>IF(A124="","",SUMIFS('Payments'!$D$6:$D$205,'Payments'!$B$6:$B$205,A124))</x:f>
      </x:c>
      <x:c r="S124" s="312" t="str">
        <x:f>IF(NOT(ISNUMBER(P124)),"",P124-R124)</x:f>
      </x:c>
      <x:c r="T124" s="265" t="str">
        <x:f>IF(A124="","",IF(NOT(ISNUMBER(N124)),"Complete fee inputs",IF(NOT(ISNUMBER(P124)),IF(R124&lt;&gt;0,"Receipt before earned","Not earned"),IF(S124&lt;0,"Overpaid",IF(S124=0,"Paid",IF(Q124="","Set due date",IF(Q124&lt;TODAY(),"Overdue","Awaiting payment")))))))</x:f>
      </x:c>
      <x:c r="U124" s="235"/>
      <x:c r="V124" s="235"/>
      <x:c r="W124" s="239"/>
      <x:c r="X124" s="238"/>
      <x:c r="Y124" s="238"/>
      <x:c r="Z124" s="238"/>
      <x:c r="AA124" s="235"/>
      <x:c r="AB124" s="315" t="str">
        <x:f>IF(A124="","",IF(COUNTIFS($A$6:$A$205,A124)&gt;1,"Duplicate ID",IF(OR(B124="",COUNTIFS('Clients'!$A$6:$A$205,B124)&lt;&gt;1),"Check Client ID",IF(OR(C124="",COUNTIFS('Properties'!$A$6:$A$205,C124)&lt;&gt;1),"Check Property ID",IF(E124="","Set deal stage",IF(NOT(ISNUMBER(X124)),"Add opened date",IF(AND(E124&lt;&gt;"Completed",E124&lt;&gt;"Cancelled",NOT(ISNUMBER(Y124))),"Add target close date",IF(AND(OR(E124="Completed",E124="Cancelled"),NOT(ISNUMBER(Z124))),"Add closed date",IF(AND(E124="Completed",NOT(ISNUMBER(O124))),"Add earned date",IF(AND(E124="Cancelled",AA124=""),"Add outcome reason",IF(AND(E124&lt;&gt;"Cancelled",NOT(ISNUMBER(N124))),"Complete fee inputs",IF(AND(ISNUMBER(Z124),ISNUMBER(X124),Z124&lt;X124),"Check closed date",""))))))))))))</x:f>
      </x:c>
      <x:c r="AC124" s="791"/>
      <x:c r="AD124" s="791"/>
      <x:c r="AE124" s="791"/>
      <x:c r="AF124" s="791"/>
      <x:c r="AG124" s="794"/>
      <x:c r="AH124" s="791"/>
    </x:row>
    <x:row r="125" ht="26" customHeight="1">
      <x:c r="A125" s="319"/>
      <x:c r="B125" s="320"/>
      <x:c r="C125" s="274"/>
      <x:c r="D125" s="274"/>
      <x:c r="E125" s="274"/>
      <x:c r="F125" s="302"/>
      <x:c r="G125" s="274"/>
      <x:c r="H125" s="303"/>
      <x:c r="I125" s="302"/>
      <x:c r="J125" s="312" t="str">
        <x:f>IF(A125="","",IF(G125="Fixed",IF(NOT(ISNUMBER(I125)),"",I125),IF(G125="Percentage",IF(OR(NOT(ISNUMBER(F125)),NOT(ISNUMBER(H125))),"",ROUND(F125*H125,2)),"")))</x:f>
      </x:c>
      <x:c r="K125" s="303"/>
      <x:c r="L125" s="312" t="str">
        <x:f>IF(OR(NOT(ISNUMBER(J125)),NOT(ISNUMBER(K125))),"",ROUND(J125*(1-K125),2))</x:f>
      </x:c>
      <x:c r="M125" s="303"/>
      <x:c r="N125" s="312" t="str">
        <x:f>IF(OR(NOT(ISNUMBER(L125)),NOT(ISNUMBER(M125))),"",ROUND(L125*M125,2))</x:f>
      </x:c>
      <x:c r="O125" s="304"/>
      <x:c r="P125" s="312" t="str">
        <x:f>IF(A125="","",IF(OR(E125&lt;&gt;"Completed",O125="",NOT(ISNUMBER(N125))),"",N125))</x:f>
      </x:c>
      <x:c r="Q125" s="304"/>
      <x:c r="R125" s="312" t="str">
        <x:f>IF(A125="","",SUMIFS('Payments'!$D$6:$D$205,'Payments'!$B$6:$B$205,A125))</x:f>
      </x:c>
      <x:c r="S125" s="312" t="str">
        <x:f>IF(NOT(ISNUMBER(P125)),"",P125-R125)</x:f>
      </x:c>
      <x:c r="T125" s="265" t="str">
        <x:f>IF(A125="","",IF(NOT(ISNUMBER(N125)),"Complete fee inputs",IF(NOT(ISNUMBER(P125)),IF(R125&lt;&gt;0,"Receipt before earned","Not earned"),IF(S125&lt;0,"Overpaid",IF(S125=0,"Paid",IF(Q125="","Set due date",IF(Q125&lt;TODAY(),"Overdue","Awaiting payment")))))))</x:f>
      </x:c>
      <x:c r="U125" s="274"/>
      <x:c r="V125" s="274"/>
      <x:c r="W125" s="280"/>
      <x:c r="X125" s="304"/>
      <x:c r="Y125" s="304"/>
      <x:c r="Z125" s="304"/>
      <x:c r="AA125" s="274"/>
      <x:c r="AB125" s="315" t="str">
        <x:f>IF(A125="","",IF(COUNTIFS($A$6:$A$205,A125)&gt;1,"Duplicate ID",IF(OR(B125="",COUNTIFS('Clients'!$A$6:$A$205,B125)&lt;&gt;1),"Check Client ID",IF(OR(C125="",COUNTIFS('Properties'!$A$6:$A$205,C125)&lt;&gt;1),"Check Property ID",IF(E125="","Set deal stage",IF(NOT(ISNUMBER(X125)),"Add opened date",IF(AND(E125&lt;&gt;"Completed",E125&lt;&gt;"Cancelled",NOT(ISNUMBER(Y125))),"Add target close date",IF(AND(OR(E125="Completed",E125="Cancelled"),NOT(ISNUMBER(Z125))),"Add closed date",IF(AND(E125="Completed",NOT(ISNUMBER(O125))),"Add earned date",IF(AND(E125="Cancelled",AA125=""),"Add outcome reason",IF(AND(E125&lt;&gt;"Cancelled",NOT(ISNUMBER(N125))),"Complete fee inputs",IF(AND(ISNUMBER(Z125),ISNUMBER(X125),Z125&lt;X125),"Check closed date",""))))))))))))</x:f>
      </x:c>
      <x:c r="AC125" s="791"/>
      <x:c r="AD125" s="791"/>
      <x:c r="AE125" s="791"/>
      <x:c r="AF125" s="791"/>
      <x:c r="AG125" s="794"/>
      <x:c r="AH125" s="791"/>
    </x:row>
    <x:row r="126" ht="26" customHeight="1">
      <x:c r="A126" s="317"/>
      <x:c r="B126" s="318"/>
      <x:c r="C126" s="235"/>
      <x:c r="D126" s="235"/>
      <x:c r="E126" s="235"/>
      <x:c r="F126" s="236"/>
      <x:c r="G126" s="235"/>
      <x:c r="H126" s="237"/>
      <x:c r="I126" s="236"/>
      <x:c r="J126" s="312" t="str">
        <x:f>IF(A126="","",IF(G126="Fixed",IF(NOT(ISNUMBER(I126)),"",I126),IF(G126="Percentage",IF(OR(NOT(ISNUMBER(F126)),NOT(ISNUMBER(H126))),"",ROUND(F126*H126,2)),"")))</x:f>
      </x:c>
      <x:c r="K126" s="237"/>
      <x:c r="L126" s="312" t="str">
        <x:f>IF(OR(NOT(ISNUMBER(J126)),NOT(ISNUMBER(K126))),"",ROUND(J126*(1-K126),2))</x:f>
      </x:c>
      <x:c r="M126" s="237"/>
      <x:c r="N126" s="312" t="str">
        <x:f>IF(OR(NOT(ISNUMBER(L126)),NOT(ISNUMBER(M126))),"",ROUND(L126*M126,2))</x:f>
      </x:c>
      <x:c r="O126" s="238"/>
      <x:c r="P126" s="312" t="str">
        <x:f>IF(A126="","",IF(OR(E126&lt;&gt;"Completed",O126="",NOT(ISNUMBER(N126))),"",N126))</x:f>
      </x:c>
      <x:c r="Q126" s="238"/>
      <x:c r="R126" s="312" t="str">
        <x:f>IF(A126="","",SUMIFS('Payments'!$D$6:$D$205,'Payments'!$B$6:$B$205,A126))</x:f>
      </x:c>
      <x:c r="S126" s="312" t="str">
        <x:f>IF(NOT(ISNUMBER(P126)),"",P126-R126)</x:f>
      </x:c>
      <x:c r="T126" s="265" t="str">
        <x:f>IF(A126="","",IF(NOT(ISNUMBER(N126)),"Complete fee inputs",IF(NOT(ISNUMBER(P126)),IF(R126&lt;&gt;0,"Receipt before earned","Not earned"),IF(S126&lt;0,"Overpaid",IF(S126=0,"Paid",IF(Q126="","Set due date",IF(Q126&lt;TODAY(),"Overdue","Awaiting payment")))))))</x:f>
      </x:c>
      <x:c r="U126" s="235"/>
      <x:c r="V126" s="235"/>
      <x:c r="W126" s="239"/>
      <x:c r="X126" s="238"/>
      <x:c r="Y126" s="238"/>
      <x:c r="Z126" s="238"/>
      <x:c r="AA126" s="235"/>
      <x:c r="AB126" s="315" t="str">
        <x:f>IF(A126="","",IF(COUNTIFS($A$6:$A$205,A126)&gt;1,"Duplicate ID",IF(OR(B126="",COUNTIFS('Clients'!$A$6:$A$205,B126)&lt;&gt;1),"Check Client ID",IF(OR(C126="",COUNTIFS('Properties'!$A$6:$A$205,C126)&lt;&gt;1),"Check Property ID",IF(E126="","Set deal stage",IF(NOT(ISNUMBER(X126)),"Add opened date",IF(AND(E126&lt;&gt;"Completed",E126&lt;&gt;"Cancelled",NOT(ISNUMBER(Y126))),"Add target close date",IF(AND(OR(E126="Completed",E126="Cancelled"),NOT(ISNUMBER(Z126))),"Add closed date",IF(AND(E126="Completed",NOT(ISNUMBER(O126))),"Add earned date",IF(AND(E126="Cancelled",AA126=""),"Add outcome reason",IF(AND(E126&lt;&gt;"Cancelled",NOT(ISNUMBER(N126))),"Complete fee inputs",IF(AND(ISNUMBER(Z126),ISNUMBER(X126),Z126&lt;X126),"Check closed date",""))))))))))))</x:f>
      </x:c>
      <x:c r="AC126" s="791"/>
      <x:c r="AD126" s="791"/>
      <x:c r="AE126" s="791"/>
      <x:c r="AF126" s="791"/>
      <x:c r="AG126" s="794"/>
      <x:c r="AH126" s="791"/>
    </x:row>
    <x:row r="127" ht="26" customHeight="1">
      <x:c r="A127" s="319"/>
      <x:c r="B127" s="320"/>
      <x:c r="C127" s="274"/>
      <x:c r="D127" s="274"/>
      <x:c r="E127" s="274"/>
      <x:c r="F127" s="302"/>
      <x:c r="G127" s="274"/>
      <x:c r="H127" s="303"/>
      <x:c r="I127" s="302"/>
      <x:c r="J127" s="312" t="str">
        <x:f>IF(A127="","",IF(G127="Fixed",IF(NOT(ISNUMBER(I127)),"",I127),IF(G127="Percentage",IF(OR(NOT(ISNUMBER(F127)),NOT(ISNUMBER(H127))),"",ROUND(F127*H127,2)),"")))</x:f>
      </x:c>
      <x:c r="K127" s="303"/>
      <x:c r="L127" s="312" t="str">
        <x:f>IF(OR(NOT(ISNUMBER(J127)),NOT(ISNUMBER(K127))),"",ROUND(J127*(1-K127),2))</x:f>
      </x:c>
      <x:c r="M127" s="303"/>
      <x:c r="N127" s="312" t="str">
        <x:f>IF(OR(NOT(ISNUMBER(L127)),NOT(ISNUMBER(M127))),"",ROUND(L127*M127,2))</x:f>
      </x:c>
      <x:c r="O127" s="304"/>
      <x:c r="P127" s="312" t="str">
        <x:f>IF(A127="","",IF(OR(E127&lt;&gt;"Completed",O127="",NOT(ISNUMBER(N127))),"",N127))</x:f>
      </x:c>
      <x:c r="Q127" s="304"/>
      <x:c r="R127" s="312" t="str">
        <x:f>IF(A127="","",SUMIFS('Payments'!$D$6:$D$205,'Payments'!$B$6:$B$205,A127))</x:f>
      </x:c>
      <x:c r="S127" s="312" t="str">
        <x:f>IF(NOT(ISNUMBER(P127)),"",P127-R127)</x:f>
      </x:c>
      <x:c r="T127" s="265" t="str">
        <x:f>IF(A127="","",IF(NOT(ISNUMBER(N127)),"Complete fee inputs",IF(NOT(ISNUMBER(P127)),IF(R127&lt;&gt;0,"Receipt before earned","Not earned"),IF(S127&lt;0,"Overpaid",IF(S127=0,"Paid",IF(Q127="","Set due date",IF(Q127&lt;TODAY(),"Overdue","Awaiting payment")))))))</x:f>
      </x:c>
      <x:c r="U127" s="274"/>
      <x:c r="V127" s="274"/>
      <x:c r="W127" s="280"/>
      <x:c r="X127" s="304"/>
      <x:c r="Y127" s="304"/>
      <x:c r="Z127" s="304"/>
      <x:c r="AA127" s="274"/>
      <x:c r="AB127" s="315" t="str">
        <x:f>IF(A127="","",IF(COUNTIFS($A$6:$A$205,A127)&gt;1,"Duplicate ID",IF(OR(B127="",COUNTIFS('Clients'!$A$6:$A$205,B127)&lt;&gt;1),"Check Client ID",IF(OR(C127="",COUNTIFS('Properties'!$A$6:$A$205,C127)&lt;&gt;1),"Check Property ID",IF(E127="","Set deal stage",IF(NOT(ISNUMBER(X127)),"Add opened date",IF(AND(E127&lt;&gt;"Completed",E127&lt;&gt;"Cancelled",NOT(ISNUMBER(Y127))),"Add target close date",IF(AND(OR(E127="Completed",E127="Cancelled"),NOT(ISNUMBER(Z127))),"Add closed date",IF(AND(E127="Completed",NOT(ISNUMBER(O127))),"Add earned date",IF(AND(E127="Cancelled",AA127=""),"Add outcome reason",IF(AND(E127&lt;&gt;"Cancelled",NOT(ISNUMBER(N127))),"Complete fee inputs",IF(AND(ISNUMBER(Z127),ISNUMBER(X127),Z127&lt;X127),"Check closed date",""))))))))))))</x:f>
      </x:c>
      <x:c r="AC127" s="791"/>
      <x:c r="AD127" s="791"/>
      <x:c r="AE127" s="791"/>
      <x:c r="AF127" s="791"/>
      <x:c r="AG127" s="794"/>
      <x:c r="AH127" s="791"/>
    </x:row>
    <x:row r="128" ht="26" customHeight="1">
      <x:c r="A128" s="317"/>
      <x:c r="B128" s="318"/>
      <x:c r="C128" s="235"/>
      <x:c r="D128" s="235"/>
      <x:c r="E128" s="235"/>
      <x:c r="F128" s="236"/>
      <x:c r="G128" s="235"/>
      <x:c r="H128" s="237"/>
      <x:c r="I128" s="236"/>
      <x:c r="J128" s="312" t="str">
        <x:f>IF(A128="","",IF(G128="Fixed",IF(NOT(ISNUMBER(I128)),"",I128),IF(G128="Percentage",IF(OR(NOT(ISNUMBER(F128)),NOT(ISNUMBER(H128))),"",ROUND(F128*H128,2)),"")))</x:f>
      </x:c>
      <x:c r="K128" s="237"/>
      <x:c r="L128" s="312" t="str">
        <x:f>IF(OR(NOT(ISNUMBER(J128)),NOT(ISNUMBER(K128))),"",ROUND(J128*(1-K128),2))</x:f>
      </x:c>
      <x:c r="M128" s="237"/>
      <x:c r="N128" s="312" t="str">
        <x:f>IF(OR(NOT(ISNUMBER(L128)),NOT(ISNUMBER(M128))),"",ROUND(L128*M128,2))</x:f>
      </x:c>
      <x:c r="O128" s="238"/>
      <x:c r="P128" s="312" t="str">
        <x:f>IF(A128="","",IF(OR(E128&lt;&gt;"Completed",O128="",NOT(ISNUMBER(N128))),"",N128))</x:f>
      </x:c>
      <x:c r="Q128" s="238"/>
      <x:c r="R128" s="312" t="str">
        <x:f>IF(A128="","",SUMIFS('Payments'!$D$6:$D$205,'Payments'!$B$6:$B$205,A128))</x:f>
      </x:c>
      <x:c r="S128" s="312" t="str">
        <x:f>IF(NOT(ISNUMBER(P128)),"",P128-R128)</x:f>
      </x:c>
      <x:c r="T128" s="265" t="str">
        <x:f>IF(A128="","",IF(NOT(ISNUMBER(N128)),"Complete fee inputs",IF(NOT(ISNUMBER(P128)),IF(R128&lt;&gt;0,"Receipt before earned","Not earned"),IF(S128&lt;0,"Overpaid",IF(S128=0,"Paid",IF(Q128="","Set due date",IF(Q128&lt;TODAY(),"Overdue","Awaiting payment")))))))</x:f>
      </x:c>
      <x:c r="U128" s="235"/>
      <x:c r="V128" s="235"/>
      <x:c r="W128" s="239"/>
      <x:c r="X128" s="238"/>
      <x:c r="Y128" s="238"/>
      <x:c r="Z128" s="238"/>
      <x:c r="AA128" s="235"/>
      <x:c r="AB128" s="315" t="str">
        <x:f>IF(A128="","",IF(COUNTIFS($A$6:$A$205,A128)&gt;1,"Duplicate ID",IF(OR(B128="",COUNTIFS('Clients'!$A$6:$A$205,B128)&lt;&gt;1),"Check Client ID",IF(OR(C128="",COUNTIFS('Properties'!$A$6:$A$205,C128)&lt;&gt;1),"Check Property ID",IF(E128="","Set deal stage",IF(NOT(ISNUMBER(X128)),"Add opened date",IF(AND(E128&lt;&gt;"Completed",E128&lt;&gt;"Cancelled",NOT(ISNUMBER(Y128))),"Add target close date",IF(AND(OR(E128="Completed",E128="Cancelled"),NOT(ISNUMBER(Z128))),"Add closed date",IF(AND(E128="Completed",NOT(ISNUMBER(O128))),"Add earned date",IF(AND(E128="Cancelled",AA128=""),"Add outcome reason",IF(AND(E128&lt;&gt;"Cancelled",NOT(ISNUMBER(N128))),"Complete fee inputs",IF(AND(ISNUMBER(Z128),ISNUMBER(X128),Z128&lt;X128),"Check closed date",""))))))))))))</x:f>
      </x:c>
      <x:c r="AC128" s="791"/>
      <x:c r="AD128" s="791"/>
      <x:c r="AE128" s="791"/>
      <x:c r="AF128" s="791"/>
      <x:c r="AG128" s="794"/>
      <x:c r="AH128" s="791"/>
    </x:row>
    <x:row r="129" ht="26" customHeight="1">
      <x:c r="A129" s="319"/>
      <x:c r="B129" s="320"/>
      <x:c r="C129" s="274"/>
      <x:c r="D129" s="274"/>
      <x:c r="E129" s="274"/>
      <x:c r="F129" s="302"/>
      <x:c r="G129" s="274"/>
      <x:c r="H129" s="303"/>
      <x:c r="I129" s="302"/>
      <x:c r="J129" s="312" t="str">
        <x:f>IF(A129="","",IF(G129="Fixed",IF(NOT(ISNUMBER(I129)),"",I129),IF(G129="Percentage",IF(OR(NOT(ISNUMBER(F129)),NOT(ISNUMBER(H129))),"",ROUND(F129*H129,2)),"")))</x:f>
      </x:c>
      <x:c r="K129" s="303"/>
      <x:c r="L129" s="312" t="str">
        <x:f>IF(OR(NOT(ISNUMBER(J129)),NOT(ISNUMBER(K129))),"",ROUND(J129*(1-K129),2))</x:f>
      </x:c>
      <x:c r="M129" s="303"/>
      <x:c r="N129" s="312" t="str">
        <x:f>IF(OR(NOT(ISNUMBER(L129)),NOT(ISNUMBER(M129))),"",ROUND(L129*M129,2))</x:f>
      </x:c>
      <x:c r="O129" s="304"/>
      <x:c r="P129" s="312" t="str">
        <x:f>IF(A129="","",IF(OR(E129&lt;&gt;"Completed",O129="",NOT(ISNUMBER(N129))),"",N129))</x:f>
      </x:c>
      <x:c r="Q129" s="304"/>
      <x:c r="R129" s="312" t="str">
        <x:f>IF(A129="","",SUMIFS('Payments'!$D$6:$D$205,'Payments'!$B$6:$B$205,A129))</x:f>
      </x:c>
      <x:c r="S129" s="312" t="str">
        <x:f>IF(NOT(ISNUMBER(P129)),"",P129-R129)</x:f>
      </x:c>
      <x:c r="T129" s="265" t="str">
        <x:f>IF(A129="","",IF(NOT(ISNUMBER(N129)),"Complete fee inputs",IF(NOT(ISNUMBER(P129)),IF(R129&lt;&gt;0,"Receipt before earned","Not earned"),IF(S129&lt;0,"Overpaid",IF(S129=0,"Paid",IF(Q129="","Set due date",IF(Q129&lt;TODAY(),"Overdue","Awaiting payment")))))))</x:f>
      </x:c>
      <x:c r="U129" s="274"/>
      <x:c r="V129" s="274"/>
      <x:c r="W129" s="280"/>
      <x:c r="X129" s="304"/>
      <x:c r="Y129" s="304"/>
      <x:c r="Z129" s="304"/>
      <x:c r="AA129" s="274"/>
      <x:c r="AB129" s="315" t="str">
        <x:f>IF(A129="","",IF(COUNTIFS($A$6:$A$205,A129)&gt;1,"Duplicate ID",IF(OR(B129="",COUNTIFS('Clients'!$A$6:$A$205,B129)&lt;&gt;1),"Check Client ID",IF(OR(C129="",COUNTIFS('Properties'!$A$6:$A$205,C129)&lt;&gt;1),"Check Property ID",IF(E129="","Set deal stage",IF(NOT(ISNUMBER(X129)),"Add opened date",IF(AND(E129&lt;&gt;"Completed",E129&lt;&gt;"Cancelled",NOT(ISNUMBER(Y129))),"Add target close date",IF(AND(OR(E129="Completed",E129="Cancelled"),NOT(ISNUMBER(Z129))),"Add closed date",IF(AND(E129="Completed",NOT(ISNUMBER(O129))),"Add earned date",IF(AND(E129="Cancelled",AA129=""),"Add outcome reason",IF(AND(E129&lt;&gt;"Cancelled",NOT(ISNUMBER(N129))),"Complete fee inputs",IF(AND(ISNUMBER(Z129),ISNUMBER(X129),Z129&lt;X129),"Check closed date",""))))))))))))</x:f>
      </x:c>
      <x:c r="AC129" s="791"/>
      <x:c r="AD129" s="791"/>
      <x:c r="AE129" s="791"/>
      <x:c r="AF129" s="791"/>
      <x:c r="AG129" s="794"/>
      <x:c r="AH129" s="791"/>
    </x:row>
    <x:row r="130" ht="26" customHeight="1">
      <x:c r="A130" s="317"/>
      <x:c r="B130" s="318"/>
      <x:c r="C130" s="235"/>
      <x:c r="D130" s="235"/>
      <x:c r="E130" s="235"/>
      <x:c r="F130" s="236"/>
      <x:c r="G130" s="235"/>
      <x:c r="H130" s="237"/>
      <x:c r="I130" s="236"/>
      <x:c r="J130" s="312" t="str">
        <x:f>IF(A130="","",IF(G130="Fixed",IF(NOT(ISNUMBER(I130)),"",I130),IF(G130="Percentage",IF(OR(NOT(ISNUMBER(F130)),NOT(ISNUMBER(H130))),"",ROUND(F130*H130,2)),"")))</x:f>
      </x:c>
      <x:c r="K130" s="237"/>
      <x:c r="L130" s="312" t="str">
        <x:f>IF(OR(NOT(ISNUMBER(J130)),NOT(ISNUMBER(K130))),"",ROUND(J130*(1-K130),2))</x:f>
      </x:c>
      <x:c r="M130" s="237"/>
      <x:c r="N130" s="312" t="str">
        <x:f>IF(OR(NOT(ISNUMBER(L130)),NOT(ISNUMBER(M130))),"",ROUND(L130*M130,2))</x:f>
      </x:c>
      <x:c r="O130" s="238"/>
      <x:c r="P130" s="312" t="str">
        <x:f>IF(A130="","",IF(OR(E130&lt;&gt;"Completed",O130="",NOT(ISNUMBER(N130))),"",N130))</x:f>
      </x:c>
      <x:c r="Q130" s="238"/>
      <x:c r="R130" s="312" t="str">
        <x:f>IF(A130="","",SUMIFS('Payments'!$D$6:$D$205,'Payments'!$B$6:$B$205,A130))</x:f>
      </x:c>
      <x:c r="S130" s="312" t="str">
        <x:f>IF(NOT(ISNUMBER(P130)),"",P130-R130)</x:f>
      </x:c>
      <x:c r="T130" s="265" t="str">
        <x:f>IF(A130="","",IF(NOT(ISNUMBER(N130)),"Complete fee inputs",IF(NOT(ISNUMBER(P130)),IF(R130&lt;&gt;0,"Receipt before earned","Not earned"),IF(S130&lt;0,"Overpaid",IF(S130=0,"Paid",IF(Q130="","Set due date",IF(Q130&lt;TODAY(),"Overdue","Awaiting payment")))))))</x:f>
      </x:c>
      <x:c r="U130" s="235"/>
      <x:c r="V130" s="235"/>
      <x:c r="W130" s="239"/>
      <x:c r="X130" s="238"/>
      <x:c r="Y130" s="238"/>
      <x:c r="Z130" s="238"/>
      <x:c r="AA130" s="235"/>
      <x:c r="AB130" s="315" t="str">
        <x:f>IF(A130="","",IF(COUNTIFS($A$6:$A$205,A130)&gt;1,"Duplicate ID",IF(OR(B130="",COUNTIFS('Clients'!$A$6:$A$205,B130)&lt;&gt;1),"Check Client ID",IF(OR(C130="",COUNTIFS('Properties'!$A$6:$A$205,C130)&lt;&gt;1),"Check Property ID",IF(E130="","Set deal stage",IF(NOT(ISNUMBER(X130)),"Add opened date",IF(AND(E130&lt;&gt;"Completed",E130&lt;&gt;"Cancelled",NOT(ISNUMBER(Y130))),"Add target close date",IF(AND(OR(E130="Completed",E130="Cancelled"),NOT(ISNUMBER(Z130))),"Add closed date",IF(AND(E130="Completed",NOT(ISNUMBER(O130))),"Add earned date",IF(AND(E130="Cancelled",AA130=""),"Add outcome reason",IF(AND(E130&lt;&gt;"Cancelled",NOT(ISNUMBER(N130))),"Complete fee inputs",IF(AND(ISNUMBER(Z130),ISNUMBER(X130),Z130&lt;X130),"Check closed date",""))))))))))))</x:f>
      </x:c>
      <x:c r="AC130" s="791"/>
      <x:c r="AD130" s="791"/>
      <x:c r="AE130" s="791"/>
      <x:c r="AF130" s="791"/>
      <x:c r="AG130" s="794"/>
      <x:c r="AH130" s="791"/>
    </x:row>
    <x:row r="131" ht="26" customHeight="1">
      <x:c r="A131" s="319"/>
      <x:c r="B131" s="320"/>
      <x:c r="C131" s="274"/>
      <x:c r="D131" s="274"/>
      <x:c r="E131" s="274"/>
      <x:c r="F131" s="302"/>
      <x:c r="G131" s="274"/>
      <x:c r="H131" s="303"/>
      <x:c r="I131" s="302"/>
      <x:c r="J131" s="312" t="str">
        <x:f>IF(A131="","",IF(G131="Fixed",IF(NOT(ISNUMBER(I131)),"",I131),IF(G131="Percentage",IF(OR(NOT(ISNUMBER(F131)),NOT(ISNUMBER(H131))),"",ROUND(F131*H131,2)),"")))</x:f>
      </x:c>
      <x:c r="K131" s="303"/>
      <x:c r="L131" s="312" t="str">
        <x:f>IF(OR(NOT(ISNUMBER(J131)),NOT(ISNUMBER(K131))),"",ROUND(J131*(1-K131),2))</x:f>
      </x:c>
      <x:c r="M131" s="303"/>
      <x:c r="N131" s="312" t="str">
        <x:f>IF(OR(NOT(ISNUMBER(L131)),NOT(ISNUMBER(M131))),"",ROUND(L131*M131,2))</x:f>
      </x:c>
      <x:c r="O131" s="304"/>
      <x:c r="P131" s="312" t="str">
        <x:f>IF(A131="","",IF(OR(E131&lt;&gt;"Completed",O131="",NOT(ISNUMBER(N131))),"",N131))</x:f>
      </x:c>
      <x:c r="Q131" s="304"/>
      <x:c r="R131" s="312" t="str">
        <x:f>IF(A131="","",SUMIFS('Payments'!$D$6:$D$205,'Payments'!$B$6:$B$205,A131))</x:f>
      </x:c>
      <x:c r="S131" s="312" t="str">
        <x:f>IF(NOT(ISNUMBER(P131)),"",P131-R131)</x:f>
      </x:c>
      <x:c r="T131" s="265" t="str">
        <x:f>IF(A131="","",IF(NOT(ISNUMBER(N131)),"Complete fee inputs",IF(NOT(ISNUMBER(P131)),IF(R131&lt;&gt;0,"Receipt before earned","Not earned"),IF(S131&lt;0,"Overpaid",IF(S131=0,"Paid",IF(Q131="","Set due date",IF(Q131&lt;TODAY(),"Overdue","Awaiting payment")))))))</x:f>
      </x:c>
      <x:c r="U131" s="274"/>
      <x:c r="V131" s="274"/>
      <x:c r="W131" s="280"/>
      <x:c r="X131" s="304"/>
      <x:c r="Y131" s="304"/>
      <x:c r="Z131" s="304"/>
      <x:c r="AA131" s="274"/>
      <x:c r="AB131" s="315" t="str">
        <x:f>IF(A131="","",IF(COUNTIFS($A$6:$A$205,A131)&gt;1,"Duplicate ID",IF(OR(B131="",COUNTIFS('Clients'!$A$6:$A$205,B131)&lt;&gt;1),"Check Client ID",IF(OR(C131="",COUNTIFS('Properties'!$A$6:$A$205,C131)&lt;&gt;1),"Check Property ID",IF(E131="","Set deal stage",IF(NOT(ISNUMBER(X131)),"Add opened date",IF(AND(E131&lt;&gt;"Completed",E131&lt;&gt;"Cancelled",NOT(ISNUMBER(Y131))),"Add target close date",IF(AND(OR(E131="Completed",E131="Cancelled"),NOT(ISNUMBER(Z131))),"Add closed date",IF(AND(E131="Completed",NOT(ISNUMBER(O131))),"Add earned date",IF(AND(E131="Cancelled",AA131=""),"Add outcome reason",IF(AND(E131&lt;&gt;"Cancelled",NOT(ISNUMBER(N131))),"Complete fee inputs",IF(AND(ISNUMBER(Z131),ISNUMBER(X131),Z131&lt;X131),"Check closed date",""))))))))))))</x:f>
      </x:c>
      <x:c r="AC131" s="791"/>
      <x:c r="AD131" s="791"/>
      <x:c r="AE131" s="791"/>
      <x:c r="AF131" s="791"/>
      <x:c r="AG131" s="794"/>
      <x:c r="AH131" s="791"/>
    </x:row>
    <x:row r="132" ht="26" customHeight="1">
      <x:c r="A132" s="317"/>
      <x:c r="B132" s="318"/>
      <x:c r="C132" s="235"/>
      <x:c r="D132" s="235"/>
      <x:c r="E132" s="235"/>
      <x:c r="F132" s="236"/>
      <x:c r="G132" s="235"/>
      <x:c r="H132" s="237"/>
      <x:c r="I132" s="236"/>
      <x:c r="J132" s="312" t="str">
        <x:f>IF(A132="","",IF(G132="Fixed",IF(NOT(ISNUMBER(I132)),"",I132),IF(G132="Percentage",IF(OR(NOT(ISNUMBER(F132)),NOT(ISNUMBER(H132))),"",ROUND(F132*H132,2)),"")))</x:f>
      </x:c>
      <x:c r="K132" s="237"/>
      <x:c r="L132" s="312" t="str">
        <x:f>IF(OR(NOT(ISNUMBER(J132)),NOT(ISNUMBER(K132))),"",ROUND(J132*(1-K132),2))</x:f>
      </x:c>
      <x:c r="M132" s="237"/>
      <x:c r="N132" s="312" t="str">
        <x:f>IF(OR(NOT(ISNUMBER(L132)),NOT(ISNUMBER(M132))),"",ROUND(L132*M132,2))</x:f>
      </x:c>
      <x:c r="O132" s="238"/>
      <x:c r="P132" s="312" t="str">
        <x:f>IF(A132="","",IF(OR(E132&lt;&gt;"Completed",O132="",NOT(ISNUMBER(N132))),"",N132))</x:f>
      </x:c>
      <x:c r="Q132" s="238"/>
      <x:c r="R132" s="312" t="str">
        <x:f>IF(A132="","",SUMIFS('Payments'!$D$6:$D$205,'Payments'!$B$6:$B$205,A132))</x:f>
      </x:c>
      <x:c r="S132" s="312" t="str">
        <x:f>IF(NOT(ISNUMBER(P132)),"",P132-R132)</x:f>
      </x:c>
      <x:c r="T132" s="265" t="str">
        <x:f>IF(A132="","",IF(NOT(ISNUMBER(N132)),"Complete fee inputs",IF(NOT(ISNUMBER(P132)),IF(R132&lt;&gt;0,"Receipt before earned","Not earned"),IF(S132&lt;0,"Overpaid",IF(S132=0,"Paid",IF(Q132="","Set due date",IF(Q132&lt;TODAY(),"Overdue","Awaiting payment")))))))</x:f>
      </x:c>
      <x:c r="U132" s="235"/>
      <x:c r="V132" s="235"/>
      <x:c r="W132" s="239"/>
      <x:c r="X132" s="238"/>
      <x:c r="Y132" s="238"/>
      <x:c r="Z132" s="238"/>
      <x:c r="AA132" s="235"/>
      <x:c r="AB132" s="315" t="str">
        <x:f>IF(A132="","",IF(COUNTIFS($A$6:$A$205,A132)&gt;1,"Duplicate ID",IF(OR(B132="",COUNTIFS('Clients'!$A$6:$A$205,B132)&lt;&gt;1),"Check Client ID",IF(OR(C132="",COUNTIFS('Properties'!$A$6:$A$205,C132)&lt;&gt;1),"Check Property ID",IF(E132="","Set deal stage",IF(NOT(ISNUMBER(X132)),"Add opened date",IF(AND(E132&lt;&gt;"Completed",E132&lt;&gt;"Cancelled",NOT(ISNUMBER(Y132))),"Add target close date",IF(AND(OR(E132="Completed",E132="Cancelled"),NOT(ISNUMBER(Z132))),"Add closed date",IF(AND(E132="Completed",NOT(ISNUMBER(O132))),"Add earned date",IF(AND(E132="Cancelled",AA132=""),"Add outcome reason",IF(AND(E132&lt;&gt;"Cancelled",NOT(ISNUMBER(N132))),"Complete fee inputs",IF(AND(ISNUMBER(Z132),ISNUMBER(X132),Z132&lt;X132),"Check closed date",""))))))))))))</x:f>
      </x:c>
      <x:c r="AC132" s="791"/>
      <x:c r="AD132" s="791"/>
      <x:c r="AE132" s="791"/>
      <x:c r="AF132" s="791"/>
      <x:c r="AG132" s="794"/>
      <x:c r="AH132" s="791"/>
    </x:row>
    <x:row r="133" ht="26" customHeight="1">
      <x:c r="A133" s="319"/>
      <x:c r="B133" s="320"/>
      <x:c r="C133" s="274"/>
      <x:c r="D133" s="274"/>
      <x:c r="E133" s="274"/>
      <x:c r="F133" s="302"/>
      <x:c r="G133" s="274"/>
      <x:c r="H133" s="303"/>
      <x:c r="I133" s="302"/>
      <x:c r="J133" s="312" t="str">
        <x:f>IF(A133="","",IF(G133="Fixed",IF(NOT(ISNUMBER(I133)),"",I133),IF(G133="Percentage",IF(OR(NOT(ISNUMBER(F133)),NOT(ISNUMBER(H133))),"",ROUND(F133*H133,2)),"")))</x:f>
      </x:c>
      <x:c r="K133" s="303"/>
      <x:c r="L133" s="312" t="str">
        <x:f>IF(OR(NOT(ISNUMBER(J133)),NOT(ISNUMBER(K133))),"",ROUND(J133*(1-K133),2))</x:f>
      </x:c>
      <x:c r="M133" s="303"/>
      <x:c r="N133" s="312" t="str">
        <x:f>IF(OR(NOT(ISNUMBER(L133)),NOT(ISNUMBER(M133))),"",ROUND(L133*M133,2))</x:f>
      </x:c>
      <x:c r="O133" s="304"/>
      <x:c r="P133" s="312" t="str">
        <x:f>IF(A133="","",IF(OR(E133&lt;&gt;"Completed",O133="",NOT(ISNUMBER(N133))),"",N133))</x:f>
      </x:c>
      <x:c r="Q133" s="304"/>
      <x:c r="R133" s="312" t="str">
        <x:f>IF(A133="","",SUMIFS('Payments'!$D$6:$D$205,'Payments'!$B$6:$B$205,A133))</x:f>
      </x:c>
      <x:c r="S133" s="312" t="str">
        <x:f>IF(NOT(ISNUMBER(P133)),"",P133-R133)</x:f>
      </x:c>
      <x:c r="T133" s="265" t="str">
        <x:f>IF(A133="","",IF(NOT(ISNUMBER(N133)),"Complete fee inputs",IF(NOT(ISNUMBER(P133)),IF(R133&lt;&gt;0,"Receipt before earned","Not earned"),IF(S133&lt;0,"Overpaid",IF(S133=0,"Paid",IF(Q133="","Set due date",IF(Q133&lt;TODAY(),"Overdue","Awaiting payment")))))))</x:f>
      </x:c>
      <x:c r="U133" s="274"/>
      <x:c r="V133" s="274"/>
      <x:c r="W133" s="280"/>
      <x:c r="X133" s="304"/>
      <x:c r="Y133" s="304"/>
      <x:c r="Z133" s="304"/>
      <x:c r="AA133" s="274"/>
      <x:c r="AB133" s="315" t="str">
        <x:f>IF(A133="","",IF(COUNTIFS($A$6:$A$205,A133)&gt;1,"Duplicate ID",IF(OR(B133="",COUNTIFS('Clients'!$A$6:$A$205,B133)&lt;&gt;1),"Check Client ID",IF(OR(C133="",COUNTIFS('Properties'!$A$6:$A$205,C133)&lt;&gt;1),"Check Property ID",IF(E133="","Set deal stage",IF(NOT(ISNUMBER(X133)),"Add opened date",IF(AND(E133&lt;&gt;"Completed",E133&lt;&gt;"Cancelled",NOT(ISNUMBER(Y133))),"Add target close date",IF(AND(OR(E133="Completed",E133="Cancelled"),NOT(ISNUMBER(Z133))),"Add closed date",IF(AND(E133="Completed",NOT(ISNUMBER(O133))),"Add earned date",IF(AND(E133="Cancelled",AA133=""),"Add outcome reason",IF(AND(E133&lt;&gt;"Cancelled",NOT(ISNUMBER(N133))),"Complete fee inputs",IF(AND(ISNUMBER(Z133),ISNUMBER(X133),Z133&lt;X133),"Check closed date",""))))))))))))</x:f>
      </x:c>
      <x:c r="AC133" s="791"/>
      <x:c r="AD133" s="791"/>
      <x:c r="AE133" s="791"/>
      <x:c r="AF133" s="791"/>
      <x:c r="AG133" s="794"/>
      <x:c r="AH133" s="791"/>
    </x:row>
    <x:row r="134" ht="26" customHeight="1">
      <x:c r="A134" s="317"/>
      <x:c r="B134" s="318"/>
      <x:c r="C134" s="235"/>
      <x:c r="D134" s="235"/>
      <x:c r="E134" s="235"/>
      <x:c r="F134" s="236"/>
      <x:c r="G134" s="235"/>
      <x:c r="H134" s="237"/>
      <x:c r="I134" s="236"/>
      <x:c r="J134" s="312" t="str">
        <x:f>IF(A134="","",IF(G134="Fixed",IF(NOT(ISNUMBER(I134)),"",I134),IF(G134="Percentage",IF(OR(NOT(ISNUMBER(F134)),NOT(ISNUMBER(H134))),"",ROUND(F134*H134,2)),"")))</x:f>
      </x:c>
      <x:c r="K134" s="237"/>
      <x:c r="L134" s="312" t="str">
        <x:f>IF(OR(NOT(ISNUMBER(J134)),NOT(ISNUMBER(K134))),"",ROUND(J134*(1-K134),2))</x:f>
      </x:c>
      <x:c r="M134" s="237"/>
      <x:c r="N134" s="312" t="str">
        <x:f>IF(OR(NOT(ISNUMBER(L134)),NOT(ISNUMBER(M134))),"",ROUND(L134*M134,2))</x:f>
      </x:c>
      <x:c r="O134" s="238"/>
      <x:c r="P134" s="312" t="str">
        <x:f>IF(A134="","",IF(OR(E134&lt;&gt;"Completed",O134="",NOT(ISNUMBER(N134))),"",N134))</x:f>
      </x:c>
      <x:c r="Q134" s="238"/>
      <x:c r="R134" s="312" t="str">
        <x:f>IF(A134="","",SUMIFS('Payments'!$D$6:$D$205,'Payments'!$B$6:$B$205,A134))</x:f>
      </x:c>
      <x:c r="S134" s="312" t="str">
        <x:f>IF(NOT(ISNUMBER(P134)),"",P134-R134)</x:f>
      </x:c>
      <x:c r="T134" s="265" t="str">
        <x:f>IF(A134="","",IF(NOT(ISNUMBER(N134)),"Complete fee inputs",IF(NOT(ISNUMBER(P134)),IF(R134&lt;&gt;0,"Receipt before earned","Not earned"),IF(S134&lt;0,"Overpaid",IF(S134=0,"Paid",IF(Q134="","Set due date",IF(Q134&lt;TODAY(),"Overdue","Awaiting payment")))))))</x:f>
      </x:c>
      <x:c r="U134" s="235"/>
      <x:c r="V134" s="235"/>
      <x:c r="W134" s="239"/>
      <x:c r="X134" s="238"/>
      <x:c r="Y134" s="238"/>
      <x:c r="Z134" s="238"/>
      <x:c r="AA134" s="235"/>
      <x:c r="AB134" s="315" t="str">
        <x:f>IF(A134="","",IF(COUNTIFS($A$6:$A$205,A134)&gt;1,"Duplicate ID",IF(OR(B134="",COUNTIFS('Clients'!$A$6:$A$205,B134)&lt;&gt;1),"Check Client ID",IF(OR(C134="",COUNTIFS('Properties'!$A$6:$A$205,C134)&lt;&gt;1),"Check Property ID",IF(E134="","Set deal stage",IF(NOT(ISNUMBER(X134)),"Add opened date",IF(AND(E134&lt;&gt;"Completed",E134&lt;&gt;"Cancelled",NOT(ISNUMBER(Y134))),"Add target close date",IF(AND(OR(E134="Completed",E134="Cancelled"),NOT(ISNUMBER(Z134))),"Add closed date",IF(AND(E134="Completed",NOT(ISNUMBER(O134))),"Add earned date",IF(AND(E134="Cancelled",AA134=""),"Add outcome reason",IF(AND(E134&lt;&gt;"Cancelled",NOT(ISNUMBER(N134))),"Complete fee inputs",IF(AND(ISNUMBER(Z134),ISNUMBER(X134),Z134&lt;X134),"Check closed date",""))))))))))))</x:f>
      </x:c>
      <x:c r="AC134" s="791"/>
      <x:c r="AD134" s="791"/>
      <x:c r="AE134" s="791"/>
      <x:c r="AF134" s="791"/>
      <x:c r="AG134" s="794"/>
      <x:c r="AH134" s="791"/>
    </x:row>
    <x:row r="135" ht="26" customHeight="1">
      <x:c r="A135" s="319"/>
      <x:c r="B135" s="320"/>
      <x:c r="C135" s="274"/>
      <x:c r="D135" s="274"/>
      <x:c r="E135" s="274"/>
      <x:c r="F135" s="302"/>
      <x:c r="G135" s="274"/>
      <x:c r="H135" s="303"/>
      <x:c r="I135" s="302"/>
      <x:c r="J135" s="312" t="str">
        <x:f>IF(A135="","",IF(G135="Fixed",IF(NOT(ISNUMBER(I135)),"",I135),IF(G135="Percentage",IF(OR(NOT(ISNUMBER(F135)),NOT(ISNUMBER(H135))),"",ROUND(F135*H135,2)),"")))</x:f>
      </x:c>
      <x:c r="K135" s="303"/>
      <x:c r="L135" s="312" t="str">
        <x:f>IF(OR(NOT(ISNUMBER(J135)),NOT(ISNUMBER(K135))),"",ROUND(J135*(1-K135),2))</x:f>
      </x:c>
      <x:c r="M135" s="303"/>
      <x:c r="N135" s="312" t="str">
        <x:f>IF(OR(NOT(ISNUMBER(L135)),NOT(ISNUMBER(M135))),"",ROUND(L135*M135,2))</x:f>
      </x:c>
      <x:c r="O135" s="304"/>
      <x:c r="P135" s="312" t="str">
        <x:f>IF(A135="","",IF(OR(E135&lt;&gt;"Completed",O135="",NOT(ISNUMBER(N135))),"",N135))</x:f>
      </x:c>
      <x:c r="Q135" s="304"/>
      <x:c r="R135" s="312" t="str">
        <x:f>IF(A135="","",SUMIFS('Payments'!$D$6:$D$205,'Payments'!$B$6:$B$205,A135))</x:f>
      </x:c>
      <x:c r="S135" s="312" t="str">
        <x:f>IF(NOT(ISNUMBER(P135)),"",P135-R135)</x:f>
      </x:c>
      <x:c r="T135" s="265" t="str">
        <x:f>IF(A135="","",IF(NOT(ISNUMBER(N135)),"Complete fee inputs",IF(NOT(ISNUMBER(P135)),IF(R135&lt;&gt;0,"Receipt before earned","Not earned"),IF(S135&lt;0,"Overpaid",IF(S135=0,"Paid",IF(Q135="","Set due date",IF(Q135&lt;TODAY(),"Overdue","Awaiting payment")))))))</x:f>
      </x:c>
      <x:c r="U135" s="274"/>
      <x:c r="V135" s="274"/>
      <x:c r="W135" s="280"/>
      <x:c r="X135" s="304"/>
      <x:c r="Y135" s="304"/>
      <x:c r="Z135" s="304"/>
      <x:c r="AA135" s="274"/>
      <x:c r="AB135" s="315" t="str">
        <x:f>IF(A135="","",IF(COUNTIFS($A$6:$A$205,A135)&gt;1,"Duplicate ID",IF(OR(B135="",COUNTIFS('Clients'!$A$6:$A$205,B135)&lt;&gt;1),"Check Client ID",IF(OR(C135="",COUNTIFS('Properties'!$A$6:$A$205,C135)&lt;&gt;1),"Check Property ID",IF(E135="","Set deal stage",IF(NOT(ISNUMBER(X135)),"Add opened date",IF(AND(E135&lt;&gt;"Completed",E135&lt;&gt;"Cancelled",NOT(ISNUMBER(Y135))),"Add target close date",IF(AND(OR(E135="Completed",E135="Cancelled"),NOT(ISNUMBER(Z135))),"Add closed date",IF(AND(E135="Completed",NOT(ISNUMBER(O135))),"Add earned date",IF(AND(E135="Cancelled",AA135=""),"Add outcome reason",IF(AND(E135&lt;&gt;"Cancelled",NOT(ISNUMBER(N135))),"Complete fee inputs",IF(AND(ISNUMBER(Z135),ISNUMBER(X135),Z135&lt;X135),"Check closed date",""))))))))))))</x:f>
      </x:c>
      <x:c r="AC135" s="791"/>
      <x:c r="AD135" s="791"/>
      <x:c r="AE135" s="791"/>
      <x:c r="AF135" s="791"/>
      <x:c r="AG135" s="794"/>
      <x:c r="AH135" s="791"/>
    </x:row>
    <x:row r="136" ht="26" customHeight="1">
      <x:c r="A136" s="317"/>
      <x:c r="B136" s="318"/>
      <x:c r="C136" s="235"/>
      <x:c r="D136" s="235"/>
      <x:c r="E136" s="235"/>
      <x:c r="F136" s="236"/>
      <x:c r="G136" s="235"/>
      <x:c r="H136" s="237"/>
      <x:c r="I136" s="236"/>
      <x:c r="J136" s="312" t="str">
        <x:f>IF(A136="","",IF(G136="Fixed",IF(NOT(ISNUMBER(I136)),"",I136),IF(G136="Percentage",IF(OR(NOT(ISNUMBER(F136)),NOT(ISNUMBER(H136))),"",ROUND(F136*H136,2)),"")))</x:f>
      </x:c>
      <x:c r="K136" s="237"/>
      <x:c r="L136" s="312" t="str">
        <x:f>IF(OR(NOT(ISNUMBER(J136)),NOT(ISNUMBER(K136))),"",ROUND(J136*(1-K136),2))</x:f>
      </x:c>
      <x:c r="M136" s="237"/>
      <x:c r="N136" s="312" t="str">
        <x:f>IF(OR(NOT(ISNUMBER(L136)),NOT(ISNUMBER(M136))),"",ROUND(L136*M136,2))</x:f>
      </x:c>
      <x:c r="O136" s="238"/>
      <x:c r="P136" s="312" t="str">
        <x:f>IF(A136="","",IF(OR(E136&lt;&gt;"Completed",O136="",NOT(ISNUMBER(N136))),"",N136))</x:f>
      </x:c>
      <x:c r="Q136" s="238"/>
      <x:c r="R136" s="312" t="str">
        <x:f>IF(A136="","",SUMIFS('Payments'!$D$6:$D$205,'Payments'!$B$6:$B$205,A136))</x:f>
      </x:c>
      <x:c r="S136" s="312" t="str">
        <x:f>IF(NOT(ISNUMBER(P136)),"",P136-R136)</x:f>
      </x:c>
      <x:c r="T136" s="265" t="str">
        <x:f>IF(A136="","",IF(NOT(ISNUMBER(N136)),"Complete fee inputs",IF(NOT(ISNUMBER(P136)),IF(R136&lt;&gt;0,"Receipt before earned","Not earned"),IF(S136&lt;0,"Overpaid",IF(S136=0,"Paid",IF(Q136="","Set due date",IF(Q136&lt;TODAY(),"Overdue","Awaiting payment")))))))</x:f>
      </x:c>
      <x:c r="U136" s="235"/>
      <x:c r="V136" s="235"/>
      <x:c r="W136" s="239"/>
      <x:c r="X136" s="238"/>
      <x:c r="Y136" s="238"/>
      <x:c r="Z136" s="238"/>
      <x:c r="AA136" s="235"/>
      <x:c r="AB136" s="315" t="str">
        <x:f>IF(A136="","",IF(COUNTIFS($A$6:$A$205,A136)&gt;1,"Duplicate ID",IF(OR(B136="",COUNTIFS('Clients'!$A$6:$A$205,B136)&lt;&gt;1),"Check Client ID",IF(OR(C136="",COUNTIFS('Properties'!$A$6:$A$205,C136)&lt;&gt;1),"Check Property ID",IF(E136="","Set deal stage",IF(NOT(ISNUMBER(X136)),"Add opened date",IF(AND(E136&lt;&gt;"Completed",E136&lt;&gt;"Cancelled",NOT(ISNUMBER(Y136))),"Add target close date",IF(AND(OR(E136="Completed",E136="Cancelled"),NOT(ISNUMBER(Z136))),"Add closed date",IF(AND(E136="Completed",NOT(ISNUMBER(O136))),"Add earned date",IF(AND(E136="Cancelled",AA136=""),"Add outcome reason",IF(AND(E136&lt;&gt;"Cancelled",NOT(ISNUMBER(N136))),"Complete fee inputs",IF(AND(ISNUMBER(Z136),ISNUMBER(X136),Z136&lt;X136),"Check closed date",""))))))))))))</x:f>
      </x:c>
      <x:c r="AC136" s="791"/>
      <x:c r="AD136" s="791"/>
      <x:c r="AE136" s="791"/>
      <x:c r="AF136" s="791"/>
      <x:c r="AG136" s="794"/>
      <x:c r="AH136" s="791"/>
    </x:row>
    <x:row r="137" ht="26" customHeight="1">
      <x:c r="A137" s="319"/>
      <x:c r="B137" s="320"/>
      <x:c r="C137" s="274"/>
      <x:c r="D137" s="274"/>
      <x:c r="E137" s="274"/>
      <x:c r="F137" s="302"/>
      <x:c r="G137" s="274"/>
      <x:c r="H137" s="303"/>
      <x:c r="I137" s="302"/>
      <x:c r="J137" s="312" t="str">
        <x:f>IF(A137="","",IF(G137="Fixed",IF(NOT(ISNUMBER(I137)),"",I137),IF(G137="Percentage",IF(OR(NOT(ISNUMBER(F137)),NOT(ISNUMBER(H137))),"",ROUND(F137*H137,2)),"")))</x:f>
      </x:c>
      <x:c r="K137" s="303"/>
      <x:c r="L137" s="312" t="str">
        <x:f>IF(OR(NOT(ISNUMBER(J137)),NOT(ISNUMBER(K137))),"",ROUND(J137*(1-K137),2))</x:f>
      </x:c>
      <x:c r="M137" s="303"/>
      <x:c r="N137" s="312" t="str">
        <x:f>IF(OR(NOT(ISNUMBER(L137)),NOT(ISNUMBER(M137))),"",ROUND(L137*M137,2))</x:f>
      </x:c>
      <x:c r="O137" s="304"/>
      <x:c r="P137" s="312" t="str">
        <x:f>IF(A137="","",IF(OR(E137&lt;&gt;"Completed",O137="",NOT(ISNUMBER(N137))),"",N137))</x:f>
      </x:c>
      <x:c r="Q137" s="304"/>
      <x:c r="R137" s="312" t="str">
        <x:f>IF(A137="","",SUMIFS('Payments'!$D$6:$D$205,'Payments'!$B$6:$B$205,A137))</x:f>
      </x:c>
      <x:c r="S137" s="312" t="str">
        <x:f>IF(NOT(ISNUMBER(P137)),"",P137-R137)</x:f>
      </x:c>
      <x:c r="T137" s="265" t="str">
        <x:f>IF(A137="","",IF(NOT(ISNUMBER(N137)),"Complete fee inputs",IF(NOT(ISNUMBER(P137)),IF(R137&lt;&gt;0,"Receipt before earned","Not earned"),IF(S137&lt;0,"Overpaid",IF(S137=0,"Paid",IF(Q137="","Set due date",IF(Q137&lt;TODAY(),"Overdue","Awaiting payment")))))))</x:f>
      </x:c>
      <x:c r="U137" s="274"/>
      <x:c r="V137" s="274"/>
      <x:c r="W137" s="280"/>
      <x:c r="X137" s="304"/>
      <x:c r="Y137" s="304"/>
      <x:c r="Z137" s="304"/>
      <x:c r="AA137" s="274"/>
      <x:c r="AB137" s="315" t="str">
        <x:f>IF(A137="","",IF(COUNTIFS($A$6:$A$205,A137)&gt;1,"Duplicate ID",IF(OR(B137="",COUNTIFS('Clients'!$A$6:$A$205,B137)&lt;&gt;1),"Check Client ID",IF(OR(C137="",COUNTIFS('Properties'!$A$6:$A$205,C137)&lt;&gt;1),"Check Property ID",IF(E137="","Set deal stage",IF(NOT(ISNUMBER(X137)),"Add opened date",IF(AND(E137&lt;&gt;"Completed",E137&lt;&gt;"Cancelled",NOT(ISNUMBER(Y137))),"Add target close date",IF(AND(OR(E137="Completed",E137="Cancelled"),NOT(ISNUMBER(Z137))),"Add closed date",IF(AND(E137="Completed",NOT(ISNUMBER(O137))),"Add earned date",IF(AND(E137="Cancelled",AA137=""),"Add outcome reason",IF(AND(E137&lt;&gt;"Cancelled",NOT(ISNUMBER(N137))),"Complete fee inputs",IF(AND(ISNUMBER(Z137),ISNUMBER(X137),Z137&lt;X137),"Check closed date",""))))))))))))</x:f>
      </x:c>
      <x:c r="AC137" s="791"/>
      <x:c r="AD137" s="791"/>
      <x:c r="AE137" s="791"/>
      <x:c r="AF137" s="791"/>
      <x:c r="AG137" s="794"/>
      <x:c r="AH137" s="791"/>
    </x:row>
    <x:row r="138" ht="26" customHeight="1">
      <x:c r="A138" s="317"/>
      <x:c r="B138" s="318"/>
      <x:c r="C138" s="235"/>
      <x:c r="D138" s="235"/>
      <x:c r="E138" s="235"/>
      <x:c r="F138" s="236"/>
      <x:c r="G138" s="235"/>
      <x:c r="H138" s="237"/>
      <x:c r="I138" s="236"/>
      <x:c r="J138" s="312" t="str">
        <x:f>IF(A138="","",IF(G138="Fixed",IF(NOT(ISNUMBER(I138)),"",I138),IF(G138="Percentage",IF(OR(NOT(ISNUMBER(F138)),NOT(ISNUMBER(H138))),"",ROUND(F138*H138,2)),"")))</x:f>
      </x:c>
      <x:c r="K138" s="237"/>
      <x:c r="L138" s="312" t="str">
        <x:f>IF(OR(NOT(ISNUMBER(J138)),NOT(ISNUMBER(K138))),"",ROUND(J138*(1-K138),2))</x:f>
      </x:c>
      <x:c r="M138" s="237"/>
      <x:c r="N138" s="312" t="str">
        <x:f>IF(OR(NOT(ISNUMBER(L138)),NOT(ISNUMBER(M138))),"",ROUND(L138*M138,2))</x:f>
      </x:c>
      <x:c r="O138" s="238"/>
      <x:c r="P138" s="312" t="str">
        <x:f>IF(A138="","",IF(OR(E138&lt;&gt;"Completed",O138="",NOT(ISNUMBER(N138))),"",N138))</x:f>
      </x:c>
      <x:c r="Q138" s="238"/>
      <x:c r="R138" s="312" t="str">
        <x:f>IF(A138="","",SUMIFS('Payments'!$D$6:$D$205,'Payments'!$B$6:$B$205,A138))</x:f>
      </x:c>
      <x:c r="S138" s="312" t="str">
        <x:f>IF(NOT(ISNUMBER(P138)),"",P138-R138)</x:f>
      </x:c>
      <x:c r="T138" s="265" t="str">
        <x:f>IF(A138="","",IF(NOT(ISNUMBER(N138)),"Complete fee inputs",IF(NOT(ISNUMBER(P138)),IF(R138&lt;&gt;0,"Receipt before earned","Not earned"),IF(S138&lt;0,"Overpaid",IF(S138=0,"Paid",IF(Q138="","Set due date",IF(Q138&lt;TODAY(),"Overdue","Awaiting payment")))))))</x:f>
      </x:c>
      <x:c r="U138" s="235"/>
      <x:c r="V138" s="235"/>
      <x:c r="W138" s="239"/>
      <x:c r="X138" s="238"/>
      <x:c r="Y138" s="238"/>
      <x:c r="Z138" s="238"/>
      <x:c r="AA138" s="235"/>
      <x:c r="AB138" s="315" t="str">
        <x:f>IF(A138="","",IF(COUNTIFS($A$6:$A$205,A138)&gt;1,"Duplicate ID",IF(OR(B138="",COUNTIFS('Clients'!$A$6:$A$205,B138)&lt;&gt;1),"Check Client ID",IF(OR(C138="",COUNTIFS('Properties'!$A$6:$A$205,C138)&lt;&gt;1),"Check Property ID",IF(E138="","Set deal stage",IF(NOT(ISNUMBER(X138)),"Add opened date",IF(AND(E138&lt;&gt;"Completed",E138&lt;&gt;"Cancelled",NOT(ISNUMBER(Y138))),"Add target close date",IF(AND(OR(E138="Completed",E138="Cancelled"),NOT(ISNUMBER(Z138))),"Add closed date",IF(AND(E138="Completed",NOT(ISNUMBER(O138))),"Add earned date",IF(AND(E138="Cancelled",AA138=""),"Add outcome reason",IF(AND(E138&lt;&gt;"Cancelled",NOT(ISNUMBER(N138))),"Complete fee inputs",IF(AND(ISNUMBER(Z138),ISNUMBER(X138),Z138&lt;X138),"Check closed date",""))))))))))))</x:f>
      </x:c>
      <x:c r="AC138" s="791"/>
      <x:c r="AD138" s="791"/>
      <x:c r="AE138" s="791"/>
      <x:c r="AF138" s="791"/>
      <x:c r="AG138" s="794"/>
      <x:c r="AH138" s="791"/>
    </x:row>
    <x:row r="139" ht="26" customHeight="1">
      <x:c r="A139" s="319"/>
      <x:c r="B139" s="320"/>
      <x:c r="C139" s="274"/>
      <x:c r="D139" s="274"/>
      <x:c r="E139" s="274"/>
      <x:c r="F139" s="302"/>
      <x:c r="G139" s="274"/>
      <x:c r="H139" s="303"/>
      <x:c r="I139" s="302"/>
      <x:c r="J139" s="312" t="str">
        <x:f>IF(A139="","",IF(G139="Fixed",IF(NOT(ISNUMBER(I139)),"",I139),IF(G139="Percentage",IF(OR(NOT(ISNUMBER(F139)),NOT(ISNUMBER(H139))),"",ROUND(F139*H139,2)),"")))</x:f>
      </x:c>
      <x:c r="K139" s="303"/>
      <x:c r="L139" s="312" t="str">
        <x:f>IF(OR(NOT(ISNUMBER(J139)),NOT(ISNUMBER(K139))),"",ROUND(J139*(1-K139),2))</x:f>
      </x:c>
      <x:c r="M139" s="303"/>
      <x:c r="N139" s="312" t="str">
        <x:f>IF(OR(NOT(ISNUMBER(L139)),NOT(ISNUMBER(M139))),"",ROUND(L139*M139,2))</x:f>
      </x:c>
      <x:c r="O139" s="304"/>
      <x:c r="P139" s="312" t="str">
        <x:f>IF(A139="","",IF(OR(E139&lt;&gt;"Completed",O139="",NOT(ISNUMBER(N139))),"",N139))</x:f>
      </x:c>
      <x:c r="Q139" s="304"/>
      <x:c r="R139" s="312" t="str">
        <x:f>IF(A139="","",SUMIFS('Payments'!$D$6:$D$205,'Payments'!$B$6:$B$205,A139))</x:f>
      </x:c>
      <x:c r="S139" s="312" t="str">
        <x:f>IF(NOT(ISNUMBER(P139)),"",P139-R139)</x:f>
      </x:c>
      <x:c r="T139" s="265" t="str">
        <x:f>IF(A139="","",IF(NOT(ISNUMBER(N139)),"Complete fee inputs",IF(NOT(ISNUMBER(P139)),IF(R139&lt;&gt;0,"Receipt before earned","Not earned"),IF(S139&lt;0,"Overpaid",IF(S139=0,"Paid",IF(Q139="","Set due date",IF(Q139&lt;TODAY(),"Overdue","Awaiting payment")))))))</x:f>
      </x:c>
      <x:c r="U139" s="274"/>
      <x:c r="V139" s="274"/>
      <x:c r="W139" s="280"/>
      <x:c r="X139" s="304"/>
      <x:c r="Y139" s="304"/>
      <x:c r="Z139" s="304"/>
      <x:c r="AA139" s="274"/>
      <x:c r="AB139" s="315" t="str">
        <x:f>IF(A139="","",IF(COUNTIFS($A$6:$A$205,A139)&gt;1,"Duplicate ID",IF(OR(B139="",COUNTIFS('Clients'!$A$6:$A$205,B139)&lt;&gt;1),"Check Client ID",IF(OR(C139="",COUNTIFS('Properties'!$A$6:$A$205,C139)&lt;&gt;1),"Check Property ID",IF(E139="","Set deal stage",IF(NOT(ISNUMBER(X139)),"Add opened date",IF(AND(E139&lt;&gt;"Completed",E139&lt;&gt;"Cancelled",NOT(ISNUMBER(Y139))),"Add target close date",IF(AND(OR(E139="Completed",E139="Cancelled"),NOT(ISNUMBER(Z139))),"Add closed date",IF(AND(E139="Completed",NOT(ISNUMBER(O139))),"Add earned date",IF(AND(E139="Cancelled",AA139=""),"Add outcome reason",IF(AND(E139&lt;&gt;"Cancelled",NOT(ISNUMBER(N139))),"Complete fee inputs",IF(AND(ISNUMBER(Z139),ISNUMBER(X139),Z139&lt;X139),"Check closed date",""))))))))))))</x:f>
      </x:c>
      <x:c r="AC139" s="791"/>
      <x:c r="AD139" s="791"/>
      <x:c r="AE139" s="791"/>
      <x:c r="AF139" s="791"/>
      <x:c r="AG139" s="794"/>
      <x:c r="AH139" s="791"/>
    </x:row>
    <x:row r="140" ht="26" customHeight="1">
      <x:c r="A140" s="317"/>
      <x:c r="B140" s="318"/>
      <x:c r="C140" s="235"/>
      <x:c r="D140" s="235"/>
      <x:c r="E140" s="235"/>
      <x:c r="F140" s="236"/>
      <x:c r="G140" s="235"/>
      <x:c r="H140" s="237"/>
      <x:c r="I140" s="236"/>
      <x:c r="J140" s="312" t="str">
        <x:f>IF(A140="","",IF(G140="Fixed",IF(NOT(ISNUMBER(I140)),"",I140),IF(G140="Percentage",IF(OR(NOT(ISNUMBER(F140)),NOT(ISNUMBER(H140))),"",ROUND(F140*H140,2)),"")))</x:f>
      </x:c>
      <x:c r="K140" s="237"/>
      <x:c r="L140" s="312" t="str">
        <x:f>IF(OR(NOT(ISNUMBER(J140)),NOT(ISNUMBER(K140))),"",ROUND(J140*(1-K140),2))</x:f>
      </x:c>
      <x:c r="M140" s="237"/>
      <x:c r="N140" s="312" t="str">
        <x:f>IF(OR(NOT(ISNUMBER(L140)),NOT(ISNUMBER(M140))),"",ROUND(L140*M140,2))</x:f>
      </x:c>
      <x:c r="O140" s="238"/>
      <x:c r="P140" s="312" t="str">
        <x:f>IF(A140="","",IF(OR(E140&lt;&gt;"Completed",O140="",NOT(ISNUMBER(N140))),"",N140))</x:f>
      </x:c>
      <x:c r="Q140" s="238"/>
      <x:c r="R140" s="312" t="str">
        <x:f>IF(A140="","",SUMIFS('Payments'!$D$6:$D$205,'Payments'!$B$6:$B$205,A140))</x:f>
      </x:c>
      <x:c r="S140" s="312" t="str">
        <x:f>IF(NOT(ISNUMBER(P140)),"",P140-R140)</x:f>
      </x:c>
      <x:c r="T140" s="265" t="str">
        <x:f>IF(A140="","",IF(NOT(ISNUMBER(N140)),"Complete fee inputs",IF(NOT(ISNUMBER(P140)),IF(R140&lt;&gt;0,"Receipt before earned","Not earned"),IF(S140&lt;0,"Overpaid",IF(S140=0,"Paid",IF(Q140="","Set due date",IF(Q140&lt;TODAY(),"Overdue","Awaiting payment")))))))</x:f>
      </x:c>
      <x:c r="U140" s="235"/>
      <x:c r="V140" s="235"/>
      <x:c r="W140" s="239"/>
      <x:c r="X140" s="238"/>
      <x:c r="Y140" s="238"/>
      <x:c r="Z140" s="238"/>
      <x:c r="AA140" s="235"/>
      <x:c r="AB140" s="315" t="str">
        <x:f>IF(A140="","",IF(COUNTIFS($A$6:$A$205,A140)&gt;1,"Duplicate ID",IF(OR(B140="",COUNTIFS('Clients'!$A$6:$A$205,B140)&lt;&gt;1),"Check Client ID",IF(OR(C140="",COUNTIFS('Properties'!$A$6:$A$205,C140)&lt;&gt;1),"Check Property ID",IF(E140="","Set deal stage",IF(NOT(ISNUMBER(X140)),"Add opened date",IF(AND(E140&lt;&gt;"Completed",E140&lt;&gt;"Cancelled",NOT(ISNUMBER(Y140))),"Add target close date",IF(AND(OR(E140="Completed",E140="Cancelled"),NOT(ISNUMBER(Z140))),"Add closed date",IF(AND(E140="Completed",NOT(ISNUMBER(O140))),"Add earned date",IF(AND(E140="Cancelled",AA140=""),"Add outcome reason",IF(AND(E140&lt;&gt;"Cancelled",NOT(ISNUMBER(N140))),"Complete fee inputs",IF(AND(ISNUMBER(Z140),ISNUMBER(X140),Z140&lt;X140),"Check closed date",""))))))))))))</x:f>
      </x:c>
      <x:c r="AC140" s="791"/>
      <x:c r="AD140" s="791"/>
      <x:c r="AE140" s="791"/>
      <x:c r="AF140" s="791"/>
      <x:c r="AG140" s="794"/>
      <x:c r="AH140" s="791"/>
    </x:row>
    <x:row r="141" ht="26" customHeight="1">
      <x:c r="A141" s="319"/>
      <x:c r="B141" s="320"/>
      <x:c r="C141" s="274"/>
      <x:c r="D141" s="274"/>
      <x:c r="E141" s="274"/>
      <x:c r="F141" s="302"/>
      <x:c r="G141" s="274"/>
      <x:c r="H141" s="303"/>
      <x:c r="I141" s="302"/>
      <x:c r="J141" s="312" t="str">
        <x:f>IF(A141="","",IF(G141="Fixed",IF(NOT(ISNUMBER(I141)),"",I141),IF(G141="Percentage",IF(OR(NOT(ISNUMBER(F141)),NOT(ISNUMBER(H141))),"",ROUND(F141*H141,2)),"")))</x:f>
      </x:c>
      <x:c r="K141" s="303"/>
      <x:c r="L141" s="312" t="str">
        <x:f>IF(OR(NOT(ISNUMBER(J141)),NOT(ISNUMBER(K141))),"",ROUND(J141*(1-K141),2))</x:f>
      </x:c>
      <x:c r="M141" s="303"/>
      <x:c r="N141" s="312" t="str">
        <x:f>IF(OR(NOT(ISNUMBER(L141)),NOT(ISNUMBER(M141))),"",ROUND(L141*M141,2))</x:f>
      </x:c>
      <x:c r="O141" s="304"/>
      <x:c r="P141" s="312" t="str">
        <x:f>IF(A141="","",IF(OR(E141&lt;&gt;"Completed",O141="",NOT(ISNUMBER(N141))),"",N141))</x:f>
      </x:c>
      <x:c r="Q141" s="304"/>
      <x:c r="R141" s="312" t="str">
        <x:f>IF(A141="","",SUMIFS('Payments'!$D$6:$D$205,'Payments'!$B$6:$B$205,A141))</x:f>
      </x:c>
      <x:c r="S141" s="312" t="str">
        <x:f>IF(NOT(ISNUMBER(P141)),"",P141-R141)</x:f>
      </x:c>
      <x:c r="T141" s="265" t="str">
        <x:f>IF(A141="","",IF(NOT(ISNUMBER(N141)),"Complete fee inputs",IF(NOT(ISNUMBER(P141)),IF(R141&lt;&gt;0,"Receipt before earned","Not earned"),IF(S141&lt;0,"Overpaid",IF(S141=0,"Paid",IF(Q141="","Set due date",IF(Q141&lt;TODAY(),"Overdue","Awaiting payment")))))))</x:f>
      </x:c>
      <x:c r="U141" s="274"/>
      <x:c r="V141" s="274"/>
      <x:c r="W141" s="280"/>
      <x:c r="X141" s="304"/>
      <x:c r="Y141" s="304"/>
      <x:c r="Z141" s="304"/>
      <x:c r="AA141" s="274"/>
      <x:c r="AB141" s="315" t="str">
        <x:f>IF(A141="","",IF(COUNTIFS($A$6:$A$205,A141)&gt;1,"Duplicate ID",IF(OR(B141="",COUNTIFS('Clients'!$A$6:$A$205,B141)&lt;&gt;1),"Check Client ID",IF(OR(C141="",COUNTIFS('Properties'!$A$6:$A$205,C141)&lt;&gt;1),"Check Property ID",IF(E141="","Set deal stage",IF(NOT(ISNUMBER(X141)),"Add opened date",IF(AND(E141&lt;&gt;"Completed",E141&lt;&gt;"Cancelled",NOT(ISNUMBER(Y141))),"Add target close date",IF(AND(OR(E141="Completed",E141="Cancelled"),NOT(ISNUMBER(Z141))),"Add closed date",IF(AND(E141="Completed",NOT(ISNUMBER(O141))),"Add earned date",IF(AND(E141="Cancelled",AA141=""),"Add outcome reason",IF(AND(E141&lt;&gt;"Cancelled",NOT(ISNUMBER(N141))),"Complete fee inputs",IF(AND(ISNUMBER(Z141),ISNUMBER(X141),Z141&lt;X141),"Check closed date",""))))))))))))</x:f>
      </x:c>
      <x:c r="AC141" s="791"/>
      <x:c r="AD141" s="791"/>
      <x:c r="AE141" s="791"/>
      <x:c r="AF141" s="791"/>
      <x:c r="AG141" s="794"/>
      <x:c r="AH141" s="791"/>
    </x:row>
    <x:row r="142" ht="26" customHeight="1">
      <x:c r="A142" s="317"/>
      <x:c r="B142" s="318"/>
      <x:c r="C142" s="235"/>
      <x:c r="D142" s="235"/>
      <x:c r="E142" s="235"/>
      <x:c r="F142" s="236"/>
      <x:c r="G142" s="235"/>
      <x:c r="H142" s="237"/>
      <x:c r="I142" s="236"/>
      <x:c r="J142" s="312" t="str">
        <x:f>IF(A142="","",IF(G142="Fixed",IF(NOT(ISNUMBER(I142)),"",I142),IF(G142="Percentage",IF(OR(NOT(ISNUMBER(F142)),NOT(ISNUMBER(H142))),"",ROUND(F142*H142,2)),"")))</x:f>
      </x:c>
      <x:c r="K142" s="237"/>
      <x:c r="L142" s="312" t="str">
        <x:f>IF(OR(NOT(ISNUMBER(J142)),NOT(ISNUMBER(K142))),"",ROUND(J142*(1-K142),2))</x:f>
      </x:c>
      <x:c r="M142" s="237"/>
      <x:c r="N142" s="312" t="str">
        <x:f>IF(OR(NOT(ISNUMBER(L142)),NOT(ISNUMBER(M142))),"",ROUND(L142*M142,2))</x:f>
      </x:c>
      <x:c r="O142" s="238"/>
      <x:c r="P142" s="312" t="str">
        <x:f>IF(A142="","",IF(OR(E142&lt;&gt;"Completed",O142="",NOT(ISNUMBER(N142))),"",N142))</x:f>
      </x:c>
      <x:c r="Q142" s="238"/>
      <x:c r="R142" s="312" t="str">
        <x:f>IF(A142="","",SUMIFS('Payments'!$D$6:$D$205,'Payments'!$B$6:$B$205,A142))</x:f>
      </x:c>
      <x:c r="S142" s="312" t="str">
        <x:f>IF(NOT(ISNUMBER(P142)),"",P142-R142)</x:f>
      </x:c>
      <x:c r="T142" s="265" t="str">
        <x:f>IF(A142="","",IF(NOT(ISNUMBER(N142)),"Complete fee inputs",IF(NOT(ISNUMBER(P142)),IF(R142&lt;&gt;0,"Receipt before earned","Not earned"),IF(S142&lt;0,"Overpaid",IF(S142=0,"Paid",IF(Q142="","Set due date",IF(Q142&lt;TODAY(),"Overdue","Awaiting payment")))))))</x:f>
      </x:c>
      <x:c r="U142" s="235"/>
      <x:c r="V142" s="235"/>
      <x:c r="W142" s="239"/>
      <x:c r="X142" s="238"/>
      <x:c r="Y142" s="238"/>
      <x:c r="Z142" s="238"/>
      <x:c r="AA142" s="235"/>
      <x:c r="AB142" s="315" t="str">
        <x:f>IF(A142="","",IF(COUNTIFS($A$6:$A$205,A142)&gt;1,"Duplicate ID",IF(OR(B142="",COUNTIFS('Clients'!$A$6:$A$205,B142)&lt;&gt;1),"Check Client ID",IF(OR(C142="",COUNTIFS('Properties'!$A$6:$A$205,C142)&lt;&gt;1),"Check Property ID",IF(E142="","Set deal stage",IF(NOT(ISNUMBER(X142)),"Add opened date",IF(AND(E142&lt;&gt;"Completed",E142&lt;&gt;"Cancelled",NOT(ISNUMBER(Y142))),"Add target close date",IF(AND(OR(E142="Completed",E142="Cancelled"),NOT(ISNUMBER(Z142))),"Add closed date",IF(AND(E142="Completed",NOT(ISNUMBER(O142))),"Add earned date",IF(AND(E142="Cancelled",AA142=""),"Add outcome reason",IF(AND(E142&lt;&gt;"Cancelled",NOT(ISNUMBER(N142))),"Complete fee inputs",IF(AND(ISNUMBER(Z142),ISNUMBER(X142),Z142&lt;X142),"Check closed date",""))))))))))))</x:f>
      </x:c>
      <x:c r="AC142" s="791"/>
      <x:c r="AD142" s="791"/>
      <x:c r="AE142" s="791"/>
      <x:c r="AF142" s="791"/>
      <x:c r="AG142" s="794"/>
      <x:c r="AH142" s="791"/>
    </x:row>
    <x:row r="143" ht="26" customHeight="1">
      <x:c r="A143" s="319"/>
      <x:c r="B143" s="320"/>
      <x:c r="C143" s="274"/>
      <x:c r="D143" s="274"/>
      <x:c r="E143" s="274"/>
      <x:c r="F143" s="302"/>
      <x:c r="G143" s="274"/>
      <x:c r="H143" s="303"/>
      <x:c r="I143" s="302"/>
      <x:c r="J143" s="312" t="str">
        <x:f>IF(A143="","",IF(G143="Fixed",IF(NOT(ISNUMBER(I143)),"",I143),IF(G143="Percentage",IF(OR(NOT(ISNUMBER(F143)),NOT(ISNUMBER(H143))),"",ROUND(F143*H143,2)),"")))</x:f>
      </x:c>
      <x:c r="K143" s="303"/>
      <x:c r="L143" s="312" t="str">
        <x:f>IF(OR(NOT(ISNUMBER(J143)),NOT(ISNUMBER(K143))),"",ROUND(J143*(1-K143),2))</x:f>
      </x:c>
      <x:c r="M143" s="303"/>
      <x:c r="N143" s="312" t="str">
        <x:f>IF(OR(NOT(ISNUMBER(L143)),NOT(ISNUMBER(M143))),"",ROUND(L143*M143,2))</x:f>
      </x:c>
      <x:c r="O143" s="304"/>
      <x:c r="P143" s="312" t="str">
        <x:f>IF(A143="","",IF(OR(E143&lt;&gt;"Completed",O143="",NOT(ISNUMBER(N143))),"",N143))</x:f>
      </x:c>
      <x:c r="Q143" s="304"/>
      <x:c r="R143" s="312" t="str">
        <x:f>IF(A143="","",SUMIFS('Payments'!$D$6:$D$205,'Payments'!$B$6:$B$205,A143))</x:f>
      </x:c>
      <x:c r="S143" s="312" t="str">
        <x:f>IF(NOT(ISNUMBER(P143)),"",P143-R143)</x:f>
      </x:c>
      <x:c r="T143" s="265" t="str">
        <x:f>IF(A143="","",IF(NOT(ISNUMBER(N143)),"Complete fee inputs",IF(NOT(ISNUMBER(P143)),IF(R143&lt;&gt;0,"Receipt before earned","Not earned"),IF(S143&lt;0,"Overpaid",IF(S143=0,"Paid",IF(Q143="","Set due date",IF(Q143&lt;TODAY(),"Overdue","Awaiting payment")))))))</x:f>
      </x:c>
      <x:c r="U143" s="274"/>
      <x:c r="V143" s="274"/>
      <x:c r="W143" s="280"/>
      <x:c r="X143" s="304"/>
      <x:c r="Y143" s="304"/>
      <x:c r="Z143" s="304"/>
      <x:c r="AA143" s="274"/>
      <x:c r="AB143" s="315" t="str">
        <x:f>IF(A143="","",IF(COUNTIFS($A$6:$A$205,A143)&gt;1,"Duplicate ID",IF(OR(B143="",COUNTIFS('Clients'!$A$6:$A$205,B143)&lt;&gt;1),"Check Client ID",IF(OR(C143="",COUNTIFS('Properties'!$A$6:$A$205,C143)&lt;&gt;1),"Check Property ID",IF(E143="","Set deal stage",IF(NOT(ISNUMBER(X143)),"Add opened date",IF(AND(E143&lt;&gt;"Completed",E143&lt;&gt;"Cancelled",NOT(ISNUMBER(Y143))),"Add target close date",IF(AND(OR(E143="Completed",E143="Cancelled"),NOT(ISNUMBER(Z143))),"Add closed date",IF(AND(E143="Completed",NOT(ISNUMBER(O143))),"Add earned date",IF(AND(E143="Cancelled",AA143=""),"Add outcome reason",IF(AND(E143&lt;&gt;"Cancelled",NOT(ISNUMBER(N143))),"Complete fee inputs",IF(AND(ISNUMBER(Z143),ISNUMBER(X143),Z143&lt;X143),"Check closed date",""))))))))))))</x:f>
      </x:c>
      <x:c r="AC143" s="791"/>
      <x:c r="AD143" s="791"/>
      <x:c r="AE143" s="791"/>
      <x:c r="AF143" s="791"/>
      <x:c r="AG143" s="794"/>
      <x:c r="AH143" s="791"/>
    </x:row>
    <x:row r="144" ht="26" customHeight="1">
      <x:c r="A144" s="317"/>
      <x:c r="B144" s="318"/>
      <x:c r="C144" s="235"/>
      <x:c r="D144" s="235"/>
      <x:c r="E144" s="235"/>
      <x:c r="F144" s="236"/>
      <x:c r="G144" s="235"/>
      <x:c r="H144" s="237"/>
      <x:c r="I144" s="236"/>
      <x:c r="J144" s="312" t="str">
        <x:f>IF(A144="","",IF(G144="Fixed",IF(NOT(ISNUMBER(I144)),"",I144),IF(G144="Percentage",IF(OR(NOT(ISNUMBER(F144)),NOT(ISNUMBER(H144))),"",ROUND(F144*H144,2)),"")))</x:f>
      </x:c>
      <x:c r="K144" s="237"/>
      <x:c r="L144" s="312" t="str">
        <x:f>IF(OR(NOT(ISNUMBER(J144)),NOT(ISNUMBER(K144))),"",ROUND(J144*(1-K144),2))</x:f>
      </x:c>
      <x:c r="M144" s="237"/>
      <x:c r="N144" s="312" t="str">
        <x:f>IF(OR(NOT(ISNUMBER(L144)),NOT(ISNUMBER(M144))),"",ROUND(L144*M144,2))</x:f>
      </x:c>
      <x:c r="O144" s="238"/>
      <x:c r="P144" s="312" t="str">
        <x:f>IF(A144="","",IF(OR(E144&lt;&gt;"Completed",O144="",NOT(ISNUMBER(N144))),"",N144))</x:f>
      </x:c>
      <x:c r="Q144" s="238"/>
      <x:c r="R144" s="312" t="str">
        <x:f>IF(A144="","",SUMIFS('Payments'!$D$6:$D$205,'Payments'!$B$6:$B$205,A144))</x:f>
      </x:c>
      <x:c r="S144" s="312" t="str">
        <x:f>IF(NOT(ISNUMBER(P144)),"",P144-R144)</x:f>
      </x:c>
      <x:c r="T144" s="265" t="str">
        <x:f>IF(A144="","",IF(NOT(ISNUMBER(N144)),"Complete fee inputs",IF(NOT(ISNUMBER(P144)),IF(R144&lt;&gt;0,"Receipt before earned","Not earned"),IF(S144&lt;0,"Overpaid",IF(S144=0,"Paid",IF(Q144="","Set due date",IF(Q144&lt;TODAY(),"Overdue","Awaiting payment")))))))</x:f>
      </x:c>
      <x:c r="U144" s="235"/>
      <x:c r="V144" s="235"/>
      <x:c r="W144" s="239"/>
      <x:c r="X144" s="238"/>
      <x:c r="Y144" s="238"/>
      <x:c r="Z144" s="238"/>
      <x:c r="AA144" s="235"/>
      <x:c r="AB144" s="315" t="str">
        <x:f>IF(A144="","",IF(COUNTIFS($A$6:$A$205,A144)&gt;1,"Duplicate ID",IF(OR(B144="",COUNTIFS('Clients'!$A$6:$A$205,B144)&lt;&gt;1),"Check Client ID",IF(OR(C144="",COUNTIFS('Properties'!$A$6:$A$205,C144)&lt;&gt;1),"Check Property ID",IF(E144="","Set deal stage",IF(NOT(ISNUMBER(X144)),"Add opened date",IF(AND(E144&lt;&gt;"Completed",E144&lt;&gt;"Cancelled",NOT(ISNUMBER(Y144))),"Add target close date",IF(AND(OR(E144="Completed",E144="Cancelled"),NOT(ISNUMBER(Z144))),"Add closed date",IF(AND(E144="Completed",NOT(ISNUMBER(O144))),"Add earned date",IF(AND(E144="Cancelled",AA144=""),"Add outcome reason",IF(AND(E144&lt;&gt;"Cancelled",NOT(ISNUMBER(N144))),"Complete fee inputs",IF(AND(ISNUMBER(Z144),ISNUMBER(X144),Z144&lt;X144),"Check closed date",""))))))))))))</x:f>
      </x:c>
      <x:c r="AC144" s="791"/>
      <x:c r="AD144" s="791"/>
      <x:c r="AE144" s="791"/>
      <x:c r="AF144" s="791"/>
      <x:c r="AG144" s="794"/>
      <x:c r="AH144" s="791"/>
    </x:row>
    <x:row r="145" ht="26" customHeight="1">
      <x:c r="A145" s="319"/>
      <x:c r="B145" s="320"/>
      <x:c r="C145" s="274"/>
      <x:c r="D145" s="274"/>
      <x:c r="E145" s="274"/>
      <x:c r="F145" s="302"/>
      <x:c r="G145" s="274"/>
      <x:c r="H145" s="303"/>
      <x:c r="I145" s="302"/>
      <x:c r="J145" s="312" t="str">
        <x:f>IF(A145="","",IF(G145="Fixed",IF(NOT(ISNUMBER(I145)),"",I145),IF(G145="Percentage",IF(OR(NOT(ISNUMBER(F145)),NOT(ISNUMBER(H145))),"",ROUND(F145*H145,2)),"")))</x:f>
      </x:c>
      <x:c r="K145" s="303"/>
      <x:c r="L145" s="312" t="str">
        <x:f>IF(OR(NOT(ISNUMBER(J145)),NOT(ISNUMBER(K145))),"",ROUND(J145*(1-K145),2))</x:f>
      </x:c>
      <x:c r="M145" s="303"/>
      <x:c r="N145" s="312" t="str">
        <x:f>IF(OR(NOT(ISNUMBER(L145)),NOT(ISNUMBER(M145))),"",ROUND(L145*M145,2))</x:f>
      </x:c>
      <x:c r="O145" s="304"/>
      <x:c r="P145" s="312" t="str">
        <x:f>IF(A145="","",IF(OR(E145&lt;&gt;"Completed",O145="",NOT(ISNUMBER(N145))),"",N145))</x:f>
      </x:c>
      <x:c r="Q145" s="304"/>
      <x:c r="R145" s="312" t="str">
        <x:f>IF(A145="","",SUMIFS('Payments'!$D$6:$D$205,'Payments'!$B$6:$B$205,A145))</x:f>
      </x:c>
      <x:c r="S145" s="312" t="str">
        <x:f>IF(NOT(ISNUMBER(P145)),"",P145-R145)</x:f>
      </x:c>
      <x:c r="T145" s="265" t="str">
        <x:f>IF(A145="","",IF(NOT(ISNUMBER(N145)),"Complete fee inputs",IF(NOT(ISNUMBER(P145)),IF(R145&lt;&gt;0,"Receipt before earned","Not earned"),IF(S145&lt;0,"Overpaid",IF(S145=0,"Paid",IF(Q145="","Set due date",IF(Q145&lt;TODAY(),"Overdue","Awaiting payment")))))))</x:f>
      </x:c>
      <x:c r="U145" s="274"/>
      <x:c r="V145" s="274"/>
      <x:c r="W145" s="280"/>
      <x:c r="X145" s="304"/>
      <x:c r="Y145" s="304"/>
      <x:c r="Z145" s="304"/>
      <x:c r="AA145" s="274"/>
      <x:c r="AB145" s="315" t="str">
        <x:f>IF(A145="","",IF(COUNTIFS($A$6:$A$205,A145)&gt;1,"Duplicate ID",IF(OR(B145="",COUNTIFS('Clients'!$A$6:$A$205,B145)&lt;&gt;1),"Check Client ID",IF(OR(C145="",COUNTIFS('Properties'!$A$6:$A$205,C145)&lt;&gt;1),"Check Property ID",IF(E145="","Set deal stage",IF(NOT(ISNUMBER(X145)),"Add opened date",IF(AND(E145&lt;&gt;"Completed",E145&lt;&gt;"Cancelled",NOT(ISNUMBER(Y145))),"Add target close date",IF(AND(OR(E145="Completed",E145="Cancelled"),NOT(ISNUMBER(Z145))),"Add closed date",IF(AND(E145="Completed",NOT(ISNUMBER(O145))),"Add earned date",IF(AND(E145="Cancelled",AA145=""),"Add outcome reason",IF(AND(E145&lt;&gt;"Cancelled",NOT(ISNUMBER(N145))),"Complete fee inputs",IF(AND(ISNUMBER(Z145),ISNUMBER(X145),Z145&lt;X145),"Check closed date",""))))))))))))</x:f>
      </x:c>
      <x:c r="AC145" s="791"/>
      <x:c r="AD145" s="791"/>
      <x:c r="AE145" s="791"/>
      <x:c r="AF145" s="791"/>
      <x:c r="AG145" s="794"/>
      <x:c r="AH145" s="791"/>
    </x:row>
    <x:row r="146" ht="26" customHeight="1">
      <x:c r="A146" s="317"/>
      <x:c r="B146" s="318"/>
      <x:c r="C146" s="235"/>
      <x:c r="D146" s="235"/>
      <x:c r="E146" s="235"/>
      <x:c r="F146" s="236"/>
      <x:c r="G146" s="235"/>
      <x:c r="H146" s="237"/>
      <x:c r="I146" s="236"/>
      <x:c r="J146" s="312" t="str">
        <x:f>IF(A146="","",IF(G146="Fixed",IF(NOT(ISNUMBER(I146)),"",I146),IF(G146="Percentage",IF(OR(NOT(ISNUMBER(F146)),NOT(ISNUMBER(H146))),"",ROUND(F146*H146,2)),"")))</x:f>
      </x:c>
      <x:c r="K146" s="237"/>
      <x:c r="L146" s="312" t="str">
        <x:f>IF(OR(NOT(ISNUMBER(J146)),NOT(ISNUMBER(K146))),"",ROUND(J146*(1-K146),2))</x:f>
      </x:c>
      <x:c r="M146" s="237"/>
      <x:c r="N146" s="312" t="str">
        <x:f>IF(OR(NOT(ISNUMBER(L146)),NOT(ISNUMBER(M146))),"",ROUND(L146*M146,2))</x:f>
      </x:c>
      <x:c r="O146" s="238"/>
      <x:c r="P146" s="312" t="str">
        <x:f>IF(A146="","",IF(OR(E146&lt;&gt;"Completed",O146="",NOT(ISNUMBER(N146))),"",N146))</x:f>
      </x:c>
      <x:c r="Q146" s="238"/>
      <x:c r="R146" s="312" t="str">
        <x:f>IF(A146="","",SUMIFS('Payments'!$D$6:$D$205,'Payments'!$B$6:$B$205,A146))</x:f>
      </x:c>
      <x:c r="S146" s="312" t="str">
        <x:f>IF(NOT(ISNUMBER(P146)),"",P146-R146)</x:f>
      </x:c>
      <x:c r="T146" s="265" t="str">
        <x:f>IF(A146="","",IF(NOT(ISNUMBER(N146)),"Complete fee inputs",IF(NOT(ISNUMBER(P146)),IF(R146&lt;&gt;0,"Receipt before earned","Not earned"),IF(S146&lt;0,"Overpaid",IF(S146=0,"Paid",IF(Q146="","Set due date",IF(Q146&lt;TODAY(),"Overdue","Awaiting payment")))))))</x:f>
      </x:c>
      <x:c r="U146" s="235"/>
      <x:c r="V146" s="235"/>
      <x:c r="W146" s="239"/>
      <x:c r="X146" s="238"/>
      <x:c r="Y146" s="238"/>
      <x:c r="Z146" s="238"/>
      <x:c r="AA146" s="235"/>
      <x:c r="AB146" s="315" t="str">
        <x:f>IF(A146="","",IF(COUNTIFS($A$6:$A$205,A146)&gt;1,"Duplicate ID",IF(OR(B146="",COUNTIFS('Clients'!$A$6:$A$205,B146)&lt;&gt;1),"Check Client ID",IF(OR(C146="",COUNTIFS('Properties'!$A$6:$A$205,C146)&lt;&gt;1),"Check Property ID",IF(E146="","Set deal stage",IF(NOT(ISNUMBER(X146)),"Add opened date",IF(AND(E146&lt;&gt;"Completed",E146&lt;&gt;"Cancelled",NOT(ISNUMBER(Y146))),"Add target close date",IF(AND(OR(E146="Completed",E146="Cancelled"),NOT(ISNUMBER(Z146))),"Add closed date",IF(AND(E146="Completed",NOT(ISNUMBER(O146))),"Add earned date",IF(AND(E146="Cancelled",AA146=""),"Add outcome reason",IF(AND(E146&lt;&gt;"Cancelled",NOT(ISNUMBER(N146))),"Complete fee inputs",IF(AND(ISNUMBER(Z146),ISNUMBER(X146),Z146&lt;X146),"Check closed date",""))))))))))))</x:f>
      </x:c>
      <x:c r="AC146" s="791"/>
      <x:c r="AD146" s="791"/>
      <x:c r="AE146" s="791"/>
      <x:c r="AF146" s="791"/>
      <x:c r="AG146" s="794"/>
      <x:c r="AH146" s="791"/>
    </x:row>
    <x:row r="147" ht="26" customHeight="1">
      <x:c r="A147" s="319"/>
      <x:c r="B147" s="320"/>
      <x:c r="C147" s="274"/>
      <x:c r="D147" s="274"/>
      <x:c r="E147" s="274"/>
      <x:c r="F147" s="302"/>
      <x:c r="G147" s="274"/>
      <x:c r="H147" s="303"/>
      <x:c r="I147" s="302"/>
      <x:c r="J147" s="312" t="str">
        <x:f>IF(A147="","",IF(G147="Fixed",IF(NOT(ISNUMBER(I147)),"",I147),IF(G147="Percentage",IF(OR(NOT(ISNUMBER(F147)),NOT(ISNUMBER(H147))),"",ROUND(F147*H147,2)),"")))</x:f>
      </x:c>
      <x:c r="K147" s="303"/>
      <x:c r="L147" s="312" t="str">
        <x:f>IF(OR(NOT(ISNUMBER(J147)),NOT(ISNUMBER(K147))),"",ROUND(J147*(1-K147),2))</x:f>
      </x:c>
      <x:c r="M147" s="303"/>
      <x:c r="N147" s="312" t="str">
        <x:f>IF(OR(NOT(ISNUMBER(L147)),NOT(ISNUMBER(M147))),"",ROUND(L147*M147,2))</x:f>
      </x:c>
      <x:c r="O147" s="304"/>
      <x:c r="P147" s="312" t="str">
        <x:f>IF(A147="","",IF(OR(E147&lt;&gt;"Completed",O147="",NOT(ISNUMBER(N147))),"",N147))</x:f>
      </x:c>
      <x:c r="Q147" s="304"/>
      <x:c r="R147" s="312" t="str">
        <x:f>IF(A147="","",SUMIFS('Payments'!$D$6:$D$205,'Payments'!$B$6:$B$205,A147))</x:f>
      </x:c>
      <x:c r="S147" s="312" t="str">
        <x:f>IF(NOT(ISNUMBER(P147)),"",P147-R147)</x:f>
      </x:c>
      <x:c r="T147" s="265" t="str">
        <x:f>IF(A147="","",IF(NOT(ISNUMBER(N147)),"Complete fee inputs",IF(NOT(ISNUMBER(P147)),IF(R147&lt;&gt;0,"Receipt before earned","Not earned"),IF(S147&lt;0,"Overpaid",IF(S147=0,"Paid",IF(Q147="","Set due date",IF(Q147&lt;TODAY(),"Overdue","Awaiting payment")))))))</x:f>
      </x:c>
      <x:c r="U147" s="274"/>
      <x:c r="V147" s="274"/>
      <x:c r="W147" s="280"/>
      <x:c r="X147" s="304"/>
      <x:c r="Y147" s="304"/>
      <x:c r="Z147" s="304"/>
      <x:c r="AA147" s="274"/>
      <x:c r="AB147" s="315" t="str">
        <x:f>IF(A147="","",IF(COUNTIFS($A$6:$A$205,A147)&gt;1,"Duplicate ID",IF(OR(B147="",COUNTIFS('Clients'!$A$6:$A$205,B147)&lt;&gt;1),"Check Client ID",IF(OR(C147="",COUNTIFS('Properties'!$A$6:$A$205,C147)&lt;&gt;1),"Check Property ID",IF(E147="","Set deal stage",IF(NOT(ISNUMBER(X147)),"Add opened date",IF(AND(E147&lt;&gt;"Completed",E147&lt;&gt;"Cancelled",NOT(ISNUMBER(Y147))),"Add target close date",IF(AND(OR(E147="Completed",E147="Cancelled"),NOT(ISNUMBER(Z147))),"Add closed date",IF(AND(E147="Completed",NOT(ISNUMBER(O147))),"Add earned date",IF(AND(E147="Cancelled",AA147=""),"Add outcome reason",IF(AND(E147&lt;&gt;"Cancelled",NOT(ISNUMBER(N147))),"Complete fee inputs",IF(AND(ISNUMBER(Z147),ISNUMBER(X147),Z147&lt;X147),"Check closed date",""))))))))))))</x:f>
      </x:c>
      <x:c r="AC147" s="791"/>
      <x:c r="AD147" s="791"/>
      <x:c r="AE147" s="791"/>
      <x:c r="AF147" s="791"/>
      <x:c r="AG147" s="794"/>
      <x:c r="AH147" s="791"/>
    </x:row>
    <x:row r="148" ht="26" customHeight="1">
      <x:c r="A148" s="317"/>
      <x:c r="B148" s="318"/>
      <x:c r="C148" s="235"/>
      <x:c r="D148" s="235"/>
      <x:c r="E148" s="235"/>
      <x:c r="F148" s="236"/>
      <x:c r="G148" s="235"/>
      <x:c r="H148" s="237"/>
      <x:c r="I148" s="236"/>
      <x:c r="J148" s="312" t="str">
        <x:f>IF(A148="","",IF(G148="Fixed",IF(NOT(ISNUMBER(I148)),"",I148),IF(G148="Percentage",IF(OR(NOT(ISNUMBER(F148)),NOT(ISNUMBER(H148))),"",ROUND(F148*H148,2)),"")))</x:f>
      </x:c>
      <x:c r="K148" s="237"/>
      <x:c r="L148" s="312" t="str">
        <x:f>IF(OR(NOT(ISNUMBER(J148)),NOT(ISNUMBER(K148))),"",ROUND(J148*(1-K148),2))</x:f>
      </x:c>
      <x:c r="M148" s="237"/>
      <x:c r="N148" s="312" t="str">
        <x:f>IF(OR(NOT(ISNUMBER(L148)),NOT(ISNUMBER(M148))),"",ROUND(L148*M148,2))</x:f>
      </x:c>
      <x:c r="O148" s="238"/>
      <x:c r="P148" s="312" t="str">
        <x:f>IF(A148="","",IF(OR(E148&lt;&gt;"Completed",O148="",NOT(ISNUMBER(N148))),"",N148))</x:f>
      </x:c>
      <x:c r="Q148" s="238"/>
      <x:c r="R148" s="312" t="str">
        <x:f>IF(A148="","",SUMIFS('Payments'!$D$6:$D$205,'Payments'!$B$6:$B$205,A148))</x:f>
      </x:c>
      <x:c r="S148" s="312" t="str">
        <x:f>IF(NOT(ISNUMBER(P148)),"",P148-R148)</x:f>
      </x:c>
      <x:c r="T148" s="265" t="str">
        <x:f>IF(A148="","",IF(NOT(ISNUMBER(N148)),"Complete fee inputs",IF(NOT(ISNUMBER(P148)),IF(R148&lt;&gt;0,"Receipt before earned","Not earned"),IF(S148&lt;0,"Overpaid",IF(S148=0,"Paid",IF(Q148="","Set due date",IF(Q148&lt;TODAY(),"Overdue","Awaiting payment")))))))</x:f>
      </x:c>
      <x:c r="U148" s="235"/>
      <x:c r="V148" s="235"/>
      <x:c r="W148" s="239"/>
      <x:c r="X148" s="238"/>
      <x:c r="Y148" s="238"/>
      <x:c r="Z148" s="238"/>
      <x:c r="AA148" s="235"/>
      <x:c r="AB148" s="315" t="str">
        <x:f>IF(A148="","",IF(COUNTIFS($A$6:$A$205,A148)&gt;1,"Duplicate ID",IF(OR(B148="",COUNTIFS('Clients'!$A$6:$A$205,B148)&lt;&gt;1),"Check Client ID",IF(OR(C148="",COUNTIFS('Properties'!$A$6:$A$205,C148)&lt;&gt;1),"Check Property ID",IF(E148="","Set deal stage",IF(NOT(ISNUMBER(X148)),"Add opened date",IF(AND(E148&lt;&gt;"Completed",E148&lt;&gt;"Cancelled",NOT(ISNUMBER(Y148))),"Add target close date",IF(AND(OR(E148="Completed",E148="Cancelled"),NOT(ISNUMBER(Z148))),"Add closed date",IF(AND(E148="Completed",NOT(ISNUMBER(O148))),"Add earned date",IF(AND(E148="Cancelled",AA148=""),"Add outcome reason",IF(AND(E148&lt;&gt;"Cancelled",NOT(ISNUMBER(N148))),"Complete fee inputs",IF(AND(ISNUMBER(Z148),ISNUMBER(X148),Z148&lt;X148),"Check closed date",""))))))))))))</x:f>
      </x:c>
      <x:c r="AC148" s="791"/>
      <x:c r="AD148" s="791"/>
      <x:c r="AE148" s="791"/>
      <x:c r="AF148" s="791"/>
      <x:c r="AG148" s="794"/>
      <x:c r="AH148" s="791"/>
    </x:row>
    <x:row r="149" ht="26" customHeight="1">
      <x:c r="A149" s="319"/>
      <x:c r="B149" s="320"/>
      <x:c r="C149" s="274"/>
      <x:c r="D149" s="274"/>
      <x:c r="E149" s="274"/>
      <x:c r="F149" s="302"/>
      <x:c r="G149" s="274"/>
      <x:c r="H149" s="303"/>
      <x:c r="I149" s="302"/>
      <x:c r="J149" s="312" t="str">
        <x:f>IF(A149="","",IF(G149="Fixed",IF(NOT(ISNUMBER(I149)),"",I149),IF(G149="Percentage",IF(OR(NOT(ISNUMBER(F149)),NOT(ISNUMBER(H149))),"",ROUND(F149*H149,2)),"")))</x:f>
      </x:c>
      <x:c r="K149" s="303"/>
      <x:c r="L149" s="312" t="str">
        <x:f>IF(OR(NOT(ISNUMBER(J149)),NOT(ISNUMBER(K149))),"",ROUND(J149*(1-K149),2))</x:f>
      </x:c>
      <x:c r="M149" s="303"/>
      <x:c r="N149" s="312" t="str">
        <x:f>IF(OR(NOT(ISNUMBER(L149)),NOT(ISNUMBER(M149))),"",ROUND(L149*M149,2))</x:f>
      </x:c>
      <x:c r="O149" s="304"/>
      <x:c r="P149" s="312" t="str">
        <x:f>IF(A149="","",IF(OR(E149&lt;&gt;"Completed",O149="",NOT(ISNUMBER(N149))),"",N149))</x:f>
      </x:c>
      <x:c r="Q149" s="304"/>
      <x:c r="R149" s="312" t="str">
        <x:f>IF(A149="","",SUMIFS('Payments'!$D$6:$D$205,'Payments'!$B$6:$B$205,A149))</x:f>
      </x:c>
      <x:c r="S149" s="312" t="str">
        <x:f>IF(NOT(ISNUMBER(P149)),"",P149-R149)</x:f>
      </x:c>
      <x:c r="T149" s="265" t="str">
        <x:f>IF(A149="","",IF(NOT(ISNUMBER(N149)),"Complete fee inputs",IF(NOT(ISNUMBER(P149)),IF(R149&lt;&gt;0,"Receipt before earned","Not earned"),IF(S149&lt;0,"Overpaid",IF(S149=0,"Paid",IF(Q149="","Set due date",IF(Q149&lt;TODAY(),"Overdue","Awaiting payment")))))))</x:f>
      </x:c>
      <x:c r="U149" s="274"/>
      <x:c r="V149" s="274"/>
      <x:c r="W149" s="280"/>
      <x:c r="X149" s="304"/>
      <x:c r="Y149" s="304"/>
      <x:c r="Z149" s="304"/>
      <x:c r="AA149" s="274"/>
      <x:c r="AB149" s="315" t="str">
        <x:f>IF(A149="","",IF(COUNTIFS($A$6:$A$205,A149)&gt;1,"Duplicate ID",IF(OR(B149="",COUNTIFS('Clients'!$A$6:$A$205,B149)&lt;&gt;1),"Check Client ID",IF(OR(C149="",COUNTIFS('Properties'!$A$6:$A$205,C149)&lt;&gt;1),"Check Property ID",IF(E149="","Set deal stage",IF(NOT(ISNUMBER(X149)),"Add opened date",IF(AND(E149&lt;&gt;"Completed",E149&lt;&gt;"Cancelled",NOT(ISNUMBER(Y149))),"Add target close date",IF(AND(OR(E149="Completed",E149="Cancelled"),NOT(ISNUMBER(Z149))),"Add closed date",IF(AND(E149="Completed",NOT(ISNUMBER(O149))),"Add earned date",IF(AND(E149="Cancelled",AA149=""),"Add outcome reason",IF(AND(E149&lt;&gt;"Cancelled",NOT(ISNUMBER(N149))),"Complete fee inputs",IF(AND(ISNUMBER(Z149),ISNUMBER(X149),Z149&lt;X149),"Check closed date",""))))))))))))</x:f>
      </x:c>
      <x:c r="AC149" s="791"/>
      <x:c r="AD149" s="791"/>
      <x:c r="AE149" s="791"/>
      <x:c r="AF149" s="791"/>
      <x:c r="AG149" s="794"/>
      <x:c r="AH149" s="791"/>
    </x:row>
    <x:row r="150" ht="26" customHeight="1">
      <x:c r="A150" s="317"/>
      <x:c r="B150" s="318"/>
      <x:c r="C150" s="235"/>
      <x:c r="D150" s="235"/>
      <x:c r="E150" s="235"/>
      <x:c r="F150" s="236"/>
      <x:c r="G150" s="235"/>
      <x:c r="H150" s="237"/>
      <x:c r="I150" s="236"/>
      <x:c r="J150" s="312" t="str">
        <x:f>IF(A150="","",IF(G150="Fixed",IF(NOT(ISNUMBER(I150)),"",I150),IF(G150="Percentage",IF(OR(NOT(ISNUMBER(F150)),NOT(ISNUMBER(H150))),"",ROUND(F150*H150,2)),"")))</x:f>
      </x:c>
      <x:c r="K150" s="237"/>
      <x:c r="L150" s="312" t="str">
        <x:f>IF(OR(NOT(ISNUMBER(J150)),NOT(ISNUMBER(K150))),"",ROUND(J150*(1-K150),2))</x:f>
      </x:c>
      <x:c r="M150" s="237"/>
      <x:c r="N150" s="312" t="str">
        <x:f>IF(OR(NOT(ISNUMBER(L150)),NOT(ISNUMBER(M150))),"",ROUND(L150*M150,2))</x:f>
      </x:c>
      <x:c r="O150" s="238"/>
      <x:c r="P150" s="312" t="str">
        <x:f>IF(A150="","",IF(OR(E150&lt;&gt;"Completed",O150="",NOT(ISNUMBER(N150))),"",N150))</x:f>
      </x:c>
      <x:c r="Q150" s="238"/>
      <x:c r="R150" s="312" t="str">
        <x:f>IF(A150="","",SUMIFS('Payments'!$D$6:$D$205,'Payments'!$B$6:$B$205,A150))</x:f>
      </x:c>
      <x:c r="S150" s="312" t="str">
        <x:f>IF(NOT(ISNUMBER(P150)),"",P150-R150)</x:f>
      </x:c>
      <x:c r="T150" s="265" t="str">
        <x:f>IF(A150="","",IF(NOT(ISNUMBER(N150)),"Complete fee inputs",IF(NOT(ISNUMBER(P150)),IF(R150&lt;&gt;0,"Receipt before earned","Not earned"),IF(S150&lt;0,"Overpaid",IF(S150=0,"Paid",IF(Q150="","Set due date",IF(Q150&lt;TODAY(),"Overdue","Awaiting payment")))))))</x:f>
      </x:c>
      <x:c r="U150" s="235"/>
      <x:c r="V150" s="235"/>
      <x:c r="W150" s="239"/>
      <x:c r="X150" s="238"/>
      <x:c r="Y150" s="238"/>
      <x:c r="Z150" s="238"/>
      <x:c r="AA150" s="235"/>
      <x:c r="AB150" s="315" t="str">
        <x:f>IF(A150="","",IF(COUNTIFS($A$6:$A$205,A150)&gt;1,"Duplicate ID",IF(OR(B150="",COUNTIFS('Clients'!$A$6:$A$205,B150)&lt;&gt;1),"Check Client ID",IF(OR(C150="",COUNTIFS('Properties'!$A$6:$A$205,C150)&lt;&gt;1),"Check Property ID",IF(E150="","Set deal stage",IF(NOT(ISNUMBER(X150)),"Add opened date",IF(AND(E150&lt;&gt;"Completed",E150&lt;&gt;"Cancelled",NOT(ISNUMBER(Y150))),"Add target close date",IF(AND(OR(E150="Completed",E150="Cancelled"),NOT(ISNUMBER(Z150))),"Add closed date",IF(AND(E150="Completed",NOT(ISNUMBER(O150))),"Add earned date",IF(AND(E150="Cancelled",AA150=""),"Add outcome reason",IF(AND(E150&lt;&gt;"Cancelled",NOT(ISNUMBER(N150))),"Complete fee inputs",IF(AND(ISNUMBER(Z150),ISNUMBER(X150),Z150&lt;X150),"Check closed date",""))))))))))))</x:f>
      </x:c>
      <x:c r="AC150" s="791"/>
      <x:c r="AD150" s="791"/>
      <x:c r="AE150" s="791"/>
      <x:c r="AF150" s="791"/>
      <x:c r="AG150" s="794"/>
      <x:c r="AH150" s="791"/>
    </x:row>
    <x:row r="151" ht="26" customHeight="1">
      <x:c r="A151" s="319"/>
      <x:c r="B151" s="320"/>
      <x:c r="C151" s="274"/>
      <x:c r="D151" s="274"/>
      <x:c r="E151" s="274"/>
      <x:c r="F151" s="302"/>
      <x:c r="G151" s="274"/>
      <x:c r="H151" s="303"/>
      <x:c r="I151" s="302"/>
      <x:c r="J151" s="312" t="str">
        <x:f>IF(A151="","",IF(G151="Fixed",IF(NOT(ISNUMBER(I151)),"",I151),IF(G151="Percentage",IF(OR(NOT(ISNUMBER(F151)),NOT(ISNUMBER(H151))),"",ROUND(F151*H151,2)),"")))</x:f>
      </x:c>
      <x:c r="K151" s="303"/>
      <x:c r="L151" s="312" t="str">
        <x:f>IF(OR(NOT(ISNUMBER(J151)),NOT(ISNUMBER(K151))),"",ROUND(J151*(1-K151),2))</x:f>
      </x:c>
      <x:c r="M151" s="303"/>
      <x:c r="N151" s="312" t="str">
        <x:f>IF(OR(NOT(ISNUMBER(L151)),NOT(ISNUMBER(M151))),"",ROUND(L151*M151,2))</x:f>
      </x:c>
      <x:c r="O151" s="304"/>
      <x:c r="P151" s="312" t="str">
        <x:f>IF(A151="","",IF(OR(E151&lt;&gt;"Completed",O151="",NOT(ISNUMBER(N151))),"",N151))</x:f>
      </x:c>
      <x:c r="Q151" s="304"/>
      <x:c r="R151" s="312" t="str">
        <x:f>IF(A151="","",SUMIFS('Payments'!$D$6:$D$205,'Payments'!$B$6:$B$205,A151))</x:f>
      </x:c>
      <x:c r="S151" s="312" t="str">
        <x:f>IF(NOT(ISNUMBER(P151)),"",P151-R151)</x:f>
      </x:c>
      <x:c r="T151" s="265" t="str">
        <x:f>IF(A151="","",IF(NOT(ISNUMBER(N151)),"Complete fee inputs",IF(NOT(ISNUMBER(P151)),IF(R151&lt;&gt;0,"Receipt before earned","Not earned"),IF(S151&lt;0,"Overpaid",IF(S151=0,"Paid",IF(Q151="","Set due date",IF(Q151&lt;TODAY(),"Overdue","Awaiting payment")))))))</x:f>
      </x:c>
      <x:c r="U151" s="274"/>
      <x:c r="V151" s="274"/>
      <x:c r="W151" s="280"/>
      <x:c r="X151" s="304"/>
      <x:c r="Y151" s="304"/>
      <x:c r="Z151" s="304"/>
      <x:c r="AA151" s="274"/>
      <x:c r="AB151" s="315" t="str">
        <x:f>IF(A151="","",IF(COUNTIFS($A$6:$A$205,A151)&gt;1,"Duplicate ID",IF(OR(B151="",COUNTIFS('Clients'!$A$6:$A$205,B151)&lt;&gt;1),"Check Client ID",IF(OR(C151="",COUNTIFS('Properties'!$A$6:$A$205,C151)&lt;&gt;1),"Check Property ID",IF(E151="","Set deal stage",IF(NOT(ISNUMBER(X151)),"Add opened date",IF(AND(E151&lt;&gt;"Completed",E151&lt;&gt;"Cancelled",NOT(ISNUMBER(Y151))),"Add target close date",IF(AND(OR(E151="Completed",E151="Cancelled"),NOT(ISNUMBER(Z151))),"Add closed date",IF(AND(E151="Completed",NOT(ISNUMBER(O151))),"Add earned date",IF(AND(E151="Cancelled",AA151=""),"Add outcome reason",IF(AND(E151&lt;&gt;"Cancelled",NOT(ISNUMBER(N151))),"Complete fee inputs",IF(AND(ISNUMBER(Z151),ISNUMBER(X151),Z151&lt;X151),"Check closed date",""))))))))))))</x:f>
      </x:c>
      <x:c r="AC151" s="791"/>
      <x:c r="AD151" s="791"/>
      <x:c r="AE151" s="791"/>
      <x:c r="AF151" s="791"/>
      <x:c r="AG151" s="794"/>
      <x:c r="AH151" s="791"/>
    </x:row>
    <x:row r="152" ht="26" customHeight="1">
      <x:c r="A152" s="317"/>
      <x:c r="B152" s="318"/>
      <x:c r="C152" s="235"/>
      <x:c r="D152" s="235"/>
      <x:c r="E152" s="235"/>
      <x:c r="F152" s="236"/>
      <x:c r="G152" s="235"/>
      <x:c r="H152" s="237"/>
      <x:c r="I152" s="236"/>
      <x:c r="J152" s="312" t="str">
        <x:f>IF(A152="","",IF(G152="Fixed",IF(NOT(ISNUMBER(I152)),"",I152),IF(G152="Percentage",IF(OR(NOT(ISNUMBER(F152)),NOT(ISNUMBER(H152))),"",ROUND(F152*H152,2)),"")))</x:f>
      </x:c>
      <x:c r="K152" s="237"/>
      <x:c r="L152" s="312" t="str">
        <x:f>IF(OR(NOT(ISNUMBER(J152)),NOT(ISNUMBER(K152))),"",ROUND(J152*(1-K152),2))</x:f>
      </x:c>
      <x:c r="M152" s="237"/>
      <x:c r="N152" s="312" t="str">
        <x:f>IF(OR(NOT(ISNUMBER(L152)),NOT(ISNUMBER(M152))),"",ROUND(L152*M152,2))</x:f>
      </x:c>
      <x:c r="O152" s="238"/>
      <x:c r="P152" s="312" t="str">
        <x:f>IF(A152="","",IF(OR(E152&lt;&gt;"Completed",O152="",NOT(ISNUMBER(N152))),"",N152))</x:f>
      </x:c>
      <x:c r="Q152" s="238"/>
      <x:c r="R152" s="312" t="str">
        <x:f>IF(A152="","",SUMIFS('Payments'!$D$6:$D$205,'Payments'!$B$6:$B$205,A152))</x:f>
      </x:c>
      <x:c r="S152" s="312" t="str">
        <x:f>IF(NOT(ISNUMBER(P152)),"",P152-R152)</x:f>
      </x:c>
      <x:c r="T152" s="265" t="str">
        <x:f>IF(A152="","",IF(NOT(ISNUMBER(N152)),"Complete fee inputs",IF(NOT(ISNUMBER(P152)),IF(R152&lt;&gt;0,"Receipt before earned","Not earned"),IF(S152&lt;0,"Overpaid",IF(S152=0,"Paid",IF(Q152="","Set due date",IF(Q152&lt;TODAY(),"Overdue","Awaiting payment")))))))</x:f>
      </x:c>
      <x:c r="U152" s="235"/>
      <x:c r="V152" s="235"/>
      <x:c r="W152" s="239"/>
      <x:c r="X152" s="238"/>
      <x:c r="Y152" s="238"/>
      <x:c r="Z152" s="238"/>
      <x:c r="AA152" s="235"/>
      <x:c r="AB152" s="315" t="str">
        <x:f>IF(A152="","",IF(COUNTIFS($A$6:$A$205,A152)&gt;1,"Duplicate ID",IF(OR(B152="",COUNTIFS('Clients'!$A$6:$A$205,B152)&lt;&gt;1),"Check Client ID",IF(OR(C152="",COUNTIFS('Properties'!$A$6:$A$205,C152)&lt;&gt;1),"Check Property ID",IF(E152="","Set deal stage",IF(NOT(ISNUMBER(X152)),"Add opened date",IF(AND(E152&lt;&gt;"Completed",E152&lt;&gt;"Cancelled",NOT(ISNUMBER(Y152))),"Add target close date",IF(AND(OR(E152="Completed",E152="Cancelled"),NOT(ISNUMBER(Z152))),"Add closed date",IF(AND(E152="Completed",NOT(ISNUMBER(O152))),"Add earned date",IF(AND(E152="Cancelled",AA152=""),"Add outcome reason",IF(AND(E152&lt;&gt;"Cancelled",NOT(ISNUMBER(N152))),"Complete fee inputs",IF(AND(ISNUMBER(Z152),ISNUMBER(X152),Z152&lt;X152),"Check closed date",""))))))))))))</x:f>
      </x:c>
      <x:c r="AC152" s="791"/>
      <x:c r="AD152" s="791"/>
      <x:c r="AE152" s="791"/>
      <x:c r="AF152" s="791"/>
      <x:c r="AG152" s="794"/>
      <x:c r="AH152" s="791"/>
    </x:row>
    <x:row r="153" ht="26" customHeight="1">
      <x:c r="A153" s="319"/>
      <x:c r="B153" s="320"/>
      <x:c r="C153" s="274"/>
      <x:c r="D153" s="274"/>
      <x:c r="E153" s="274"/>
      <x:c r="F153" s="302"/>
      <x:c r="G153" s="274"/>
      <x:c r="H153" s="303"/>
      <x:c r="I153" s="302"/>
      <x:c r="J153" s="312" t="str">
        <x:f>IF(A153="","",IF(G153="Fixed",IF(NOT(ISNUMBER(I153)),"",I153),IF(G153="Percentage",IF(OR(NOT(ISNUMBER(F153)),NOT(ISNUMBER(H153))),"",ROUND(F153*H153,2)),"")))</x:f>
      </x:c>
      <x:c r="K153" s="303"/>
      <x:c r="L153" s="312" t="str">
        <x:f>IF(OR(NOT(ISNUMBER(J153)),NOT(ISNUMBER(K153))),"",ROUND(J153*(1-K153),2))</x:f>
      </x:c>
      <x:c r="M153" s="303"/>
      <x:c r="N153" s="312" t="str">
        <x:f>IF(OR(NOT(ISNUMBER(L153)),NOT(ISNUMBER(M153))),"",ROUND(L153*M153,2))</x:f>
      </x:c>
      <x:c r="O153" s="304"/>
      <x:c r="P153" s="312" t="str">
        <x:f>IF(A153="","",IF(OR(E153&lt;&gt;"Completed",O153="",NOT(ISNUMBER(N153))),"",N153))</x:f>
      </x:c>
      <x:c r="Q153" s="304"/>
      <x:c r="R153" s="312" t="str">
        <x:f>IF(A153="","",SUMIFS('Payments'!$D$6:$D$205,'Payments'!$B$6:$B$205,A153))</x:f>
      </x:c>
      <x:c r="S153" s="312" t="str">
        <x:f>IF(NOT(ISNUMBER(P153)),"",P153-R153)</x:f>
      </x:c>
      <x:c r="T153" s="265" t="str">
        <x:f>IF(A153="","",IF(NOT(ISNUMBER(N153)),"Complete fee inputs",IF(NOT(ISNUMBER(P153)),IF(R153&lt;&gt;0,"Receipt before earned","Not earned"),IF(S153&lt;0,"Overpaid",IF(S153=0,"Paid",IF(Q153="","Set due date",IF(Q153&lt;TODAY(),"Overdue","Awaiting payment")))))))</x:f>
      </x:c>
      <x:c r="U153" s="274"/>
      <x:c r="V153" s="274"/>
      <x:c r="W153" s="280"/>
      <x:c r="X153" s="304"/>
      <x:c r="Y153" s="304"/>
      <x:c r="Z153" s="304"/>
      <x:c r="AA153" s="274"/>
      <x:c r="AB153" s="315" t="str">
        <x:f>IF(A153="","",IF(COUNTIFS($A$6:$A$205,A153)&gt;1,"Duplicate ID",IF(OR(B153="",COUNTIFS('Clients'!$A$6:$A$205,B153)&lt;&gt;1),"Check Client ID",IF(OR(C153="",COUNTIFS('Properties'!$A$6:$A$205,C153)&lt;&gt;1),"Check Property ID",IF(E153="","Set deal stage",IF(NOT(ISNUMBER(X153)),"Add opened date",IF(AND(E153&lt;&gt;"Completed",E153&lt;&gt;"Cancelled",NOT(ISNUMBER(Y153))),"Add target close date",IF(AND(OR(E153="Completed",E153="Cancelled"),NOT(ISNUMBER(Z153))),"Add closed date",IF(AND(E153="Completed",NOT(ISNUMBER(O153))),"Add earned date",IF(AND(E153="Cancelled",AA153=""),"Add outcome reason",IF(AND(E153&lt;&gt;"Cancelled",NOT(ISNUMBER(N153))),"Complete fee inputs",IF(AND(ISNUMBER(Z153),ISNUMBER(X153),Z153&lt;X153),"Check closed date",""))))))))))))</x:f>
      </x:c>
      <x:c r="AC153" s="791"/>
      <x:c r="AD153" s="791"/>
      <x:c r="AE153" s="791"/>
      <x:c r="AF153" s="791"/>
      <x:c r="AG153" s="794"/>
      <x:c r="AH153" s="791"/>
    </x:row>
    <x:row r="154" ht="26" customHeight="1">
      <x:c r="A154" s="317"/>
      <x:c r="B154" s="318"/>
      <x:c r="C154" s="235"/>
      <x:c r="D154" s="235"/>
      <x:c r="E154" s="235"/>
      <x:c r="F154" s="236"/>
      <x:c r="G154" s="235"/>
      <x:c r="H154" s="237"/>
      <x:c r="I154" s="236"/>
      <x:c r="J154" s="312" t="str">
        <x:f>IF(A154="","",IF(G154="Fixed",IF(NOT(ISNUMBER(I154)),"",I154),IF(G154="Percentage",IF(OR(NOT(ISNUMBER(F154)),NOT(ISNUMBER(H154))),"",ROUND(F154*H154,2)),"")))</x:f>
      </x:c>
      <x:c r="K154" s="237"/>
      <x:c r="L154" s="312" t="str">
        <x:f>IF(OR(NOT(ISNUMBER(J154)),NOT(ISNUMBER(K154))),"",ROUND(J154*(1-K154),2))</x:f>
      </x:c>
      <x:c r="M154" s="237"/>
      <x:c r="N154" s="312" t="str">
        <x:f>IF(OR(NOT(ISNUMBER(L154)),NOT(ISNUMBER(M154))),"",ROUND(L154*M154,2))</x:f>
      </x:c>
      <x:c r="O154" s="238"/>
      <x:c r="P154" s="312" t="str">
        <x:f>IF(A154="","",IF(OR(E154&lt;&gt;"Completed",O154="",NOT(ISNUMBER(N154))),"",N154))</x:f>
      </x:c>
      <x:c r="Q154" s="238"/>
      <x:c r="R154" s="312" t="str">
        <x:f>IF(A154="","",SUMIFS('Payments'!$D$6:$D$205,'Payments'!$B$6:$B$205,A154))</x:f>
      </x:c>
      <x:c r="S154" s="312" t="str">
        <x:f>IF(NOT(ISNUMBER(P154)),"",P154-R154)</x:f>
      </x:c>
      <x:c r="T154" s="265" t="str">
        <x:f>IF(A154="","",IF(NOT(ISNUMBER(N154)),"Complete fee inputs",IF(NOT(ISNUMBER(P154)),IF(R154&lt;&gt;0,"Receipt before earned","Not earned"),IF(S154&lt;0,"Overpaid",IF(S154=0,"Paid",IF(Q154="","Set due date",IF(Q154&lt;TODAY(),"Overdue","Awaiting payment")))))))</x:f>
      </x:c>
      <x:c r="U154" s="235"/>
      <x:c r="V154" s="235"/>
      <x:c r="W154" s="239"/>
      <x:c r="X154" s="238"/>
      <x:c r="Y154" s="238"/>
      <x:c r="Z154" s="238"/>
      <x:c r="AA154" s="235"/>
      <x:c r="AB154" s="315" t="str">
        <x:f>IF(A154="","",IF(COUNTIFS($A$6:$A$205,A154)&gt;1,"Duplicate ID",IF(OR(B154="",COUNTIFS('Clients'!$A$6:$A$205,B154)&lt;&gt;1),"Check Client ID",IF(OR(C154="",COUNTIFS('Properties'!$A$6:$A$205,C154)&lt;&gt;1),"Check Property ID",IF(E154="","Set deal stage",IF(NOT(ISNUMBER(X154)),"Add opened date",IF(AND(E154&lt;&gt;"Completed",E154&lt;&gt;"Cancelled",NOT(ISNUMBER(Y154))),"Add target close date",IF(AND(OR(E154="Completed",E154="Cancelled"),NOT(ISNUMBER(Z154))),"Add closed date",IF(AND(E154="Completed",NOT(ISNUMBER(O154))),"Add earned date",IF(AND(E154="Cancelled",AA154=""),"Add outcome reason",IF(AND(E154&lt;&gt;"Cancelled",NOT(ISNUMBER(N154))),"Complete fee inputs",IF(AND(ISNUMBER(Z154),ISNUMBER(X154),Z154&lt;X154),"Check closed date",""))))))))))))</x:f>
      </x:c>
      <x:c r="AC154" s="791"/>
      <x:c r="AD154" s="791"/>
      <x:c r="AE154" s="791"/>
      <x:c r="AF154" s="791"/>
      <x:c r="AG154" s="794"/>
      <x:c r="AH154" s="791"/>
    </x:row>
    <x:row r="155" ht="26" customHeight="1">
      <x:c r="A155" s="319"/>
      <x:c r="B155" s="320"/>
      <x:c r="C155" s="274"/>
      <x:c r="D155" s="274"/>
      <x:c r="E155" s="274"/>
      <x:c r="F155" s="302"/>
      <x:c r="G155" s="274"/>
      <x:c r="H155" s="303"/>
      <x:c r="I155" s="302"/>
      <x:c r="J155" s="312" t="str">
        <x:f>IF(A155="","",IF(G155="Fixed",IF(NOT(ISNUMBER(I155)),"",I155),IF(G155="Percentage",IF(OR(NOT(ISNUMBER(F155)),NOT(ISNUMBER(H155))),"",ROUND(F155*H155,2)),"")))</x:f>
      </x:c>
      <x:c r="K155" s="303"/>
      <x:c r="L155" s="312" t="str">
        <x:f>IF(OR(NOT(ISNUMBER(J155)),NOT(ISNUMBER(K155))),"",ROUND(J155*(1-K155),2))</x:f>
      </x:c>
      <x:c r="M155" s="303"/>
      <x:c r="N155" s="312" t="str">
        <x:f>IF(OR(NOT(ISNUMBER(L155)),NOT(ISNUMBER(M155))),"",ROUND(L155*M155,2))</x:f>
      </x:c>
      <x:c r="O155" s="304"/>
      <x:c r="P155" s="312" t="str">
        <x:f>IF(A155="","",IF(OR(E155&lt;&gt;"Completed",O155="",NOT(ISNUMBER(N155))),"",N155))</x:f>
      </x:c>
      <x:c r="Q155" s="304"/>
      <x:c r="R155" s="312" t="str">
        <x:f>IF(A155="","",SUMIFS('Payments'!$D$6:$D$205,'Payments'!$B$6:$B$205,A155))</x:f>
      </x:c>
      <x:c r="S155" s="312" t="str">
        <x:f>IF(NOT(ISNUMBER(P155)),"",P155-R155)</x:f>
      </x:c>
      <x:c r="T155" s="265" t="str">
        <x:f>IF(A155="","",IF(NOT(ISNUMBER(N155)),"Complete fee inputs",IF(NOT(ISNUMBER(P155)),IF(R155&lt;&gt;0,"Receipt before earned","Not earned"),IF(S155&lt;0,"Overpaid",IF(S155=0,"Paid",IF(Q155="","Set due date",IF(Q155&lt;TODAY(),"Overdue","Awaiting payment")))))))</x:f>
      </x:c>
      <x:c r="U155" s="274"/>
      <x:c r="V155" s="274"/>
      <x:c r="W155" s="280"/>
      <x:c r="X155" s="304"/>
      <x:c r="Y155" s="304"/>
      <x:c r="Z155" s="304"/>
      <x:c r="AA155" s="274"/>
      <x:c r="AB155" s="315" t="str">
        <x:f>IF(A155="","",IF(COUNTIFS($A$6:$A$205,A155)&gt;1,"Duplicate ID",IF(OR(B155="",COUNTIFS('Clients'!$A$6:$A$205,B155)&lt;&gt;1),"Check Client ID",IF(OR(C155="",COUNTIFS('Properties'!$A$6:$A$205,C155)&lt;&gt;1),"Check Property ID",IF(E155="","Set deal stage",IF(NOT(ISNUMBER(X155)),"Add opened date",IF(AND(E155&lt;&gt;"Completed",E155&lt;&gt;"Cancelled",NOT(ISNUMBER(Y155))),"Add target close date",IF(AND(OR(E155="Completed",E155="Cancelled"),NOT(ISNUMBER(Z155))),"Add closed date",IF(AND(E155="Completed",NOT(ISNUMBER(O155))),"Add earned date",IF(AND(E155="Cancelled",AA155=""),"Add outcome reason",IF(AND(E155&lt;&gt;"Cancelled",NOT(ISNUMBER(N155))),"Complete fee inputs",IF(AND(ISNUMBER(Z155),ISNUMBER(X155),Z155&lt;X155),"Check closed date",""))))))))))))</x:f>
      </x:c>
      <x:c r="AC155" s="791"/>
      <x:c r="AD155" s="791"/>
      <x:c r="AE155" s="791"/>
      <x:c r="AF155" s="791"/>
      <x:c r="AG155" s="794"/>
      <x:c r="AH155" s="791"/>
    </x:row>
    <x:row r="156" ht="26" customHeight="1">
      <x:c r="A156" s="317"/>
      <x:c r="B156" s="318"/>
      <x:c r="C156" s="235"/>
      <x:c r="D156" s="235"/>
      <x:c r="E156" s="235"/>
      <x:c r="F156" s="236"/>
      <x:c r="G156" s="235"/>
      <x:c r="H156" s="237"/>
      <x:c r="I156" s="236"/>
      <x:c r="J156" s="312" t="str">
        <x:f>IF(A156="","",IF(G156="Fixed",IF(NOT(ISNUMBER(I156)),"",I156),IF(G156="Percentage",IF(OR(NOT(ISNUMBER(F156)),NOT(ISNUMBER(H156))),"",ROUND(F156*H156,2)),"")))</x:f>
      </x:c>
      <x:c r="K156" s="237"/>
      <x:c r="L156" s="312" t="str">
        <x:f>IF(OR(NOT(ISNUMBER(J156)),NOT(ISNUMBER(K156))),"",ROUND(J156*(1-K156),2))</x:f>
      </x:c>
      <x:c r="M156" s="237"/>
      <x:c r="N156" s="312" t="str">
        <x:f>IF(OR(NOT(ISNUMBER(L156)),NOT(ISNUMBER(M156))),"",ROUND(L156*M156,2))</x:f>
      </x:c>
      <x:c r="O156" s="238"/>
      <x:c r="P156" s="312" t="str">
        <x:f>IF(A156="","",IF(OR(E156&lt;&gt;"Completed",O156="",NOT(ISNUMBER(N156))),"",N156))</x:f>
      </x:c>
      <x:c r="Q156" s="238"/>
      <x:c r="R156" s="312" t="str">
        <x:f>IF(A156="","",SUMIFS('Payments'!$D$6:$D$205,'Payments'!$B$6:$B$205,A156))</x:f>
      </x:c>
      <x:c r="S156" s="312" t="str">
        <x:f>IF(NOT(ISNUMBER(P156)),"",P156-R156)</x:f>
      </x:c>
      <x:c r="T156" s="265" t="str">
        <x:f>IF(A156="","",IF(NOT(ISNUMBER(N156)),"Complete fee inputs",IF(NOT(ISNUMBER(P156)),IF(R156&lt;&gt;0,"Receipt before earned","Not earned"),IF(S156&lt;0,"Overpaid",IF(S156=0,"Paid",IF(Q156="","Set due date",IF(Q156&lt;TODAY(),"Overdue","Awaiting payment")))))))</x:f>
      </x:c>
      <x:c r="U156" s="235"/>
      <x:c r="V156" s="235"/>
      <x:c r="W156" s="239"/>
      <x:c r="X156" s="238"/>
      <x:c r="Y156" s="238"/>
      <x:c r="Z156" s="238"/>
      <x:c r="AA156" s="235"/>
      <x:c r="AB156" s="315" t="str">
        <x:f>IF(A156="","",IF(COUNTIFS($A$6:$A$205,A156)&gt;1,"Duplicate ID",IF(OR(B156="",COUNTIFS('Clients'!$A$6:$A$205,B156)&lt;&gt;1),"Check Client ID",IF(OR(C156="",COUNTIFS('Properties'!$A$6:$A$205,C156)&lt;&gt;1),"Check Property ID",IF(E156="","Set deal stage",IF(NOT(ISNUMBER(X156)),"Add opened date",IF(AND(E156&lt;&gt;"Completed",E156&lt;&gt;"Cancelled",NOT(ISNUMBER(Y156))),"Add target close date",IF(AND(OR(E156="Completed",E156="Cancelled"),NOT(ISNUMBER(Z156))),"Add closed date",IF(AND(E156="Completed",NOT(ISNUMBER(O156))),"Add earned date",IF(AND(E156="Cancelled",AA156=""),"Add outcome reason",IF(AND(E156&lt;&gt;"Cancelled",NOT(ISNUMBER(N156))),"Complete fee inputs",IF(AND(ISNUMBER(Z156),ISNUMBER(X156),Z156&lt;X156),"Check closed date",""))))))))))))</x:f>
      </x:c>
      <x:c r="AC156" s="791"/>
      <x:c r="AD156" s="791"/>
      <x:c r="AE156" s="791"/>
      <x:c r="AF156" s="791"/>
      <x:c r="AG156" s="794"/>
      <x:c r="AH156" s="791"/>
    </x:row>
    <x:row r="157" ht="26" customHeight="1">
      <x:c r="A157" s="319"/>
      <x:c r="B157" s="320"/>
      <x:c r="C157" s="274"/>
      <x:c r="D157" s="274"/>
      <x:c r="E157" s="274"/>
      <x:c r="F157" s="302"/>
      <x:c r="G157" s="274"/>
      <x:c r="H157" s="303"/>
      <x:c r="I157" s="302"/>
      <x:c r="J157" s="312" t="str">
        <x:f>IF(A157="","",IF(G157="Fixed",IF(NOT(ISNUMBER(I157)),"",I157),IF(G157="Percentage",IF(OR(NOT(ISNUMBER(F157)),NOT(ISNUMBER(H157))),"",ROUND(F157*H157,2)),"")))</x:f>
      </x:c>
      <x:c r="K157" s="303"/>
      <x:c r="L157" s="312" t="str">
        <x:f>IF(OR(NOT(ISNUMBER(J157)),NOT(ISNUMBER(K157))),"",ROUND(J157*(1-K157),2))</x:f>
      </x:c>
      <x:c r="M157" s="303"/>
      <x:c r="N157" s="312" t="str">
        <x:f>IF(OR(NOT(ISNUMBER(L157)),NOT(ISNUMBER(M157))),"",ROUND(L157*M157,2))</x:f>
      </x:c>
      <x:c r="O157" s="304"/>
      <x:c r="P157" s="312" t="str">
        <x:f>IF(A157="","",IF(OR(E157&lt;&gt;"Completed",O157="",NOT(ISNUMBER(N157))),"",N157))</x:f>
      </x:c>
      <x:c r="Q157" s="304"/>
      <x:c r="R157" s="312" t="str">
        <x:f>IF(A157="","",SUMIFS('Payments'!$D$6:$D$205,'Payments'!$B$6:$B$205,A157))</x:f>
      </x:c>
      <x:c r="S157" s="312" t="str">
        <x:f>IF(NOT(ISNUMBER(P157)),"",P157-R157)</x:f>
      </x:c>
      <x:c r="T157" s="265" t="str">
        <x:f>IF(A157="","",IF(NOT(ISNUMBER(N157)),"Complete fee inputs",IF(NOT(ISNUMBER(P157)),IF(R157&lt;&gt;0,"Receipt before earned","Not earned"),IF(S157&lt;0,"Overpaid",IF(S157=0,"Paid",IF(Q157="","Set due date",IF(Q157&lt;TODAY(),"Overdue","Awaiting payment")))))))</x:f>
      </x:c>
      <x:c r="U157" s="274"/>
      <x:c r="V157" s="274"/>
      <x:c r="W157" s="280"/>
      <x:c r="X157" s="304"/>
      <x:c r="Y157" s="304"/>
      <x:c r="Z157" s="304"/>
      <x:c r="AA157" s="274"/>
      <x:c r="AB157" s="315" t="str">
        <x:f>IF(A157="","",IF(COUNTIFS($A$6:$A$205,A157)&gt;1,"Duplicate ID",IF(OR(B157="",COUNTIFS('Clients'!$A$6:$A$205,B157)&lt;&gt;1),"Check Client ID",IF(OR(C157="",COUNTIFS('Properties'!$A$6:$A$205,C157)&lt;&gt;1),"Check Property ID",IF(E157="","Set deal stage",IF(NOT(ISNUMBER(X157)),"Add opened date",IF(AND(E157&lt;&gt;"Completed",E157&lt;&gt;"Cancelled",NOT(ISNUMBER(Y157))),"Add target close date",IF(AND(OR(E157="Completed",E157="Cancelled"),NOT(ISNUMBER(Z157))),"Add closed date",IF(AND(E157="Completed",NOT(ISNUMBER(O157))),"Add earned date",IF(AND(E157="Cancelled",AA157=""),"Add outcome reason",IF(AND(E157&lt;&gt;"Cancelled",NOT(ISNUMBER(N157))),"Complete fee inputs",IF(AND(ISNUMBER(Z157),ISNUMBER(X157),Z157&lt;X157),"Check closed date",""))))))))))))</x:f>
      </x:c>
      <x:c r="AC157" s="791"/>
      <x:c r="AD157" s="791"/>
      <x:c r="AE157" s="791"/>
      <x:c r="AF157" s="791"/>
      <x:c r="AG157" s="794"/>
      <x:c r="AH157" s="791"/>
    </x:row>
    <x:row r="158" ht="26" customHeight="1">
      <x:c r="A158" s="317"/>
      <x:c r="B158" s="318"/>
      <x:c r="C158" s="235"/>
      <x:c r="D158" s="235"/>
      <x:c r="E158" s="235"/>
      <x:c r="F158" s="236"/>
      <x:c r="G158" s="235"/>
      <x:c r="H158" s="237"/>
      <x:c r="I158" s="236"/>
      <x:c r="J158" s="312" t="str">
        <x:f>IF(A158="","",IF(G158="Fixed",IF(NOT(ISNUMBER(I158)),"",I158),IF(G158="Percentage",IF(OR(NOT(ISNUMBER(F158)),NOT(ISNUMBER(H158))),"",ROUND(F158*H158,2)),"")))</x:f>
      </x:c>
      <x:c r="K158" s="237"/>
      <x:c r="L158" s="312" t="str">
        <x:f>IF(OR(NOT(ISNUMBER(J158)),NOT(ISNUMBER(K158))),"",ROUND(J158*(1-K158),2))</x:f>
      </x:c>
      <x:c r="M158" s="237"/>
      <x:c r="N158" s="312" t="str">
        <x:f>IF(OR(NOT(ISNUMBER(L158)),NOT(ISNUMBER(M158))),"",ROUND(L158*M158,2))</x:f>
      </x:c>
      <x:c r="O158" s="238"/>
      <x:c r="P158" s="312" t="str">
        <x:f>IF(A158="","",IF(OR(E158&lt;&gt;"Completed",O158="",NOT(ISNUMBER(N158))),"",N158))</x:f>
      </x:c>
      <x:c r="Q158" s="238"/>
      <x:c r="R158" s="312" t="str">
        <x:f>IF(A158="","",SUMIFS('Payments'!$D$6:$D$205,'Payments'!$B$6:$B$205,A158))</x:f>
      </x:c>
      <x:c r="S158" s="312" t="str">
        <x:f>IF(NOT(ISNUMBER(P158)),"",P158-R158)</x:f>
      </x:c>
      <x:c r="T158" s="265" t="str">
        <x:f>IF(A158="","",IF(NOT(ISNUMBER(N158)),"Complete fee inputs",IF(NOT(ISNUMBER(P158)),IF(R158&lt;&gt;0,"Receipt before earned","Not earned"),IF(S158&lt;0,"Overpaid",IF(S158=0,"Paid",IF(Q158="","Set due date",IF(Q158&lt;TODAY(),"Overdue","Awaiting payment")))))))</x:f>
      </x:c>
      <x:c r="U158" s="235"/>
      <x:c r="V158" s="235"/>
      <x:c r="W158" s="239"/>
      <x:c r="X158" s="238"/>
      <x:c r="Y158" s="238"/>
      <x:c r="Z158" s="238"/>
      <x:c r="AA158" s="235"/>
      <x:c r="AB158" s="315" t="str">
        <x:f>IF(A158="","",IF(COUNTIFS($A$6:$A$205,A158)&gt;1,"Duplicate ID",IF(OR(B158="",COUNTIFS('Clients'!$A$6:$A$205,B158)&lt;&gt;1),"Check Client ID",IF(OR(C158="",COUNTIFS('Properties'!$A$6:$A$205,C158)&lt;&gt;1),"Check Property ID",IF(E158="","Set deal stage",IF(NOT(ISNUMBER(X158)),"Add opened date",IF(AND(E158&lt;&gt;"Completed",E158&lt;&gt;"Cancelled",NOT(ISNUMBER(Y158))),"Add target close date",IF(AND(OR(E158="Completed",E158="Cancelled"),NOT(ISNUMBER(Z158))),"Add closed date",IF(AND(E158="Completed",NOT(ISNUMBER(O158))),"Add earned date",IF(AND(E158="Cancelled",AA158=""),"Add outcome reason",IF(AND(E158&lt;&gt;"Cancelled",NOT(ISNUMBER(N158))),"Complete fee inputs",IF(AND(ISNUMBER(Z158),ISNUMBER(X158),Z158&lt;X158),"Check closed date",""))))))))))))</x:f>
      </x:c>
      <x:c r="AC158" s="791"/>
      <x:c r="AD158" s="791"/>
      <x:c r="AE158" s="791"/>
      <x:c r="AF158" s="791"/>
      <x:c r="AG158" s="794"/>
      <x:c r="AH158" s="791"/>
    </x:row>
    <x:row r="159" ht="26" customHeight="1">
      <x:c r="A159" s="319"/>
      <x:c r="B159" s="320"/>
      <x:c r="C159" s="274"/>
      <x:c r="D159" s="274"/>
      <x:c r="E159" s="274"/>
      <x:c r="F159" s="302"/>
      <x:c r="G159" s="274"/>
      <x:c r="H159" s="303"/>
      <x:c r="I159" s="302"/>
      <x:c r="J159" s="312" t="str">
        <x:f>IF(A159="","",IF(G159="Fixed",IF(NOT(ISNUMBER(I159)),"",I159),IF(G159="Percentage",IF(OR(NOT(ISNUMBER(F159)),NOT(ISNUMBER(H159))),"",ROUND(F159*H159,2)),"")))</x:f>
      </x:c>
      <x:c r="K159" s="303"/>
      <x:c r="L159" s="312" t="str">
        <x:f>IF(OR(NOT(ISNUMBER(J159)),NOT(ISNUMBER(K159))),"",ROUND(J159*(1-K159),2))</x:f>
      </x:c>
      <x:c r="M159" s="303"/>
      <x:c r="N159" s="312" t="str">
        <x:f>IF(OR(NOT(ISNUMBER(L159)),NOT(ISNUMBER(M159))),"",ROUND(L159*M159,2))</x:f>
      </x:c>
      <x:c r="O159" s="304"/>
      <x:c r="P159" s="312" t="str">
        <x:f>IF(A159="","",IF(OR(E159&lt;&gt;"Completed",O159="",NOT(ISNUMBER(N159))),"",N159))</x:f>
      </x:c>
      <x:c r="Q159" s="304"/>
      <x:c r="R159" s="312" t="str">
        <x:f>IF(A159="","",SUMIFS('Payments'!$D$6:$D$205,'Payments'!$B$6:$B$205,A159))</x:f>
      </x:c>
      <x:c r="S159" s="312" t="str">
        <x:f>IF(NOT(ISNUMBER(P159)),"",P159-R159)</x:f>
      </x:c>
      <x:c r="T159" s="265" t="str">
        <x:f>IF(A159="","",IF(NOT(ISNUMBER(N159)),"Complete fee inputs",IF(NOT(ISNUMBER(P159)),IF(R159&lt;&gt;0,"Receipt before earned","Not earned"),IF(S159&lt;0,"Overpaid",IF(S159=0,"Paid",IF(Q159="","Set due date",IF(Q159&lt;TODAY(),"Overdue","Awaiting payment")))))))</x:f>
      </x:c>
      <x:c r="U159" s="274"/>
      <x:c r="V159" s="274"/>
      <x:c r="W159" s="280"/>
      <x:c r="X159" s="304"/>
      <x:c r="Y159" s="304"/>
      <x:c r="Z159" s="304"/>
      <x:c r="AA159" s="274"/>
      <x:c r="AB159" s="315" t="str">
        <x:f>IF(A159="","",IF(COUNTIFS($A$6:$A$205,A159)&gt;1,"Duplicate ID",IF(OR(B159="",COUNTIFS('Clients'!$A$6:$A$205,B159)&lt;&gt;1),"Check Client ID",IF(OR(C159="",COUNTIFS('Properties'!$A$6:$A$205,C159)&lt;&gt;1),"Check Property ID",IF(E159="","Set deal stage",IF(NOT(ISNUMBER(X159)),"Add opened date",IF(AND(E159&lt;&gt;"Completed",E159&lt;&gt;"Cancelled",NOT(ISNUMBER(Y159))),"Add target close date",IF(AND(OR(E159="Completed",E159="Cancelled"),NOT(ISNUMBER(Z159))),"Add closed date",IF(AND(E159="Completed",NOT(ISNUMBER(O159))),"Add earned date",IF(AND(E159="Cancelled",AA159=""),"Add outcome reason",IF(AND(E159&lt;&gt;"Cancelled",NOT(ISNUMBER(N159))),"Complete fee inputs",IF(AND(ISNUMBER(Z159),ISNUMBER(X159),Z159&lt;X159),"Check closed date",""))))))))))))</x:f>
      </x:c>
      <x:c r="AC159" s="791"/>
      <x:c r="AD159" s="791"/>
      <x:c r="AE159" s="791"/>
      <x:c r="AF159" s="791"/>
      <x:c r="AG159" s="794"/>
      <x:c r="AH159" s="791"/>
    </x:row>
    <x:row r="160" ht="26" customHeight="1">
      <x:c r="A160" s="317"/>
      <x:c r="B160" s="318"/>
      <x:c r="C160" s="235"/>
      <x:c r="D160" s="235"/>
      <x:c r="E160" s="235"/>
      <x:c r="F160" s="236"/>
      <x:c r="G160" s="235"/>
      <x:c r="H160" s="237"/>
      <x:c r="I160" s="236"/>
      <x:c r="J160" s="312" t="str">
        <x:f>IF(A160="","",IF(G160="Fixed",IF(NOT(ISNUMBER(I160)),"",I160),IF(G160="Percentage",IF(OR(NOT(ISNUMBER(F160)),NOT(ISNUMBER(H160))),"",ROUND(F160*H160,2)),"")))</x:f>
      </x:c>
      <x:c r="K160" s="237"/>
      <x:c r="L160" s="312" t="str">
        <x:f>IF(OR(NOT(ISNUMBER(J160)),NOT(ISNUMBER(K160))),"",ROUND(J160*(1-K160),2))</x:f>
      </x:c>
      <x:c r="M160" s="237"/>
      <x:c r="N160" s="312" t="str">
        <x:f>IF(OR(NOT(ISNUMBER(L160)),NOT(ISNUMBER(M160))),"",ROUND(L160*M160,2))</x:f>
      </x:c>
      <x:c r="O160" s="238"/>
      <x:c r="P160" s="312" t="str">
        <x:f>IF(A160="","",IF(OR(E160&lt;&gt;"Completed",O160="",NOT(ISNUMBER(N160))),"",N160))</x:f>
      </x:c>
      <x:c r="Q160" s="238"/>
      <x:c r="R160" s="312" t="str">
        <x:f>IF(A160="","",SUMIFS('Payments'!$D$6:$D$205,'Payments'!$B$6:$B$205,A160))</x:f>
      </x:c>
      <x:c r="S160" s="312" t="str">
        <x:f>IF(NOT(ISNUMBER(P160)),"",P160-R160)</x:f>
      </x:c>
      <x:c r="T160" s="265" t="str">
        <x:f>IF(A160="","",IF(NOT(ISNUMBER(N160)),"Complete fee inputs",IF(NOT(ISNUMBER(P160)),IF(R160&lt;&gt;0,"Receipt before earned","Not earned"),IF(S160&lt;0,"Overpaid",IF(S160=0,"Paid",IF(Q160="","Set due date",IF(Q160&lt;TODAY(),"Overdue","Awaiting payment")))))))</x:f>
      </x:c>
      <x:c r="U160" s="235"/>
      <x:c r="V160" s="235"/>
      <x:c r="W160" s="239"/>
      <x:c r="X160" s="238"/>
      <x:c r="Y160" s="238"/>
      <x:c r="Z160" s="238"/>
      <x:c r="AA160" s="235"/>
      <x:c r="AB160" s="315" t="str">
        <x:f>IF(A160="","",IF(COUNTIFS($A$6:$A$205,A160)&gt;1,"Duplicate ID",IF(OR(B160="",COUNTIFS('Clients'!$A$6:$A$205,B160)&lt;&gt;1),"Check Client ID",IF(OR(C160="",COUNTIFS('Properties'!$A$6:$A$205,C160)&lt;&gt;1),"Check Property ID",IF(E160="","Set deal stage",IF(NOT(ISNUMBER(X160)),"Add opened date",IF(AND(E160&lt;&gt;"Completed",E160&lt;&gt;"Cancelled",NOT(ISNUMBER(Y160))),"Add target close date",IF(AND(OR(E160="Completed",E160="Cancelled"),NOT(ISNUMBER(Z160))),"Add closed date",IF(AND(E160="Completed",NOT(ISNUMBER(O160))),"Add earned date",IF(AND(E160="Cancelled",AA160=""),"Add outcome reason",IF(AND(E160&lt;&gt;"Cancelled",NOT(ISNUMBER(N160))),"Complete fee inputs",IF(AND(ISNUMBER(Z160),ISNUMBER(X160),Z160&lt;X160),"Check closed date",""))))))))))))</x:f>
      </x:c>
      <x:c r="AC160" s="791"/>
      <x:c r="AD160" s="791"/>
      <x:c r="AE160" s="791"/>
      <x:c r="AF160" s="791"/>
      <x:c r="AG160" s="794"/>
      <x:c r="AH160" s="791"/>
    </x:row>
    <x:row r="161" ht="26" customHeight="1">
      <x:c r="A161" s="319"/>
      <x:c r="B161" s="320"/>
      <x:c r="C161" s="274"/>
      <x:c r="D161" s="274"/>
      <x:c r="E161" s="274"/>
      <x:c r="F161" s="302"/>
      <x:c r="G161" s="274"/>
      <x:c r="H161" s="303"/>
      <x:c r="I161" s="302"/>
      <x:c r="J161" s="312" t="str">
        <x:f>IF(A161="","",IF(G161="Fixed",IF(NOT(ISNUMBER(I161)),"",I161),IF(G161="Percentage",IF(OR(NOT(ISNUMBER(F161)),NOT(ISNUMBER(H161))),"",ROUND(F161*H161,2)),"")))</x:f>
      </x:c>
      <x:c r="K161" s="303"/>
      <x:c r="L161" s="312" t="str">
        <x:f>IF(OR(NOT(ISNUMBER(J161)),NOT(ISNUMBER(K161))),"",ROUND(J161*(1-K161),2))</x:f>
      </x:c>
      <x:c r="M161" s="303"/>
      <x:c r="N161" s="312" t="str">
        <x:f>IF(OR(NOT(ISNUMBER(L161)),NOT(ISNUMBER(M161))),"",ROUND(L161*M161,2))</x:f>
      </x:c>
      <x:c r="O161" s="304"/>
      <x:c r="P161" s="312" t="str">
        <x:f>IF(A161="","",IF(OR(E161&lt;&gt;"Completed",O161="",NOT(ISNUMBER(N161))),"",N161))</x:f>
      </x:c>
      <x:c r="Q161" s="304"/>
      <x:c r="R161" s="312" t="str">
        <x:f>IF(A161="","",SUMIFS('Payments'!$D$6:$D$205,'Payments'!$B$6:$B$205,A161))</x:f>
      </x:c>
      <x:c r="S161" s="312" t="str">
        <x:f>IF(NOT(ISNUMBER(P161)),"",P161-R161)</x:f>
      </x:c>
      <x:c r="T161" s="265" t="str">
        <x:f>IF(A161="","",IF(NOT(ISNUMBER(N161)),"Complete fee inputs",IF(NOT(ISNUMBER(P161)),IF(R161&lt;&gt;0,"Receipt before earned","Not earned"),IF(S161&lt;0,"Overpaid",IF(S161=0,"Paid",IF(Q161="","Set due date",IF(Q161&lt;TODAY(),"Overdue","Awaiting payment")))))))</x:f>
      </x:c>
      <x:c r="U161" s="274"/>
      <x:c r="V161" s="274"/>
      <x:c r="W161" s="280"/>
      <x:c r="X161" s="304"/>
      <x:c r="Y161" s="304"/>
      <x:c r="Z161" s="304"/>
      <x:c r="AA161" s="274"/>
      <x:c r="AB161" s="315" t="str">
        <x:f>IF(A161="","",IF(COUNTIFS($A$6:$A$205,A161)&gt;1,"Duplicate ID",IF(OR(B161="",COUNTIFS('Clients'!$A$6:$A$205,B161)&lt;&gt;1),"Check Client ID",IF(OR(C161="",COUNTIFS('Properties'!$A$6:$A$205,C161)&lt;&gt;1),"Check Property ID",IF(E161="","Set deal stage",IF(NOT(ISNUMBER(X161)),"Add opened date",IF(AND(E161&lt;&gt;"Completed",E161&lt;&gt;"Cancelled",NOT(ISNUMBER(Y161))),"Add target close date",IF(AND(OR(E161="Completed",E161="Cancelled"),NOT(ISNUMBER(Z161))),"Add closed date",IF(AND(E161="Completed",NOT(ISNUMBER(O161))),"Add earned date",IF(AND(E161="Cancelled",AA161=""),"Add outcome reason",IF(AND(E161&lt;&gt;"Cancelled",NOT(ISNUMBER(N161))),"Complete fee inputs",IF(AND(ISNUMBER(Z161),ISNUMBER(X161),Z161&lt;X161),"Check closed date",""))))))))))))</x:f>
      </x:c>
      <x:c r="AC161" s="791"/>
      <x:c r="AD161" s="791"/>
      <x:c r="AE161" s="791"/>
      <x:c r="AF161" s="791"/>
      <x:c r="AG161" s="794"/>
      <x:c r="AH161" s="791"/>
    </x:row>
    <x:row r="162" ht="26" customHeight="1">
      <x:c r="A162" s="317"/>
      <x:c r="B162" s="318"/>
      <x:c r="C162" s="235"/>
      <x:c r="D162" s="235"/>
      <x:c r="E162" s="235"/>
      <x:c r="F162" s="236"/>
      <x:c r="G162" s="235"/>
      <x:c r="H162" s="237"/>
      <x:c r="I162" s="236"/>
      <x:c r="J162" s="312" t="str">
        <x:f>IF(A162="","",IF(G162="Fixed",IF(NOT(ISNUMBER(I162)),"",I162),IF(G162="Percentage",IF(OR(NOT(ISNUMBER(F162)),NOT(ISNUMBER(H162))),"",ROUND(F162*H162,2)),"")))</x:f>
      </x:c>
      <x:c r="K162" s="237"/>
      <x:c r="L162" s="312" t="str">
        <x:f>IF(OR(NOT(ISNUMBER(J162)),NOT(ISNUMBER(K162))),"",ROUND(J162*(1-K162),2))</x:f>
      </x:c>
      <x:c r="M162" s="237"/>
      <x:c r="N162" s="312" t="str">
        <x:f>IF(OR(NOT(ISNUMBER(L162)),NOT(ISNUMBER(M162))),"",ROUND(L162*M162,2))</x:f>
      </x:c>
      <x:c r="O162" s="238"/>
      <x:c r="P162" s="312" t="str">
        <x:f>IF(A162="","",IF(OR(E162&lt;&gt;"Completed",O162="",NOT(ISNUMBER(N162))),"",N162))</x:f>
      </x:c>
      <x:c r="Q162" s="238"/>
      <x:c r="R162" s="312" t="str">
        <x:f>IF(A162="","",SUMIFS('Payments'!$D$6:$D$205,'Payments'!$B$6:$B$205,A162))</x:f>
      </x:c>
      <x:c r="S162" s="312" t="str">
        <x:f>IF(NOT(ISNUMBER(P162)),"",P162-R162)</x:f>
      </x:c>
      <x:c r="T162" s="265" t="str">
        <x:f>IF(A162="","",IF(NOT(ISNUMBER(N162)),"Complete fee inputs",IF(NOT(ISNUMBER(P162)),IF(R162&lt;&gt;0,"Receipt before earned","Not earned"),IF(S162&lt;0,"Overpaid",IF(S162=0,"Paid",IF(Q162="","Set due date",IF(Q162&lt;TODAY(),"Overdue","Awaiting payment")))))))</x:f>
      </x:c>
      <x:c r="U162" s="235"/>
      <x:c r="V162" s="235"/>
      <x:c r="W162" s="239"/>
      <x:c r="X162" s="238"/>
      <x:c r="Y162" s="238"/>
      <x:c r="Z162" s="238"/>
      <x:c r="AA162" s="235"/>
      <x:c r="AB162" s="315" t="str">
        <x:f>IF(A162="","",IF(COUNTIFS($A$6:$A$205,A162)&gt;1,"Duplicate ID",IF(OR(B162="",COUNTIFS('Clients'!$A$6:$A$205,B162)&lt;&gt;1),"Check Client ID",IF(OR(C162="",COUNTIFS('Properties'!$A$6:$A$205,C162)&lt;&gt;1),"Check Property ID",IF(E162="","Set deal stage",IF(NOT(ISNUMBER(X162)),"Add opened date",IF(AND(E162&lt;&gt;"Completed",E162&lt;&gt;"Cancelled",NOT(ISNUMBER(Y162))),"Add target close date",IF(AND(OR(E162="Completed",E162="Cancelled"),NOT(ISNUMBER(Z162))),"Add closed date",IF(AND(E162="Completed",NOT(ISNUMBER(O162))),"Add earned date",IF(AND(E162="Cancelled",AA162=""),"Add outcome reason",IF(AND(E162&lt;&gt;"Cancelled",NOT(ISNUMBER(N162))),"Complete fee inputs",IF(AND(ISNUMBER(Z162),ISNUMBER(X162),Z162&lt;X162),"Check closed date",""))))))))))))</x:f>
      </x:c>
      <x:c r="AC162" s="791"/>
      <x:c r="AD162" s="791"/>
      <x:c r="AE162" s="791"/>
      <x:c r="AF162" s="791"/>
      <x:c r="AG162" s="794"/>
      <x:c r="AH162" s="791"/>
    </x:row>
    <x:row r="163" ht="26" customHeight="1">
      <x:c r="A163" s="319"/>
      <x:c r="B163" s="320"/>
      <x:c r="C163" s="274"/>
      <x:c r="D163" s="274"/>
      <x:c r="E163" s="274"/>
      <x:c r="F163" s="302"/>
      <x:c r="G163" s="274"/>
      <x:c r="H163" s="303"/>
      <x:c r="I163" s="302"/>
      <x:c r="J163" s="312" t="str">
        <x:f>IF(A163="","",IF(G163="Fixed",IF(NOT(ISNUMBER(I163)),"",I163),IF(G163="Percentage",IF(OR(NOT(ISNUMBER(F163)),NOT(ISNUMBER(H163))),"",ROUND(F163*H163,2)),"")))</x:f>
      </x:c>
      <x:c r="K163" s="303"/>
      <x:c r="L163" s="312" t="str">
        <x:f>IF(OR(NOT(ISNUMBER(J163)),NOT(ISNUMBER(K163))),"",ROUND(J163*(1-K163),2))</x:f>
      </x:c>
      <x:c r="M163" s="303"/>
      <x:c r="N163" s="312" t="str">
        <x:f>IF(OR(NOT(ISNUMBER(L163)),NOT(ISNUMBER(M163))),"",ROUND(L163*M163,2))</x:f>
      </x:c>
      <x:c r="O163" s="304"/>
      <x:c r="P163" s="312" t="str">
        <x:f>IF(A163="","",IF(OR(E163&lt;&gt;"Completed",O163="",NOT(ISNUMBER(N163))),"",N163))</x:f>
      </x:c>
      <x:c r="Q163" s="304"/>
      <x:c r="R163" s="312" t="str">
        <x:f>IF(A163="","",SUMIFS('Payments'!$D$6:$D$205,'Payments'!$B$6:$B$205,A163))</x:f>
      </x:c>
      <x:c r="S163" s="312" t="str">
        <x:f>IF(NOT(ISNUMBER(P163)),"",P163-R163)</x:f>
      </x:c>
      <x:c r="T163" s="265" t="str">
        <x:f>IF(A163="","",IF(NOT(ISNUMBER(N163)),"Complete fee inputs",IF(NOT(ISNUMBER(P163)),IF(R163&lt;&gt;0,"Receipt before earned","Not earned"),IF(S163&lt;0,"Overpaid",IF(S163=0,"Paid",IF(Q163="","Set due date",IF(Q163&lt;TODAY(),"Overdue","Awaiting payment")))))))</x:f>
      </x:c>
      <x:c r="U163" s="274"/>
      <x:c r="V163" s="274"/>
      <x:c r="W163" s="280"/>
      <x:c r="X163" s="304"/>
      <x:c r="Y163" s="304"/>
      <x:c r="Z163" s="304"/>
      <x:c r="AA163" s="274"/>
      <x:c r="AB163" s="315" t="str">
        <x:f>IF(A163="","",IF(COUNTIFS($A$6:$A$205,A163)&gt;1,"Duplicate ID",IF(OR(B163="",COUNTIFS('Clients'!$A$6:$A$205,B163)&lt;&gt;1),"Check Client ID",IF(OR(C163="",COUNTIFS('Properties'!$A$6:$A$205,C163)&lt;&gt;1),"Check Property ID",IF(E163="","Set deal stage",IF(NOT(ISNUMBER(X163)),"Add opened date",IF(AND(E163&lt;&gt;"Completed",E163&lt;&gt;"Cancelled",NOT(ISNUMBER(Y163))),"Add target close date",IF(AND(OR(E163="Completed",E163="Cancelled"),NOT(ISNUMBER(Z163))),"Add closed date",IF(AND(E163="Completed",NOT(ISNUMBER(O163))),"Add earned date",IF(AND(E163="Cancelled",AA163=""),"Add outcome reason",IF(AND(E163&lt;&gt;"Cancelled",NOT(ISNUMBER(N163))),"Complete fee inputs",IF(AND(ISNUMBER(Z163),ISNUMBER(X163),Z163&lt;X163),"Check closed date",""))))))))))))</x:f>
      </x:c>
      <x:c r="AC163" s="791"/>
      <x:c r="AD163" s="791"/>
      <x:c r="AE163" s="791"/>
      <x:c r="AF163" s="791"/>
      <x:c r="AG163" s="794"/>
      <x:c r="AH163" s="791"/>
    </x:row>
    <x:row r="164" ht="26" customHeight="1">
      <x:c r="A164" s="317"/>
      <x:c r="B164" s="318"/>
      <x:c r="C164" s="235"/>
      <x:c r="D164" s="235"/>
      <x:c r="E164" s="235"/>
      <x:c r="F164" s="236"/>
      <x:c r="G164" s="235"/>
      <x:c r="H164" s="237"/>
      <x:c r="I164" s="236"/>
      <x:c r="J164" s="312" t="str">
        <x:f>IF(A164="","",IF(G164="Fixed",IF(NOT(ISNUMBER(I164)),"",I164),IF(G164="Percentage",IF(OR(NOT(ISNUMBER(F164)),NOT(ISNUMBER(H164))),"",ROUND(F164*H164,2)),"")))</x:f>
      </x:c>
      <x:c r="K164" s="237"/>
      <x:c r="L164" s="312" t="str">
        <x:f>IF(OR(NOT(ISNUMBER(J164)),NOT(ISNUMBER(K164))),"",ROUND(J164*(1-K164),2))</x:f>
      </x:c>
      <x:c r="M164" s="237"/>
      <x:c r="N164" s="312" t="str">
        <x:f>IF(OR(NOT(ISNUMBER(L164)),NOT(ISNUMBER(M164))),"",ROUND(L164*M164,2))</x:f>
      </x:c>
      <x:c r="O164" s="238"/>
      <x:c r="P164" s="312" t="str">
        <x:f>IF(A164="","",IF(OR(E164&lt;&gt;"Completed",O164="",NOT(ISNUMBER(N164))),"",N164))</x:f>
      </x:c>
      <x:c r="Q164" s="238"/>
      <x:c r="R164" s="312" t="str">
        <x:f>IF(A164="","",SUMIFS('Payments'!$D$6:$D$205,'Payments'!$B$6:$B$205,A164))</x:f>
      </x:c>
      <x:c r="S164" s="312" t="str">
        <x:f>IF(NOT(ISNUMBER(P164)),"",P164-R164)</x:f>
      </x:c>
      <x:c r="T164" s="265" t="str">
        <x:f>IF(A164="","",IF(NOT(ISNUMBER(N164)),"Complete fee inputs",IF(NOT(ISNUMBER(P164)),IF(R164&lt;&gt;0,"Receipt before earned","Not earned"),IF(S164&lt;0,"Overpaid",IF(S164=0,"Paid",IF(Q164="","Set due date",IF(Q164&lt;TODAY(),"Overdue","Awaiting payment")))))))</x:f>
      </x:c>
      <x:c r="U164" s="235"/>
      <x:c r="V164" s="235"/>
      <x:c r="W164" s="239"/>
      <x:c r="X164" s="238"/>
      <x:c r="Y164" s="238"/>
      <x:c r="Z164" s="238"/>
      <x:c r="AA164" s="235"/>
      <x:c r="AB164" s="315" t="str">
        <x:f>IF(A164="","",IF(COUNTIFS($A$6:$A$205,A164)&gt;1,"Duplicate ID",IF(OR(B164="",COUNTIFS('Clients'!$A$6:$A$205,B164)&lt;&gt;1),"Check Client ID",IF(OR(C164="",COUNTIFS('Properties'!$A$6:$A$205,C164)&lt;&gt;1),"Check Property ID",IF(E164="","Set deal stage",IF(NOT(ISNUMBER(X164)),"Add opened date",IF(AND(E164&lt;&gt;"Completed",E164&lt;&gt;"Cancelled",NOT(ISNUMBER(Y164))),"Add target close date",IF(AND(OR(E164="Completed",E164="Cancelled"),NOT(ISNUMBER(Z164))),"Add closed date",IF(AND(E164="Completed",NOT(ISNUMBER(O164))),"Add earned date",IF(AND(E164="Cancelled",AA164=""),"Add outcome reason",IF(AND(E164&lt;&gt;"Cancelled",NOT(ISNUMBER(N164))),"Complete fee inputs",IF(AND(ISNUMBER(Z164),ISNUMBER(X164),Z164&lt;X164),"Check closed date",""))))))))))))</x:f>
      </x:c>
      <x:c r="AC164" s="791"/>
      <x:c r="AD164" s="791"/>
      <x:c r="AE164" s="791"/>
      <x:c r="AF164" s="791"/>
      <x:c r="AG164" s="794"/>
      <x:c r="AH164" s="791"/>
    </x:row>
    <x:row r="165" ht="26" customHeight="1">
      <x:c r="A165" s="319"/>
      <x:c r="B165" s="320"/>
      <x:c r="C165" s="274"/>
      <x:c r="D165" s="274"/>
      <x:c r="E165" s="274"/>
      <x:c r="F165" s="302"/>
      <x:c r="G165" s="274"/>
      <x:c r="H165" s="303"/>
      <x:c r="I165" s="302"/>
      <x:c r="J165" s="312" t="str">
        <x:f>IF(A165="","",IF(G165="Fixed",IF(NOT(ISNUMBER(I165)),"",I165),IF(G165="Percentage",IF(OR(NOT(ISNUMBER(F165)),NOT(ISNUMBER(H165))),"",ROUND(F165*H165,2)),"")))</x:f>
      </x:c>
      <x:c r="K165" s="303"/>
      <x:c r="L165" s="312" t="str">
        <x:f>IF(OR(NOT(ISNUMBER(J165)),NOT(ISNUMBER(K165))),"",ROUND(J165*(1-K165),2))</x:f>
      </x:c>
      <x:c r="M165" s="303"/>
      <x:c r="N165" s="312" t="str">
        <x:f>IF(OR(NOT(ISNUMBER(L165)),NOT(ISNUMBER(M165))),"",ROUND(L165*M165,2))</x:f>
      </x:c>
      <x:c r="O165" s="304"/>
      <x:c r="P165" s="312" t="str">
        <x:f>IF(A165="","",IF(OR(E165&lt;&gt;"Completed",O165="",NOT(ISNUMBER(N165))),"",N165))</x:f>
      </x:c>
      <x:c r="Q165" s="304"/>
      <x:c r="R165" s="312" t="str">
        <x:f>IF(A165="","",SUMIFS('Payments'!$D$6:$D$205,'Payments'!$B$6:$B$205,A165))</x:f>
      </x:c>
      <x:c r="S165" s="312" t="str">
        <x:f>IF(NOT(ISNUMBER(P165)),"",P165-R165)</x:f>
      </x:c>
      <x:c r="T165" s="265" t="str">
        <x:f>IF(A165="","",IF(NOT(ISNUMBER(N165)),"Complete fee inputs",IF(NOT(ISNUMBER(P165)),IF(R165&lt;&gt;0,"Receipt before earned","Not earned"),IF(S165&lt;0,"Overpaid",IF(S165=0,"Paid",IF(Q165="","Set due date",IF(Q165&lt;TODAY(),"Overdue","Awaiting payment")))))))</x:f>
      </x:c>
      <x:c r="U165" s="274"/>
      <x:c r="V165" s="274"/>
      <x:c r="W165" s="280"/>
      <x:c r="X165" s="304"/>
      <x:c r="Y165" s="304"/>
      <x:c r="Z165" s="304"/>
      <x:c r="AA165" s="274"/>
      <x:c r="AB165" s="315" t="str">
        <x:f>IF(A165="","",IF(COUNTIFS($A$6:$A$205,A165)&gt;1,"Duplicate ID",IF(OR(B165="",COUNTIFS('Clients'!$A$6:$A$205,B165)&lt;&gt;1),"Check Client ID",IF(OR(C165="",COUNTIFS('Properties'!$A$6:$A$205,C165)&lt;&gt;1),"Check Property ID",IF(E165="","Set deal stage",IF(NOT(ISNUMBER(X165)),"Add opened date",IF(AND(E165&lt;&gt;"Completed",E165&lt;&gt;"Cancelled",NOT(ISNUMBER(Y165))),"Add target close date",IF(AND(OR(E165="Completed",E165="Cancelled"),NOT(ISNUMBER(Z165))),"Add closed date",IF(AND(E165="Completed",NOT(ISNUMBER(O165))),"Add earned date",IF(AND(E165="Cancelled",AA165=""),"Add outcome reason",IF(AND(E165&lt;&gt;"Cancelled",NOT(ISNUMBER(N165))),"Complete fee inputs",IF(AND(ISNUMBER(Z165),ISNUMBER(X165),Z165&lt;X165),"Check closed date",""))))))))))))</x:f>
      </x:c>
      <x:c r="AC165" s="791"/>
      <x:c r="AD165" s="791"/>
      <x:c r="AE165" s="791"/>
      <x:c r="AF165" s="791"/>
      <x:c r="AG165" s="794"/>
      <x:c r="AH165" s="791"/>
    </x:row>
    <x:row r="166" ht="26" customHeight="1">
      <x:c r="A166" s="317"/>
      <x:c r="B166" s="318"/>
      <x:c r="C166" s="235"/>
      <x:c r="D166" s="235"/>
      <x:c r="E166" s="235"/>
      <x:c r="F166" s="236"/>
      <x:c r="G166" s="235"/>
      <x:c r="H166" s="237"/>
      <x:c r="I166" s="236"/>
      <x:c r="J166" s="312" t="str">
        <x:f>IF(A166="","",IF(G166="Fixed",IF(NOT(ISNUMBER(I166)),"",I166),IF(G166="Percentage",IF(OR(NOT(ISNUMBER(F166)),NOT(ISNUMBER(H166))),"",ROUND(F166*H166,2)),"")))</x:f>
      </x:c>
      <x:c r="K166" s="237"/>
      <x:c r="L166" s="312" t="str">
        <x:f>IF(OR(NOT(ISNUMBER(J166)),NOT(ISNUMBER(K166))),"",ROUND(J166*(1-K166),2))</x:f>
      </x:c>
      <x:c r="M166" s="237"/>
      <x:c r="N166" s="312" t="str">
        <x:f>IF(OR(NOT(ISNUMBER(L166)),NOT(ISNUMBER(M166))),"",ROUND(L166*M166,2))</x:f>
      </x:c>
      <x:c r="O166" s="238"/>
      <x:c r="P166" s="312" t="str">
        <x:f>IF(A166="","",IF(OR(E166&lt;&gt;"Completed",O166="",NOT(ISNUMBER(N166))),"",N166))</x:f>
      </x:c>
      <x:c r="Q166" s="238"/>
      <x:c r="R166" s="312" t="str">
        <x:f>IF(A166="","",SUMIFS('Payments'!$D$6:$D$205,'Payments'!$B$6:$B$205,A166))</x:f>
      </x:c>
      <x:c r="S166" s="312" t="str">
        <x:f>IF(NOT(ISNUMBER(P166)),"",P166-R166)</x:f>
      </x:c>
      <x:c r="T166" s="265" t="str">
        <x:f>IF(A166="","",IF(NOT(ISNUMBER(N166)),"Complete fee inputs",IF(NOT(ISNUMBER(P166)),IF(R166&lt;&gt;0,"Receipt before earned","Not earned"),IF(S166&lt;0,"Overpaid",IF(S166=0,"Paid",IF(Q166="","Set due date",IF(Q166&lt;TODAY(),"Overdue","Awaiting payment")))))))</x:f>
      </x:c>
      <x:c r="U166" s="235"/>
      <x:c r="V166" s="235"/>
      <x:c r="W166" s="239"/>
      <x:c r="X166" s="238"/>
      <x:c r="Y166" s="238"/>
      <x:c r="Z166" s="238"/>
      <x:c r="AA166" s="235"/>
      <x:c r="AB166" s="315" t="str">
        <x:f>IF(A166="","",IF(COUNTIFS($A$6:$A$205,A166)&gt;1,"Duplicate ID",IF(OR(B166="",COUNTIFS('Clients'!$A$6:$A$205,B166)&lt;&gt;1),"Check Client ID",IF(OR(C166="",COUNTIFS('Properties'!$A$6:$A$205,C166)&lt;&gt;1),"Check Property ID",IF(E166="","Set deal stage",IF(NOT(ISNUMBER(X166)),"Add opened date",IF(AND(E166&lt;&gt;"Completed",E166&lt;&gt;"Cancelled",NOT(ISNUMBER(Y166))),"Add target close date",IF(AND(OR(E166="Completed",E166="Cancelled"),NOT(ISNUMBER(Z166))),"Add closed date",IF(AND(E166="Completed",NOT(ISNUMBER(O166))),"Add earned date",IF(AND(E166="Cancelled",AA166=""),"Add outcome reason",IF(AND(E166&lt;&gt;"Cancelled",NOT(ISNUMBER(N166))),"Complete fee inputs",IF(AND(ISNUMBER(Z166),ISNUMBER(X166),Z166&lt;X166),"Check closed date",""))))))))))))</x:f>
      </x:c>
      <x:c r="AC166" s="791"/>
      <x:c r="AD166" s="791"/>
      <x:c r="AE166" s="791"/>
      <x:c r="AF166" s="791"/>
      <x:c r="AG166" s="794"/>
      <x:c r="AH166" s="791"/>
    </x:row>
    <x:row r="167" ht="26" customHeight="1">
      <x:c r="A167" s="319"/>
      <x:c r="B167" s="320"/>
      <x:c r="C167" s="274"/>
      <x:c r="D167" s="274"/>
      <x:c r="E167" s="274"/>
      <x:c r="F167" s="302"/>
      <x:c r="G167" s="274"/>
      <x:c r="H167" s="303"/>
      <x:c r="I167" s="302"/>
      <x:c r="J167" s="312" t="str">
        <x:f>IF(A167="","",IF(G167="Fixed",IF(NOT(ISNUMBER(I167)),"",I167),IF(G167="Percentage",IF(OR(NOT(ISNUMBER(F167)),NOT(ISNUMBER(H167))),"",ROUND(F167*H167,2)),"")))</x:f>
      </x:c>
      <x:c r="K167" s="303"/>
      <x:c r="L167" s="312" t="str">
        <x:f>IF(OR(NOT(ISNUMBER(J167)),NOT(ISNUMBER(K167))),"",ROUND(J167*(1-K167),2))</x:f>
      </x:c>
      <x:c r="M167" s="303"/>
      <x:c r="N167" s="312" t="str">
        <x:f>IF(OR(NOT(ISNUMBER(L167)),NOT(ISNUMBER(M167))),"",ROUND(L167*M167,2))</x:f>
      </x:c>
      <x:c r="O167" s="304"/>
      <x:c r="P167" s="312" t="str">
        <x:f>IF(A167="","",IF(OR(E167&lt;&gt;"Completed",O167="",NOT(ISNUMBER(N167))),"",N167))</x:f>
      </x:c>
      <x:c r="Q167" s="304"/>
      <x:c r="R167" s="312" t="str">
        <x:f>IF(A167="","",SUMIFS('Payments'!$D$6:$D$205,'Payments'!$B$6:$B$205,A167))</x:f>
      </x:c>
      <x:c r="S167" s="312" t="str">
        <x:f>IF(NOT(ISNUMBER(P167)),"",P167-R167)</x:f>
      </x:c>
      <x:c r="T167" s="265" t="str">
        <x:f>IF(A167="","",IF(NOT(ISNUMBER(N167)),"Complete fee inputs",IF(NOT(ISNUMBER(P167)),IF(R167&lt;&gt;0,"Receipt before earned","Not earned"),IF(S167&lt;0,"Overpaid",IF(S167=0,"Paid",IF(Q167="","Set due date",IF(Q167&lt;TODAY(),"Overdue","Awaiting payment")))))))</x:f>
      </x:c>
      <x:c r="U167" s="274"/>
      <x:c r="V167" s="274"/>
      <x:c r="W167" s="280"/>
      <x:c r="X167" s="304"/>
      <x:c r="Y167" s="304"/>
      <x:c r="Z167" s="304"/>
      <x:c r="AA167" s="274"/>
      <x:c r="AB167" s="315" t="str">
        <x:f>IF(A167="","",IF(COUNTIFS($A$6:$A$205,A167)&gt;1,"Duplicate ID",IF(OR(B167="",COUNTIFS('Clients'!$A$6:$A$205,B167)&lt;&gt;1),"Check Client ID",IF(OR(C167="",COUNTIFS('Properties'!$A$6:$A$205,C167)&lt;&gt;1),"Check Property ID",IF(E167="","Set deal stage",IF(NOT(ISNUMBER(X167)),"Add opened date",IF(AND(E167&lt;&gt;"Completed",E167&lt;&gt;"Cancelled",NOT(ISNUMBER(Y167))),"Add target close date",IF(AND(OR(E167="Completed",E167="Cancelled"),NOT(ISNUMBER(Z167))),"Add closed date",IF(AND(E167="Completed",NOT(ISNUMBER(O167))),"Add earned date",IF(AND(E167="Cancelled",AA167=""),"Add outcome reason",IF(AND(E167&lt;&gt;"Cancelled",NOT(ISNUMBER(N167))),"Complete fee inputs",IF(AND(ISNUMBER(Z167),ISNUMBER(X167),Z167&lt;X167),"Check closed date",""))))))))))))</x:f>
      </x:c>
      <x:c r="AC167" s="791"/>
      <x:c r="AD167" s="791"/>
      <x:c r="AE167" s="791"/>
      <x:c r="AF167" s="791"/>
      <x:c r="AG167" s="794"/>
      <x:c r="AH167" s="791"/>
    </x:row>
    <x:row r="168" ht="26" customHeight="1">
      <x:c r="A168" s="317"/>
      <x:c r="B168" s="318"/>
      <x:c r="C168" s="235"/>
      <x:c r="D168" s="235"/>
      <x:c r="E168" s="235"/>
      <x:c r="F168" s="236"/>
      <x:c r="G168" s="235"/>
      <x:c r="H168" s="237"/>
      <x:c r="I168" s="236"/>
      <x:c r="J168" s="312" t="str">
        <x:f>IF(A168="","",IF(G168="Fixed",IF(NOT(ISNUMBER(I168)),"",I168),IF(G168="Percentage",IF(OR(NOT(ISNUMBER(F168)),NOT(ISNUMBER(H168))),"",ROUND(F168*H168,2)),"")))</x:f>
      </x:c>
      <x:c r="K168" s="237"/>
      <x:c r="L168" s="312" t="str">
        <x:f>IF(OR(NOT(ISNUMBER(J168)),NOT(ISNUMBER(K168))),"",ROUND(J168*(1-K168),2))</x:f>
      </x:c>
      <x:c r="M168" s="237"/>
      <x:c r="N168" s="312" t="str">
        <x:f>IF(OR(NOT(ISNUMBER(L168)),NOT(ISNUMBER(M168))),"",ROUND(L168*M168,2))</x:f>
      </x:c>
      <x:c r="O168" s="238"/>
      <x:c r="P168" s="312" t="str">
        <x:f>IF(A168="","",IF(OR(E168&lt;&gt;"Completed",O168="",NOT(ISNUMBER(N168))),"",N168))</x:f>
      </x:c>
      <x:c r="Q168" s="238"/>
      <x:c r="R168" s="312" t="str">
        <x:f>IF(A168="","",SUMIFS('Payments'!$D$6:$D$205,'Payments'!$B$6:$B$205,A168))</x:f>
      </x:c>
      <x:c r="S168" s="312" t="str">
        <x:f>IF(NOT(ISNUMBER(P168)),"",P168-R168)</x:f>
      </x:c>
      <x:c r="T168" s="265" t="str">
        <x:f>IF(A168="","",IF(NOT(ISNUMBER(N168)),"Complete fee inputs",IF(NOT(ISNUMBER(P168)),IF(R168&lt;&gt;0,"Receipt before earned","Not earned"),IF(S168&lt;0,"Overpaid",IF(S168=0,"Paid",IF(Q168="","Set due date",IF(Q168&lt;TODAY(),"Overdue","Awaiting payment")))))))</x:f>
      </x:c>
      <x:c r="U168" s="235"/>
      <x:c r="V168" s="235"/>
      <x:c r="W168" s="239"/>
      <x:c r="X168" s="238"/>
      <x:c r="Y168" s="238"/>
      <x:c r="Z168" s="238"/>
      <x:c r="AA168" s="235"/>
      <x:c r="AB168" s="315" t="str">
        <x:f>IF(A168="","",IF(COUNTIFS($A$6:$A$205,A168)&gt;1,"Duplicate ID",IF(OR(B168="",COUNTIFS('Clients'!$A$6:$A$205,B168)&lt;&gt;1),"Check Client ID",IF(OR(C168="",COUNTIFS('Properties'!$A$6:$A$205,C168)&lt;&gt;1),"Check Property ID",IF(E168="","Set deal stage",IF(NOT(ISNUMBER(X168)),"Add opened date",IF(AND(E168&lt;&gt;"Completed",E168&lt;&gt;"Cancelled",NOT(ISNUMBER(Y168))),"Add target close date",IF(AND(OR(E168="Completed",E168="Cancelled"),NOT(ISNUMBER(Z168))),"Add closed date",IF(AND(E168="Completed",NOT(ISNUMBER(O168))),"Add earned date",IF(AND(E168="Cancelled",AA168=""),"Add outcome reason",IF(AND(E168&lt;&gt;"Cancelled",NOT(ISNUMBER(N168))),"Complete fee inputs",IF(AND(ISNUMBER(Z168),ISNUMBER(X168),Z168&lt;X168),"Check closed date",""))))))))))))</x:f>
      </x:c>
      <x:c r="AC168" s="791"/>
      <x:c r="AD168" s="791"/>
      <x:c r="AE168" s="791"/>
      <x:c r="AF168" s="791"/>
      <x:c r="AG168" s="794"/>
      <x:c r="AH168" s="791"/>
    </x:row>
    <x:row r="169" ht="26" customHeight="1">
      <x:c r="A169" s="319"/>
      <x:c r="B169" s="320"/>
      <x:c r="C169" s="274"/>
      <x:c r="D169" s="274"/>
      <x:c r="E169" s="274"/>
      <x:c r="F169" s="302"/>
      <x:c r="G169" s="274"/>
      <x:c r="H169" s="303"/>
      <x:c r="I169" s="302"/>
      <x:c r="J169" s="312" t="str">
        <x:f>IF(A169="","",IF(G169="Fixed",IF(NOT(ISNUMBER(I169)),"",I169),IF(G169="Percentage",IF(OR(NOT(ISNUMBER(F169)),NOT(ISNUMBER(H169))),"",ROUND(F169*H169,2)),"")))</x:f>
      </x:c>
      <x:c r="K169" s="303"/>
      <x:c r="L169" s="312" t="str">
        <x:f>IF(OR(NOT(ISNUMBER(J169)),NOT(ISNUMBER(K169))),"",ROUND(J169*(1-K169),2))</x:f>
      </x:c>
      <x:c r="M169" s="303"/>
      <x:c r="N169" s="312" t="str">
        <x:f>IF(OR(NOT(ISNUMBER(L169)),NOT(ISNUMBER(M169))),"",ROUND(L169*M169,2))</x:f>
      </x:c>
      <x:c r="O169" s="304"/>
      <x:c r="P169" s="312" t="str">
        <x:f>IF(A169="","",IF(OR(E169&lt;&gt;"Completed",O169="",NOT(ISNUMBER(N169))),"",N169))</x:f>
      </x:c>
      <x:c r="Q169" s="304"/>
      <x:c r="R169" s="312" t="str">
        <x:f>IF(A169="","",SUMIFS('Payments'!$D$6:$D$205,'Payments'!$B$6:$B$205,A169))</x:f>
      </x:c>
      <x:c r="S169" s="312" t="str">
        <x:f>IF(NOT(ISNUMBER(P169)),"",P169-R169)</x:f>
      </x:c>
      <x:c r="T169" s="265" t="str">
        <x:f>IF(A169="","",IF(NOT(ISNUMBER(N169)),"Complete fee inputs",IF(NOT(ISNUMBER(P169)),IF(R169&lt;&gt;0,"Receipt before earned","Not earned"),IF(S169&lt;0,"Overpaid",IF(S169=0,"Paid",IF(Q169="","Set due date",IF(Q169&lt;TODAY(),"Overdue","Awaiting payment")))))))</x:f>
      </x:c>
      <x:c r="U169" s="274"/>
      <x:c r="V169" s="274"/>
      <x:c r="W169" s="280"/>
      <x:c r="X169" s="304"/>
      <x:c r="Y169" s="304"/>
      <x:c r="Z169" s="304"/>
      <x:c r="AA169" s="274"/>
      <x:c r="AB169" s="315" t="str">
        <x:f>IF(A169="","",IF(COUNTIFS($A$6:$A$205,A169)&gt;1,"Duplicate ID",IF(OR(B169="",COUNTIFS('Clients'!$A$6:$A$205,B169)&lt;&gt;1),"Check Client ID",IF(OR(C169="",COUNTIFS('Properties'!$A$6:$A$205,C169)&lt;&gt;1),"Check Property ID",IF(E169="","Set deal stage",IF(NOT(ISNUMBER(X169)),"Add opened date",IF(AND(E169&lt;&gt;"Completed",E169&lt;&gt;"Cancelled",NOT(ISNUMBER(Y169))),"Add target close date",IF(AND(OR(E169="Completed",E169="Cancelled"),NOT(ISNUMBER(Z169))),"Add closed date",IF(AND(E169="Completed",NOT(ISNUMBER(O169))),"Add earned date",IF(AND(E169="Cancelled",AA169=""),"Add outcome reason",IF(AND(E169&lt;&gt;"Cancelled",NOT(ISNUMBER(N169))),"Complete fee inputs",IF(AND(ISNUMBER(Z169),ISNUMBER(X169),Z169&lt;X169),"Check closed date",""))))))))))))</x:f>
      </x:c>
      <x:c r="AC169" s="791"/>
      <x:c r="AD169" s="791"/>
      <x:c r="AE169" s="791"/>
      <x:c r="AF169" s="791"/>
      <x:c r="AG169" s="794"/>
      <x:c r="AH169" s="791"/>
    </x:row>
    <x:row r="170" ht="26" customHeight="1">
      <x:c r="A170" s="317"/>
      <x:c r="B170" s="318"/>
      <x:c r="C170" s="235"/>
      <x:c r="D170" s="235"/>
      <x:c r="E170" s="235"/>
      <x:c r="F170" s="236"/>
      <x:c r="G170" s="235"/>
      <x:c r="H170" s="237"/>
      <x:c r="I170" s="236"/>
      <x:c r="J170" s="312" t="str">
        <x:f>IF(A170="","",IF(G170="Fixed",IF(NOT(ISNUMBER(I170)),"",I170),IF(G170="Percentage",IF(OR(NOT(ISNUMBER(F170)),NOT(ISNUMBER(H170))),"",ROUND(F170*H170,2)),"")))</x:f>
      </x:c>
      <x:c r="K170" s="237"/>
      <x:c r="L170" s="312" t="str">
        <x:f>IF(OR(NOT(ISNUMBER(J170)),NOT(ISNUMBER(K170))),"",ROUND(J170*(1-K170),2))</x:f>
      </x:c>
      <x:c r="M170" s="237"/>
      <x:c r="N170" s="312" t="str">
        <x:f>IF(OR(NOT(ISNUMBER(L170)),NOT(ISNUMBER(M170))),"",ROUND(L170*M170,2))</x:f>
      </x:c>
      <x:c r="O170" s="238"/>
      <x:c r="P170" s="312" t="str">
        <x:f>IF(A170="","",IF(OR(E170&lt;&gt;"Completed",O170="",NOT(ISNUMBER(N170))),"",N170))</x:f>
      </x:c>
      <x:c r="Q170" s="238"/>
      <x:c r="R170" s="312" t="str">
        <x:f>IF(A170="","",SUMIFS('Payments'!$D$6:$D$205,'Payments'!$B$6:$B$205,A170))</x:f>
      </x:c>
      <x:c r="S170" s="312" t="str">
        <x:f>IF(NOT(ISNUMBER(P170)),"",P170-R170)</x:f>
      </x:c>
      <x:c r="T170" s="265" t="str">
        <x:f>IF(A170="","",IF(NOT(ISNUMBER(N170)),"Complete fee inputs",IF(NOT(ISNUMBER(P170)),IF(R170&lt;&gt;0,"Receipt before earned","Not earned"),IF(S170&lt;0,"Overpaid",IF(S170=0,"Paid",IF(Q170="","Set due date",IF(Q170&lt;TODAY(),"Overdue","Awaiting payment")))))))</x:f>
      </x:c>
      <x:c r="U170" s="235"/>
      <x:c r="V170" s="235"/>
      <x:c r="W170" s="239"/>
      <x:c r="X170" s="238"/>
      <x:c r="Y170" s="238"/>
      <x:c r="Z170" s="238"/>
      <x:c r="AA170" s="235"/>
      <x:c r="AB170" s="315" t="str">
        <x:f>IF(A170="","",IF(COUNTIFS($A$6:$A$205,A170)&gt;1,"Duplicate ID",IF(OR(B170="",COUNTIFS('Clients'!$A$6:$A$205,B170)&lt;&gt;1),"Check Client ID",IF(OR(C170="",COUNTIFS('Properties'!$A$6:$A$205,C170)&lt;&gt;1),"Check Property ID",IF(E170="","Set deal stage",IF(NOT(ISNUMBER(X170)),"Add opened date",IF(AND(E170&lt;&gt;"Completed",E170&lt;&gt;"Cancelled",NOT(ISNUMBER(Y170))),"Add target close date",IF(AND(OR(E170="Completed",E170="Cancelled"),NOT(ISNUMBER(Z170))),"Add closed date",IF(AND(E170="Completed",NOT(ISNUMBER(O170))),"Add earned date",IF(AND(E170="Cancelled",AA170=""),"Add outcome reason",IF(AND(E170&lt;&gt;"Cancelled",NOT(ISNUMBER(N170))),"Complete fee inputs",IF(AND(ISNUMBER(Z170),ISNUMBER(X170),Z170&lt;X170),"Check closed date",""))))))))))))</x:f>
      </x:c>
      <x:c r="AC170" s="791"/>
      <x:c r="AD170" s="791"/>
      <x:c r="AE170" s="791"/>
      <x:c r="AF170" s="791"/>
      <x:c r="AG170" s="794"/>
      <x:c r="AH170" s="791"/>
    </x:row>
    <x:row r="171" ht="26" customHeight="1">
      <x:c r="A171" s="319"/>
      <x:c r="B171" s="320"/>
      <x:c r="C171" s="274"/>
      <x:c r="D171" s="274"/>
      <x:c r="E171" s="274"/>
      <x:c r="F171" s="302"/>
      <x:c r="G171" s="274"/>
      <x:c r="H171" s="303"/>
      <x:c r="I171" s="302"/>
      <x:c r="J171" s="312" t="str">
        <x:f>IF(A171="","",IF(G171="Fixed",IF(NOT(ISNUMBER(I171)),"",I171),IF(G171="Percentage",IF(OR(NOT(ISNUMBER(F171)),NOT(ISNUMBER(H171))),"",ROUND(F171*H171,2)),"")))</x:f>
      </x:c>
      <x:c r="K171" s="303"/>
      <x:c r="L171" s="312" t="str">
        <x:f>IF(OR(NOT(ISNUMBER(J171)),NOT(ISNUMBER(K171))),"",ROUND(J171*(1-K171),2))</x:f>
      </x:c>
      <x:c r="M171" s="303"/>
      <x:c r="N171" s="312" t="str">
        <x:f>IF(OR(NOT(ISNUMBER(L171)),NOT(ISNUMBER(M171))),"",ROUND(L171*M171,2))</x:f>
      </x:c>
      <x:c r="O171" s="304"/>
      <x:c r="P171" s="312" t="str">
        <x:f>IF(A171="","",IF(OR(E171&lt;&gt;"Completed",O171="",NOT(ISNUMBER(N171))),"",N171))</x:f>
      </x:c>
      <x:c r="Q171" s="304"/>
      <x:c r="R171" s="312" t="str">
        <x:f>IF(A171="","",SUMIFS('Payments'!$D$6:$D$205,'Payments'!$B$6:$B$205,A171))</x:f>
      </x:c>
      <x:c r="S171" s="312" t="str">
        <x:f>IF(NOT(ISNUMBER(P171)),"",P171-R171)</x:f>
      </x:c>
      <x:c r="T171" s="265" t="str">
        <x:f>IF(A171="","",IF(NOT(ISNUMBER(N171)),"Complete fee inputs",IF(NOT(ISNUMBER(P171)),IF(R171&lt;&gt;0,"Receipt before earned","Not earned"),IF(S171&lt;0,"Overpaid",IF(S171=0,"Paid",IF(Q171="","Set due date",IF(Q171&lt;TODAY(),"Overdue","Awaiting payment")))))))</x:f>
      </x:c>
      <x:c r="U171" s="274"/>
      <x:c r="V171" s="274"/>
      <x:c r="W171" s="280"/>
      <x:c r="X171" s="304"/>
      <x:c r="Y171" s="304"/>
      <x:c r="Z171" s="304"/>
      <x:c r="AA171" s="274"/>
      <x:c r="AB171" s="315" t="str">
        <x:f>IF(A171="","",IF(COUNTIFS($A$6:$A$205,A171)&gt;1,"Duplicate ID",IF(OR(B171="",COUNTIFS('Clients'!$A$6:$A$205,B171)&lt;&gt;1),"Check Client ID",IF(OR(C171="",COUNTIFS('Properties'!$A$6:$A$205,C171)&lt;&gt;1),"Check Property ID",IF(E171="","Set deal stage",IF(NOT(ISNUMBER(X171)),"Add opened date",IF(AND(E171&lt;&gt;"Completed",E171&lt;&gt;"Cancelled",NOT(ISNUMBER(Y171))),"Add target close date",IF(AND(OR(E171="Completed",E171="Cancelled"),NOT(ISNUMBER(Z171))),"Add closed date",IF(AND(E171="Completed",NOT(ISNUMBER(O171))),"Add earned date",IF(AND(E171="Cancelled",AA171=""),"Add outcome reason",IF(AND(E171&lt;&gt;"Cancelled",NOT(ISNUMBER(N171))),"Complete fee inputs",IF(AND(ISNUMBER(Z171),ISNUMBER(X171),Z171&lt;X171),"Check closed date",""))))))))))))</x:f>
      </x:c>
      <x:c r="AC171" s="791"/>
      <x:c r="AD171" s="791"/>
      <x:c r="AE171" s="791"/>
      <x:c r="AF171" s="791"/>
      <x:c r="AG171" s="794"/>
      <x:c r="AH171" s="791"/>
    </x:row>
    <x:row r="172" ht="26" customHeight="1">
      <x:c r="A172" s="317"/>
      <x:c r="B172" s="318"/>
      <x:c r="C172" s="235"/>
      <x:c r="D172" s="235"/>
      <x:c r="E172" s="235"/>
      <x:c r="F172" s="236"/>
      <x:c r="G172" s="235"/>
      <x:c r="H172" s="237"/>
      <x:c r="I172" s="236"/>
      <x:c r="J172" s="312" t="str">
        <x:f>IF(A172="","",IF(G172="Fixed",IF(NOT(ISNUMBER(I172)),"",I172),IF(G172="Percentage",IF(OR(NOT(ISNUMBER(F172)),NOT(ISNUMBER(H172))),"",ROUND(F172*H172,2)),"")))</x:f>
      </x:c>
      <x:c r="K172" s="237"/>
      <x:c r="L172" s="312" t="str">
        <x:f>IF(OR(NOT(ISNUMBER(J172)),NOT(ISNUMBER(K172))),"",ROUND(J172*(1-K172),2))</x:f>
      </x:c>
      <x:c r="M172" s="237"/>
      <x:c r="N172" s="312" t="str">
        <x:f>IF(OR(NOT(ISNUMBER(L172)),NOT(ISNUMBER(M172))),"",ROUND(L172*M172,2))</x:f>
      </x:c>
      <x:c r="O172" s="238"/>
      <x:c r="P172" s="312" t="str">
        <x:f>IF(A172="","",IF(OR(E172&lt;&gt;"Completed",O172="",NOT(ISNUMBER(N172))),"",N172))</x:f>
      </x:c>
      <x:c r="Q172" s="238"/>
      <x:c r="R172" s="312" t="str">
        <x:f>IF(A172="","",SUMIFS('Payments'!$D$6:$D$205,'Payments'!$B$6:$B$205,A172))</x:f>
      </x:c>
      <x:c r="S172" s="312" t="str">
        <x:f>IF(NOT(ISNUMBER(P172)),"",P172-R172)</x:f>
      </x:c>
      <x:c r="T172" s="265" t="str">
        <x:f>IF(A172="","",IF(NOT(ISNUMBER(N172)),"Complete fee inputs",IF(NOT(ISNUMBER(P172)),IF(R172&lt;&gt;0,"Receipt before earned","Not earned"),IF(S172&lt;0,"Overpaid",IF(S172=0,"Paid",IF(Q172="","Set due date",IF(Q172&lt;TODAY(),"Overdue","Awaiting payment")))))))</x:f>
      </x:c>
      <x:c r="U172" s="235"/>
      <x:c r="V172" s="235"/>
      <x:c r="W172" s="239"/>
      <x:c r="X172" s="238"/>
      <x:c r="Y172" s="238"/>
      <x:c r="Z172" s="238"/>
      <x:c r="AA172" s="235"/>
      <x:c r="AB172" s="315" t="str">
        <x:f>IF(A172="","",IF(COUNTIFS($A$6:$A$205,A172)&gt;1,"Duplicate ID",IF(OR(B172="",COUNTIFS('Clients'!$A$6:$A$205,B172)&lt;&gt;1),"Check Client ID",IF(OR(C172="",COUNTIFS('Properties'!$A$6:$A$205,C172)&lt;&gt;1),"Check Property ID",IF(E172="","Set deal stage",IF(NOT(ISNUMBER(X172)),"Add opened date",IF(AND(E172&lt;&gt;"Completed",E172&lt;&gt;"Cancelled",NOT(ISNUMBER(Y172))),"Add target close date",IF(AND(OR(E172="Completed",E172="Cancelled"),NOT(ISNUMBER(Z172))),"Add closed date",IF(AND(E172="Completed",NOT(ISNUMBER(O172))),"Add earned date",IF(AND(E172="Cancelled",AA172=""),"Add outcome reason",IF(AND(E172&lt;&gt;"Cancelled",NOT(ISNUMBER(N172))),"Complete fee inputs",IF(AND(ISNUMBER(Z172),ISNUMBER(X172),Z172&lt;X172),"Check closed date",""))))))))))))</x:f>
      </x:c>
      <x:c r="AC172" s="791"/>
      <x:c r="AD172" s="791"/>
      <x:c r="AE172" s="791"/>
      <x:c r="AF172" s="791"/>
      <x:c r="AG172" s="794"/>
      <x:c r="AH172" s="791"/>
    </x:row>
    <x:row r="173" ht="26" customHeight="1">
      <x:c r="A173" s="319"/>
      <x:c r="B173" s="320"/>
      <x:c r="C173" s="274"/>
      <x:c r="D173" s="274"/>
      <x:c r="E173" s="274"/>
      <x:c r="F173" s="302"/>
      <x:c r="G173" s="274"/>
      <x:c r="H173" s="303"/>
      <x:c r="I173" s="302"/>
      <x:c r="J173" s="312" t="str">
        <x:f>IF(A173="","",IF(G173="Fixed",IF(NOT(ISNUMBER(I173)),"",I173),IF(G173="Percentage",IF(OR(NOT(ISNUMBER(F173)),NOT(ISNUMBER(H173))),"",ROUND(F173*H173,2)),"")))</x:f>
      </x:c>
      <x:c r="K173" s="303"/>
      <x:c r="L173" s="312" t="str">
        <x:f>IF(OR(NOT(ISNUMBER(J173)),NOT(ISNUMBER(K173))),"",ROUND(J173*(1-K173),2))</x:f>
      </x:c>
      <x:c r="M173" s="303"/>
      <x:c r="N173" s="312" t="str">
        <x:f>IF(OR(NOT(ISNUMBER(L173)),NOT(ISNUMBER(M173))),"",ROUND(L173*M173,2))</x:f>
      </x:c>
      <x:c r="O173" s="304"/>
      <x:c r="P173" s="312" t="str">
        <x:f>IF(A173="","",IF(OR(E173&lt;&gt;"Completed",O173="",NOT(ISNUMBER(N173))),"",N173))</x:f>
      </x:c>
      <x:c r="Q173" s="304"/>
      <x:c r="R173" s="312" t="str">
        <x:f>IF(A173="","",SUMIFS('Payments'!$D$6:$D$205,'Payments'!$B$6:$B$205,A173))</x:f>
      </x:c>
      <x:c r="S173" s="312" t="str">
        <x:f>IF(NOT(ISNUMBER(P173)),"",P173-R173)</x:f>
      </x:c>
      <x:c r="T173" s="265" t="str">
        <x:f>IF(A173="","",IF(NOT(ISNUMBER(N173)),"Complete fee inputs",IF(NOT(ISNUMBER(P173)),IF(R173&lt;&gt;0,"Receipt before earned","Not earned"),IF(S173&lt;0,"Overpaid",IF(S173=0,"Paid",IF(Q173="","Set due date",IF(Q173&lt;TODAY(),"Overdue","Awaiting payment")))))))</x:f>
      </x:c>
      <x:c r="U173" s="274"/>
      <x:c r="V173" s="274"/>
      <x:c r="W173" s="280"/>
      <x:c r="X173" s="304"/>
      <x:c r="Y173" s="304"/>
      <x:c r="Z173" s="304"/>
      <x:c r="AA173" s="274"/>
      <x:c r="AB173" s="315" t="str">
        <x:f>IF(A173="","",IF(COUNTIFS($A$6:$A$205,A173)&gt;1,"Duplicate ID",IF(OR(B173="",COUNTIFS('Clients'!$A$6:$A$205,B173)&lt;&gt;1),"Check Client ID",IF(OR(C173="",COUNTIFS('Properties'!$A$6:$A$205,C173)&lt;&gt;1),"Check Property ID",IF(E173="","Set deal stage",IF(NOT(ISNUMBER(X173)),"Add opened date",IF(AND(E173&lt;&gt;"Completed",E173&lt;&gt;"Cancelled",NOT(ISNUMBER(Y173))),"Add target close date",IF(AND(OR(E173="Completed",E173="Cancelled"),NOT(ISNUMBER(Z173))),"Add closed date",IF(AND(E173="Completed",NOT(ISNUMBER(O173))),"Add earned date",IF(AND(E173="Cancelled",AA173=""),"Add outcome reason",IF(AND(E173&lt;&gt;"Cancelled",NOT(ISNUMBER(N173))),"Complete fee inputs",IF(AND(ISNUMBER(Z173),ISNUMBER(X173),Z173&lt;X173),"Check closed date",""))))))))))))</x:f>
      </x:c>
      <x:c r="AC173" s="791"/>
      <x:c r="AD173" s="791"/>
      <x:c r="AE173" s="791"/>
      <x:c r="AF173" s="791"/>
      <x:c r="AG173" s="794"/>
      <x:c r="AH173" s="791"/>
    </x:row>
    <x:row r="174" ht="26" customHeight="1">
      <x:c r="A174" s="317"/>
      <x:c r="B174" s="318"/>
      <x:c r="C174" s="235"/>
      <x:c r="D174" s="235"/>
      <x:c r="E174" s="235"/>
      <x:c r="F174" s="236"/>
      <x:c r="G174" s="235"/>
      <x:c r="H174" s="237"/>
      <x:c r="I174" s="236"/>
      <x:c r="J174" s="312" t="str">
        <x:f>IF(A174="","",IF(G174="Fixed",IF(NOT(ISNUMBER(I174)),"",I174),IF(G174="Percentage",IF(OR(NOT(ISNUMBER(F174)),NOT(ISNUMBER(H174))),"",ROUND(F174*H174,2)),"")))</x:f>
      </x:c>
      <x:c r="K174" s="237"/>
      <x:c r="L174" s="312" t="str">
        <x:f>IF(OR(NOT(ISNUMBER(J174)),NOT(ISNUMBER(K174))),"",ROUND(J174*(1-K174),2))</x:f>
      </x:c>
      <x:c r="M174" s="237"/>
      <x:c r="N174" s="312" t="str">
        <x:f>IF(OR(NOT(ISNUMBER(L174)),NOT(ISNUMBER(M174))),"",ROUND(L174*M174,2))</x:f>
      </x:c>
      <x:c r="O174" s="238"/>
      <x:c r="P174" s="312" t="str">
        <x:f>IF(A174="","",IF(OR(E174&lt;&gt;"Completed",O174="",NOT(ISNUMBER(N174))),"",N174))</x:f>
      </x:c>
      <x:c r="Q174" s="238"/>
      <x:c r="R174" s="312" t="str">
        <x:f>IF(A174="","",SUMIFS('Payments'!$D$6:$D$205,'Payments'!$B$6:$B$205,A174))</x:f>
      </x:c>
      <x:c r="S174" s="312" t="str">
        <x:f>IF(NOT(ISNUMBER(P174)),"",P174-R174)</x:f>
      </x:c>
      <x:c r="T174" s="265" t="str">
        <x:f>IF(A174="","",IF(NOT(ISNUMBER(N174)),"Complete fee inputs",IF(NOT(ISNUMBER(P174)),IF(R174&lt;&gt;0,"Receipt before earned","Not earned"),IF(S174&lt;0,"Overpaid",IF(S174=0,"Paid",IF(Q174="","Set due date",IF(Q174&lt;TODAY(),"Overdue","Awaiting payment")))))))</x:f>
      </x:c>
      <x:c r="U174" s="235"/>
      <x:c r="V174" s="235"/>
      <x:c r="W174" s="239"/>
      <x:c r="X174" s="238"/>
      <x:c r="Y174" s="238"/>
      <x:c r="Z174" s="238"/>
      <x:c r="AA174" s="235"/>
      <x:c r="AB174" s="315" t="str">
        <x:f>IF(A174="","",IF(COUNTIFS($A$6:$A$205,A174)&gt;1,"Duplicate ID",IF(OR(B174="",COUNTIFS('Clients'!$A$6:$A$205,B174)&lt;&gt;1),"Check Client ID",IF(OR(C174="",COUNTIFS('Properties'!$A$6:$A$205,C174)&lt;&gt;1),"Check Property ID",IF(E174="","Set deal stage",IF(NOT(ISNUMBER(X174)),"Add opened date",IF(AND(E174&lt;&gt;"Completed",E174&lt;&gt;"Cancelled",NOT(ISNUMBER(Y174))),"Add target close date",IF(AND(OR(E174="Completed",E174="Cancelled"),NOT(ISNUMBER(Z174))),"Add closed date",IF(AND(E174="Completed",NOT(ISNUMBER(O174))),"Add earned date",IF(AND(E174="Cancelled",AA174=""),"Add outcome reason",IF(AND(E174&lt;&gt;"Cancelled",NOT(ISNUMBER(N174))),"Complete fee inputs",IF(AND(ISNUMBER(Z174),ISNUMBER(X174),Z174&lt;X174),"Check closed date",""))))))))))))</x:f>
      </x:c>
      <x:c r="AC174" s="791"/>
      <x:c r="AD174" s="791"/>
      <x:c r="AE174" s="791"/>
      <x:c r="AF174" s="791"/>
      <x:c r="AG174" s="794"/>
      <x:c r="AH174" s="791"/>
    </x:row>
    <x:row r="175" ht="26" customHeight="1">
      <x:c r="A175" s="319"/>
      <x:c r="B175" s="320"/>
      <x:c r="C175" s="274"/>
      <x:c r="D175" s="274"/>
      <x:c r="E175" s="274"/>
      <x:c r="F175" s="302"/>
      <x:c r="G175" s="274"/>
      <x:c r="H175" s="303"/>
      <x:c r="I175" s="302"/>
      <x:c r="J175" s="312" t="str">
        <x:f>IF(A175="","",IF(G175="Fixed",IF(NOT(ISNUMBER(I175)),"",I175),IF(G175="Percentage",IF(OR(NOT(ISNUMBER(F175)),NOT(ISNUMBER(H175))),"",ROUND(F175*H175,2)),"")))</x:f>
      </x:c>
      <x:c r="K175" s="303"/>
      <x:c r="L175" s="312" t="str">
        <x:f>IF(OR(NOT(ISNUMBER(J175)),NOT(ISNUMBER(K175))),"",ROUND(J175*(1-K175),2))</x:f>
      </x:c>
      <x:c r="M175" s="303"/>
      <x:c r="N175" s="312" t="str">
        <x:f>IF(OR(NOT(ISNUMBER(L175)),NOT(ISNUMBER(M175))),"",ROUND(L175*M175,2))</x:f>
      </x:c>
      <x:c r="O175" s="304"/>
      <x:c r="P175" s="312" t="str">
        <x:f>IF(A175="","",IF(OR(E175&lt;&gt;"Completed",O175="",NOT(ISNUMBER(N175))),"",N175))</x:f>
      </x:c>
      <x:c r="Q175" s="304"/>
      <x:c r="R175" s="312" t="str">
        <x:f>IF(A175="","",SUMIFS('Payments'!$D$6:$D$205,'Payments'!$B$6:$B$205,A175))</x:f>
      </x:c>
      <x:c r="S175" s="312" t="str">
        <x:f>IF(NOT(ISNUMBER(P175)),"",P175-R175)</x:f>
      </x:c>
      <x:c r="T175" s="265" t="str">
        <x:f>IF(A175="","",IF(NOT(ISNUMBER(N175)),"Complete fee inputs",IF(NOT(ISNUMBER(P175)),IF(R175&lt;&gt;0,"Receipt before earned","Not earned"),IF(S175&lt;0,"Overpaid",IF(S175=0,"Paid",IF(Q175="","Set due date",IF(Q175&lt;TODAY(),"Overdue","Awaiting payment")))))))</x:f>
      </x:c>
      <x:c r="U175" s="274"/>
      <x:c r="V175" s="274"/>
      <x:c r="W175" s="280"/>
      <x:c r="X175" s="304"/>
      <x:c r="Y175" s="304"/>
      <x:c r="Z175" s="304"/>
      <x:c r="AA175" s="274"/>
      <x:c r="AB175" s="315" t="str">
        <x:f>IF(A175="","",IF(COUNTIFS($A$6:$A$205,A175)&gt;1,"Duplicate ID",IF(OR(B175="",COUNTIFS('Clients'!$A$6:$A$205,B175)&lt;&gt;1),"Check Client ID",IF(OR(C175="",COUNTIFS('Properties'!$A$6:$A$205,C175)&lt;&gt;1),"Check Property ID",IF(E175="","Set deal stage",IF(NOT(ISNUMBER(X175)),"Add opened date",IF(AND(E175&lt;&gt;"Completed",E175&lt;&gt;"Cancelled",NOT(ISNUMBER(Y175))),"Add target close date",IF(AND(OR(E175="Completed",E175="Cancelled"),NOT(ISNUMBER(Z175))),"Add closed date",IF(AND(E175="Completed",NOT(ISNUMBER(O175))),"Add earned date",IF(AND(E175="Cancelled",AA175=""),"Add outcome reason",IF(AND(E175&lt;&gt;"Cancelled",NOT(ISNUMBER(N175))),"Complete fee inputs",IF(AND(ISNUMBER(Z175),ISNUMBER(X175),Z175&lt;X175),"Check closed date",""))))))))))))</x:f>
      </x:c>
      <x:c r="AC175" s="791"/>
      <x:c r="AD175" s="791"/>
      <x:c r="AE175" s="791"/>
      <x:c r="AF175" s="791"/>
      <x:c r="AG175" s="794"/>
      <x:c r="AH175" s="791"/>
    </x:row>
    <x:row r="176" ht="26" customHeight="1">
      <x:c r="A176" s="317"/>
      <x:c r="B176" s="318"/>
      <x:c r="C176" s="235"/>
      <x:c r="D176" s="235"/>
      <x:c r="E176" s="235"/>
      <x:c r="F176" s="236"/>
      <x:c r="G176" s="235"/>
      <x:c r="H176" s="237"/>
      <x:c r="I176" s="236"/>
      <x:c r="J176" s="312" t="str">
        <x:f>IF(A176="","",IF(G176="Fixed",IF(NOT(ISNUMBER(I176)),"",I176),IF(G176="Percentage",IF(OR(NOT(ISNUMBER(F176)),NOT(ISNUMBER(H176))),"",ROUND(F176*H176,2)),"")))</x:f>
      </x:c>
      <x:c r="K176" s="237"/>
      <x:c r="L176" s="312" t="str">
        <x:f>IF(OR(NOT(ISNUMBER(J176)),NOT(ISNUMBER(K176))),"",ROUND(J176*(1-K176),2))</x:f>
      </x:c>
      <x:c r="M176" s="237"/>
      <x:c r="N176" s="312" t="str">
        <x:f>IF(OR(NOT(ISNUMBER(L176)),NOT(ISNUMBER(M176))),"",ROUND(L176*M176,2))</x:f>
      </x:c>
      <x:c r="O176" s="238"/>
      <x:c r="P176" s="312" t="str">
        <x:f>IF(A176="","",IF(OR(E176&lt;&gt;"Completed",O176="",NOT(ISNUMBER(N176))),"",N176))</x:f>
      </x:c>
      <x:c r="Q176" s="238"/>
      <x:c r="R176" s="312" t="str">
        <x:f>IF(A176="","",SUMIFS('Payments'!$D$6:$D$205,'Payments'!$B$6:$B$205,A176))</x:f>
      </x:c>
      <x:c r="S176" s="312" t="str">
        <x:f>IF(NOT(ISNUMBER(P176)),"",P176-R176)</x:f>
      </x:c>
      <x:c r="T176" s="265" t="str">
        <x:f>IF(A176="","",IF(NOT(ISNUMBER(N176)),"Complete fee inputs",IF(NOT(ISNUMBER(P176)),IF(R176&lt;&gt;0,"Receipt before earned","Not earned"),IF(S176&lt;0,"Overpaid",IF(S176=0,"Paid",IF(Q176="","Set due date",IF(Q176&lt;TODAY(),"Overdue","Awaiting payment")))))))</x:f>
      </x:c>
      <x:c r="U176" s="235"/>
      <x:c r="V176" s="235"/>
      <x:c r="W176" s="239"/>
      <x:c r="X176" s="238"/>
      <x:c r="Y176" s="238"/>
      <x:c r="Z176" s="238"/>
      <x:c r="AA176" s="235"/>
      <x:c r="AB176" s="315" t="str">
        <x:f>IF(A176="","",IF(COUNTIFS($A$6:$A$205,A176)&gt;1,"Duplicate ID",IF(OR(B176="",COUNTIFS('Clients'!$A$6:$A$205,B176)&lt;&gt;1),"Check Client ID",IF(OR(C176="",COUNTIFS('Properties'!$A$6:$A$205,C176)&lt;&gt;1),"Check Property ID",IF(E176="","Set deal stage",IF(NOT(ISNUMBER(X176)),"Add opened date",IF(AND(E176&lt;&gt;"Completed",E176&lt;&gt;"Cancelled",NOT(ISNUMBER(Y176))),"Add target close date",IF(AND(OR(E176="Completed",E176="Cancelled"),NOT(ISNUMBER(Z176))),"Add closed date",IF(AND(E176="Completed",NOT(ISNUMBER(O176))),"Add earned date",IF(AND(E176="Cancelled",AA176=""),"Add outcome reason",IF(AND(E176&lt;&gt;"Cancelled",NOT(ISNUMBER(N176))),"Complete fee inputs",IF(AND(ISNUMBER(Z176),ISNUMBER(X176),Z176&lt;X176),"Check closed date",""))))))))))))</x:f>
      </x:c>
      <x:c r="AC176" s="791"/>
      <x:c r="AD176" s="791"/>
      <x:c r="AE176" s="791"/>
      <x:c r="AF176" s="791"/>
      <x:c r="AG176" s="794"/>
      <x:c r="AH176" s="791"/>
    </x:row>
    <x:row r="177" ht="26" customHeight="1">
      <x:c r="A177" s="319"/>
      <x:c r="B177" s="320"/>
      <x:c r="C177" s="274"/>
      <x:c r="D177" s="274"/>
      <x:c r="E177" s="274"/>
      <x:c r="F177" s="302"/>
      <x:c r="G177" s="274"/>
      <x:c r="H177" s="303"/>
      <x:c r="I177" s="302"/>
      <x:c r="J177" s="312" t="str">
        <x:f>IF(A177="","",IF(G177="Fixed",IF(NOT(ISNUMBER(I177)),"",I177),IF(G177="Percentage",IF(OR(NOT(ISNUMBER(F177)),NOT(ISNUMBER(H177))),"",ROUND(F177*H177,2)),"")))</x:f>
      </x:c>
      <x:c r="K177" s="303"/>
      <x:c r="L177" s="312" t="str">
        <x:f>IF(OR(NOT(ISNUMBER(J177)),NOT(ISNUMBER(K177))),"",ROUND(J177*(1-K177),2))</x:f>
      </x:c>
      <x:c r="M177" s="303"/>
      <x:c r="N177" s="312" t="str">
        <x:f>IF(OR(NOT(ISNUMBER(L177)),NOT(ISNUMBER(M177))),"",ROUND(L177*M177,2))</x:f>
      </x:c>
      <x:c r="O177" s="304"/>
      <x:c r="P177" s="312" t="str">
        <x:f>IF(A177="","",IF(OR(E177&lt;&gt;"Completed",O177="",NOT(ISNUMBER(N177))),"",N177))</x:f>
      </x:c>
      <x:c r="Q177" s="304"/>
      <x:c r="R177" s="312" t="str">
        <x:f>IF(A177="","",SUMIFS('Payments'!$D$6:$D$205,'Payments'!$B$6:$B$205,A177))</x:f>
      </x:c>
      <x:c r="S177" s="312" t="str">
        <x:f>IF(NOT(ISNUMBER(P177)),"",P177-R177)</x:f>
      </x:c>
      <x:c r="T177" s="265" t="str">
        <x:f>IF(A177="","",IF(NOT(ISNUMBER(N177)),"Complete fee inputs",IF(NOT(ISNUMBER(P177)),IF(R177&lt;&gt;0,"Receipt before earned","Not earned"),IF(S177&lt;0,"Overpaid",IF(S177=0,"Paid",IF(Q177="","Set due date",IF(Q177&lt;TODAY(),"Overdue","Awaiting payment")))))))</x:f>
      </x:c>
      <x:c r="U177" s="274"/>
      <x:c r="V177" s="274"/>
      <x:c r="W177" s="280"/>
      <x:c r="X177" s="304"/>
      <x:c r="Y177" s="304"/>
      <x:c r="Z177" s="304"/>
      <x:c r="AA177" s="274"/>
      <x:c r="AB177" s="315" t="str">
        <x:f>IF(A177="","",IF(COUNTIFS($A$6:$A$205,A177)&gt;1,"Duplicate ID",IF(OR(B177="",COUNTIFS('Clients'!$A$6:$A$205,B177)&lt;&gt;1),"Check Client ID",IF(OR(C177="",COUNTIFS('Properties'!$A$6:$A$205,C177)&lt;&gt;1),"Check Property ID",IF(E177="","Set deal stage",IF(NOT(ISNUMBER(X177)),"Add opened date",IF(AND(E177&lt;&gt;"Completed",E177&lt;&gt;"Cancelled",NOT(ISNUMBER(Y177))),"Add target close date",IF(AND(OR(E177="Completed",E177="Cancelled"),NOT(ISNUMBER(Z177))),"Add closed date",IF(AND(E177="Completed",NOT(ISNUMBER(O177))),"Add earned date",IF(AND(E177="Cancelled",AA177=""),"Add outcome reason",IF(AND(E177&lt;&gt;"Cancelled",NOT(ISNUMBER(N177))),"Complete fee inputs",IF(AND(ISNUMBER(Z177),ISNUMBER(X177),Z177&lt;X177),"Check closed date",""))))))))))))</x:f>
      </x:c>
      <x:c r="AC177" s="791"/>
      <x:c r="AD177" s="791"/>
      <x:c r="AE177" s="791"/>
      <x:c r="AF177" s="791"/>
      <x:c r="AG177" s="794"/>
      <x:c r="AH177" s="791"/>
    </x:row>
    <x:row r="178" ht="26" customHeight="1">
      <x:c r="A178" s="317"/>
      <x:c r="B178" s="318"/>
      <x:c r="C178" s="235"/>
      <x:c r="D178" s="235"/>
      <x:c r="E178" s="235"/>
      <x:c r="F178" s="236"/>
      <x:c r="G178" s="235"/>
      <x:c r="H178" s="237"/>
      <x:c r="I178" s="236"/>
      <x:c r="J178" s="312" t="str">
        <x:f>IF(A178="","",IF(G178="Fixed",IF(NOT(ISNUMBER(I178)),"",I178),IF(G178="Percentage",IF(OR(NOT(ISNUMBER(F178)),NOT(ISNUMBER(H178))),"",ROUND(F178*H178,2)),"")))</x:f>
      </x:c>
      <x:c r="K178" s="237"/>
      <x:c r="L178" s="312" t="str">
        <x:f>IF(OR(NOT(ISNUMBER(J178)),NOT(ISNUMBER(K178))),"",ROUND(J178*(1-K178),2))</x:f>
      </x:c>
      <x:c r="M178" s="237"/>
      <x:c r="N178" s="312" t="str">
        <x:f>IF(OR(NOT(ISNUMBER(L178)),NOT(ISNUMBER(M178))),"",ROUND(L178*M178,2))</x:f>
      </x:c>
      <x:c r="O178" s="238"/>
      <x:c r="P178" s="312" t="str">
        <x:f>IF(A178="","",IF(OR(E178&lt;&gt;"Completed",O178="",NOT(ISNUMBER(N178))),"",N178))</x:f>
      </x:c>
      <x:c r="Q178" s="238"/>
      <x:c r="R178" s="312" t="str">
        <x:f>IF(A178="","",SUMIFS('Payments'!$D$6:$D$205,'Payments'!$B$6:$B$205,A178))</x:f>
      </x:c>
      <x:c r="S178" s="312" t="str">
        <x:f>IF(NOT(ISNUMBER(P178)),"",P178-R178)</x:f>
      </x:c>
      <x:c r="T178" s="265" t="str">
        <x:f>IF(A178="","",IF(NOT(ISNUMBER(N178)),"Complete fee inputs",IF(NOT(ISNUMBER(P178)),IF(R178&lt;&gt;0,"Receipt before earned","Not earned"),IF(S178&lt;0,"Overpaid",IF(S178=0,"Paid",IF(Q178="","Set due date",IF(Q178&lt;TODAY(),"Overdue","Awaiting payment")))))))</x:f>
      </x:c>
      <x:c r="U178" s="235"/>
      <x:c r="V178" s="235"/>
      <x:c r="W178" s="239"/>
      <x:c r="X178" s="238"/>
      <x:c r="Y178" s="238"/>
      <x:c r="Z178" s="238"/>
      <x:c r="AA178" s="235"/>
      <x:c r="AB178" s="315" t="str">
        <x:f>IF(A178="","",IF(COUNTIFS($A$6:$A$205,A178)&gt;1,"Duplicate ID",IF(OR(B178="",COUNTIFS('Clients'!$A$6:$A$205,B178)&lt;&gt;1),"Check Client ID",IF(OR(C178="",COUNTIFS('Properties'!$A$6:$A$205,C178)&lt;&gt;1),"Check Property ID",IF(E178="","Set deal stage",IF(NOT(ISNUMBER(X178)),"Add opened date",IF(AND(E178&lt;&gt;"Completed",E178&lt;&gt;"Cancelled",NOT(ISNUMBER(Y178))),"Add target close date",IF(AND(OR(E178="Completed",E178="Cancelled"),NOT(ISNUMBER(Z178))),"Add closed date",IF(AND(E178="Completed",NOT(ISNUMBER(O178))),"Add earned date",IF(AND(E178="Cancelled",AA178=""),"Add outcome reason",IF(AND(E178&lt;&gt;"Cancelled",NOT(ISNUMBER(N178))),"Complete fee inputs",IF(AND(ISNUMBER(Z178),ISNUMBER(X178),Z178&lt;X178),"Check closed date",""))))))))))))</x:f>
      </x:c>
      <x:c r="AC178" s="791"/>
      <x:c r="AD178" s="791"/>
      <x:c r="AE178" s="791"/>
      <x:c r="AF178" s="791"/>
      <x:c r="AG178" s="794"/>
      <x:c r="AH178" s="791"/>
    </x:row>
    <x:row r="179" ht="26" customHeight="1">
      <x:c r="A179" s="319"/>
      <x:c r="B179" s="320"/>
      <x:c r="C179" s="274"/>
      <x:c r="D179" s="274"/>
      <x:c r="E179" s="274"/>
      <x:c r="F179" s="302"/>
      <x:c r="G179" s="274"/>
      <x:c r="H179" s="303"/>
      <x:c r="I179" s="302"/>
      <x:c r="J179" s="312" t="str">
        <x:f>IF(A179="","",IF(G179="Fixed",IF(NOT(ISNUMBER(I179)),"",I179),IF(G179="Percentage",IF(OR(NOT(ISNUMBER(F179)),NOT(ISNUMBER(H179))),"",ROUND(F179*H179,2)),"")))</x:f>
      </x:c>
      <x:c r="K179" s="303"/>
      <x:c r="L179" s="312" t="str">
        <x:f>IF(OR(NOT(ISNUMBER(J179)),NOT(ISNUMBER(K179))),"",ROUND(J179*(1-K179),2))</x:f>
      </x:c>
      <x:c r="M179" s="303"/>
      <x:c r="N179" s="312" t="str">
        <x:f>IF(OR(NOT(ISNUMBER(L179)),NOT(ISNUMBER(M179))),"",ROUND(L179*M179,2))</x:f>
      </x:c>
      <x:c r="O179" s="304"/>
      <x:c r="P179" s="312" t="str">
        <x:f>IF(A179="","",IF(OR(E179&lt;&gt;"Completed",O179="",NOT(ISNUMBER(N179))),"",N179))</x:f>
      </x:c>
      <x:c r="Q179" s="304"/>
      <x:c r="R179" s="312" t="str">
        <x:f>IF(A179="","",SUMIFS('Payments'!$D$6:$D$205,'Payments'!$B$6:$B$205,A179))</x:f>
      </x:c>
      <x:c r="S179" s="312" t="str">
        <x:f>IF(NOT(ISNUMBER(P179)),"",P179-R179)</x:f>
      </x:c>
      <x:c r="T179" s="265" t="str">
        <x:f>IF(A179="","",IF(NOT(ISNUMBER(N179)),"Complete fee inputs",IF(NOT(ISNUMBER(P179)),IF(R179&lt;&gt;0,"Receipt before earned","Not earned"),IF(S179&lt;0,"Overpaid",IF(S179=0,"Paid",IF(Q179="","Set due date",IF(Q179&lt;TODAY(),"Overdue","Awaiting payment")))))))</x:f>
      </x:c>
      <x:c r="U179" s="274"/>
      <x:c r="V179" s="274"/>
      <x:c r="W179" s="280"/>
      <x:c r="X179" s="304"/>
      <x:c r="Y179" s="304"/>
      <x:c r="Z179" s="304"/>
      <x:c r="AA179" s="274"/>
      <x:c r="AB179" s="315" t="str">
        <x:f>IF(A179="","",IF(COUNTIFS($A$6:$A$205,A179)&gt;1,"Duplicate ID",IF(OR(B179="",COUNTIFS('Clients'!$A$6:$A$205,B179)&lt;&gt;1),"Check Client ID",IF(OR(C179="",COUNTIFS('Properties'!$A$6:$A$205,C179)&lt;&gt;1),"Check Property ID",IF(E179="","Set deal stage",IF(NOT(ISNUMBER(X179)),"Add opened date",IF(AND(E179&lt;&gt;"Completed",E179&lt;&gt;"Cancelled",NOT(ISNUMBER(Y179))),"Add target close date",IF(AND(OR(E179="Completed",E179="Cancelled"),NOT(ISNUMBER(Z179))),"Add closed date",IF(AND(E179="Completed",NOT(ISNUMBER(O179))),"Add earned date",IF(AND(E179="Cancelled",AA179=""),"Add outcome reason",IF(AND(E179&lt;&gt;"Cancelled",NOT(ISNUMBER(N179))),"Complete fee inputs",IF(AND(ISNUMBER(Z179),ISNUMBER(X179),Z179&lt;X179),"Check closed date",""))))))))))))</x:f>
      </x:c>
      <x:c r="AC179" s="791"/>
      <x:c r="AD179" s="791"/>
      <x:c r="AE179" s="791"/>
      <x:c r="AF179" s="791"/>
      <x:c r="AG179" s="794"/>
      <x:c r="AH179" s="791"/>
    </x:row>
    <x:row r="180" ht="26" customHeight="1">
      <x:c r="A180" s="317"/>
      <x:c r="B180" s="318"/>
      <x:c r="C180" s="235"/>
      <x:c r="D180" s="235"/>
      <x:c r="E180" s="235"/>
      <x:c r="F180" s="236"/>
      <x:c r="G180" s="235"/>
      <x:c r="H180" s="237"/>
      <x:c r="I180" s="236"/>
      <x:c r="J180" s="312" t="str">
        <x:f>IF(A180="","",IF(G180="Fixed",IF(NOT(ISNUMBER(I180)),"",I180),IF(G180="Percentage",IF(OR(NOT(ISNUMBER(F180)),NOT(ISNUMBER(H180))),"",ROUND(F180*H180,2)),"")))</x:f>
      </x:c>
      <x:c r="K180" s="237"/>
      <x:c r="L180" s="312" t="str">
        <x:f>IF(OR(NOT(ISNUMBER(J180)),NOT(ISNUMBER(K180))),"",ROUND(J180*(1-K180),2))</x:f>
      </x:c>
      <x:c r="M180" s="237"/>
      <x:c r="N180" s="312" t="str">
        <x:f>IF(OR(NOT(ISNUMBER(L180)),NOT(ISNUMBER(M180))),"",ROUND(L180*M180,2))</x:f>
      </x:c>
      <x:c r="O180" s="238"/>
      <x:c r="P180" s="312" t="str">
        <x:f>IF(A180="","",IF(OR(E180&lt;&gt;"Completed",O180="",NOT(ISNUMBER(N180))),"",N180))</x:f>
      </x:c>
      <x:c r="Q180" s="238"/>
      <x:c r="R180" s="312" t="str">
        <x:f>IF(A180="","",SUMIFS('Payments'!$D$6:$D$205,'Payments'!$B$6:$B$205,A180))</x:f>
      </x:c>
      <x:c r="S180" s="312" t="str">
        <x:f>IF(NOT(ISNUMBER(P180)),"",P180-R180)</x:f>
      </x:c>
      <x:c r="T180" s="265" t="str">
        <x:f>IF(A180="","",IF(NOT(ISNUMBER(N180)),"Complete fee inputs",IF(NOT(ISNUMBER(P180)),IF(R180&lt;&gt;0,"Receipt before earned","Not earned"),IF(S180&lt;0,"Overpaid",IF(S180=0,"Paid",IF(Q180="","Set due date",IF(Q180&lt;TODAY(),"Overdue","Awaiting payment")))))))</x:f>
      </x:c>
      <x:c r="U180" s="235"/>
      <x:c r="V180" s="235"/>
      <x:c r="W180" s="239"/>
      <x:c r="X180" s="238"/>
      <x:c r="Y180" s="238"/>
      <x:c r="Z180" s="238"/>
      <x:c r="AA180" s="235"/>
      <x:c r="AB180" s="315" t="str">
        <x:f>IF(A180="","",IF(COUNTIFS($A$6:$A$205,A180)&gt;1,"Duplicate ID",IF(OR(B180="",COUNTIFS('Clients'!$A$6:$A$205,B180)&lt;&gt;1),"Check Client ID",IF(OR(C180="",COUNTIFS('Properties'!$A$6:$A$205,C180)&lt;&gt;1),"Check Property ID",IF(E180="","Set deal stage",IF(NOT(ISNUMBER(X180)),"Add opened date",IF(AND(E180&lt;&gt;"Completed",E180&lt;&gt;"Cancelled",NOT(ISNUMBER(Y180))),"Add target close date",IF(AND(OR(E180="Completed",E180="Cancelled"),NOT(ISNUMBER(Z180))),"Add closed date",IF(AND(E180="Completed",NOT(ISNUMBER(O180))),"Add earned date",IF(AND(E180="Cancelled",AA180=""),"Add outcome reason",IF(AND(E180&lt;&gt;"Cancelled",NOT(ISNUMBER(N180))),"Complete fee inputs",IF(AND(ISNUMBER(Z180),ISNUMBER(X180),Z180&lt;X180),"Check closed date",""))))))))))))</x:f>
      </x:c>
      <x:c r="AC180" s="791"/>
      <x:c r="AD180" s="791"/>
      <x:c r="AE180" s="791"/>
      <x:c r="AF180" s="791"/>
      <x:c r="AG180" s="794"/>
      <x:c r="AH180" s="791"/>
    </x:row>
    <x:row r="181" ht="26" customHeight="1">
      <x:c r="A181" s="319"/>
      <x:c r="B181" s="320"/>
      <x:c r="C181" s="274"/>
      <x:c r="D181" s="274"/>
      <x:c r="E181" s="274"/>
      <x:c r="F181" s="302"/>
      <x:c r="G181" s="274"/>
      <x:c r="H181" s="303"/>
      <x:c r="I181" s="302"/>
      <x:c r="J181" s="312" t="str">
        <x:f>IF(A181="","",IF(G181="Fixed",IF(NOT(ISNUMBER(I181)),"",I181),IF(G181="Percentage",IF(OR(NOT(ISNUMBER(F181)),NOT(ISNUMBER(H181))),"",ROUND(F181*H181,2)),"")))</x:f>
      </x:c>
      <x:c r="K181" s="303"/>
      <x:c r="L181" s="312" t="str">
        <x:f>IF(OR(NOT(ISNUMBER(J181)),NOT(ISNUMBER(K181))),"",ROUND(J181*(1-K181),2))</x:f>
      </x:c>
      <x:c r="M181" s="303"/>
      <x:c r="N181" s="312" t="str">
        <x:f>IF(OR(NOT(ISNUMBER(L181)),NOT(ISNUMBER(M181))),"",ROUND(L181*M181,2))</x:f>
      </x:c>
      <x:c r="O181" s="304"/>
      <x:c r="P181" s="312" t="str">
        <x:f>IF(A181="","",IF(OR(E181&lt;&gt;"Completed",O181="",NOT(ISNUMBER(N181))),"",N181))</x:f>
      </x:c>
      <x:c r="Q181" s="304"/>
      <x:c r="R181" s="312" t="str">
        <x:f>IF(A181="","",SUMIFS('Payments'!$D$6:$D$205,'Payments'!$B$6:$B$205,A181))</x:f>
      </x:c>
      <x:c r="S181" s="312" t="str">
        <x:f>IF(NOT(ISNUMBER(P181)),"",P181-R181)</x:f>
      </x:c>
      <x:c r="T181" s="265" t="str">
        <x:f>IF(A181="","",IF(NOT(ISNUMBER(N181)),"Complete fee inputs",IF(NOT(ISNUMBER(P181)),IF(R181&lt;&gt;0,"Receipt before earned","Not earned"),IF(S181&lt;0,"Overpaid",IF(S181=0,"Paid",IF(Q181="","Set due date",IF(Q181&lt;TODAY(),"Overdue","Awaiting payment")))))))</x:f>
      </x:c>
      <x:c r="U181" s="274"/>
      <x:c r="V181" s="274"/>
      <x:c r="W181" s="280"/>
      <x:c r="X181" s="304"/>
      <x:c r="Y181" s="304"/>
      <x:c r="Z181" s="304"/>
      <x:c r="AA181" s="274"/>
      <x:c r="AB181" s="315" t="str">
        <x:f>IF(A181="","",IF(COUNTIFS($A$6:$A$205,A181)&gt;1,"Duplicate ID",IF(OR(B181="",COUNTIFS('Clients'!$A$6:$A$205,B181)&lt;&gt;1),"Check Client ID",IF(OR(C181="",COUNTIFS('Properties'!$A$6:$A$205,C181)&lt;&gt;1),"Check Property ID",IF(E181="","Set deal stage",IF(NOT(ISNUMBER(X181)),"Add opened date",IF(AND(E181&lt;&gt;"Completed",E181&lt;&gt;"Cancelled",NOT(ISNUMBER(Y181))),"Add target close date",IF(AND(OR(E181="Completed",E181="Cancelled"),NOT(ISNUMBER(Z181))),"Add closed date",IF(AND(E181="Completed",NOT(ISNUMBER(O181))),"Add earned date",IF(AND(E181="Cancelled",AA181=""),"Add outcome reason",IF(AND(E181&lt;&gt;"Cancelled",NOT(ISNUMBER(N181))),"Complete fee inputs",IF(AND(ISNUMBER(Z181),ISNUMBER(X181),Z181&lt;X181),"Check closed date",""))))))))))))</x:f>
      </x:c>
      <x:c r="AC181" s="791"/>
      <x:c r="AD181" s="791"/>
      <x:c r="AE181" s="791"/>
      <x:c r="AF181" s="791"/>
      <x:c r="AG181" s="794"/>
      <x:c r="AH181" s="791"/>
    </x:row>
    <x:row r="182" ht="26" customHeight="1">
      <x:c r="A182" s="317"/>
      <x:c r="B182" s="318"/>
      <x:c r="C182" s="235"/>
      <x:c r="D182" s="235"/>
      <x:c r="E182" s="235"/>
      <x:c r="F182" s="236"/>
      <x:c r="G182" s="235"/>
      <x:c r="H182" s="237"/>
      <x:c r="I182" s="236"/>
      <x:c r="J182" s="312" t="str">
        <x:f>IF(A182="","",IF(G182="Fixed",IF(NOT(ISNUMBER(I182)),"",I182),IF(G182="Percentage",IF(OR(NOT(ISNUMBER(F182)),NOT(ISNUMBER(H182))),"",ROUND(F182*H182,2)),"")))</x:f>
      </x:c>
      <x:c r="K182" s="237"/>
      <x:c r="L182" s="312" t="str">
        <x:f>IF(OR(NOT(ISNUMBER(J182)),NOT(ISNUMBER(K182))),"",ROUND(J182*(1-K182),2))</x:f>
      </x:c>
      <x:c r="M182" s="237"/>
      <x:c r="N182" s="312" t="str">
        <x:f>IF(OR(NOT(ISNUMBER(L182)),NOT(ISNUMBER(M182))),"",ROUND(L182*M182,2))</x:f>
      </x:c>
      <x:c r="O182" s="238"/>
      <x:c r="P182" s="312" t="str">
        <x:f>IF(A182="","",IF(OR(E182&lt;&gt;"Completed",O182="",NOT(ISNUMBER(N182))),"",N182))</x:f>
      </x:c>
      <x:c r="Q182" s="238"/>
      <x:c r="R182" s="312" t="str">
        <x:f>IF(A182="","",SUMIFS('Payments'!$D$6:$D$205,'Payments'!$B$6:$B$205,A182))</x:f>
      </x:c>
      <x:c r="S182" s="312" t="str">
        <x:f>IF(NOT(ISNUMBER(P182)),"",P182-R182)</x:f>
      </x:c>
      <x:c r="T182" s="265" t="str">
        <x:f>IF(A182="","",IF(NOT(ISNUMBER(N182)),"Complete fee inputs",IF(NOT(ISNUMBER(P182)),IF(R182&lt;&gt;0,"Receipt before earned","Not earned"),IF(S182&lt;0,"Overpaid",IF(S182=0,"Paid",IF(Q182="","Set due date",IF(Q182&lt;TODAY(),"Overdue","Awaiting payment")))))))</x:f>
      </x:c>
      <x:c r="U182" s="235"/>
      <x:c r="V182" s="235"/>
      <x:c r="W182" s="239"/>
      <x:c r="X182" s="238"/>
      <x:c r="Y182" s="238"/>
      <x:c r="Z182" s="238"/>
      <x:c r="AA182" s="235"/>
      <x:c r="AB182" s="315" t="str">
        <x:f>IF(A182="","",IF(COUNTIFS($A$6:$A$205,A182)&gt;1,"Duplicate ID",IF(OR(B182="",COUNTIFS('Clients'!$A$6:$A$205,B182)&lt;&gt;1),"Check Client ID",IF(OR(C182="",COUNTIFS('Properties'!$A$6:$A$205,C182)&lt;&gt;1),"Check Property ID",IF(E182="","Set deal stage",IF(NOT(ISNUMBER(X182)),"Add opened date",IF(AND(E182&lt;&gt;"Completed",E182&lt;&gt;"Cancelled",NOT(ISNUMBER(Y182))),"Add target close date",IF(AND(OR(E182="Completed",E182="Cancelled"),NOT(ISNUMBER(Z182))),"Add closed date",IF(AND(E182="Completed",NOT(ISNUMBER(O182))),"Add earned date",IF(AND(E182="Cancelled",AA182=""),"Add outcome reason",IF(AND(E182&lt;&gt;"Cancelled",NOT(ISNUMBER(N182))),"Complete fee inputs",IF(AND(ISNUMBER(Z182),ISNUMBER(X182),Z182&lt;X182),"Check closed date",""))))))))))))</x:f>
      </x:c>
      <x:c r="AC182" s="791"/>
      <x:c r="AD182" s="791"/>
      <x:c r="AE182" s="791"/>
      <x:c r="AF182" s="791"/>
      <x:c r="AG182" s="794"/>
      <x:c r="AH182" s="791"/>
    </x:row>
    <x:row r="183" ht="26" customHeight="1">
      <x:c r="A183" s="319"/>
      <x:c r="B183" s="320"/>
      <x:c r="C183" s="274"/>
      <x:c r="D183" s="274"/>
      <x:c r="E183" s="274"/>
      <x:c r="F183" s="302"/>
      <x:c r="G183" s="274"/>
      <x:c r="H183" s="303"/>
      <x:c r="I183" s="302"/>
      <x:c r="J183" s="312" t="str">
        <x:f>IF(A183="","",IF(G183="Fixed",IF(NOT(ISNUMBER(I183)),"",I183),IF(G183="Percentage",IF(OR(NOT(ISNUMBER(F183)),NOT(ISNUMBER(H183))),"",ROUND(F183*H183,2)),"")))</x:f>
      </x:c>
      <x:c r="K183" s="303"/>
      <x:c r="L183" s="312" t="str">
        <x:f>IF(OR(NOT(ISNUMBER(J183)),NOT(ISNUMBER(K183))),"",ROUND(J183*(1-K183),2))</x:f>
      </x:c>
      <x:c r="M183" s="303"/>
      <x:c r="N183" s="312" t="str">
        <x:f>IF(OR(NOT(ISNUMBER(L183)),NOT(ISNUMBER(M183))),"",ROUND(L183*M183,2))</x:f>
      </x:c>
      <x:c r="O183" s="304"/>
      <x:c r="P183" s="312" t="str">
        <x:f>IF(A183="","",IF(OR(E183&lt;&gt;"Completed",O183="",NOT(ISNUMBER(N183))),"",N183))</x:f>
      </x:c>
      <x:c r="Q183" s="304"/>
      <x:c r="R183" s="312" t="str">
        <x:f>IF(A183="","",SUMIFS('Payments'!$D$6:$D$205,'Payments'!$B$6:$B$205,A183))</x:f>
      </x:c>
      <x:c r="S183" s="312" t="str">
        <x:f>IF(NOT(ISNUMBER(P183)),"",P183-R183)</x:f>
      </x:c>
      <x:c r="T183" s="265" t="str">
        <x:f>IF(A183="","",IF(NOT(ISNUMBER(N183)),"Complete fee inputs",IF(NOT(ISNUMBER(P183)),IF(R183&lt;&gt;0,"Receipt before earned","Not earned"),IF(S183&lt;0,"Overpaid",IF(S183=0,"Paid",IF(Q183="","Set due date",IF(Q183&lt;TODAY(),"Overdue","Awaiting payment")))))))</x:f>
      </x:c>
      <x:c r="U183" s="274"/>
      <x:c r="V183" s="274"/>
      <x:c r="W183" s="280"/>
      <x:c r="X183" s="304"/>
      <x:c r="Y183" s="304"/>
      <x:c r="Z183" s="304"/>
      <x:c r="AA183" s="274"/>
      <x:c r="AB183" s="315" t="str">
        <x:f>IF(A183="","",IF(COUNTIFS($A$6:$A$205,A183)&gt;1,"Duplicate ID",IF(OR(B183="",COUNTIFS('Clients'!$A$6:$A$205,B183)&lt;&gt;1),"Check Client ID",IF(OR(C183="",COUNTIFS('Properties'!$A$6:$A$205,C183)&lt;&gt;1),"Check Property ID",IF(E183="","Set deal stage",IF(NOT(ISNUMBER(X183)),"Add opened date",IF(AND(E183&lt;&gt;"Completed",E183&lt;&gt;"Cancelled",NOT(ISNUMBER(Y183))),"Add target close date",IF(AND(OR(E183="Completed",E183="Cancelled"),NOT(ISNUMBER(Z183))),"Add closed date",IF(AND(E183="Completed",NOT(ISNUMBER(O183))),"Add earned date",IF(AND(E183="Cancelled",AA183=""),"Add outcome reason",IF(AND(E183&lt;&gt;"Cancelled",NOT(ISNUMBER(N183))),"Complete fee inputs",IF(AND(ISNUMBER(Z183),ISNUMBER(X183),Z183&lt;X183),"Check closed date",""))))))))))))</x:f>
      </x:c>
      <x:c r="AC183" s="791"/>
      <x:c r="AD183" s="791"/>
      <x:c r="AE183" s="791"/>
      <x:c r="AF183" s="791"/>
      <x:c r="AG183" s="794"/>
      <x:c r="AH183" s="791"/>
    </x:row>
    <x:row r="184" ht="26" customHeight="1">
      <x:c r="A184" s="317"/>
      <x:c r="B184" s="318"/>
      <x:c r="C184" s="235"/>
      <x:c r="D184" s="235"/>
      <x:c r="E184" s="235"/>
      <x:c r="F184" s="236"/>
      <x:c r="G184" s="235"/>
      <x:c r="H184" s="237"/>
      <x:c r="I184" s="236"/>
      <x:c r="J184" s="312" t="str">
        <x:f>IF(A184="","",IF(G184="Fixed",IF(NOT(ISNUMBER(I184)),"",I184),IF(G184="Percentage",IF(OR(NOT(ISNUMBER(F184)),NOT(ISNUMBER(H184))),"",ROUND(F184*H184,2)),"")))</x:f>
      </x:c>
      <x:c r="K184" s="237"/>
      <x:c r="L184" s="312" t="str">
        <x:f>IF(OR(NOT(ISNUMBER(J184)),NOT(ISNUMBER(K184))),"",ROUND(J184*(1-K184),2))</x:f>
      </x:c>
      <x:c r="M184" s="237"/>
      <x:c r="N184" s="312" t="str">
        <x:f>IF(OR(NOT(ISNUMBER(L184)),NOT(ISNUMBER(M184))),"",ROUND(L184*M184,2))</x:f>
      </x:c>
      <x:c r="O184" s="238"/>
      <x:c r="P184" s="312" t="str">
        <x:f>IF(A184="","",IF(OR(E184&lt;&gt;"Completed",O184="",NOT(ISNUMBER(N184))),"",N184))</x:f>
      </x:c>
      <x:c r="Q184" s="238"/>
      <x:c r="R184" s="312" t="str">
        <x:f>IF(A184="","",SUMIFS('Payments'!$D$6:$D$205,'Payments'!$B$6:$B$205,A184))</x:f>
      </x:c>
      <x:c r="S184" s="312" t="str">
        <x:f>IF(NOT(ISNUMBER(P184)),"",P184-R184)</x:f>
      </x:c>
      <x:c r="T184" s="265" t="str">
        <x:f>IF(A184="","",IF(NOT(ISNUMBER(N184)),"Complete fee inputs",IF(NOT(ISNUMBER(P184)),IF(R184&lt;&gt;0,"Receipt before earned","Not earned"),IF(S184&lt;0,"Overpaid",IF(S184=0,"Paid",IF(Q184="","Set due date",IF(Q184&lt;TODAY(),"Overdue","Awaiting payment")))))))</x:f>
      </x:c>
      <x:c r="U184" s="235"/>
      <x:c r="V184" s="235"/>
      <x:c r="W184" s="239"/>
      <x:c r="X184" s="238"/>
      <x:c r="Y184" s="238"/>
      <x:c r="Z184" s="238"/>
      <x:c r="AA184" s="235"/>
      <x:c r="AB184" s="315" t="str">
        <x:f>IF(A184="","",IF(COUNTIFS($A$6:$A$205,A184)&gt;1,"Duplicate ID",IF(OR(B184="",COUNTIFS('Clients'!$A$6:$A$205,B184)&lt;&gt;1),"Check Client ID",IF(OR(C184="",COUNTIFS('Properties'!$A$6:$A$205,C184)&lt;&gt;1),"Check Property ID",IF(E184="","Set deal stage",IF(NOT(ISNUMBER(X184)),"Add opened date",IF(AND(E184&lt;&gt;"Completed",E184&lt;&gt;"Cancelled",NOT(ISNUMBER(Y184))),"Add target close date",IF(AND(OR(E184="Completed",E184="Cancelled"),NOT(ISNUMBER(Z184))),"Add closed date",IF(AND(E184="Completed",NOT(ISNUMBER(O184))),"Add earned date",IF(AND(E184="Cancelled",AA184=""),"Add outcome reason",IF(AND(E184&lt;&gt;"Cancelled",NOT(ISNUMBER(N184))),"Complete fee inputs",IF(AND(ISNUMBER(Z184),ISNUMBER(X184),Z184&lt;X184),"Check closed date",""))))))))))))</x:f>
      </x:c>
      <x:c r="AC184" s="791"/>
      <x:c r="AD184" s="791"/>
      <x:c r="AE184" s="791"/>
      <x:c r="AF184" s="791"/>
      <x:c r="AG184" s="794"/>
      <x:c r="AH184" s="791"/>
    </x:row>
    <x:row r="185" ht="26" customHeight="1">
      <x:c r="A185" s="319"/>
      <x:c r="B185" s="320"/>
      <x:c r="C185" s="274"/>
      <x:c r="D185" s="274"/>
      <x:c r="E185" s="274"/>
      <x:c r="F185" s="302"/>
      <x:c r="G185" s="274"/>
      <x:c r="H185" s="303"/>
      <x:c r="I185" s="302"/>
      <x:c r="J185" s="312" t="str">
        <x:f>IF(A185="","",IF(G185="Fixed",IF(NOT(ISNUMBER(I185)),"",I185),IF(G185="Percentage",IF(OR(NOT(ISNUMBER(F185)),NOT(ISNUMBER(H185))),"",ROUND(F185*H185,2)),"")))</x:f>
      </x:c>
      <x:c r="K185" s="303"/>
      <x:c r="L185" s="312" t="str">
        <x:f>IF(OR(NOT(ISNUMBER(J185)),NOT(ISNUMBER(K185))),"",ROUND(J185*(1-K185),2))</x:f>
      </x:c>
      <x:c r="M185" s="303"/>
      <x:c r="N185" s="312" t="str">
        <x:f>IF(OR(NOT(ISNUMBER(L185)),NOT(ISNUMBER(M185))),"",ROUND(L185*M185,2))</x:f>
      </x:c>
      <x:c r="O185" s="304"/>
      <x:c r="P185" s="312" t="str">
        <x:f>IF(A185="","",IF(OR(E185&lt;&gt;"Completed",O185="",NOT(ISNUMBER(N185))),"",N185))</x:f>
      </x:c>
      <x:c r="Q185" s="304"/>
      <x:c r="R185" s="312" t="str">
        <x:f>IF(A185="","",SUMIFS('Payments'!$D$6:$D$205,'Payments'!$B$6:$B$205,A185))</x:f>
      </x:c>
      <x:c r="S185" s="312" t="str">
        <x:f>IF(NOT(ISNUMBER(P185)),"",P185-R185)</x:f>
      </x:c>
      <x:c r="T185" s="265" t="str">
        <x:f>IF(A185="","",IF(NOT(ISNUMBER(N185)),"Complete fee inputs",IF(NOT(ISNUMBER(P185)),IF(R185&lt;&gt;0,"Receipt before earned","Not earned"),IF(S185&lt;0,"Overpaid",IF(S185=0,"Paid",IF(Q185="","Set due date",IF(Q185&lt;TODAY(),"Overdue","Awaiting payment")))))))</x:f>
      </x:c>
      <x:c r="U185" s="274"/>
      <x:c r="V185" s="274"/>
      <x:c r="W185" s="280"/>
      <x:c r="X185" s="304"/>
      <x:c r="Y185" s="304"/>
      <x:c r="Z185" s="304"/>
      <x:c r="AA185" s="274"/>
      <x:c r="AB185" s="315" t="str">
        <x:f>IF(A185="","",IF(COUNTIFS($A$6:$A$205,A185)&gt;1,"Duplicate ID",IF(OR(B185="",COUNTIFS('Clients'!$A$6:$A$205,B185)&lt;&gt;1),"Check Client ID",IF(OR(C185="",COUNTIFS('Properties'!$A$6:$A$205,C185)&lt;&gt;1),"Check Property ID",IF(E185="","Set deal stage",IF(NOT(ISNUMBER(X185)),"Add opened date",IF(AND(E185&lt;&gt;"Completed",E185&lt;&gt;"Cancelled",NOT(ISNUMBER(Y185))),"Add target close date",IF(AND(OR(E185="Completed",E185="Cancelled"),NOT(ISNUMBER(Z185))),"Add closed date",IF(AND(E185="Completed",NOT(ISNUMBER(O185))),"Add earned date",IF(AND(E185="Cancelled",AA185=""),"Add outcome reason",IF(AND(E185&lt;&gt;"Cancelled",NOT(ISNUMBER(N185))),"Complete fee inputs",IF(AND(ISNUMBER(Z185),ISNUMBER(X185),Z185&lt;X185),"Check closed date",""))))))))))))</x:f>
      </x:c>
      <x:c r="AC185" s="791"/>
      <x:c r="AD185" s="791"/>
      <x:c r="AE185" s="791"/>
      <x:c r="AF185" s="791"/>
      <x:c r="AG185" s="794"/>
      <x:c r="AH185" s="791"/>
    </x:row>
    <x:row r="186" ht="26" customHeight="1">
      <x:c r="A186" s="317"/>
      <x:c r="B186" s="318"/>
      <x:c r="C186" s="235"/>
      <x:c r="D186" s="235"/>
      <x:c r="E186" s="235"/>
      <x:c r="F186" s="236"/>
      <x:c r="G186" s="235"/>
      <x:c r="H186" s="237"/>
      <x:c r="I186" s="236"/>
      <x:c r="J186" s="312" t="str">
        <x:f>IF(A186="","",IF(G186="Fixed",IF(NOT(ISNUMBER(I186)),"",I186),IF(G186="Percentage",IF(OR(NOT(ISNUMBER(F186)),NOT(ISNUMBER(H186))),"",ROUND(F186*H186,2)),"")))</x:f>
      </x:c>
      <x:c r="K186" s="237"/>
      <x:c r="L186" s="312" t="str">
        <x:f>IF(OR(NOT(ISNUMBER(J186)),NOT(ISNUMBER(K186))),"",ROUND(J186*(1-K186),2))</x:f>
      </x:c>
      <x:c r="M186" s="237"/>
      <x:c r="N186" s="312" t="str">
        <x:f>IF(OR(NOT(ISNUMBER(L186)),NOT(ISNUMBER(M186))),"",ROUND(L186*M186,2))</x:f>
      </x:c>
      <x:c r="O186" s="238"/>
      <x:c r="P186" s="312" t="str">
        <x:f>IF(A186="","",IF(OR(E186&lt;&gt;"Completed",O186="",NOT(ISNUMBER(N186))),"",N186))</x:f>
      </x:c>
      <x:c r="Q186" s="238"/>
      <x:c r="R186" s="312" t="str">
        <x:f>IF(A186="","",SUMIFS('Payments'!$D$6:$D$205,'Payments'!$B$6:$B$205,A186))</x:f>
      </x:c>
      <x:c r="S186" s="312" t="str">
        <x:f>IF(NOT(ISNUMBER(P186)),"",P186-R186)</x:f>
      </x:c>
      <x:c r="T186" s="265" t="str">
        <x:f>IF(A186="","",IF(NOT(ISNUMBER(N186)),"Complete fee inputs",IF(NOT(ISNUMBER(P186)),IF(R186&lt;&gt;0,"Receipt before earned","Not earned"),IF(S186&lt;0,"Overpaid",IF(S186=0,"Paid",IF(Q186="","Set due date",IF(Q186&lt;TODAY(),"Overdue","Awaiting payment")))))))</x:f>
      </x:c>
      <x:c r="U186" s="235"/>
      <x:c r="V186" s="235"/>
      <x:c r="W186" s="239"/>
      <x:c r="X186" s="238"/>
      <x:c r="Y186" s="238"/>
      <x:c r="Z186" s="238"/>
      <x:c r="AA186" s="235"/>
      <x:c r="AB186" s="315" t="str">
        <x:f>IF(A186="","",IF(COUNTIFS($A$6:$A$205,A186)&gt;1,"Duplicate ID",IF(OR(B186="",COUNTIFS('Clients'!$A$6:$A$205,B186)&lt;&gt;1),"Check Client ID",IF(OR(C186="",COUNTIFS('Properties'!$A$6:$A$205,C186)&lt;&gt;1),"Check Property ID",IF(E186="","Set deal stage",IF(NOT(ISNUMBER(X186)),"Add opened date",IF(AND(E186&lt;&gt;"Completed",E186&lt;&gt;"Cancelled",NOT(ISNUMBER(Y186))),"Add target close date",IF(AND(OR(E186="Completed",E186="Cancelled"),NOT(ISNUMBER(Z186))),"Add closed date",IF(AND(E186="Completed",NOT(ISNUMBER(O186))),"Add earned date",IF(AND(E186="Cancelled",AA186=""),"Add outcome reason",IF(AND(E186&lt;&gt;"Cancelled",NOT(ISNUMBER(N186))),"Complete fee inputs",IF(AND(ISNUMBER(Z186),ISNUMBER(X186),Z186&lt;X186),"Check closed date",""))))))))))))</x:f>
      </x:c>
      <x:c r="AC186" s="791"/>
      <x:c r="AD186" s="791"/>
      <x:c r="AE186" s="791"/>
      <x:c r="AF186" s="791"/>
      <x:c r="AG186" s="794"/>
      <x:c r="AH186" s="791"/>
    </x:row>
    <x:row r="187" ht="26" customHeight="1">
      <x:c r="A187" s="319"/>
      <x:c r="B187" s="320"/>
      <x:c r="C187" s="274"/>
      <x:c r="D187" s="274"/>
      <x:c r="E187" s="274"/>
      <x:c r="F187" s="302"/>
      <x:c r="G187" s="274"/>
      <x:c r="H187" s="303"/>
      <x:c r="I187" s="302"/>
      <x:c r="J187" s="312" t="str">
        <x:f>IF(A187="","",IF(G187="Fixed",IF(NOT(ISNUMBER(I187)),"",I187),IF(G187="Percentage",IF(OR(NOT(ISNUMBER(F187)),NOT(ISNUMBER(H187))),"",ROUND(F187*H187,2)),"")))</x:f>
      </x:c>
      <x:c r="K187" s="303"/>
      <x:c r="L187" s="312" t="str">
        <x:f>IF(OR(NOT(ISNUMBER(J187)),NOT(ISNUMBER(K187))),"",ROUND(J187*(1-K187),2))</x:f>
      </x:c>
      <x:c r="M187" s="303"/>
      <x:c r="N187" s="312" t="str">
        <x:f>IF(OR(NOT(ISNUMBER(L187)),NOT(ISNUMBER(M187))),"",ROUND(L187*M187,2))</x:f>
      </x:c>
      <x:c r="O187" s="304"/>
      <x:c r="P187" s="312" t="str">
        <x:f>IF(A187="","",IF(OR(E187&lt;&gt;"Completed",O187="",NOT(ISNUMBER(N187))),"",N187))</x:f>
      </x:c>
      <x:c r="Q187" s="304"/>
      <x:c r="R187" s="312" t="str">
        <x:f>IF(A187="","",SUMIFS('Payments'!$D$6:$D$205,'Payments'!$B$6:$B$205,A187))</x:f>
      </x:c>
      <x:c r="S187" s="312" t="str">
        <x:f>IF(NOT(ISNUMBER(P187)),"",P187-R187)</x:f>
      </x:c>
      <x:c r="T187" s="265" t="str">
        <x:f>IF(A187="","",IF(NOT(ISNUMBER(N187)),"Complete fee inputs",IF(NOT(ISNUMBER(P187)),IF(R187&lt;&gt;0,"Receipt before earned","Not earned"),IF(S187&lt;0,"Overpaid",IF(S187=0,"Paid",IF(Q187="","Set due date",IF(Q187&lt;TODAY(),"Overdue","Awaiting payment")))))))</x:f>
      </x:c>
      <x:c r="U187" s="274"/>
      <x:c r="V187" s="274"/>
      <x:c r="W187" s="280"/>
      <x:c r="X187" s="304"/>
      <x:c r="Y187" s="304"/>
      <x:c r="Z187" s="304"/>
      <x:c r="AA187" s="274"/>
      <x:c r="AB187" s="315" t="str">
        <x:f>IF(A187="","",IF(COUNTIFS($A$6:$A$205,A187)&gt;1,"Duplicate ID",IF(OR(B187="",COUNTIFS('Clients'!$A$6:$A$205,B187)&lt;&gt;1),"Check Client ID",IF(OR(C187="",COUNTIFS('Properties'!$A$6:$A$205,C187)&lt;&gt;1),"Check Property ID",IF(E187="","Set deal stage",IF(NOT(ISNUMBER(X187)),"Add opened date",IF(AND(E187&lt;&gt;"Completed",E187&lt;&gt;"Cancelled",NOT(ISNUMBER(Y187))),"Add target close date",IF(AND(OR(E187="Completed",E187="Cancelled"),NOT(ISNUMBER(Z187))),"Add closed date",IF(AND(E187="Completed",NOT(ISNUMBER(O187))),"Add earned date",IF(AND(E187="Cancelled",AA187=""),"Add outcome reason",IF(AND(E187&lt;&gt;"Cancelled",NOT(ISNUMBER(N187))),"Complete fee inputs",IF(AND(ISNUMBER(Z187),ISNUMBER(X187),Z187&lt;X187),"Check closed date",""))))))))))))</x:f>
      </x:c>
      <x:c r="AC187" s="791"/>
      <x:c r="AD187" s="791"/>
      <x:c r="AE187" s="791"/>
      <x:c r="AF187" s="791"/>
      <x:c r="AG187" s="794"/>
      <x:c r="AH187" s="791"/>
    </x:row>
    <x:row r="188" ht="26" customHeight="1">
      <x:c r="A188" s="317"/>
      <x:c r="B188" s="318"/>
      <x:c r="C188" s="235"/>
      <x:c r="D188" s="235"/>
      <x:c r="E188" s="235"/>
      <x:c r="F188" s="236"/>
      <x:c r="G188" s="235"/>
      <x:c r="H188" s="237"/>
      <x:c r="I188" s="236"/>
      <x:c r="J188" s="312" t="str">
        <x:f>IF(A188="","",IF(G188="Fixed",IF(NOT(ISNUMBER(I188)),"",I188),IF(G188="Percentage",IF(OR(NOT(ISNUMBER(F188)),NOT(ISNUMBER(H188))),"",ROUND(F188*H188,2)),"")))</x:f>
      </x:c>
      <x:c r="K188" s="237"/>
      <x:c r="L188" s="312" t="str">
        <x:f>IF(OR(NOT(ISNUMBER(J188)),NOT(ISNUMBER(K188))),"",ROUND(J188*(1-K188),2))</x:f>
      </x:c>
      <x:c r="M188" s="237"/>
      <x:c r="N188" s="312" t="str">
        <x:f>IF(OR(NOT(ISNUMBER(L188)),NOT(ISNUMBER(M188))),"",ROUND(L188*M188,2))</x:f>
      </x:c>
      <x:c r="O188" s="238"/>
      <x:c r="P188" s="312" t="str">
        <x:f>IF(A188="","",IF(OR(E188&lt;&gt;"Completed",O188="",NOT(ISNUMBER(N188))),"",N188))</x:f>
      </x:c>
      <x:c r="Q188" s="238"/>
      <x:c r="R188" s="312" t="str">
        <x:f>IF(A188="","",SUMIFS('Payments'!$D$6:$D$205,'Payments'!$B$6:$B$205,A188))</x:f>
      </x:c>
      <x:c r="S188" s="312" t="str">
        <x:f>IF(NOT(ISNUMBER(P188)),"",P188-R188)</x:f>
      </x:c>
      <x:c r="T188" s="265" t="str">
        <x:f>IF(A188="","",IF(NOT(ISNUMBER(N188)),"Complete fee inputs",IF(NOT(ISNUMBER(P188)),IF(R188&lt;&gt;0,"Receipt before earned","Not earned"),IF(S188&lt;0,"Overpaid",IF(S188=0,"Paid",IF(Q188="","Set due date",IF(Q188&lt;TODAY(),"Overdue","Awaiting payment")))))))</x:f>
      </x:c>
      <x:c r="U188" s="235"/>
      <x:c r="V188" s="235"/>
      <x:c r="W188" s="239"/>
      <x:c r="X188" s="238"/>
      <x:c r="Y188" s="238"/>
      <x:c r="Z188" s="238"/>
      <x:c r="AA188" s="235"/>
      <x:c r="AB188" s="315" t="str">
        <x:f>IF(A188="","",IF(COUNTIFS($A$6:$A$205,A188)&gt;1,"Duplicate ID",IF(OR(B188="",COUNTIFS('Clients'!$A$6:$A$205,B188)&lt;&gt;1),"Check Client ID",IF(OR(C188="",COUNTIFS('Properties'!$A$6:$A$205,C188)&lt;&gt;1),"Check Property ID",IF(E188="","Set deal stage",IF(NOT(ISNUMBER(X188)),"Add opened date",IF(AND(E188&lt;&gt;"Completed",E188&lt;&gt;"Cancelled",NOT(ISNUMBER(Y188))),"Add target close date",IF(AND(OR(E188="Completed",E188="Cancelled"),NOT(ISNUMBER(Z188))),"Add closed date",IF(AND(E188="Completed",NOT(ISNUMBER(O188))),"Add earned date",IF(AND(E188="Cancelled",AA188=""),"Add outcome reason",IF(AND(E188&lt;&gt;"Cancelled",NOT(ISNUMBER(N188))),"Complete fee inputs",IF(AND(ISNUMBER(Z188),ISNUMBER(X188),Z188&lt;X188),"Check closed date",""))))))))))))</x:f>
      </x:c>
      <x:c r="AC188" s="791"/>
      <x:c r="AD188" s="791"/>
      <x:c r="AE188" s="791"/>
      <x:c r="AF188" s="791"/>
      <x:c r="AG188" s="794"/>
      <x:c r="AH188" s="791"/>
    </x:row>
    <x:row r="189" ht="26" customHeight="1">
      <x:c r="A189" s="319"/>
      <x:c r="B189" s="320"/>
      <x:c r="C189" s="274"/>
      <x:c r="D189" s="274"/>
      <x:c r="E189" s="274"/>
      <x:c r="F189" s="302"/>
      <x:c r="G189" s="274"/>
      <x:c r="H189" s="303"/>
      <x:c r="I189" s="302"/>
      <x:c r="J189" s="312" t="str">
        <x:f>IF(A189="","",IF(G189="Fixed",IF(NOT(ISNUMBER(I189)),"",I189),IF(G189="Percentage",IF(OR(NOT(ISNUMBER(F189)),NOT(ISNUMBER(H189))),"",ROUND(F189*H189,2)),"")))</x:f>
      </x:c>
      <x:c r="K189" s="303"/>
      <x:c r="L189" s="312" t="str">
        <x:f>IF(OR(NOT(ISNUMBER(J189)),NOT(ISNUMBER(K189))),"",ROUND(J189*(1-K189),2))</x:f>
      </x:c>
      <x:c r="M189" s="303"/>
      <x:c r="N189" s="312" t="str">
        <x:f>IF(OR(NOT(ISNUMBER(L189)),NOT(ISNUMBER(M189))),"",ROUND(L189*M189,2))</x:f>
      </x:c>
      <x:c r="O189" s="304"/>
      <x:c r="P189" s="312" t="str">
        <x:f>IF(A189="","",IF(OR(E189&lt;&gt;"Completed",O189="",NOT(ISNUMBER(N189))),"",N189))</x:f>
      </x:c>
      <x:c r="Q189" s="304"/>
      <x:c r="R189" s="312" t="str">
        <x:f>IF(A189="","",SUMIFS('Payments'!$D$6:$D$205,'Payments'!$B$6:$B$205,A189))</x:f>
      </x:c>
      <x:c r="S189" s="312" t="str">
        <x:f>IF(NOT(ISNUMBER(P189)),"",P189-R189)</x:f>
      </x:c>
      <x:c r="T189" s="265" t="str">
        <x:f>IF(A189="","",IF(NOT(ISNUMBER(N189)),"Complete fee inputs",IF(NOT(ISNUMBER(P189)),IF(R189&lt;&gt;0,"Receipt before earned","Not earned"),IF(S189&lt;0,"Overpaid",IF(S189=0,"Paid",IF(Q189="","Set due date",IF(Q189&lt;TODAY(),"Overdue","Awaiting payment")))))))</x:f>
      </x:c>
      <x:c r="U189" s="274"/>
      <x:c r="V189" s="274"/>
      <x:c r="W189" s="280"/>
      <x:c r="X189" s="304"/>
      <x:c r="Y189" s="304"/>
      <x:c r="Z189" s="304"/>
      <x:c r="AA189" s="274"/>
      <x:c r="AB189" s="315" t="str">
        <x:f>IF(A189="","",IF(COUNTIFS($A$6:$A$205,A189)&gt;1,"Duplicate ID",IF(OR(B189="",COUNTIFS('Clients'!$A$6:$A$205,B189)&lt;&gt;1),"Check Client ID",IF(OR(C189="",COUNTIFS('Properties'!$A$6:$A$205,C189)&lt;&gt;1),"Check Property ID",IF(E189="","Set deal stage",IF(NOT(ISNUMBER(X189)),"Add opened date",IF(AND(E189&lt;&gt;"Completed",E189&lt;&gt;"Cancelled",NOT(ISNUMBER(Y189))),"Add target close date",IF(AND(OR(E189="Completed",E189="Cancelled"),NOT(ISNUMBER(Z189))),"Add closed date",IF(AND(E189="Completed",NOT(ISNUMBER(O189))),"Add earned date",IF(AND(E189="Cancelled",AA189=""),"Add outcome reason",IF(AND(E189&lt;&gt;"Cancelled",NOT(ISNUMBER(N189))),"Complete fee inputs",IF(AND(ISNUMBER(Z189),ISNUMBER(X189),Z189&lt;X189),"Check closed date",""))))))))))))</x:f>
      </x:c>
      <x:c r="AC189" s="791"/>
      <x:c r="AD189" s="791"/>
      <x:c r="AE189" s="791"/>
      <x:c r="AF189" s="791"/>
      <x:c r="AG189" s="794"/>
      <x:c r="AH189" s="791"/>
    </x:row>
    <x:row r="190" ht="26" customHeight="1">
      <x:c r="A190" s="317"/>
      <x:c r="B190" s="318"/>
      <x:c r="C190" s="235"/>
      <x:c r="D190" s="235"/>
      <x:c r="E190" s="235"/>
      <x:c r="F190" s="236"/>
      <x:c r="G190" s="235"/>
      <x:c r="H190" s="237"/>
      <x:c r="I190" s="236"/>
      <x:c r="J190" s="312" t="str">
        <x:f>IF(A190="","",IF(G190="Fixed",IF(NOT(ISNUMBER(I190)),"",I190),IF(G190="Percentage",IF(OR(NOT(ISNUMBER(F190)),NOT(ISNUMBER(H190))),"",ROUND(F190*H190,2)),"")))</x:f>
      </x:c>
      <x:c r="K190" s="237"/>
      <x:c r="L190" s="312" t="str">
        <x:f>IF(OR(NOT(ISNUMBER(J190)),NOT(ISNUMBER(K190))),"",ROUND(J190*(1-K190),2))</x:f>
      </x:c>
      <x:c r="M190" s="237"/>
      <x:c r="N190" s="312" t="str">
        <x:f>IF(OR(NOT(ISNUMBER(L190)),NOT(ISNUMBER(M190))),"",ROUND(L190*M190,2))</x:f>
      </x:c>
      <x:c r="O190" s="238"/>
      <x:c r="P190" s="312" t="str">
        <x:f>IF(A190="","",IF(OR(E190&lt;&gt;"Completed",O190="",NOT(ISNUMBER(N190))),"",N190))</x:f>
      </x:c>
      <x:c r="Q190" s="238"/>
      <x:c r="R190" s="312" t="str">
        <x:f>IF(A190="","",SUMIFS('Payments'!$D$6:$D$205,'Payments'!$B$6:$B$205,A190))</x:f>
      </x:c>
      <x:c r="S190" s="312" t="str">
        <x:f>IF(NOT(ISNUMBER(P190)),"",P190-R190)</x:f>
      </x:c>
      <x:c r="T190" s="265" t="str">
        <x:f>IF(A190="","",IF(NOT(ISNUMBER(N190)),"Complete fee inputs",IF(NOT(ISNUMBER(P190)),IF(R190&lt;&gt;0,"Receipt before earned","Not earned"),IF(S190&lt;0,"Overpaid",IF(S190=0,"Paid",IF(Q190="","Set due date",IF(Q190&lt;TODAY(),"Overdue","Awaiting payment")))))))</x:f>
      </x:c>
      <x:c r="U190" s="235"/>
      <x:c r="V190" s="235"/>
      <x:c r="W190" s="239"/>
      <x:c r="X190" s="238"/>
      <x:c r="Y190" s="238"/>
      <x:c r="Z190" s="238"/>
      <x:c r="AA190" s="235"/>
      <x:c r="AB190" s="315" t="str">
        <x:f>IF(A190="","",IF(COUNTIFS($A$6:$A$205,A190)&gt;1,"Duplicate ID",IF(OR(B190="",COUNTIFS('Clients'!$A$6:$A$205,B190)&lt;&gt;1),"Check Client ID",IF(OR(C190="",COUNTIFS('Properties'!$A$6:$A$205,C190)&lt;&gt;1),"Check Property ID",IF(E190="","Set deal stage",IF(NOT(ISNUMBER(X190)),"Add opened date",IF(AND(E190&lt;&gt;"Completed",E190&lt;&gt;"Cancelled",NOT(ISNUMBER(Y190))),"Add target close date",IF(AND(OR(E190="Completed",E190="Cancelled"),NOT(ISNUMBER(Z190))),"Add closed date",IF(AND(E190="Completed",NOT(ISNUMBER(O190))),"Add earned date",IF(AND(E190="Cancelled",AA190=""),"Add outcome reason",IF(AND(E190&lt;&gt;"Cancelled",NOT(ISNUMBER(N190))),"Complete fee inputs",IF(AND(ISNUMBER(Z190),ISNUMBER(X190),Z190&lt;X190),"Check closed date",""))))))))))))</x:f>
      </x:c>
      <x:c r="AC190" s="791"/>
      <x:c r="AD190" s="791"/>
      <x:c r="AE190" s="791"/>
      <x:c r="AF190" s="791"/>
      <x:c r="AG190" s="794"/>
      <x:c r="AH190" s="791"/>
    </x:row>
    <x:row r="191" ht="26" customHeight="1">
      <x:c r="A191" s="319"/>
      <x:c r="B191" s="320"/>
      <x:c r="C191" s="274"/>
      <x:c r="D191" s="274"/>
      <x:c r="E191" s="274"/>
      <x:c r="F191" s="302"/>
      <x:c r="G191" s="274"/>
      <x:c r="H191" s="303"/>
      <x:c r="I191" s="302"/>
      <x:c r="J191" s="312" t="str">
        <x:f>IF(A191="","",IF(G191="Fixed",IF(NOT(ISNUMBER(I191)),"",I191),IF(G191="Percentage",IF(OR(NOT(ISNUMBER(F191)),NOT(ISNUMBER(H191))),"",ROUND(F191*H191,2)),"")))</x:f>
      </x:c>
      <x:c r="K191" s="303"/>
      <x:c r="L191" s="312" t="str">
        <x:f>IF(OR(NOT(ISNUMBER(J191)),NOT(ISNUMBER(K191))),"",ROUND(J191*(1-K191),2))</x:f>
      </x:c>
      <x:c r="M191" s="303"/>
      <x:c r="N191" s="312" t="str">
        <x:f>IF(OR(NOT(ISNUMBER(L191)),NOT(ISNUMBER(M191))),"",ROUND(L191*M191,2))</x:f>
      </x:c>
      <x:c r="O191" s="304"/>
      <x:c r="P191" s="312" t="str">
        <x:f>IF(A191="","",IF(OR(E191&lt;&gt;"Completed",O191="",NOT(ISNUMBER(N191))),"",N191))</x:f>
      </x:c>
      <x:c r="Q191" s="304"/>
      <x:c r="R191" s="312" t="str">
        <x:f>IF(A191="","",SUMIFS('Payments'!$D$6:$D$205,'Payments'!$B$6:$B$205,A191))</x:f>
      </x:c>
      <x:c r="S191" s="312" t="str">
        <x:f>IF(NOT(ISNUMBER(P191)),"",P191-R191)</x:f>
      </x:c>
      <x:c r="T191" s="265" t="str">
        <x:f>IF(A191="","",IF(NOT(ISNUMBER(N191)),"Complete fee inputs",IF(NOT(ISNUMBER(P191)),IF(R191&lt;&gt;0,"Receipt before earned","Not earned"),IF(S191&lt;0,"Overpaid",IF(S191=0,"Paid",IF(Q191="","Set due date",IF(Q191&lt;TODAY(),"Overdue","Awaiting payment")))))))</x:f>
      </x:c>
      <x:c r="U191" s="274"/>
      <x:c r="V191" s="274"/>
      <x:c r="W191" s="280"/>
      <x:c r="X191" s="304"/>
      <x:c r="Y191" s="304"/>
      <x:c r="Z191" s="304"/>
      <x:c r="AA191" s="274"/>
      <x:c r="AB191" s="315" t="str">
        <x:f>IF(A191="","",IF(COUNTIFS($A$6:$A$205,A191)&gt;1,"Duplicate ID",IF(OR(B191="",COUNTIFS('Clients'!$A$6:$A$205,B191)&lt;&gt;1),"Check Client ID",IF(OR(C191="",COUNTIFS('Properties'!$A$6:$A$205,C191)&lt;&gt;1),"Check Property ID",IF(E191="","Set deal stage",IF(NOT(ISNUMBER(X191)),"Add opened date",IF(AND(E191&lt;&gt;"Completed",E191&lt;&gt;"Cancelled",NOT(ISNUMBER(Y191))),"Add target close date",IF(AND(OR(E191="Completed",E191="Cancelled"),NOT(ISNUMBER(Z191))),"Add closed date",IF(AND(E191="Completed",NOT(ISNUMBER(O191))),"Add earned date",IF(AND(E191="Cancelled",AA191=""),"Add outcome reason",IF(AND(E191&lt;&gt;"Cancelled",NOT(ISNUMBER(N191))),"Complete fee inputs",IF(AND(ISNUMBER(Z191),ISNUMBER(X191),Z191&lt;X191),"Check closed date",""))))))))))))</x:f>
      </x:c>
      <x:c r="AC191" s="791"/>
      <x:c r="AD191" s="791"/>
      <x:c r="AE191" s="791"/>
      <x:c r="AF191" s="791"/>
      <x:c r="AG191" s="794"/>
      <x:c r="AH191" s="791"/>
    </x:row>
    <x:row r="192" ht="26" customHeight="1">
      <x:c r="A192" s="317"/>
      <x:c r="B192" s="318"/>
      <x:c r="C192" s="235"/>
      <x:c r="D192" s="235"/>
      <x:c r="E192" s="235"/>
      <x:c r="F192" s="236"/>
      <x:c r="G192" s="235"/>
      <x:c r="H192" s="237"/>
      <x:c r="I192" s="236"/>
      <x:c r="J192" s="312" t="str">
        <x:f>IF(A192="","",IF(G192="Fixed",IF(NOT(ISNUMBER(I192)),"",I192),IF(G192="Percentage",IF(OR(NOT(ISNUMBER(F192)),NOT(ISNUMBER(H192))),"",ROUND(F192*H192,2)),"")))</x:f>
      </x:c>
      <x:c r="K192" s="237"/>
      <x:c r="L192" s="312" t="str">
        <x:f>IF(OR(NOT(ISNUMBER(J192)),NOT(ISNUMBER(K192))),"",ROUND(J192*(1-K192),2))</x:f>
      </x:c>
      <x:c r="M192" s="237"/>
      <x:c r="N192" s="312" t="str">
        <x:f>IF(OR(NOT(ISNUMBER(L192)),NOT(ISNUMBER(M192))),"",ROUND(L192*M192,2))</x:f>
      </x:c>
      <x:c r="O192" s="238"/>
      <x:c r="P192" s="312" t="str">
        <x:f>IF(A192="","",IF(OR(E192&lt;&gt;"Completed",O192="",NOT(ISNUMBER(N192))),"",N192))</x:f>
      </x:c>
      <x:c r="Q192" s="238"/>
      <x:c r="R192" s="312" t="str">
        <x:f>IF(A192="","",SUMIFS('Payments'!$D$6:$D$205,'Payments'!$B$6:$B$205,A192))</x:f>
      </x:c>
      <x:c r="S192" s="312" t="str">
        <x:f>IF(NOT(ISNUMBER(P192)),"",P192-R192)</x:f>
      </x:c>
      <x:c r="T192" s="265" t="str">
        <x:f>IF(A192="","",IF(NOT(ISNUMBER(N192)),"Complete fee inputs",IF(NOT(ISNUMBER(P192)),IF(R192&lt;&gt;0,"Receipt before earned","Not earned"),IF(S192&lt;0,"Overpaid",IF(S192=0,"Paid",IF(Q192="","Set due date",IF(Q192&lt;TODAY(),"Overdue","Awaiting payment")))))))</x:f>
      </x:c>
      <x:c r="U192" s="235"/>
      <x:c r="V192" s="235"/>
      <x:c r="W192" s="239"/>
      <x:c r="X192" s="238"/>
      <x:c r="Y192" s="238"/>
      <x:c r="Z192" s="238"/>
      <x:c r="AA192" s="235"/>
      <x:c r="AB192" s="315" t="str">
        <x:f>IF(A192="","",IF(COUNTIFS($A$6:$A$205,A192)&gt;1,"Duplicate ID",IF(OR(B192="",COUNTIFS('Clients'!$A$6:$A$205,B192)&lt;&gt;1),"Check Client ID",IF(OR(C192="",COUNTIFS('Properties'!$A$6:$A$205,C192)&lt;&gt;1),"Check Property ID",IF(E192="","Set deal stage",IF(NOT(ISNUMBER(X192)),"Add opened date",IF(AND(E192&lt;&gt;"Completed",E192&lt;&gt;"Cancelled",NOT(ISNUMBER(Y192))),"Add target close date",IF(AND(OR(E192="Completed",E192="Cancelled"),NOT(ISNUMBER(Z192))),"Add closed date",IF(AND(E192="Completed",NOT(ISNUMBER(O192))),"Add earned date",IF(AND(E192="Cancelled",AA192=""),"Add outcome reason",IF(AND(E192&lt;&gt;"Cancelled",NOT(ISNUMBER(N192))),"Complete fee inputs",IF(AND(ISNUMBER(Z192),ISNUMBER(X192),Z192&lt;X192),"Check closed date",""))))))))))))</x:f>
      </x:c>
      <x:c r="AC192" s="791"/>
      <x:c r="AD192" s="791"/>
      <x:c r="AE192" s="791"/>
      <x:c r="AF192" s="791"/>
      <x:c r="AG192" s="794"/>
      <x:c r="AH192" s="791"/>
    </x:row>
    <x:row r="193" ht="26" customHeight="1">
      <x:c r="A193" s="319"/>
      <x:c r="B193" s="320"/>
      <x:c r="C193" s="274"/>
      <x:c r="D193" s="274"/>
      <x:c r="E193" s="274"/>
      <x:c r="F193" s="302"/>
      <x:c r="G193" s="274"/>
      <x:c r="H193" s="303"/>
      <x:c r="I193" s="302"/>
      <x:c r="J193" s="312" t="str">
        <x:f>IF(A193="","",IF(G193="Fixed",IF(NOT(ISNUMBER(I193)),"",I193),IF(G193="Percentage",IF(OR(NOT(ISNUMBER(F193)),NOT(ISNUMBER(H193))),"",ROUND(F193*H193,2)),"")))</x:f>
      </x:c>
      <x:c r="K193" s="303"/>
      <x:c r="L193" s="312" t="str">
        <x:f>IF(OR(NOT(ISNUMBER(J193)),NOT(ISNUMBER(K193))),"",ROUND(J193*(1-K193),2))</x:f>
      </x:c>
      <x:c r="M193" s="303"/>
      <x:c r="N193" s="312" t="str">
        <x:f>IF(OR(NOT(ISNUMBER(L193)),NOT(ISNUMBER(M193))),"",ROUND(L193*M193,2))</x:f>
      </x:c>
      <x:c r="O193" s="304"/>
      <x:c r="P193" s="312" t="str">
        <x:f>IF(A193="","",IF(OR(E193&lt;&gt;"Completed",O193="",NOT(ISNUMBER(N193))),"",N193))</x:f>
      </x:c>
      <x:c r="Q193" s="304"/>
      <x:c r="R193" s="312" t="str">
        <x:f>IF(A193="","",SUMIFS('Payments'!$D$6:$D$205,'Payments'!$B$6:$B$205,A193))</x:f>
      </x:c>
      <x:c r="S193" s="312" t="str">
        <x:f>IF(NOT(ISNUMBER(P193)),"",P193-R193)</x:f>
      </x:c>
      <x:c r="T193" s="265" t="str">
        <x:f>IF(A193="","",IF(NOT(ISNUMBER(N193)),"Complete fee inputs",IF(NOT(ISNUMBER(P193)),IF(R193&lt;&gt;0,"Receipt before earned","Not earned"),IF(S193&lt;0,"Overpaid",IF(S193=0,"Paid",IF(Q193="","Set due date",IF(Q193&lt;TODAY(),"Overdue","Awaiting payment")))))))</x:f>
      </x:c>
      <x:c r="U193" s="274"/>
      <x:c r="V193" s="274"/>
      <x:c r="W193" s="280"/>
      <x:c r="X193" s="304"/>
      <x:c r="Y193" s="304"/>
      <x:c r="Z193" s="304"/>
      <x:c r="AA193" s="274"/>
      <x:c r="AB193" s="315" t="str">
        <x:f>IF(A193="","",IF(COUNTIFS($A$6:$A$205,A193)&gt;1,"Duplicate ID",IF(OR(B193="",COUNTIFS('Clients'!$A$6:$A$205,B193)&lt;&gt;1),"Check Client ID",IF(OR(C193="",COUNTIFS('Properties'!$A$6:$A$205,C193)&lt;&gt;1),"Check Property ID",IF(E193="","Set deal stage",IF(NOT(ISNUMBER(X193)),"Add opened date",IF(AND(E193&lt;&gt;"Completed",E193&lt;&gt;"Cancelled",NOT(ISNUMBER(Y193))),"Add target close date",IF(AND(OR(E193="Completed",E193="Cancelled"),NOT(ISNUMBER(Z193))),"Add closed date",IF(AND(E193="Completed",NOT(ISNUMBER(O193))),"Add earned date",IF(AND(E193="Cancelled",AA193=""),"Add outcome reason",IF(AND(E193&lt;&gt;"Cancelled",NOT(ISNUMBER(N193))),"Complete fee inputs",IF(AND(ISNUMBER(Z193),ISNUMBER(X193),Z193&lt;X193),"Check closed date",""))))))))))))</x:f>
      </x:c>
      <x:c r="AC193" s="791"/>
      <x:c r="AD193" s="791"/>
      <x:c r="AE193" s="791"/>
      <x:c r="AF193" s="791"/>
      <x:c r="AG193" s="794"/>
      <x:c r="AH193" s="791"/>
    </x:row>
    <x:row r="194" ht="26" customHeight="1">
      <x:c r="A194" s="317"/>
      <x:c r="B194" s="318"/>
      <x:c r="C194" s="235"/>
      <x:c r="D194" s="235"/>
      <x:c r="E194" s="235"/>
      <x:c r="F194" s="236"/>
      <x:c r="G194" s="235"/>
      <x:c r="H194" s="237"/>
      <x:c r="I194" s="236"/>
      <x:c r="J194" s="312" t="str">
        <x:f>IF(A194="","",IF(G194="Fixed",IF(NOT(ISNUMBER(I194)),"",I194),IF(G194="Percentage",IF(OR(NOT(ISNUMBER(F194)),NOT(ISNUMBER(H194))),"",ROUND(F194*H194,2)),"")))</x:f>
      </x:c>
      <x:c r="K194" s="237"/>
      <x:c r="L194" s="312" t="str">
        <x:f>IF(OR(NOT(ISNUMBER(J194)),NOT(ISNUMBER(K194))),"",ROUND(J194*(1-K194),2))</x:f>
      </x:c>
      <x:c r="M194" s="237"/>
      <x:c r="N194" s="312" t="str">
        <x:f>IF(OR(NOT(ISNUMBER(L194)),NOT(ISNUMBER(M194))),"",ROUND(L194*M194,2))</x:f>
      </x:c>
      <x:c r="O194" s="238"/>
      <x:c r="P194" s="312" t="str">
        <x:f>IF(A194="","",IF(OR(E194&lt;&gt;"Completed",O194="",NOT(ISNUMBER(N194))),"",N194))</x:f>
      </x:c>
      <x:c r="Q194" s="238"/>
      <x:c r="R194" s="312" t="str">
        <x:f>IF(A194="","",SUMIFS('Payments'!$D$6:$D$205,'Payments'!$B$6:$B$205,A194))</x:f>
      </x:c>
      <x:c r="S194" s="312" t="str">
        <x:f>IF(NOT(ISNUMBER(P194)),"",P194-R194)</x:f>
      </x:c>
      <x:c r="T194" s="265" t="str">
        <x:f>IF(A194="","",IF(NOT(ISNUMBER(N194)),"Complete fee inputs",IF(NOT(ISNUMBER(P194)),IF(R194&lt;&gt;0,"Receipt before earned","Not earned"),IF(S194&lt;0,"Overpaid",IF(S194=0,"Paid",IF(Q194="","Set due date",IF(Q194&lt;TODAY(),"Overdue","Awaiting payment")))))))</x:f>
      </x:c>
      <x:c r="U194" s="235"/>
      <x:c r="V194" s="235"/>
      <x:c r="W194" s="239"/>
      <x:c r="X194" s="238"/>
      <x:c r="Y194" s="238"/>
      <x:c r="Z194" s="238"/>
      <x:c r="AA194" s="235"/>
      <x:c r="AB194" s="315" t="str">
        <x:f>IF(A194="","",IF(COUNTIFS($A$6:$A$205,A194)&gt;1,"Duplicate ID",IF(OR(B194="",COUNTIFS('Clients'!$A$6:$A$205,B194)&lt;&gt;1),"Check Client ID",IF(OR(C194="",COUNTIFS('Properties'!$A$6:$A$205,C194)&lt;&gt;1),"Check Property ID",IF(E194="","Set deal stage",IF(NOT(ISNUMBER(X194)),"Add opened date",IF(AND(E194&lt;&gt;"Completed",E194&lt;&gt;"Cancelled",NOT(ISNUMBER(Y194))),"Add target close date",IF(AND(OR(E194="Completed",E194="Cancelled"),NOT(ISNUMBER(Z194))),"Add closed date",IF(AND(E194="Completed",NOT(ISNUMBER(O194))),"Add earned date",IF(AND(E194="Cancelled",AA194=""),"Add outcome reason",IF(AND(E194&lt;&gt;"Cancelled",NOT(ISNUMBER(N194))),"Complete fee inputs",IF(AND(ISNUMBER(Z194),ISNUMBER(X194),Z194&lt;X194),"Check closed date",""))))))))))))</x:f>
      </x:c>
      <x:c r="AC194" s="791"/>
      <x:c r="AD194" s="791"/>
      <x:c r="AE194" s="791"/>
      <x:c r="AF194" s="791"/>
      <x:c r="AG194" s="794"/>
      <x:c r="AH194" s="791"/>
    </x:row>
    <x:row r="195" ht="26" customHeight="1">
      <x:c r="A195" s="319"/>
      <x:c r="B195" s="320"/>
      <x:c r="C195" s="274"/>
      <x:c r="D195" s="274"/>
      <x:c r="E195" s="274"/>
      <x:c r="F195" s="302"/>
      <x:c r="G195" s="274"/>
      <x:c r="H195" s="303"/>
      <x:c r="I195" s="302"/>
      <x:c r="J195" s="312" t="str">
        <x:f>IF(A195="","",IF(G195="Fixed",IF(NOT(ISNUMBER(I195)),"",I195),IF(G195="Percentage",IF(OR(NOT(ISNUMBER(F195)),NOT(ISNUMBER(H195))),"",ROUND(F195*H195,2)),"")))</x:f>
      </x:c>
      <x:c r="K195" s="303"/>
      <x:c r="L195" s="312" t="str">
        <x:f>IF(OR(NOT(ISNUMBER(J195)),NOT(ISNUMBER(K195))),"",ROUND(J195*(1-K195),2))</x:f>
      </x:c>
      <x:c r="M195" s="303"/>
      <x:c r="N195" s="312" t="str">
        <x:f>IF(OR(NOT(ISNUMBER(L195)),NOT(ISNUMBER(M195))),"",ROUND(L195*M195,2))</x:f>
      </x:c>
      <x:c r="O195" s="304"/>
      <x:c r="P195" s="312" t="str">
        <x:f>IF(A195="","",IF(OR(E195&lt;&gt;"Completed",O195="",NOT(ISNUMBER(N195))),"",N195))</x:f>
      </x:c>
      <x:c r="Q195" s="304"/>
      <x:c r="R195" s="312" t="str">
        <x:f>IF(A195="","",SUMIFS('Payments'!$D$6:$D$205,'Payments'!$B$6:$B$205,A195))</x:f>
      </x:c>
      <x:c r="S195" s="312" t="str">
        <x:f>IF(NOT(ISNUMBER(P195)),"",P195-R195)</x:f>
      </x:c>
      <x:c r="T195" s="265" t="str">
        <x:f>IF(A195="","",IF(NOT(ISNUMBER(N195)),"Complete fee inputs",IF(NOT(ISNUMBER(P195)),IF(R195&lt;&gt;0,"Receipt before earned","Not earned"),IF(S195&lt;0,"Overpaid",IF(S195=0,"Paid",IF(Q195="","Set due date",IF(Q195&lt;TODAY(),"Overdue","Awaiting payment")))))))</x:f>
      </x:c>
      <x:c r="U195" s="274"/>
      <x:c r="V195" s="274"/>
      <x:c r="W195" s="280"/>
      <x:c r="X195" s="304"/>
      <x:c r="Y195" s="304"/>
      <x:c r="Z195" s="304"/>
      <x:c r="AA195" s="274"/>
      <x:c r="AB195" s="315" t="str">
        <x:f>IF(A195="","",IF(COUNTIFS($A$6:$A$205,A195)&gt;1,"Duplicate ID",IF(OR(B195="",COUNTIFS('Clients'!$A$6:$A$205,B195)&lt;&gt;1),"Check Client ID",IF(OR(C195="",COUNTIFS('Properties'!$A$6:$A$205,C195)&lt;&gt;1),"Check Property ID",IF(E195="","Set deal stage",IF(NOT(ISNUMBER(X195)),"Add opened date",IF(AND(E195&lt;&gt;"Completed",E195&lt;&gt;"Cancelled",NOT(ISNUMBER(Y195))),"Add target close date",IF(AND(OR(E195="Completed",E195="Cancelled"),NOT(ISNUMBER(Z195))),"Add closed date",IF(AND(E195="Completed",NOT(ISNUMBER(O195))),"Add earned date",IF(AND(E195="Cancelled",AA195=""),"Add outcome reason",IF(AND(E195&lt;&gt;"Cancelled",NOT(ISNUMBER(N195))),"Complete fee inputs",IF(AND(ISNUMBER(Z195),ISNUMBER(X195),Z195&lt;X195),"Check closed date",""))))))))))))</x:f>
      </x:c>
      <x:c r="AC195" s="791"/>
      <x:c r="AD195" s="791"/>
      <x:c r="AE195" s="791"/>
      <x:c r="AF195" s="791"/>
      <x:c r="AG195" s="794"/>
      <x:c r="AH195" s="791"/>
    </x:row>
    <x:row r="196" ht="26" customHeight="1">
      <x:c r="A196" s="317"/>
      <x:c r="B196" s="318"/>
      <x:c r="C196" s="235"/>
      <x:c r="D196" s="235"/>
      <x:c r="E196" s="235"/>
      <x:c r="F196" s="236"/>
      <x:c r="G196" s="235"/>
      <x:c r="H196" s="237"/>
      <x:c r="I196" s="236"/>
      <x:c r="J196" s="312" t="str">
        <x:f>IF(A196="","",IF(G196="Fixed",IF(NOT(ISNUMBER(I196)),"",I196),IF(G196="Percentage",IF(OR(NOT(ISNUMBER(F196)),NOT(ISNUMBER(H196))),"",ROUND(F196*H196,2)),"")))</x:f>
      </x:c>
      <x:c r="K196" s="237"/>
      <x:c r="L196" s="312" t="str">
        <x:f>IF(OR(NOT(ISNUMBER(J196)),NOT(ISNUMBER(K196))),"",ROUND(J196*(1-K196),2))</x:f>
      </x:c>
      <x:c r="M196" s="237"/>
      <x:c r="N196" s="312" t="str">
        <x:f>IF(OR(NOT(ISNUMBER(L196)),NOT(ISNUMBER(M196))),"",ROUND(L196*M196,2))</x:f>
      </x:c>
      <x:c r="O196" s="238"/>
      <x:c r="P196" s="312" t="str">
        <x:f>IF(A196="","",IF(OR(E196&lt;&gt;"Completed",O196="",NOT(ISNUMBER(N196))),"",N196))</x:f>
      </x:c>
      <x:c r="Q196" s="238"/>
      <x:c r="R196" s="312" t="str">
        <x:f>IF(A196="","",SUMIFS('Payments'!$D$6:$D$205,'Payments'!$B$6:$B$205,A196))</x:f>
      </x:c>
      <x:c r="S196" s="312" t="str">
        <x:f>IF(NOT(ISNUMBER(P196)),"",P196-R196)</x:f>
      </x:c>
      <x:c r="T196" s="265" t="str">
        <x:f>IF(A196="","",IF(NOT(ISNUMBER(N196)),"Complete fee inputs",IF(NOT(ISNUMBER(P196)),IF(R196&lt;&gt;0,"Receipt before earned","Not earned"),IF(S196&lt;0,"Overpaid",IF(S196=0,"Paid",IF(Q196="","Set due date",IF(Q196&lt;TODAY(),"Overdue","Awaiting payment")))))))</x:f>
      </x:c>
      <x:c r="U196" s="235"/>
      <x:c r="V196" s="235"/>
      <x:c r="W196" s="239"/>
      <x:c r="X196" s="238"/>
      <x:c r="Y196" s="238"/>
      <x:c r="Z196" s="238"/>
      <x:c r="AA196" s="235"/>
      <x:c r="AB196" s="315" t="str">
        <x:f>IF(A196="","",IF(COUNTIFS($A$6:$A$205,A196)&gt;1,"Duplicate ID",IF(OR(B196="",COUNTIFS('Clients'!$A$6:$A$205,B196)&lt;&gt;1),"Check Client ID",IF(OR(C196="",COUNTIFS('Properties'!$A$6:$A$205,C196)&lt;&gt;1),"Check Property ID",IF(E196="","Set deal stage",IF(NOT(ISNUMBER(X196)),"Add opened date",IF(AND(E196&lt;&gt;"Completed",E196&lt;&gt;"Cancelled",NOT(ISNUMBER(Y196))),"Add target close date",IF(AND(OR(E196="Completed",E196="Cancelled"),NOT(ISNUMBER(Z196))),"Add closed date",IF(AND(E196="Completed",NOT(ISNUMBER(O196))),"Add earned date",IF(AND(E196="Cancelled",AA196=""),"Add outcome reason",IF(AND(E196&lt;&gt;"Cancelled",NOT(ISNUMBER(N196))),"Complete fee inputs",IF(AND(ISNUMBER(Z196),ISNUMBER(X196),Z196&lt;X196),"Check closed date",""))))))))))))</x:f>
      </x:c>
      <x:c r="AC196" s="791"/>
      <x:c r="AD196" s="791"/>
      <x:c r="AE196" s="791"/>
      <x:c r="AF196" s="791"/>
      <x:c r="AG196" s="794"/>
      <x:c r="AH196" s="791"/>
    </x:row>
    <x:row r="197" ht="26" customHeight="1">
      <x:c r="A197" s="319"/>
      <x:c r="B197" s="320"/>
      <x:c r="C197" s="274"/>
      <x:c r="D197" s="274"/>
      <x:c r="E197" s="274"/>
      <x:c r="F197" s="302"/>
      <x:c r="G197" s="274"/>
      <x:c r="H197" s="303"/>
      <x:c r="I197" s="302"/>
      <x:c r="J197" s="312" t="str">
        <x:f>IF(A197="","",IF(G197="Fixed",IF(NOT(ISNUMBER(I197)),"",I197),IF(G197="Percentage",IF(OR(NOT(ISNUMBER(F197)),NOT(ISNUMBER(H197))),"",ROUND(F197*H197,2)),"")))</x:f>
      </x:c>
      <x:c r="K197" s="303"/>
      <x:c r="L197" s="312" t="str">
        <x:f>IF(OR(NOT(ISNUMBER(J197)),NOT(ISNUMBER(K197))),"",ROUND(J197*(1-K197),2))</x:f>
      </x:c>
      <x:c r="M197" s="303"/>
      <x:c r="N197" s="312" t="str">
        <x:f>IF(OR(NOT(ISNUMBER(L197)),NOT(ISNUMBER(M197))),"",ROUND(L197*M197,2))</x:f>
      </x:c>
      <x:c r="O197" s="304"/>
      <x:c r="P197" s="312" t="str">
        <x:f>IF(A197="","",IF(OR(E197&lt;&gt;"Completed",O197="",NOT(ISNUMBER(N197))),"",N197))</x:f>
      </x:c>
      <x:c r="Q197" s="304"/>
      <x:c r="R197" s="312" t="str">
        <x:f>IF(A197="","",SUMIFS('Payments'!$D$6:$D$205,'Payments'!$B$6:$B$205,A197))</x:f>
      </x:c>
      <x:c r="S197" s="312" t="str">
        <x:f>IF(NOT(ISNUMBER(P197)),"",P197-R197)</x:f>
      </x:c>
      <x:c r="T197" s="265" t="str">
        <x:f>IF(A197="","",IF(NOT(ISNUMBER(N197)),"Complete fee inputs",IF(NOT(ISNUMBER(P197)),IF(R197&lt;&gt;0,"Receipt before earned","Not earned"),IF(S197&lt;0,"Overpaid",IF(S197=0,"Paid",IF(Q197="","Set due date",IF(Q197&lt;TODAY(),"Overdue","Awaiting payment")))))))</x:f>
      </x:c>
      <x:c r="U197" s="274"/>
      <x:c r="V197" s="274"/>
      <x:c r="W197" s="280"/>
      <x:c r="X197" s="304"/>
      <x:c r="Y197" s="304"/>
      <x:c r="Z197" s="304"/>
      <x:c r="AA197" s="274"/>
      <x:c r="AB197" s="315" t="str">
        <x:f>IF(A197="","",IF(COUNTIFS($A$6:$A$205,A197)&gt;1,"Duplicate ID",IF(OR(B197="",COUNTIFS('Clients'!$A$6:$A$205,B197)&lt;&gt;1),"Check Client ID",IF(OR(C197="",COUNTIFS('Properties'!$A$6:$A$205,C197)&lt;&gt;1),"Check Property ID",IF(E197="","Set deal stage",IF(NOT(ISNUMBER(X197)),"Add opened date",IF(AND(E197&lt;&gt;"Completed",E197&lt;&gt;"Cancelled",NOT(ISNUMBER(Y197))),"Add target close date",IF(AND(OR(E197="Completed",E197="Cancelled"),NOT(ISNUMBER(Z197))),"Add closed date",IF(AND(E197="Completed",NOT(ISNUMBER(O197))),"Add earned date",IF(AND(E197="Cancelled",AA197=""),"Add outcome reason",IF(AND(E197&lt;&gt;"Cancelled",NOT(ISNUMBER(N197))),"Complete fee inputs",IF(AND(ISNUMBER(Z197),ISNUMBER(X197),Z197&lt;X197),"Check closed date",""))))))))))))</x:f>
      </x:c>
      <x:c r="AC197" s="791"/>
      <x:c r="AD197" s="791"/>
      <x:c r="AE197" s="791"/>
      <x:c r="AF197" s="791"/>
      <x:c r="AG197" s="794"/>
      <x:c r="AH197" s="791"/>
    </x:row>
    <x:row r="198" ht="26" customHeight="1">
      <x:c r="A198" s="317"/>
      <x:c r="B198" s="318"/>
      <x:c r="C198" s="235"/>
      <x:c r="D198" s="235"/>
      <x:c r="E198" s="235"/>
      <x:c r="F198" s="236"/>
      <x:c r="G198" s="235"/>
      <x:c r="H198" s="237"/>
      <x:c r="I198" s="236"/>
      <x:c r="J198" s="312" t="str">
        <x:f>IF(A198="","",IF(G198="Fixed",IF(NOT(ISNUMBER(I198)),"",I198),IF(G198="Percentage",IF(OR(NOT(ISNUMBER(F198)),NOT(ISNUMBER(H198))),"",ROUND(F198*H198,2)),"")))</x:f>
      </x:c>
      <x:c r="K198" s="237"/>
      <x:c r="L198" s="312" t="str">
        <x:f>IF(OR(NOT(ISNUMBER(J198)),NOT(ISNUMBER(K198))),"",ROUND(J198*(1-K198),2))</x:f>
      </x:c>
      <x:c r="M198" s="237"/>
      <x:c r="N198" s="312" t="str">
        <x:f>IF(OR(NOT(ISNUMBER(L198)),NOT(ISNUMBER(M198))),"",ROUND(L198*M198,2))</x:f>
      </x:c>
      <x:c r="O198" s="238"/>
      <x:c r="P198" s="312" t="str">
        <x:f>IF(A198="","",IF(OR(E198&lt;&gt;"Completed",O198="",NOT(ISNUMBER(N198))),"",N198))</x:f>
      </x:c>
      <x:c r="Q198" s="238"/>
      <x:c r="R198" s="312" t="str">
        <x:f>IF(A198="","",SUMIFS('Payments'!$D$6:$D$205,'Payments'!$B$6:$B$205,A198))</x:f>
      </x:c>
      <x:c r="S198" s="312" t="str">
        <x:f>IF(NOT(ISNUMBER(P198)),"",P198-R198)</x:f>
      </x:c>
      <x:c r="T198" s="265" t="str">
        <x:f>IF(A198="","",IF(NOT(ISNUMBER(N198)),"Complete fee inputs",IF(NOT(ISNUMBER(P198)),IF(R198&lt;&gt;0,"Receipt before earned","Not earned"),IF(S198&lt;0,"Overpaid",IF(S198=0,"Paid",IF(Q198="","Set due date",IF(Q198&lt;TODAY(),"Overdue","Awaiting payment")))))))</x:f>
      </x:c>
      <x:c r="U198" s="235"/>
      <x:c r="V198" s="235"/>
      <x:c r="W198" s="239"/>
      <x:c r="X198" s="238"/>
      <x:c r="Y198" s="238"/>
      <x:c r="Z198" s="238"/>
      <x:c r="AA198" s="235"/>
      <x:c r="AB198" s="315" t="str">
        <x:f>IF(A198="","",IF(COUNTIFS($A$6:$A$205,A198)&gt;1,"Duplicate ID",IF(OR(B198="",COUNTIFS('Clients'!$A$6:$A$205,B198)&lt;&gt;1),"Check Client ID",IF(OR(C198="",COUNTIFS('Properties'!$A$6:$A$205,C198)&lt;&gt;1),"Check Property ID",IF(E198="","Set deal stage",IF(NOT(ISNUMBER(X198)),"Add opened date",IF(AND(E198&lt;&gt;"Completed",E198&lt;&gt;"Cancelled",NOT(ISNUMBER(Y198))),"Add target close date",IF(AND(OR(E198="Completed",E198="Cancelled"),NOT(ISNUMBER(Z198))),"Add closed date",IF(AND(E198="Completed",NOT(ISNUMBER(O198))),"Add earned date",IF(AND(E198="Cancelled",AA198=""),"Add outcome reason",IF(AND(E198&lt;&gt;"Cancelled",NOT(ISNUMBER(N198))),"Complete fee inputs",IF(AND(ISNUMBER(Z198),ISNUMBER(X198),Z198&lt;X198),"Check closed date",""))))))))))))</x:f>
      </x:c>
      <x:c r="AC198" s="791"/>
      <x:c r="AD198" s="791"/>
      <x:c r="AE198" s="791"/>
      <x:c r="AF198" s="791"/>
      <x:c r="AG198" s="794"/>
      <x:c r="AH198" s="791"/>
    </x:row>
    <x:row r="199" ht="26" customHeight="1">
      <x:c r="A199" s="319"/>
      <x:c r="B199" s="320"/>
      <x:c r="C199" s="274"/>
      <x:c r="D199" s="274"/>
      <x:c r="E199" s="274"/>
      <x:c r="F199" s="302"/>
      <x:c r="G199" s="274"/>
      <x:c r="H199" s="303"/>
      <x:c r="I199" s="302"/>
      <x:c r="J199" s="312" t="str">
        <x:f>IF(A199="","",IF(G199="Fixed",IF(NOT(ISNUMBER(I199)),"",I199),IF(G199="Percentage",IF(OR(NOT(ISNUMBER(F199)),NOT(ISNUMBER(H199))),"",ROUND(F199*H199,2)),"")))</x:f>
      </x:c>
      <x:c r="K199" s="303"/>
      <x:c r="L199" s="312" t="str">
        <x:f>IF(OR(NOT(ISNUMBER(J199)),NOT(ISNUMBER(K199))),"",ROUND(J199*(1-K199),2))</x:f>
      </x:c>
      <x:c r="M199" s="303"/>
      <x:c r="N199" s="312" t="str">
        <x:f>IF(OR(NOT(ISNUMBER(L199)),NOT(ISNUMBER(M199))),"",ROUND(L199*M199,2))</x:f>
      </x:c>
      <x:c r="O199" s="304"/>
      <x:c r="P199" s="312" t="str">
        <x:f>IF(A199="","",IF(OR(E199&lt;&gt;"Completed",O199="",NOT(ISNUMBER(N199))),"",N199))</x:f>
      </x:c>
      <x:c r="Q199" s="304"/>
      <x:c r="R199" s="312" t="str">
        <x:f>IF(A199="","",SUMIFS('Payments'!$D$6:$D$205,'Payments'!$B$6:$B$205,A199))</x:f>
      </x:c>
      <x:c r="S199" s="312" t="str">
        <x:f>IF(NOT(ISNUMBER(P199)),"",P199-R199)</x:f>
      </x:c>
      <x:c r="T199" s="265" t="str">
        <x:f>IF(A199="","",IF(NOT(ISNUMBER(N199)),"Complete fee inputs",IF(NOT(ISNUMBER(P199)),IF(R199&lt;&gt;0,"Receipt before earned","Not earned"),IF(S199&lt;0,"Overpaid",IF(S199=0,"Paid",IF(Q199="","Set due date",IF(Q199&lt;TODAY(),"Overdue","Awaiting payment")))))))</x:f>
      </x:c>
      <x:c r="U199" s="274"/>
      <x:c r="V199" s="274"/>
      <x:c r="W199" s="280"/>
      <x:c r="X199" s="304"/>
      <x:c r="Y199" s="304"/>
      <x:c r="Z199" s="304"/>
      <x:c r="AA199" s="274"/>
      <x:c r="AB199" s="315" t="str">
        <x:f>IF(A199="","",IF(COUNTIFS($A$6:$A$205,A199)&gt;1,"Duplicate ID",IF(OR(B199="",COUNTIFS('Clients'!$A$6:$A$205,B199)&lt;&gt;1),"Check Client ID",IF(OR(C199="",COUNTIFS('Properties'!$A$6:$A$205,C199)&lt;&gt;1),"Check Property ID",IF(E199="","Set deal stage",IF(NOT(ISNUMBER(X199)),"Add opened date",IF(AND(E199&lt;&gt;"Completed",E199&lt;&gt;"Cancelled",NOT(ISNUMBER(Y199))),"Add target close date",IF(AND(OR(E199="Completed",E199="Cancelled"),NOT(ISNUMBER(Z199))),"Add closed date",IF(AND(E199="Completed",NOT(ISNUMBER(O199))),"Add earned date",IF(AND(E199="Cancelled",AA199=""),"Add outcome reason",IF(AND(E199&lt;&gt;"Cancelled",NOT(ISNUMBER(N199))),"Complete fee inputs",IF(AND(ISNUMBER(Z199),ISNUMBER(X199),Z199&lt;X199),"Check closed date",""))))))))))))</x:f>
      </x:c>
      <x:c r="AC199" s="791"/>
      <x:c r="AD199" s="791"/>
      <x:c r="AE199" s="791"/>
      <x:c r="AF199" s="791"/>
      <x:c r="AG199" s="794"/>
      <x:c r="AH199" s="791"/>
    </x:row>
    <x:row r="200" ht="26" customHeight="1">
      <x:c r="A200" s="317"/>
      <x:c r="B200" s="318"/>
      <x:c r="C200" s="235"/>
      <x:c r="D200" s="235"/>
      <x:c r="E200" s="235"/>
      <x:c r="F200" s="236"/>
      <x:c r="G200" s="235"/>
      <x:c r="H200" s="237"/>
      <x:c r="I200" s="236"/>
      <x:c r="J200" s="312" t="str">
        <x:f>IF(A200="","",IF(G200="Fixed",IF(NOT(ISNUMBER(I200)),"",I200),IF(G200="Percentage",IF(OR(NOT(ISNUMBER(F200)),NOT(ISNUMBER(H200))),"",ROUND(F200*H200,2)),"")))</x:f>
      </x:c>
      <x:c r="K200" s="237"/>
      <x:c r="L200" s="312" t="str">
        <x:f>IF(OR(NOT(ISNUMBER(J200)),NOT(ISNUMBER(K200))),"",ROUND(J200*(1-K200),2))</x:f>
      </x:c>
      <x:c r="M200" s="237"/>
      <x:c r="N200" s="312" t="str">
        <x:f>IF(OR(NOT(ISNUMBER(L200)),NOT(ISNUMBER(M200))),"",ROUND(L200*M200,2))</x:f>
      </x:c>
      <x:c r="O200" s="238"/>
      <x:c r="P200" s="312" t="str">
        <x:f>IF(A200="","",IF(OR(E200&lt;&gt;"Completed",O200="",NOT(ISNUMBER(N200))),"",N200))</x:f>
      </x:c>
      <x:c r="Q200" s="238"/>
      <x:c r="R200" s="312" t="str">
        <x:f>IF(A200="","",SUMIFS('Payments'!$D$6:$D$205,'Payments'!$B$6:$B$205,A200))</x:f>
      </x:c>
      <x:c r="S200" s="312" t="str">
        <x:f>IF(NOT(ISNUMBER(P200)),"",P200-R200)</x:f>
      </x:c>
      <x:c r="T200" s="265" t="str">
        <x:f>IF(A200="","",IF(NOT(ISNUMBER(N200)),"Complete fee inputs",IF(NOT(ISNUMBER(P200)),IF(R200&lt;&gt;0,"Receipt before earned","Not earned"),IF(S200&lt;0,"Overpaid",IF(S200=0,"Paid",IF(Q200="","Set due date",IF(Q200&lt;TODAY(),"Overdue","Awaiting payment")))))))</x:f>
      </x:c>
      <x:c r="U200" s="235"/>
      <x:c r="V200" s="235"/>
      <x:c r="W200" s="239"/>
      <x:c r="X200" s="238"/>
      <x:c r="Y200" s="238"/>
      <x:c r="Z200" s="238"/>
      <x:c r="AA200" s="235"/>
      <x:c r="AB200" s="315" t="str">
        <x:f>IF(A200="","",IF(COUNTIFS($A$6:$A$205,A200)&gt;1,"Duplicate ID",IF(OR(B200="",COUNTIFS('Clients'!$A$6:$A$205,B200)&lt;&gt;1),"Check Client ID",IF(OR(C200="",COUNTIFS('Properties'!$A$6:$A$205,C200)&lt;&gt;1),"Check Property ID",IF(E200="","Set deal stage",IF(NOT(ISNUMBER(X200)),"Add opened date",IF(AND(E200&lt;&gt;"Completed",E200&lt;&gt;"Cancelled",NOT(ISNUMBER(Y200))),"Add target close date",IF(AND(OR(E200="Completed",E200="Cancelled"),NOT(ISNUMBER(Z200))),"Add closed date",IF(AND(E200="Completed",NOT(ISNUMBER(O200))),"Add earned date",IF(AND(E200="Cancelled",AA200=""),"Add outcome reason",IF(AND(E200&lt;&gt;"Cancelled",NOT(ISNUMBER(N200))),"Complete fee inputs",IF(AND(ISNUMBER(Z200),ISNUMBER(X200),Z200&lt;X200),"Check closed date",""))))))))))))</x:f>
      </x:c>
      <x:c r="AC200" s="791"/>
      <x:c r="AD200" s="791"/>
      <x:c r="AE200" s="791"/>
      <x:c r="AF200" s="791"/>
      <x:c r="AG200" s="794"/>
      <x:c r="AH200" s="791"/>
    </x:row>
    <x:row r="201" ht="26" customHeight="1">
      <x:c r="A201" s="319"/>
      <x:c r="B201" s="320"/>
      <x:c r="C201" s="274"/>
      <x:c r="D201" s="274"/>
      <x:c r="E201" s="274"/>
      <x:c r="F201" s="302"/>
      <x:c r="G201" s="274"/>
      <x:c r="H201" s="303"/>
      <x:c r="I201" s="302"/>
      <x:c r="J201" s="312" t="str">
        <x:f>IF(A201="","",IF(G201="Fixed",IF(NOT(ISNUMBER(I201)),"",I201),IF(G201="Percentage",IF(OR(NOT(ISNUMBER(F201)),NOT(ISNUMBER(H201))),"",ROUND(F201*H201,2)),"")))</x:f>
      </x:c>
      <x:c r="K201" s="303"/>
      <x:c r="L201" s="312" t="str">
        <x:f>IF(OR(NOT(ISNUMBER(J201)),NOT(ISNUMBER(K201))),"",ROUND(J201*(1-K201),2))</x:f>
      </x:c>
      <x:c r="M201" s="303"/>
      <x:c r="N201" s="312" t="str">
        <x:f>IF(OR(NOT(ISNUMBER(L201)),NOT(ISNUMBER(M201))),"",ROUND(L201*M201,2))</x:f>
      </x:c>
      <x:c r="O201" s="304"/>
      <x:c r="P201" s="312" t="str">
        <x:f>IF(A201="","",IF(OR(E201&lt;&gt;"Completed",O201="",NOT(ISNUMBER(N201))),"",N201))</x:f>
      </x:c>
      <x:c r="Q201" s="304"/>
      <x:c r="R201" s="312" t="str">
        <x:f>IF(A201="","",SUMIFS('Payments'!$D$6:$D$205,'Payments'!$B$6:$B$205,A201))</x:f>
      </x:c>
      <x:c r="S201" s="312" t="str">
        <x:f>IF(NOT(ISNUMBER(P201)),"",P201-R201)</x:f>
      </x:c>
      <x:c r="T201" s="265" t="str">
        <x:f>IF(A201="","",IF(NOT(ISNUMBER(N201)),"Complete fee inputs",IF(NOT(ISNUMBER(P201)),IF(R201&lt;&gt;0,"Receipt before earned","Not earned"),IF(S201&lt;0,"Overpaid",IF(S201=0,"Paid",IF(Q201="","Set due date",IF(Q201&lt;TODAY(),"Overdue","Awaiting payment")))))))</x:f>
      </x:c>
      <x:c r="U201" s="274"/>
      <x:c r="V201" s="274"/>
      <x:c r="W201" s="280"/>
      <x:c r="X201" s="304"/>
      <x:c r="Y201" s="304"/>
      <x:c r="Z201" s="304"/>
      <x:c r="AA201" s="274"/>
      <x:c r="AB201" s="315" t="str">
        <x:f>IF(A201="","",IF(COUNTIFS($A$6:$A$205,A201)&gt;1,"Duplicate ID",IF(OR(B201="",COUNTIFS('Clients'!$A$6:$A$205,B201)&lt;&gt;1),"Check Client ID",IF(OR(C201="",COUNTIFS('Properties'!$A$6:$A$205,C201)&lt;&gt;1),"Check Property ID",IF(E201="","Set deal stage",IF(NOT(ISNUMBER(X201)),"Add opened date",IF(AND(E201&lt;&gt;"Completed",E201&lt;&gt;"Cancelled",NOT(ISNUMBER(Y201))),"Add target close date",IF(AND(OR(E201="Completed",E201="Cancelled"),NOT(ISNUMBER(Z201))),"Add closed date",IF(AND(E201="Completed",NOT(ISNUMBER(O201))),"Add earned date",IF(AND(E201="Cancelled",AA201=""),"Add outcome reason",IF(AND(E201&lt;&gt;"Cancelled",NOT(ISNUMBER(N201))),"Complete fee inputs",IF(AND(ISNUMBER(Z201),ISNUMBER(X201),Z201&lt;X201),"Check closed date",""))))))))))))</x:f>
      </x:c>
      <x:c r="AC201" s="791"/>
      <x:c r="AD201" s="791"/>
      <x:c r="AE201" s="791"/>
      <x:c r="AF201" s="791"/>
      <x:c r="AG201" s="794"/>
      <x:c r="AH201" s="791"/>
    </x:row>
    <x:row r="202" ht="26" customHeight="1">
      <x:c r="A202" s="317"/>
      <x:c r="B202" s="318"/>
      <x:c r="C202" s="235"/>
      <x:c r="D202" s="235"/>
      <x:c r="E202" s="235"/>
      <x:c r="F202" s="236"/>
      <x:c r="G202" s="235"/>
      <x:c r="H202" s="237"/>
      <x:c r="I202" s="236"/>
      <x:c r="J202" s="312" t="str">
        <x:f>IF(A202="","",IF(G202="Fixed",IF(NOT(ISNUMBER(I202)),"",I202),IF(G202="Percentage",IF(OR(NOT(ISNUMBER(F202)),NOT(ISNUMBER(H202))),"",ROUND(F202*H202,2)),"")))</x:f>
      </x:c>
      <x:c r="K202" s="237"/>
      <x:c r="L202" s="312" t="str">
        <x:f>IF(OR(NOT(ISNUMBER(J202)),NOT(ISNUMBER(K202))),"",ROUND(J202*(1-K202),2))</x:f>
      </x:c>
      <x:c r="M202" s="237"/>
      <x:c r="N202" s="312" t="str">
        <x:f>IF(OR(NOT(ISNUMBER(L202)),NOT(ISNUMBER(M202))),"",ROUND(L202*M202,2))</x:f>
      </x:c>
      <x:c r="O202" s="238"/>
      <x:c r="P202" s="312" t="str">
        <x:f>IF(A202="","",IF(OR(E202&lt;&gt;"Completed",O202="",NOT(ISNUMBER(N202))),"",N202))</x:f>
      </x:c>
      <x:c r="Q202" s="238"/>
      <x:c r="R202" s="312" t="str">
        <x:f>IF(A202="","",SUMIFS('Payments'!$D$6:$D$205,'Payments'!$B$6:$B$205,A202))</x:f>
      </x:c>
      <x:c r="S202" s="312" t="str">
        <x:f>IF(NOT(ISNUMBER(P202)),"",P202-R202)</x:f>
      </x:c>
      <x:c r="T202" s="265" t="str">
        <x:f>IF(A202="","",IF(NOT(ISNUMBER(N202)),"Complete fee inputs",IF(NOT(ISNUMBER(P202)),IF(R202&lt;&gt;0,"Receipt before earned","Not earned"),IF(S202&lt;0,"Overpaid",IF(S202=0,"Paid",IF(Q202="","Set due date",IF(Q202&lt;TODAY(),"Overdue","Awaiting payment")))))))</x:f>
      </x:c>
      <x:c r="U202" s="235"/>
      <x:c r="V202" s="235"/>
      <x:c r="W202" s="239"/>
      <x:c r="X202" s="238"/>
      <x:c r="Y202" s="238"/>
      <x:c r="Z202" s="238"/>
      <x:c r="AA202" s="235"/>
      <x:c r="AB202" s="315" t="str">
        <x:f>IF(A202="","",IF(COUNTIFS($A$6:$A$205,A202)&gt;1,"Duplicate ID",IF(OR(B202="",COUNTIFS('Clients'!$A$6:$A$205,B202)&lt;&gt;1),"Check Client ID",IF(OR(C202="",COUNTIFS('Properties'!$A$6:$A$205,C202)&lt;&gt;1),"Check Property ID",IF(E202="","Set deal stage",IF(NOT(ISNUMBER(X202)),"Add opened date",IF(AND(E202&lt;&gt;"Completed",E202&lt;&gt;"Cancelled",NOT(ISNUMBER(Y202))),"Add target close date",IF(AND(OR(E202="Completed",E202="Cancelled"),NOT(ISNUMBER(Z202))),"Add closed date",IF(AND(E202="Completed",NOT(ISNUMBER(O202))),"Add earned date",IF(AND(E202="Cancelled",AA202=""),"Add outcome reason",IF(AND(E202&lt;&gt;"Cancelled",NOT(ISNUMBER(N202))),"Complete fee inputs",IF(AND(ISNUMBER(Z202),ISNUMBER(X202),Z202&lt;X202),"Check closed date",""))))))))))))</x:f>
      </x:c>
      <x:c r="AC202" s="791"/>
      <x:c r="AD202" s="791"/>
      <x:c r="AE202" s="791"/>
      <x:c r="AF202" s="791"/>
      <x:c r="AG202" s="794"/>
      <x:c r="AH202" s="791"/>
    </x:row>
    <x:row r="203" ht="26" customHeight="1">
      <x:c r="A203" s="319"/>
      <x:c r="B203" s="320"/>
      <x:c r="C203" s="274"/>
      <x:c r="D203" s="274"/>
      <x:c r="E203" s="274"/>
      <x:c r="F203" s="302"/>
      <x:c r="G203" s="274"/>
      <x:c r="H203" s="303"/>
      <x:c r="I203" s="302"/>
      <x:c r="J203" s="312" t="str">
        <x:f>IF(A203="","",IF(G203="Fixed",IF(NOT(ISNUMBER(I203)),"",I203),IF(G203="Percentage",IF(OR(NOT(ISNUMBER(F203)),NOT(ISNUMBER(H203))),"",ROUND(F203*H203,2)),"")))</x:f>
      </x:c>
      <x:c r="K203" s="303"/>
      <x:c r="L203" s="312" t="str">
        <x:f>IF(OR(NOT(ISNUMBER(J203)),NOT(ISNUMBER(K203))),"",ROUND(J203*(1-K203),2))</x:f>
      </x:c>
      <x:c r="M203" s="303"/>
      <x:c r="N203" s="312" t="str">
        <x:f>IF(OR(NOT(ISNUMBER(L203)),NOT(ISNUMBER(M203))),"",ROUND(L203*M203,2))</x:f>
      </x:c>
      <x:c r="O203" s="304"/>
      <x:c r="P203" s="312" t="str">
        <x:f>IF(A203="","",IF(OR(E203&lt;&gt;"Completed",O203="",NOT(ISNUMBER(N203))),"",N203))</x:f>
      </x:c>
      <x:c r="Q203" s="304"/>
      <x:c r="R203" s="312" t="str">
        <x:f>IF(A203="","",SUMIFS('Payments'!$D$6:$D$205,'Payments'!$B$6:$B$205,A203))</x:f>
      </x:c>
      <x:c r="S203" s="312" t="str">
        <x:f>IF(NOT(ISNUMBER(P203)),"",P203-R203)</x:f>
      </x:c>
      <x:c r="T203" s="265" t="str">
        <x:f>IF(A203="","",IF(NOT(ISNUMBER(N203)),"Complete fee inputs",IF(NOT(ISNUMBER(P203)),IF(R203&lt;&gt;0,"Receipt before earned","Not earned"),IF(S203&lt;0,"Overpaid",IF(S203=0,"Paid",IF(Q203="","Set due date",IF(Q203&lt;TODAY(),"Overdue","Awaiting payment")))))))</x:f>
      </x:c>
      <x:c r="U203" s="274"/>
      <x:c r="V203" s="274"/>
      <x:c r="W203" s="280"/>
      <x:c r="X203" s="304"/>
      <x:c r="Y203" s="304"/>
      <x:c r="Z203" s="304"/>
      <x:c r="AA203" s="274"/>
      <x:c r="AB203" s="315" t="str">
        <x:f>IF(A203="","",IF(COUNTIFS($A$6:$A$205,A203)&gt;1,"Duplicate ID",IF(OR(B203="",COUNTIFS('Clients'!$A$6:$A$205,B203)&lt;&gt;1),"Check Client ID",IF(OR(C203="",COUNTIFS('Properties'!$A$6:$A$205,C203)&lt;&gt;1),"Check Property ID",IF(E203="","Set deal stage",IF(NOT(ISNUMBER(X203)),"Add opened date",IF(AND(E203&lt;&gt;"Completed",E203&lt;&gt;"Cancelled",NOT(ISNUMBER(Y203))),"Add target close date",IF(AND(OR(E203="Completed",E203="Cancelled"),NOT(ISNUMBER(Z203))),"Add closed date",IF(AND(E203="Completed",NOT(ISNUMBER(O203))),"Add earned date",IF(AND(E203="Cancelled",AA203=""),"Add outcome reason",IF(AND(E203&lt;&gt;"Cancelled",NOT(ISNUMBER(N203))),"Complete fee inputs",IF(AND(ISNUMBER(Z203),ISNUMBER(X203),Z203&lt;X203),"Check closed date",""))))))))))))</x:f>
      </x:c>
      <x:c r="AC203" s="791"/>
      <x:c r="AD203" s="791"/>
      <x:c r="AE203" s="791"/>
      <x:c r="AF203" s="791"/>
      <x:c r="AG203" s="794"/>
      <x:c r="AH203" s="791"/>
    </x:row>
    <x:row r="204" ht="26" customHeight="1">
      <x:c r="A204" s="317"/>
      <x:c r="B204" s="318"/>
      <x:c r="C204" s="235"/>
      <x:c r="D204" s="235"/>
      <x:c r="E204" s="235"/>
      <x:c r="F204" s="236"/>
      <x:c r="G204" s="235"/>
      <x:c r="H204" s="237"/>
      <x:c r="I204" s="236"/>
      <x:c r="J204" s="312" t="str">
        <x:f>IF(A204="","",IF(G204="Fixed",IF(NOT(ISNUMBER(I204)),"",I204),IF(G204="Percentage",IF(OR(NOT(ISNUMBER(F204)),NOT(ISNUMBER(H204))),"",ROUND(F204*H204,2)),"")))</x:f>
      </x:c>
      <x:c r="K204" s="237"/>
      <x:c r="L204" s="312" t="str">
        <x:f>IF(OR(NOT(ISNUMBER(J204)),NOT(ISNUMBER(K204))),"",ROUND(J204*(1-K204),2))</x:f>
      </x:c>
      <x:c r="M204" s="237"/>
      <x:c r="N204" s="312" t="str">
        <x:f>IF(OR(NOT(ISNUMBER(L204)),NOT(ISNUMBER(M204))),"",ROUND(L204*M204,2))</x:f>
      </x:c>
      <x:c r="O204" s="238"/>
      <x:c r="P204" s="312" t="str">
        <x:f>IF(A204="","",IF(OR(E204&lt;&gt;"Completed",O204="",NOT(ISNUMBER(N204))),"",N204))</x:f>
      </x:c>
      <x:c r="Q204" s="238"/>
      <x:c r="R204" s="312" t="str">
        <x:f>IF(A204="","",SUMIFS('Payments'!$D$6:$D$205,'Payments'!$B$6:$B$205,A204))</x:f>
      </x:c>
      <x:c r="S204" s="312" t="str">
        <x:f>IF(NOT(ISNUMBER(P204)),"",P204-R204)</x:f>
      </x:c>
      <x:c r="T204" s="265" t="str">
        <x:f>IF(A204="","",IF(NOT(ISNUMBER(N204)),"Complete fee inputs",IF(NOT(ISNUMBER(P204)),IF(R204&lt;&gt;0,"Receipt before earned","Not earned"),IF(S204&lt;0,"Overpaid",IF(S204=0,"Paid",IF(Q204="","Set due date",IF(Q204&lt;TODAY(),"Overdue","Awaiting payment")))))))</x:f>
      </x:c>
      <x:c r="U204" s="235"/>
      <x:c r="V204" s="235"/>
      <x:c r="W204" s="239"/>
      <x:c r="X204" s="238"/>
      <x:c r="Y204" s="238"/>
      <x:c r="Z204" s="238"/>
      <x:c r="AA204" s="235"/>
      <x:c r="AB204" s="315" t="str">
        <x:f>IF(A204="","",IF(COUNTIFS($A$6:$A$205,A204)&gt;1,"Duplicate ID",IF(OR(B204="",COUNTIFS('Clients'!$A$6:$A$205,B204)&lt;&gt;1),"Check Client ID",IF(OR(C204="",COUNTIFS('Properties'!$A$6:$A$205,C204)&lt;&gt;1),"Check Property ID",IF(E204="","Set deal stage",IF(NOT(ISNUMBER(X204)),"Add opened date",IF(AND(E204&lt;&gt;"Completed",E204&lt;&gt;"Cancelled",NOT(ISNUMBER(Y204))),"Add target close date",IF(AND(OR(E204="Completed",E204="Cancelled"),NOT(ISNUMBER(Z204))),"Add closed date",IF(AND(E204="Completed",NOT(ISNUMBER(O204))),"Add earned date",IF(AND(E204="Cancelled",AA204=""),"Add outcome reason",IF(AND(E204&lt;&gt;"Cancelled",NOT(ISNUMBER(N204))),"Complete fee inputs",IF(AND(ISNUMBER(Z204),ISNUMBER(X204),Z204&lt;X204),"Check closed date",""))))))))))))</x:f>
      </x:c>
      <x:c r="AC204" s="791"/>
      <x:c r="AD204" s="791"/>
      <x:c r="AE204" s="791"/>
      <x:c r="AF204" s="791"/>
      <x:c r="AG204" s="794"/>
      <x:c r="AH204" s="791"/>
    </x:row>
    <x:row r="205" ht="26" customHeight="1">
      <x:c r="A205" s="321"/>
      <x:c r="B205" s="322"/>
      <x:c r="C205" s="307"/>
      <x:c r="D205" s="307"/>
      <x:c r="E205" s="307"/>
      <x:c r="F205" s="308"/>
      <x:c r="G205" s="307"/>
      <x:c r="H205" s="309"/>
      <x:c r="I205" s="308"/>
      <x:c r="J205" s="313" t="str">
        <x:f>IF(A205="","",IF(G205="Fixed",IF(NOT(ISNUMBER(I205)),"",I205),IF(G205="Percentage",IF(OR(NOT(ISNUMBER(F205)),NOT(ISNUMBER(H205))),"",ROUND(F205*H205,2)),"")))</x:f>
      </x:c>
      <x:c r="K205" s="309"/>
      <x:c r="L205" s="313" t="str">
        <x:f>IF(OR(NOT(ISNUMBER(J205)),NOT(ISNUMBER(K205))),"",ROUND(J205*(1-K205),2))</x:f>
      </x:c>
      <x:c r="M205" s="309"/>
      <x:c r="N205" s="313" t="str">
        <x:f>IF(OR(NOT(ISNUMBER(L205)),NOT(ISNUMBER(M205))),"",ROUND(L205*M205,2))</x:f>
      </x:c>
      <x:c r="O205" s="310"/>
      <x:c r="P205" s="313" t="str">
        <x:f>IF(A205="","",IF(OR(E205&lt;&gt;"Completed",O205="",NOT(ISNUMBER(N205))),"",N205))</x:f>
      </x:c>
      <x:c r="Q205" s="310"/>
      <x:c r="R205" s="313" t="str">
        <x:f>IF(A205="","",SUMIFS('Payments'!$D$6:$D$205,'Payments'!$B$6:$B$205,A205))</x:f>
      </x:c>
      <x:c r="S205" s="313" t="str">
        <x:f>IF(NOT(ISNUMBER(P205)),"",P205-R205)</x:f>
      </x:c>
      <x:c r="T205" s="314" t="str">
        <x:f>IF(A205="","",IF(NOT(ISNUMBER(N205)),"Complete fee inputs",IF(NOT(ISNUMBER(P205)),IF(R205&lt;&gt;0,"Receipt before earned","Not earned"),IF(S205&lt;0,"Overpaid",IF(S205=0,"Paid",IF(Q205="","Set due date",IF(Q205&lt;TODAY(),"Overdue","Awaiting payment")))))))</x:f>
      </x:c>
      <x:c r="U205" s="307"/>
      <x:c r="V205" s="307"/>
      <x:c r="W205" s="311"/>
      <x:c r="X205" s="310"/>
      <x:c r="Y205" s="310"/>
      <x:c r="Z205" s="310"/>
      <x:c r="AA205" s="307"/>
      <x:c r="AB205" s="316" t="str">
        <x:f>IF(A205="","",IF(COUNTIFS($A$6:$A$205,A205)&gt;1,"Duplicate ID",IF(OR(B205="",COUNTIFS('Clients'!$A$6:$A$205,B205)&lt;&gt;1),"Check Client ID",IF(OR(C205="",COUNTIFS('Properties'!$A$6:$A$205,C205)&lt;&gt;1),"Check Property ID",IF(E205="","Set deal stage",IF(NOT(ISNUMBER(X205)),"Add opened date",IF(AND(E205&lt;&gt;"Completed",E205&lt;&gt;"Cancelled",NOT(ISNUMBER(Y205))),"Add target close date",IF(AND(OR(E205="Completed",E205="Cancelled"),NOT(ISNUMBER(Z205))),"Add closed date",IF(AND(E205="Completed",NOT(ISNUMBER(O205))),"Add earned date",IF(AND(E205="Cancelled",AA205=""),"Add outcome reason",IF(AND(E205&lt;&gt;"Cancelled",NOT(ISNUMBER(N205))),"Complete fee inputs",IF(AND(ISNUMBER(Z205),ISNUMBER(X205),Z205&lt;X205),"Check closed date",""))))))))))))</x:f>
      </x:c>
      <x:c r="AC205" s="791"/>
      <x:c r="AD205" s="791"/>
      <x:c r="AE205" s="791"/>
      <x:c r="AF205" s="791"/>
      <x:c r="AG205" s="794"/>
      <x:c r="AH205" s="791"/>
    </x:row>
  </x:sheetData>
  <x:mergeCells>
    <x:mergeCell ref="A1:D1"/>
    <x:mergeCell ref="A2:E2"/>
    <x:mergeCell ref="F2:H2"/>
    <x:mergeCell ref="A3:H3"/>
    <x:mergeCell ref="E1:G1"/>
    <x:mergeCell ref="AC4:AH4"/>
  </x:mergeCells>
  <x:conditionalFormatting sqref="A6:A205">
    <x:cfRule type="expression" dxfId="5" priority="1">
      <x:formula>AND(A6&lt;&gt;"",COUNTIFS($A$6:$A$205,A6)&gt;1)</x:formula>
    </x:cfRule>
    <x:cfRule type="expression" dxfId="31" priority="8">
      <x:formula>AND(A6&lt;&gt;"",COUNTIFS($A$6:$A$205,A6)&gt;1)</x:formula>
    </x:cfRule>
  </x:conditionalFormatting>
  <x:conditionalFormatting sqref="T6:T205">
    <x:cfRule type="expression" dxfId="11" priority="2">
      <x:formula>OR(T6="Overdue",T6="Overpaid",T6="Complete fee inputs",T6="Set due date")</x:formula>
    </x:cfRule>
    <x:cfRule type="cellIs" dxfId="16" priority="4" operator="equal">
      <x:formula>"Paid"</x:formula>
    </x:cfRule>
    <x:cfRule type="cellIs" dxfId="20" priority="5" operator="equal">
      <x:formula>"Awaiting payment"</x:formula>
    </x:cfRule>
    <x:cfRule type="cellIs" dxfId="22" priority="6" operator="equal">
      <x:formula>"Overdue"</x:formula>
    </x:cfRule>
  </x:conditionalFormatting>
  <x:conditionalFormatting sqref="E6:E205">
    <x:cfRule type="cellIs" dxfId="15" priority="3" operator="equal">
      <x:formula>"Completed"</x:formula>
    </x:cfRule>
  </x:conditionalFormatting>
  <x:conditionalFormatting sqref="AB6:AB205">
    <x:cfRule type="expression" dxfId="30" priority="7">
      <x:formula>AB6&lt;&gt;""</x:formula>
    </x:cfRule>
  </x:conditionalFormatting>
  <x:conditionalFormatting sqref="AG6:AG205">
    <x:cfRule type="expression" dxfId="52" priority="9">
      <x:formula>AND($A6&lt;&gt;"",$AG6&gt;0,$AG6&lt;TODAY(),$E6&lt;&gt;"Completed",$E6&lt;&gt;"Cancelled")</x:formula>
    </x:cfRule>
  </x:conditionalFormatting>
  <x:dataValidations count="13">
    <x:dataValidation type="list" sqref="B6:B205">
      <x:formula1>'Clients'!$A$6:$A$205</x:formula1>
    </x:dataValidation>
    <x:dataValidation type="list" sqref="C6:C205">
      <x:formula1>'Properties'!$A$6:$A$205</x:formula1>
    </x:dataValidation>
    <x:dataValidation type="list" sqref="D6:D205">
      <x:formula1>"Sale,Rental"</x:formula1>
    </x:dataValidation>
    <x:dataValidation type="list" sqref="E6:E205">
      <x:formula1>"Offer,Negotiating,Agreed,Documentation,Completed,Cancelled"</x:formula1>
    </x:dataValidation>
    <x:dataValidation type="list" sqref="G6:G205">
      <x:formula1>"Percentage,Fixed"</x:formula1>
    </x:dataValidation>
    <x:dataValidation type="list" sqref="U6:U205">
      <x:formula1>"Not started,In progress,Complete"</x:formula1>
    </x:dataValidation>
    <x:dataValidation type="decimal" operator="between" sqref="H6:H205">
      <x:formula1>0</x:formula1>
      <x:formula2>1</x:formula2>
    </x:dataValidation>
    <x:dataValidation type="decimal" operator="between" sqref="K6:K205">
      <x:formula1>0</x:formula1>
      <x:formula2>1</x:formula2>
    </x:dataValidation>
    <x:dataValidation type="decimal" operator="between" sqref="M6:M205">
      <x:formula1>0</x:formula1>
      <x:formula2>1</x:formula2>
    </x:dataValidation>
    <x:dataValidation type="list" sqref="AA6:AA205">
      <x:formula1>"Completed,Buyer withdrew,Seller withdrew,Financing,Price disagreement,Property unavailable,Other"</x:formula1>
    </x:dataValidation>
    <x:dataValidation type="list" sqref="AC6:AC205">
      <x:formula1>"Off-plan sale,Secondary sale,Residential rental,Commercial sale,Commercial rental,Landlord acquisition"</x:formula1>
    </x:dataValidation>
    <x:dataValidation type="list" sqref="AD6:AD205">
      <x:formula1>"Qualified,Viewing / meeting,Offer prepared,Offer submitted,Negotiation,Booking / MOU,NOC / transfer,Contract / Ejari,Handover,Closed,Lost"</x:formula1>
    </x:dataValidation>
    <x:dataValidation type="list" sqref="AH6:AH205">
      <x:formula1>"Budget,Price,Location,Financing,Timing,Competition,No response,Changed plans,Documentation,Other"</x:formula1>
    </x:dataValidation>
  </x:dataValidations>
  <x:pageMargins left="0.7" right="0.7" top="0.75" bottom="0.75" header="0.3" footer="0.3"/>
  <x:tableParts count="1">
    <x:tablePart xmlns:r="http://schemas.openxmlformats.org/officeDocument/2006/relationships" r:id="R0193faf013ab4913"/>
  </x:tableParts>
</x:worksheet>
</file>

<file path=xl/worksheets/sheet3.xml><?xml version="1.0" encoding="utf-8"?>
<x:worksheet xmlns:x="http://schemas.openxmlformats.org/spreadsheetml/2006/main">
  <x:sheetPr>
    <x:tabColor rgb="FF738996"/>
  </x:sheetPr>
  <x:sheetViews>
    <x:sheetView showGridLines="0" workbookViewId="0">
      <x:pane xSplit="2" ySplit="5" topLeftCell="C6" activePane="bottomRight" state="frozen"/>
    </x:sheetView>
  </x:sheetViews>
  <x:sheetFormatPr defaultRowHeight="15"/>
  <x:cols>
    <x:col min="1" max="1" width="13" hidden="0" customWidth="1"/>
    <x:col min="2" max="2" width="25" hidden="0" customWidth="1"/>
    <x:col min="3" max="3" width="21" hidden="0" customWidth="1"/>
    <x:col min="4" max="4" width="32" hidden="0" customWidth="1"/>
    <x:col min="5" max="5" width="18" hidden="0" customWidth="1"/>
    <x:col min="6" max="6" width="18" hidden="0" customWidth="1"/>
    <x:col min="7" max="7" width="18" hidden="0" customWidth="1"/>
    <x:col min="8" max="8" width="18" hidden="0" customWidth="1"/>
    <x:col min="9" max="9" width="18" hidden="0" customWidth="1"/>
    <x:col min="10" max="10" width="14" hidden="0" customWidth="1"/>
    <x:col min="11" max="11" width="25" hidden="0" customWidth="1"/>
    <x:col min="12" max="12" width="18" hidden="0" customWidth="1"/>
    <x:col min="13" max="13" width="14" hidden="0" customWidth="1"/>
    <x:col min="14" max="14" width="19" hidden="0" customWidth="1"/>
    <x:col min="15" max="15" width="19" hidden="0" customWidth="1"/>
    <x:col min="16" max="16" width="18" hidden="0" customWidth="1"/>
    <x:col min="17" max="17" width="18" hidden="0" customWidth="1"/>
    <x:col min="18" max="18" width="18" hidden="0" customWidth="1"/>
    <x:col min="19" max="19" width="32" hidden="0" customWidth="1"/>
    <x:col min="20" max="20" width="18" hidden="0" customWidth="1"/>
    <x:col min="21" max="21" width="18" hidden="0" customWidth="1"/>
    <x:col min="22" max="22" width="18" hidden="0" customWidth="1"/>
    <x:col min="23" max="23" width="23" hidden="0" customWidth="1"/>
    <x:col min="24" max="24" width="18" hidden="0" customWidth="1"/>
    <x:col min="25" max="25" width="32" hidden="0" customWidth="1"/>
    <x:col min="26" max="26" width="25" hidden="0" customWidth="1"/>
    <x:col min="27" max="27" width="25" hidden="0" customWidth="1"/>
    <x:col min="28" max="28" width="23" hidden="0" customWidth="1"/>
    <x:col min="29" max="29" width="19" hidden="0" customWidth="1"/>
    <x:col min="30" max="30" width="19" hidden="0" customWidth="1"/>
    <x:col min="31" max="31" width="17" hidden="0" customWidth="1"/>
    <x:col min="32" max="32" width="18" hidden="0" customWidth="1"/>
    <x:col min="33" max="33" width="19" hidden="0" customWidth="1"/>
    <x:col min="34" max="34" width="33" hidden="0" customWidth="1"/>
    <x:col min="35" max="35" width="29" hidden="0" customWidth="1"/>
    <x:col min="36" max="36" width="19" hidden="0" customWidth="1"/>
    <x:col min="37" max="37" width="21" hidden="0" customWidth="1"/>
    <x:col min="38" max="38" width="16" hidden="0" customWidth="1"/>
    <x:col min="39" max="39" width="18" hidden="0" customWidth="1"/>
    <x:col min="40" max="40" width="19" hidden="0" customWidth="1"/>
    <x:col min="41" max="41" width="23" hidden="0" customWidth="1"/>
    <x:col min="42" max="42" width="20" hidden="0" customWidth="1"/>
    <x:col min="43" max="43" width="20" hidden="0" customWidth="1"/>
    <x:col min="44" max="44" width="18" hidden="0" customWidth="1"/>
    <x:col min="45" max="45" width="19" hidden="0" customWidth="1"/>
  </x:cols>
  <x:sheetData>
    <x:row r="1" ht="22" customHeight="1">
      <x:c r="A1" s="259" t="str">
        <x:v>KEYS WITH SIMONI</x:v>
      </x:c>
      <x:c r="B1" s="260"/>
      <x:c r="C1" s="260"/>
      <x:c r="D1" s="260"/>
      <x:c r="E1" s="382" t="str">
        <x:v>Records to review</x:v>
      </x:c>
      <x:c r="F1" s="382"/>
      <x:c r="G1" s="382"/>
      <x:c r="H1" s="385" t="n">
        <x:f>SUM(COUNTIFS($AA$6:$AA$205,"Duplicate ID"),COUNTIFS($AA$6:$AA$205,"Add name"),COUNTIFS($AA$6:$AA$205,"Add phone or email"),COUNTIFS($AA$6:$AA$205,"Set lead stage"),COUNTIFS($AA$6:$AA$205,"Add date added"),COUNTIFS($AA$6:$AA$205,"Check budget range"),COUNTIFS($AA$6:$AA$205,"Add lost reason"))</x:f>
        <x:v>0</x:v>
      </x:c>
      <x:c r="I1" s="256"/>
      <x:c r="J1" s="256"/>
      <x:c r="K1" s="256"/>
      <x:c r="L1" s="256"/>
      <x:c r="M1" s="256"/>
      <x:c r="N1" s="256"/>
      <x:c r="O1" s="256"/>
      <x:c r="P1" s="256"/>
      <x:c r="Q1" s="256"/>
      <x:c r="R1" s="256"/>
      <x:c r="S1" s="256"/>
      <x:c r="T1" s="256"/>
      <x:c r="U1" s="256"/>
      <x:c r="V1" s="256"/>
      <x:c r="W1" s="256"/>
      <x:c r="X1" s="256"/>
      <x:c r="Y1" s="256"/>
      <x:c r="Z1" s="256"/>
      <x:c r="AA1" s="257"/>
    </x:row>
    <x:row r="2" ht="37" customHeight="1">
      <x:c r="A2" s="263" t="str">
        <x:v>Clients &amp; requirements</x:v>
      </x:c>
      <x:c r="B2" s="264"/>
      <x:c r="C2" s="264"/>
      <x:c r="D2" s="264"/>
      <x:c r="E2" s="264"/>
      <x:c r="F2" s="268" t="str">
        <x:v>White: enter data. Blue-grey: calculated.</x:v>
      </x:c>
      <x:c r="G2" s="268"/>
      <x:c r="H2" s="268"/>
      <x:c r="I2" s="235"/>
      <x:c r="J2" s="235"/>
      <x:c r="K2" s="235"/>
      <x:c r="L2" s="235"/>
      <x:c r="M2" s="235"/>
      <x:c r="N2" s="235"/>
      <x:c r="O2" s="235"/>
      <x:c r="P2" s="235"/>
      <x:c r="Q2" s="235"/>
      <x:c r="R2" s="235"/>
      <x:c r="S2" s="235"/>
      <x:c r="T2" s="235"/>
      <x:c r="U2" s="235"/>
      <x:c r="V2" s="235"/>
      <x:c r="W2" s="235"/>
      <x:c r="X2" s="235"/>
      <x:c r="Y2" s="235"/>
      <x:c r="Z2" s="235"/>
      <x:c r="AA2" s="239"/>
    </x:row>
    <x:row r="3" ht="35" customHeight="1">
      <x:c r="A3" s="271" t="str">
        <x:v>One record per client. Filter Next follow-up or Follow-up status to see who needs attention.</x:v>
      </x:c>
      <x:c r="B3" s="272"/>
      <x:c r="C3" s="272"/>
      <x:c r="D3" s="272"/>
      <x:c r="E3" s="272"/>
      <x:c r="F3" s="272"/>
      <x:c r="G3" s="272"/>
      <x:c r="H3" s="272"/>
      <x:c r="I3" s="235"/>
      <x:c r="J3" s="235"/>
      <x:c r="K3" s="235"/>
      <x:c r="L3" s="235"/>
      <x:c r="M3" s="235"/>
      <x:c r="N3" s="235"/>
      <x:c r="O3" s="235"/>
      <x:c r="P3" s="235"/>
      <x:c r="Q3" s="235"/>
      <x:c r="R3" s="235"/>
      <x:c r="S3" s="235"/>
      <x:c r="T3" s="235"/>
      <x:c r="U3" s="235"/>
      <x:c r="V3" s="235"/>
      <x:c r="W3" s="235"/>
      <x:c r="X3" s="235"/>
      <x:c r="Y3" s="235"/>
      <x:c r="Z3" s="235"/>
      <x:c r="AA3" s="239"/>
    </x:row>
    <x:row r="4" ht="24" customHeight="1">
      <x:c r="A4" s="277" t="str">
        <x:v>01  CLIENT &amp; ENQUIRY</x:v>
      </x:c>
      <x:c r="B4" s="278"/>
      <x:c r="C4" s="278"/>
      <x:c r="D4" s="278"/>
      <x:c r="E4" s="278"/>
      <x:c r="F4" s="278"/>
      <x:c r="G4" s="278"/>
      <x:c r="H4" s="278"/>
      <x:c r="I4" s="279" t="str">
        <x:v>02  REQUIREMENTS</x:v>
      </x:c>
      <x:c r="J4" s="279"/>
      <x:c r="K4" s="279"/>
      <x:c r="L4" s="279"/>
      <x:c r="M4" s="279"/>
      <x:c r="N4" s="279"/>
      <x:c r="O4" s="279"/>
      <x:c r="P4" s="279"/>
      <x:c r="Q4" s="279" t="str">
        <x:v>03  TIMING &amp; NOTES</x:v>
      </x:c>
      <x:c r="R4" s="279"/>
      <x:c r="S4" s="279"/>
      <x:c r="T4" s="279"/>
      <x:c r="U4" s="279" t="str">
        <x:v>04  FOLLOW-UP &amp; REVIEW</x:v>
      </x:c>
      <x:c r="V4" s="279"/>
      <x:c r="W4" s="279"/>
      <x:c r="X4" s="279"/>
      <x:c r="Y4" s="279"/>
      <x:c r="Z4" s="279"/>
      <x:c r="AA4" s="282"/>
      <x:c r="AB4" s="783" t="str">
        <x:v>05  QUALIFICATION &amp; COMMUNICATION</x:v>
      </x:c>
      <x:c r="AC4" s="783"/>
      <x:c r="AD4" s="783"/>
      <x:c r="AE4" s="783"/>
      <x:c r="AF4" s="783"/>
      <x:c r="AG4" s="783"/>
      <x:c r="AH4" s="783"/>
      <x:c r="AI4" s="783"/>
      <x:c r="AJ4" s="783"/>
      <x:c r="AK4" s="783"/>
      <x:c r="AL4" s="783" t="str">
        <x:v>06  LEAD SCORE &amp; RELATIONSHIP</x:v>
      </x:c>
      <x:c r="AM4" s="783"/>
      <x:c r="AN4" s="783"/>
      <x:c r="AO4" s="783"/>
      <x:c r="AP4" s="783"/>
      <x:c r="AQ4" s="783"/>
      <x:c r="AR4" s="783"/>
      <x:c r="AS4" s="783"/>
    </x:row>
    <x:row r="5" ht="62" customHeight="1">
      <x:c r="A5" s="293" t="str">
        <x:v>Client
ID</x:v>
      </x:c>
      <x:c r="B5" s="294" t="str">
        <x:v>Full
name</x:v>
      </x:c>
      <x:c r="C5" s="294" t="str">
        <x:v>Phone</x:v>
      </x:c>
      <x:c r="D5" s="294" t="str">
        <x:v>Email</x:v>
      </x:c>
      <x:c r="E5" s="294" t="str">
        <x:v>Preferred
language</x:v>
      </x:c>
      <x:c r="F5" s="294" t="str">
        <x:v>Client
type</x:v>
      </x:c>
      <x:c r="G5" s="294" t="str">
        <x:v>Lead
source</x:v>
      </x:c>
      <x:c r="H5" s="294" t="str">
        <x:v>Lead
stage</x:v>
      </x:c>
      <x:c r="I5" s="294" t="str">
        <x:v>Buy /
rent</x:v>
      </x:c>
      <x:c r="J5" s="294" t="str">
        <x:v>Emirate</x:v>
      </x:c>
      <x:c r="K5" s="294" t="str">
        <x:v>Preferred
communities</x:v>
      </x:c>
      <x:c r="L5" s="294" t="str">
        <x:v>Property
type</x:v>
      </x:c>
      <x:c r="M5" s="294" t="str">
        <x:v>Bedrooms</x:v>
      </x:c>
      <x:c r="N5" s="294" t="str">
        <x:v>Minimum budget
AED</x:v>
      </x:c>
      <x:c r="O5" s="294" t="str">
        <x:v>Maximum budget
AED</x:v>
      </x:c>
      <x:c r="P5" s="294" t="str">
        <x:v>Payment
method</x:v>
      </x:c>
      <x:c r="Q5" s="294" t="str">
        <x:v>Target
date</x:v>
      </x:c>
      <x:c r="R5" s="294" t="str">
        <x:v>Date
added</x:v>
      </x:c>
      <x:c r="S5" s="294" t="str">
        <x:v>Notes</x:v>
      </x:c>
      <x:c r="T5" s="294" t="str">
        <x:v>Duplicate
contact</x:v>
      </x:c>
      <x:c r="U5" s="294" t="str">
        <x:v>Last contact
auto</x:v>
      </x:c>
      <x:c r="V5" s="294" t="str">
        <x:v>Next follow-up
auto</x:v>
      </x:c>
      <x:c r="W5" s="294" t="str">
        <x:v>Follow-up status
auto</x:v>
      </x:c>
      <x:c r="X5" s="294" t="str">
        <x:v>Priority</x:v>
      </x:c>
      <x:c r="Y5" s="294" t="str">
        <x:v>Lost
reason</x:v>
      </x:c>
      <x:c r="Z5" s="294" t="str">
        <x:v>Campaign
reference</x:v>
      </x:c>
      <x:c r="AA5" s="299" t="str">
        <x:v>Record
check</x:v>
      </x:c>
      <x:c r="AB5" s="788" t="str">
        <x:v>Purchase / rental purpose</x:v>
      </x:c>
      <x:c r="AC5" s="788" t="str">
        <x:v>Finance type</x:v>
      </x:c>
      <x:c r="AD5" s="788" t="str">
        <x:v>Mortgage stage</x:v>
      </x:c>
      <x:c r="AE5" s="788" t="str">
        <x:v>Funds confirmed</x:v>
      </x:c>
      <x:c r="AF5" s="788" t="str">
        <x:v>Decision maker</x:v>
      </x:c>
      <x:c r="AG5" s="788" t="str">
        <x:v>Buying / moving urgency</x:v>
      </x:c>
      <x:c r="AH5" s="788" t="str">
        <x:v>Must-have criteria</x:v>
      </x:c>
      <x:c r="AI5" s="788" t="str">
        <x:v>Primary objection</x:v>
      </x:c>
      <x:c r="AJ5" s="788" t="str">
        <x:v>Preferred channel</x:v>
      </x:c>
      <x:c r="AK5" s="788" t="str">
        <x:v>Contact permission</x:v>
      </x:c>
      <x:c r="AL5" s="788" t="str">
        <x:v>Lead quality score
/ 100</x:v>
      </x:c>
      <x:c r="AM5" s="788" t="str">
        <x:v>Lead tier
auto</x:v>
      </x:c>
      <x:c r="AN5" s="788" t="str">
        <x:v>Last qualified
on</x:v>
      </x:c>
      <x:c r="AO5" s="788" t="str">
        <x:v>Relationship status</x:v>
      </x:c>
      <x:c r="AP5" s="788" t="str">
        <x:v>Referred by
Client ID</x:v>
      </x:c>
      <x:c r="AQ5" s="788" t="str">
        <x:v>Re-engage
date</x:v>
      </x:c>
      <x:c r="AR5" s="788" t="str">
        <x:v>Lost on</x:v>
      </x:c>
      <x:c r="AS5" s="788" t="str">
        <x:v>Recontact
possible</x:v>
      </x:c>
    </x:row>
    <x:row r="6" ht="26" customHeight="1">
      <x:c r="A6" s="317"/>
      <x:c r="B6" s="318"/>
      <x:c r="C6" s="327"/>
      <x:c r="D6" s="235"/>
      <x:c r="E6" s="235"/>
      <x:c r="F6" s="235"/>
      <x:c r="G6" s="235"/>
      <x:c r="H6" s="235"/>
      <x:c r="I6" s="235"/>
      <x:c r="J6" s="235"/>
      <x:c r="K6" s="235"/>
      <x:c r="L6" s="235"/>
      <x:c r="M6" s="376"/>
      <x:c r="N6" s="236"/>
      <x:c r="O6" s="236"/>
      <x:c r="P6" s="235"/>
      <x:c r="Q6" s="238"/>
      <x:c r="R6" s="238"/>
      <x:c r="S6" s="235"/>
      <x:c r="T6" s="315" t="str">
        <x:f>IF(A6="","",IF(OR(AND(C6&lt;&gt;"",COUNTIFS($C$6:$C$205,C6)&gt;1),AND(D6&lt;&gt;"",COUNTIFS($D$6:$D$205,D6)&gt;1)),"Check duplicate",""))</x:f>
      </x:c>
      <x:c r="U6" s="374" t="str">
        <x:f>IF(A6="","",IF(COUNTIFS('Follow-ups'!$B$6:$B$205,A6,'Follow-ups'!$D$6:$D$205,"&gt;0",'Follow-ups'!$D$6:$D$205,"&lt;="&amp;TODAY())=0,"",_xlfn.MAXIFS('Follow-ups'!$D$6:$D$205,'Follow-ups'!$B$6:$B$205,A6,'Follow-ups'!$D$6:$D$205,"&lt;="&amp;TODAY())))</x:f>
      </x:c>
      <x:c r="V6" s="374" t="str">
        <x:f>IF(A6="","",IF(COUNTIFS('Follow-ups'!$B$6:$B$205,A6,'Follow-ups'!$I$6:$I$205,"Open",'Follow-ups'!$H$6:$H$205,"&gt;0")=0,"",_xlfn.MINIFS('Follow-ups'!$H$6:$H$205,'Follow-ups'!$B$6:$B$205,A6,'Follow-ups'!$I$6:$I$205,"Open",'Follow-ups'!$H$6:$H$205,"&gt;0")))</x:f>
      </x:c>
      <x:c r="W6" s="265" t="str">
        <x:f>IF(A6="","",IF(OR(H6="Converted",H6="Lost"),"Closed lead",IF(H6="On Hold","On hold",IF(ISNUMBER(V6),IF(V6&lt;TODAY(),"Overdue",IF(V6=TODAY(),"Due today","Scheduled")),IF(COUNTIFS('Follow-ups'!$B$6:$B$205,A6,'Follow-ups'!$I$6:$I$205,"Open")&gt;0,"Set task due date","No open task")))))</x:f>
      </x:c>
      <x:c r="X6" s="235"/>
      <x:c r="Y6" s="235"/>
      <x:c r="Z6" s="235"/>
      <x:c r="AA6" s="315" t="str">
        <x:f>IF(A6="","",IF(COUNTIFS($A$6:$A$205,A6)&gt;1,"Duplicate ID",IF(B6="","Add name",IF(AND(C6="",D6=""),"Add phone or email",IF(H6="","Set lead stage",IF(NOT(ISNUMBER(R6)),"Add date added",IF(AND(ISNUMBER(N6),ISNUMBER(O6),N6&gt;O6),"Check budget range",IF(AND(H6="Lost",Y6=""),"Add lost reason",""))))))))</x:f>
      </x:c>
      <x:c r="AB6" s="791"/>
      <x:c r="AC6" s="791"/>
      <x:c r="AD6" s="791"/>
      <x:c r="AE6" s="791"/>
      <x:c r="AF6" s="791"/>
      <x:c r="AG6" s="791"/>
      <x:c r="AH6" s="791"/>
      <x:c r="AI6" s="791"/>
      <x:c r="AJ6" s="791"/>
      <x:c r="AK6" s="791"/>
      <x:c r="AL6" s="793" t="str">
        <x:f>IF($A6="","",IF(OR($H6="Lost",$H6="Converted"),"",IF(OR($C6&lt;&gt;"",$D6&lt;&gt;""),10,0)+IF(AND(ISNUMBER($O6),$O6&gt;0),20,0)+IF($AE6="Yes",15,0)+IF($AF6="Yes",15,IF($AF6="Joint",10,0))+IF(OR($AG6="Immediate",$AG6="0-30 days"),20,IF($AG6="1-3 months",10,0))+IF(OR($AC6="Cash",$AD6="Pre-approved",$AD6="Approved"),10,0)+IF(ISNUMBER($V6),10,0)))</x:f>
      </x:c>
      <x:c r="AM6" s="793" t="str">
        <x:f>IF($A6="","",IF($H6="Lost","Lost",IF($H6="Converted","Converted",IF(NOT(ISNUMBER($AL6)),"",IF($AL6&gt;=75,"Hot",IF($AL6&gt;=45,"Warm","Nurture"))))))</x:f>
      </x:c>
      <x:c r="AN6" s="794"/>
      <x:c r="AO6" s="791"/>
      <x:c r="AP6" s="791"/>
      <x:c r="AQ6" s="794"/>
      <x:c r="AR6" s="794"/>
      <x:c r="AS6" s="791"/>
    </x:row>
    <x:row r="7" ht="26" customHeight="1">
      <x:c r="A7" s="319"/>
      <x:c r="B7" s="320"/>
      <x:c r="C7" s="331"/>
      <x:c r="D7" s="274"/>
      <x:c r="E7" s="274"/>
      <x:c r="F7" s="274"/>
      <x:c r="G7" s="274"/>
      <x:c r="H7" s="274"/>
      <x:c r="I7" s="274"/>
      <x:c r="J7" s="274"/>
      <x:c r="K7" s="274"/>
      <x:c r="L7" s="274"/>
      <x:c r="M7" s="377"/>
      <x:c r="N7" s="302"/>
      <x:c r="O7" s="302"/>
      <x:c r="P7" s="274"/>
      <x:c r="Q7" s="304"/>
      <x:c r="R7" s="304"/>
      <x:c r="S7" s="274"/>
      <x:c r="T7" s="315" t="str">
        <x:f>IF(A7="","",IF(OR(AND(C7&lt;&gt;"",COUNTIFS($C$6:$C$205,C7)&gt;1),AND(D7&lt;&gt;"",COUNTIFS($D$6:$D$205,D7)&gt;1)),"Check duplicate",""))</x:f>
      </x:c>
      <x:c r="U7" s="374" t="str">
        <x:f>IF(A7="","",IF(COUNTIFS('Follow-ups'!$B$6:$B$205,A7,'Follow-ups'!$D$6:$D$205,"&gt;0",'Follow-ups'!$D$6:$D$205,"&lt;="&amp;TODAY())=0,"",_xlfn.MAXIFS('Follow-ups'!$D$6:$D$205,'Follow-ups'!$B$6:$B$205,A7,'Follow-ups'!$D$6:$D$205,"&lt;="&amp;TODAY())))</x:f>
      </x:c>
      <x:c r="V7" s="374" t="str">
        <x:f>IF(A7="","",IF(COUNTIFS('Follow-ups'!$B$6:$B$205,A7,'Follow-ups'!$I$6:$I$205,"Open",'Follow-ups'!$H$6:$H$205,"&gt;0")=0,"",_xlfn.MINIFS('Follow-ups'!$H$6:$H$205,'Follow-ups'!$B$6:$B$205,A7,'Follow-ups'!$I$6:$I$205,"Open",'Follow-ups'!$H$6:$H$205,"&gt;0")))</x:f>
      </x:c>
      <x:c r="W7" s="265" t="str">
        <x:f>IF(A7="","",IF(OR(H7="Converted",H7="Lost"),"Closed lead",IF(H7="On Hold","On hold",IF(ISNUMBER(V7),IF(V7&lt;TODAY(),"Overdue",IF(V7=TODAY(),"Due today","Scheduled")),IF(COUNTIFS('Follow-ups'!$B$6:$B$205,A7,'Follow-ups'!$I$6:$I$205,"Open")&gt;0,"Set task due date","No open task")))))</x:f>
      </x:c>
      <x:c r="X7" s="274"/>
      <x:c r="Y7" s="274"/>
      <x:c r="Z7" s="274"/>
      <x:c r="AA7" s="315" t="str">
        <x:f>IF(A7="","",IF(COUNTIFS($A$6:$A$205,A7)&gt;1,"Duplicate ID",IF(B7="","Add name",IF(AND(C7="",D7=""),"Add phone or email",IF(H7="","Set lead stage",IF(NOT(ISNUMBER(R7)),"Add date added",IF(AND(ISNUMBER(N7),ISNUMBER(O7),N7&gt;O7),"Check budget range",IF(AND(H7="Lost",Y7=""),"Add lost reason",""))))))))</x:f>
      </x:c>
      <x:c r="AB7" s="791"/>
      <x:c r="AC7" s="791"/>
      <x:c r="AD7" s="791"/>
      <x:c r="AE7" s="791"/>
      <x:c r="AF7" s="791"/>
      <x:c r="AG7" s="791"/>
      <x:c r="AH7" s="791"/>
      <x:c r="AI7" s="791"/>
      <x:c r="AJ7" s="791"/>
      <x:c r="AK7" s="791"/>
      <x:c r="AL7" s="793" t="str">
        <x:f>IF($A7="","",IF(OR($H7="Lost",$H7="Converted"),"",IF(OR($C7&lt;&gt;"",$D7&lt;&gt;""),10,0)+IF(AND(ISNUMBER($O7),$O7&gt;0),20,0)+IF($AE7="Yes",15,0)+IF($AF7="Yes",15,IF($AF7="Joint",10,0))+IF(OR($AG7="Immediate",$AG7="0-30 days"),20,IF($AG7="1-3 months",10,0))+IF(OR($AC7="Cash",$AD7="Pre-approved",$AD7="Approved"),10,0)+IF(ISNUMBER($V7),10,0)))</x:f>
      </x:c>
      <x:c r="AM7" s="793" t="str">
        <x:f>IF($A7="","",IF($H7="Lost","Lost",IF($H7="Converted","Converted",IF(NOT(ISNUMBER($AL7)),"",IF($AL7&gt;=75,"Hot",IF($AL7&gt;=45,"Warm","Nurture"))))))</x:f>
      </x:c>
      <x:c r="AN7" s="794"/>
      <x:c r="AO7" s="791"/>
      <x:c r="AP7" s="791"/>
      <x:c r="AQ7" s="794"/>
      <x:c r="AR7" s="794"/>
      <x:c r="AS7" s="791"/>
    </x:row>
    <x:row r="8" ht="26" customHeight="1">
      <x:c r="A8" s="317"/>
      <x:c r="B8" s="318"/>
      <x:c r="C8" s="327"/>
      <x:c r="D8" s="235"/>
      <x:c r="E8" s="235"/>
      <x:c r="F8" s="235"/>
      <x:c r="G8" s="235"/>
      <x:c r="H8" s="235"/>
      <x:c r="I8" s="235"/>
      <x:c r="J8" s="235"/>
      <x:c r="K8" s="235"/>
      <x:c r="L8" s="235"/>
      <x:c r="M8" s="376"/>
      <x:c r="N8" s="236"/>
      <x:c r="O8" s="236"/>
      <x:c r="P8" s="235"/>
      <x:c r="Q8" s="238"/>
      <x:c r="R8" s="238"/>
      <x:c r="S8" s="235"/>
      <x:c r="T8" s="315" t="str">
        <x:f>IF(A8="","",IF(OR(AND(C8&lt;&gt;"",COUNTIFS($C$6:$C$205,C8)&gt;1),AND(D8&lt;&gt;"",COUNTIFS($D$6:$D$205,D8)&gt;1)),"Check duplicate",""))</x:f>
      </x:c>
      <x:c r="U8" s="374" t="str">
        <x:f>IF(A8="","",IF(COUNTIFS('Follow-ups'!$B$6:$B$205,A8,'Follow-ups'!$D$6:$D$205,"&gt;0",'Follow-ups'!$D$6:$D$205,"&lt;="&amp;TODAY())=0,"",_xlfn.MAXIFS('Follow-ups'!$D$6:$D$205,'Follow-ups'!$B$6:$B$205,A8,'Follow-ups'!$D$6:$D$205,"&lt;="&amp;TODAY())))</x:f>
      </x:c>
      <x:c r="V8" s="374" t="str">
        <x:f>IF(A8="","",IF(COUNTIFS('Follow-ups'!$B$6:$B$205,A8,'Follow-ups'!$I$6:$I$205,"Open",'Follow-ups'!$H$6:$H$205,"&gt;0")=0,"",_xlfn.MINIFS('Follow-ups'!$H$6:$H$205,'Follow-ups'!$B$6:$B$205,A8,'Follow-ups'!$I$6:$I$205,"Open",'Follow-ups'!$H$6:$H$205,"&gt;0")))</x:f>
      </x:c>
      <x:c r="W8" s="265" t="str">
        <x:f>IF(A8="","",IF(OR(H8="Converted",H8="Lost"),"Closed lead",IF(H8="On Hold","On hold",IF(ISNUMBER(V8),IF(V8&lt;TODAY(),"Overdue",IF(V8=TODAY(),"Due today","Scheduled")),IF(COUNTIFS('Follow-ups'!$B$6:$B$205,A8,'Follow-ups'!$I$6:$I$205,"Open")&gt;0,"Set task due date","No open task")))))</x:f>
      </x:c>
      <x:c r="X8" s="235"/>
      <x:c r="Y8" s="235"/>
      <x:c r="Z8" s="235"/>
      <x:c r="AA8" s="315" t="str">
        <x:f>IF(A8="","",IF(COUNTIFS($A$6:$A$205,A8)&gt;1,"Duplicate ID",IF(B8="","Add name",IF(AND(C8="",D8=""),"Add phone or email",IF(H8="","Set lead stage",IF(NOT(ISNUMBER(R8)),"Add date added",IF(AND(ISNUMBER(N8),ISNUMBER(O8),N8&gt;O8),"Check budget range",IF(AND(H8="Lost",Y8=""),"Add lost reason",""))))))))</x:f>
      </x:c>
      <x:c r="AB8" s="791"/>
      <x:c r="AC8" s="791"/>
      <x:c r="AD8" s="791"/>
      <x:c r="AE8" s="791"/>
      <x:c r="AF8" s="791"/>
      <x:c r="AG8" s="791"/>
      <x:c r="AH8" s="791"/>
      <x:c r="AI8" s="791"/>
      <x:c r="AJ8" s="791"/>
      <x:c r="AK8" s="791"/>
      <x:c r="AL8" s="793" t="str">
        <x:f>IF($A8="","",IF(OR($H8="Lost",$H8="Converted"),"",IF(OR($C8&lt;&gt;"",$D8&lt;&gt;""),10,0)+IF(AND(ISNUMBER($O8),$O8&gt;0),20,0)+IF($AE8="Yes",15,0)+IF($AF8="Yes",15,IF($AF8="Joint",10,0))+IF(OR($AG8="Immediate",$AG8="0-30 days"),20,IF($AG8="1-3 months",10,0))+IF(OR($AC8="Cash",$AD8="Pre-approved",$AD8="Approved"),10,0)+IF(ISNUMBER($V8),10,0)))</x:f>
      </x:c>
      <x:c r="AM8" s="793" t="str">
        <x:f>IF($A8="","",IF($H8="Lost","Lost",IF($H8="Converted","Converted",IF(NOT(ISNUMBER($AL8)),"",IF($AL8&gt;=75,"Hot",IF($AL8&gt;=45,"Warm","Nurture"))))))</x:f>
      </x:c>
      <x:c r="AN8" s="794"/>
      <x:c r="AO8" s="791"/>
      <x:c r="AP8" s="791"/>
      <x:c r="AQ8" s="794"/>
      <x:c r="AR8" s="794"/>
      <x:c r="AS8" s="791"/>
    </x:row>
    <x:row r="9" ht="26" customHeight="1">
      <x:c r="A9" s="319"/>
      <x:c r="B9" s="320"/>
      <x:c r="C9" s="331"/>
      <x:c r="D9" s="274"/>
      <x:c r="E9" s="274"/>
      <x:c r="F9" s="274"/>
      <x:c r="G9" s="274"/>
      <x:c r="H9" s="274"/>
      <x:c r="I9" s="274"/>
      <x:c r="J9" s="274"/>
      <x:c r="K9" s="274"/>
      <x:c r="L9" s="274"/>
      <x:c r="M9" s="377"/>
      <x:c r="N9" s="302"/>
      <x:c r="O9" s="302"/>
      <x:c r="P9" s="274"/>
      <x:c r="Q9" s="304"/>
      <x:c r="R9" s="304"/>
      <x:c r="S9" s="274"/>
      <x:c r="T9" s="315" t="str">
        <x:f>IF(A9="","",IF(OR(AND(C9&lt;&gt;"",COUNTIFS($C$6:$C$205,C9)&gt;1),AND(D9&lt;&gt;"",COUNTIFS($D$6:$D$205,D9)&gt;1)),"Check duplicate",""))</x:f>
      </x:c>
      <x:c r="U9" s="374" t="str">
        <x:f>IF(A9="","",IF(COUNTIFS('Follow-ups'!$B$6:$B$205,A9,'Follow-ups'!$D$6:$D$205,"&gt;0",'Follow-ups'!$D$6:$D$205,"&lt;="&amp;TODAY())=0,"",_xlfn.MAXIFS('Follow-ups'!$D$6:$D$205,'Follow-ups'!$B$6:$B$205,A9,'Follow-ups'!$D$6:$D$205,"&lt;="&amp;TODAY())))</x:f>
      </x:c>
      <x:c r="V9" s="374" t="str">
        <x:f>IF(A9="","",IF(COUNTIFS('Follow-ups'!$B$6:$B$205,A9,'Follow-ups'!$I$6:$I$205,"Open",'Follow-ups'!$H$6:$H$205,"&gt;0")=0,"",_xlfn.MINIFS('Follow-ups'!$H$6:$H$205,'Follow-ups'!$B$6:$B$205,A9,'Follow-ups'!$I$6:$I$205,"Open",'Follow-ups'!$H$6:$H$205,"&gt;0")))</x:f>
      </x:c>
      <x:c r="W9" s="265" t="str">
        <x:f>IF(A9="","",IF(OR(H9="Converted",H9="Lost"),"Closed lead",IF(H9="On Hold","On hold",IF(ISNUMBER(V9),IF(V9&lt;TODAY(),"Overdue",IF(V9=TODAY(),"Due today","Scheduled")),IF(COUNTIFS('Follow-ups'!$B$6:$B$205,A9,'Follow-ups'!$I$6:$I$205,"Open")&gt;0,"Set task due date","No open task")))))</x:f>
      </x:c>
      <x:c r="X9" s="274"/>
      <x:c r="Y9" s="274"/>
      <x:c r="Z9" s="274"/>
      <x:c r="AA9" s="315" t="str">
        <x:f>IF(A9="","",IF(COUNTIFS($A$6:$A$205,A9)&gt;1,"Duplicate ID",IF(B9="","Add name",IF(AND(C9="",D9=""),"Add phone or email",IF(H9="","Set lead stage",IF(NOT(ISNUMBER(R9)),"Add date added",IF(AND(ISNUMBER(N9),ISNUMBER(O9),N9&gt;O9),"Check budget range",IF(AND(H9="Lost",Y9=""),"Add lost reason",""))))))))</x:f>
      </x:c>
      <x:c r="AB9" s="791"/>
      <x:c r="AC9" s="791"/>
      <x:c r="AD9" s="791"/>
      <x:c r="AE9" s="791"/>
      <x:c r="AF9" s="791"/>
      <x:c r="AG9" s="791"/>
      <x:c r="AH9" s="791"/>
      <x:c r="AI9" s="791"/>
      <x:c r="AJ9" s="791"/>
      <x:c r="AK9" s="791"/>
      <x:c r="AL9" s="793" t="str">
        <x:f>IF($A9="","",IF(OR($H9="Lost",$H9="Converted"),"",IF(OR($C9&lt;&gt;"",$D9&lt;&gt;""),10,0)+IF(AND(ISNUMBER($O9),$O9&gt;0),20,0)+IF($AE9="Yes",15,0)+IF($AF9="Yes",15,IF($AF9="Joint",10,0))+IF(OR($AG9="Immediate",$AG9="0-30 days"),20,IF($AG9="1-3 months",10,0))+IF(OR($AC9="Cash",$AD9="Pre-approved",$AD9="Approved"),10,0)+IF(ISNUMBER($V9),10,0)))</x:f>
      </x:c>
      <x:c r="AM9" s="793" t="str">
        <x:f>IF($A9="","",IF($H9="Lost","Lost",IF($H9="Converted","Converted",IF(NOT(ISNUMBER($AL9)),"",IF($AL9&gt;=75,"Hot",IF($AL9&gt;=45,"Warm","Nurture"))))))</x:f>
      </x:c>
      <x:c r="AN9" s="794"/>
      <x:c r="AO9" s="791"/>
      <x:c r="AP9" s="791"/>
      <x:c r="AQ9" s="794"/>
      <x:c r="AR9" s="794"/>
      <x:c r="AS9" s="791"/>
    </x:row>
    <x:row r="10" ht="26" customHeight="1">
      <x:c r="A10" s="317"/>
      <x:c r="B10" s="318"/>
      <x:c r="C10" s="327"/>
      <x:c r="D10" s="235"/>
      <x:c r="E10" s="235"/>
      <x:c r="F10" s="235"/>
      <x:c r="G10" s="235"/>
      <x:c r="H10" s="235"/>
      <x:c r="I10" s="235"/>
      <x:c r="J10" s="235"/>
      <x:c r="K10" s="235"/>
      <x:c r="L10" s="235"/>
      <x:c r="M10" s="376"/>
      <x:c r="N10" s="236"/>
      <x:c r="O10" s="236"/>
      <x:c r="P10" s="235"/>
      <x:c r="Q10" s="238"/>
      <x:c r="R10" s="238"/>
      <x:c r="S10" s="235"/>
      <x:c r="T10" s="315" t="str">
        <x:f>IF(A10="","",IF(OR(AND(C10&lt;&gt;"",COUNTIFS($C$6:$C$205,C10)&gt;1),AND(D10&lt;&gt;"",COUNTIFS($D$6:$D$205,D10)&gt;1)),"Check duplicate",""))</x:f>
      </x:c>
      <x:c r="U10" s="374" t="str">
        <x:f>IF(A10="","",IF(COUNTIFS('Follow-ups'!$B$6:$B$205,A10,'Follow-ups'!$D$6:$D$205,"&gt;0",'Follow-ups'!$D$6:$D$205,"&lt;="&amp;TODAY())=0,"",_xlfn.MAXIFS('Follow-ups'!$D$6:$D$205,'Follow-ups'!$B$6:$B$205,A10,'Follow-ups'!$D$6:$D$205,"&lt;="&amp;TODAY())))</x:f>
      </x:c>
      <x:c r="V10" s="374" t="str">
        <x:f>IF(A10="","",IF(COUNTIFS('Follow-ups'!$B$6:$B$205,A10,'Follow-ups'!$I$6:$I$205,"Open",'Follow-ups'!$H$6:$H$205,"&gt;0")=0,"",_xlfn.MINIFS('Follow-ups'!$H$6:$H$205,'Follow-ups'!$B$6:$B$205,A10,'Follow-ups'!$I$6:$I$205,"Open",'Follow-ups'!$H$6:$H$205,"&gt;0")))</x:f>
      </x:c>
      <x:c r="W10" s="265" t="str">
        <x:f>IF(A10="","",IF(OR(H10="Converted",H10="Lost"),"Closed lead",IF(H10="On Hold","On hold",IF(ISNUMBER(V10),IF(V10&lt;TODAY(),"Overdue",IF(V10=TODAY(),"Due today","Scheduled")),IF(COUNTIFS('Follow-ups'!$B$6:$B$205,A10,'Follow-ups'!$I$6:$I$205,"Open")&gt;0,"Set task due date","No open task")))))</x:f>
      </x:c>
      <x:c r="X10" s="235"/>
      <x:c r="Y10" s="235"/>
      <x:c r="Z10" s="235"/>
      <x:c r="AA10" s="315" t="str">
        <x:f>IF(A10="","",IF(COUNTIFS($A$6:$A$205,A10)&gt;1,"Duplicate ID",IF(B10="","Add name",IF(AND(C10="",D10=""),"Add phone or email",IF(H10="","Set lead stage",IF(NOT(ISNUMBER(R10)),"Add date added",IF(AND(ISNUMBER(N10),ISNUMBER(O10),N10&gt;O10),"Check budget range",IF(AND(H10="Lost",Y10=""),"Add lost reason",""))))))))</x:f>
      </x:c>
      <x:c r="AB10" s="791"/>
      <x:c r="AC10" s="791"/>
      <x:c r="AD10" s="791"/>
      <x:c r="AE10" s="791"/>
      <x:c r="AF10" s="791"/>
      <x:c r="AG10" s="791"/>
      <x:c r="AH10" s="791"/>
      <x:c r="AI10" s="791"/>
      <x:c r="AJ10" s="791"/>
      <x:c r="AK10" s="791"/>
      <x:c r="AL10" s="793" t="str">
        <x:f>IF($A10="","",IF(OR($H10="Lost",$H10="Converted"),"",IF(OR($C10&lt;&gt;"",$D10&lt;&gt;""),10,0)+IF(AND(ISNUMBER($O10),$O10&gt;0),20,0)+IF($AE10="Yes",15,0)+IF($AF10="Yes",15,IF($AF10="Joint",10,0))+IF(OR($AG10="Immediate",$AG10="0-30 days"),20,IF($AG10="1-3 months",10,0))+IF(OR($AC10="Cash",$AD10="Pre-approved",$AD10="Approved"),10,0)+IF(ISNUMBER($V10),10,0)))</x:f>
      </x:c>
      <x:c r="AM10" s="793" t="str">
        <x:f>IF($A10="","",IF($H10="Lost","Lost",IF($H10="Converted","Converted",IF(NOT(ISNUMBER($AL10)),"",IF($AL10&gt;=75,"Hot",IF($AL10&gt;=45,"Warm","Nurture"))))))</x:f>
      </x:c>
      <x:c r="AN10" s="794"/>
      <x:c r="AO10" s="791"/>
      <x:c r="AP10" s="791"/>
      <x:c r="AQ10" s="794"/>
      <x:c r="AR10" s="794"/>
      <x:c r="AS10" s="791"/>
    </x:row>
    <x:row r="11" ht="26" customHeight="1">
      <x:c r="A11" s="319"/>
      <x:c r="B11" s="320"/>
      <x:c r="C11" s="331"/>
      <x:c r="D11" s="274"/>
      <x:c r="E11" s="274"/>
      <x:c r="F11" s="274"/>
      <x:c r="G11" s="274"/>
      <x:c r="H11" s="274"/>
      <x:c r="I11" s="274"/>
      <x:c r="J11" s="274"/>
      <x:c r="K11" s="274"/>
      <x:c r="L11" s="274"/>
      <x:c r="M11" s="377"/>
      <x:c r="N11" s="302"/>
      <x:c r="O11" s="302"/>
      <x:c r="P11" s="274"/>
      <x:c r="Q11" s="304"/>
      <x:c r="R11" s="304"/>
      <x:c r="S11" s="274"/>
      <x:c r="T11" s="315" t="str">
        <x:f>IF(A11="","",IF(OR(AND(C11&lt;&gt;"",COUNTIFS($C$6:$C$205,C11)&gt;1),AND(D11&lt;&gt;"",COUNTIFS($D$6:$D$205,D11)&gt;1)),"Check duplicate",""))</x:f>
      </x:c>
      <x:c r="U11" s="374" t="str">
        <x:f>IF(A11="","",IF(COUNTIFS('Follow-ups'!$B$6:$B$205,A11,'Follow-ups'!$D$6:$D$205,"&gt;0",'Follow-ups'!$D$6:$D$205,"&lt;="&amp;TODAY())=0,"",_xlfn.MAXIFS('Follow-ups'!$D$6:$D$205,'Follow-ups'!$B$6:$B$205,A11,'Follow-ups'!$D$6:$D$205,"&lt;="&amp;TODAY())))</x:f>
      </x:c>
      <x:c r="V11" s="374" t="str">
        <x:f>IF(A11="","",IF(COUNTIFS('Follow-ups'!$B$6:$B$205,A11,'Follow-ups'!$I$6:$I$205,"Open",'Follow-ups'!$H$6:$H$205,"&gt;0")=0,"",_xlfn.MINIFS('Follow-ups'!$H$6:$H$205,'Follow-ups'!$B$6:$B$205,A11,'Follow-ups'!$I$6:$I$205,"Open",'Follow-ups'!$H$6:$H$205,"&gt;0")))</x:f>
      </x:c>
      <x:c r="W11" s="265" t="str">
        <x:f>IF(A11="","",IF(OR(H11="Converted",H11="Lost"),"Closed lead",IF(H11="On Hold","On hold",IF(ISNUMBER(V11),IF(V11&lt;TODAY(),"Overdue",IF(V11=TODAY(),"Due today","Scheduled")),IF(COUNTIFS('Follow-ups'!$B$6:$B$205,A11,'Follow-ups'!$I$6:$I$205,"Open")&gt;0,"Set task due date","No open task")))))</x:f>
      </x:c>
      <x:c r="X11" s="274"/>
      <x:c r="Y11" s="274"/>
      <x:c r="Z11" s="274"/>
      <x:c r="AA11" s="315" t="str">
        <x:f>IF(A11="","",IF(COUNTIFS($A$6:$A$205,A11)&gt;1,"Duplicate ID",IF(B11="","Add name",IF(AND(C11="",D11=""),"Add phone or email",IF(H11="","Set lead stage",IF(NOT(ISNUMBER(R11)),"Add date added",IF(AND(ISNUMBER(N11),ISNUMBER(O11),N11&gt;O11),"Check budget range",IF(AND(H11="Lost",Y11=""),"Add lost reason",""))))))))</x:f>
      </x:c>
      <x:c r="AB11" s="791"/>
      <x:c r="AC11" s="791"/>
      <x:c r="AD11" s="791"/>
      <x:c r="AE11" s="791"/>
      <x:c r="AF11" s="791"/>
      <x:c r="AG11" s="791"/>
      <x:c r="AH11" s="791"/>
      <x:c r="AI11" s="791"/>
      <x:c r="AJ11" s="791"/>
      <x:c r="AK11" s="791"/>
      <x:c r="AL11" s="793" t="str">
        <x:f>IF($A11="","",IF(OR($H11="Lost",$H11="Converted"),"",IF(OR($C11&lt;&gt;"",$D11&lt;&gt;""),10,0)+IF(AND(ISNUMBER($O11),$O11&gt;0),20,0)+IF($AE11="Yes",15,0)+IF($AF11="Yes",15,IF($AF11="Joint",10,0))+IF(OR($AG11="Immediate",$AG11="0-30 days"),20,IF($AG11="1-3 months",10,0))+IF(OR($AC11="Cash",$AD11="Pre-approved",$AD11="Approved"),10,0)+IF(ISNUMBER($V11),10,0)))</x:f>
      </x:c>
      <x:c r="AM11" s="793" t="str">
        <x:f>IF($A11="","",IF($H11="Lost","Lost",IF($H11="Converted","Converted",IF(NOT(ISNUMBER($AL11)),"",IF($AL11&gt;=75,"Hot",IF($AL11&gt;=45,"Warm","Nurture"))))))</x:f>
      </x:c>
      <x:c r="AN11" s="794"/>
      <x:c r="AO11" s="791"/>
      <x:c r="AP11" s="791"/>
      <x:c r="AQ11" s="794"/>
      <x:c r="AR11" s="794"/>
      <x:c r="AS11" s="791"/>
    </x:row>
    <x:row r="12" ht="26" customHeight="1">
      <x:c r="A12" s="317"/>
      <x:c r="B12" s="318"/>
      <x:c r="C12" s="327"/>
      <x:c r="D12" s="235"/>
      <x:c r="E12" s="235"/>
      <x:c r="F12" s="235"/>
      <x:c r="G12" s="235"/>
      <x:c r="H12" s="235"/>
      <x:c r="I12" s="235"/>
      <x:c r="J12" s="235"/>
      <x:c r="K12" s="235"/>
      <x:c r="L12" s="235"/>
      <x:c r="M12" s="376"/>
      <x:c r="N12" s="236"/>
      <x:c r="O12" s="236"/>
      <x:c r="P12" s="235"/>
      <x:c r="Q12" s="238"/>
      <x:c r="R12" s="238"/>
      <x:c r="S12" s="235"/>
      <x:c r="T12" s="315" t="str">
        <x:f>IF(A12="","",IF(OR(AND(C12&lt;&gt;"",COUNTIFS($C$6:$C$205,C12)&gt;1),AND(D12&lt;&gt;"",COUNTIFS($D$6:$D$205,D12)&gt;1)),"Check duplicate",""))</x:f>
      </x:c>
      <x:c r="U12" s="374" t="str">
        <x:f>IF(A12="","",IF(COUNTIFS('Follow-ups'!$B$6:$B$205,A12,'Follow-ups'!$D$6:$D$205,"&gt;0",'Follow-ups'!$D$6:$D$205,"&lt;="&amp;TODAY())=0,"",_xlfn.MAXIFS('Follow-ups'!$D$6:$D$205,'Follow-ups'!$B$6:$B$205,A12,'Follow-ups'!$D$6:$D$205,"&lt;="&amp;TODAY())))</x:f>
      </x:c>
      <x:c r="V12" s="374" t="str">
        <x:f>IF(A12="","",IF(COUNTIFS('Follow-ups'!$B$6:$B$205,A12,'Follow-ups'!$I$6:$I$205,"Open",'Follow-ups'!$H$6:$H$205,"&gt;0")=0,"",_xlfn.MINIFS('Follow-ups'!$H$6:$H$205,'Follow-ups'!$B$6:$B$205,A12,'Follow-ups'!$I$6:$I$205,"Open",'Follow-ups'!$H$6:$H$205,"&gt;0")))</x:f>
      </x:c>
      <x:c r="W12" s="265" t="str">
        <x:f>IF(A12="","",IF(OR(H12="Converted",H12="Lost"),"Closed lead",IF(H12="On Hold","On hold",IF(ISNUMBER(V12),IF(V12&lt;TODAY(),"Overdue",IF(V12=TODAY(),"Due today","Scheduled")),IF(COUNTIFS('Follow-ups'!$B$6:$B$205,A12,'Follow-ups'!$I$6:$I$205,"Open")&gt;0,"Set task due date","No open task")))))</x:f>
      </x:c>
      <x:c r="X12" s="235"/>
      <x:c r="Y12" s="235"/>
      <x:c r="Z12" s="235"/>
      <x:c r="AA12" s="315" t="str">
        <x:f>IF(A12="","",IF(COUNTIFS($A$6:$A$205,A12)&gt;1,"Duplicate ID",IF(B12="","Add name",IF(AND(C12="",D12=""),"Add phone or email",IF(H12="","Set lead stage",IF(NOT(ISNUMBER(R12)),"Add date added",IF(AND(ISNUMBER(N12),ISNUMBER(O12),N12&gt;O12),"Check budget range",IF(AND(H12="Lost",Y12=""),"Add lost reason",""))))))))</x:f>
      </x:c>
      <x:c r="AB12" s="791"/>
      <x:c r="AC12" s="791"/>
      <x:c r="AD12" s="791"/>
      <x:c r="AE12" s="791"/>
      <x:c r="AF12" s="791"/>
      <x:c r="AG12" s="791"/>
      <x:c r="AH12" s="791"/>
      <x:c r="AI12" s="791"/>
      <x:c r="AJ12" s="791"/>
      <x:c r="AK12" s="791"/>
      <x:c r="AL12" s="793" t="str">
        <x:f>IF($A12="","",IF(OR($H12="Lost",$H12="Converted"),"",IF(OR($C12&lt;&gt;"",$D12&lt;&gt;""),10,0)+IF(AND(ISNUMBER($O12),$O12&gt;0),20,0)+IF($AE12="Yes",15,0)+IF($AF12="Yes",15,IF($AF12="Joint",10,0))+IF(OR($AG12="Immediate",$AG12="0-30 days"),20,IF($AG12="1-3 months",10,0))+IF(OR($AC12="Cash",$AD12="Pre-approved",$AD12="Approved"),10,0)+IF(ISNUMBER($V12),10,0)))</x:f>
      </x:c>
      <x:c r="AM12" s="793" t="str">
        <x:f>IF($A12="","",IF($H12="Lost","Lost",IF($H12="Converted","Converted",IF(NOT(ISNUMBER($AL12)),"",IF($AL12&gt;=75,"Hot",IF($AL12&gt;=45,"Warm","Nurture"))))))</x:f>
      </x:c>
      <x:c r="AN12" s="794"/>
      <x:c r="AO12" s="791"/>
      <x:c r="AP12" s="791"/>
      <x:c r="AQ12" s="794"/>
      <x:c r="AR12" s="794"/>
      <x:c r="AS12" s="791"/>
    </x:row>
    <x:row r="13" ht="26" customHeight="1">
      <x:c r="A13" s="319"/>
      <x:c r="B13" s="320"/>
      <x:c r="C13" s="331"/>
      <x:c r="D13" s="274"/>
      <x:c r="E13" s="274"/>
      <x:c r="F13" s="274"/>
      <x:c r="G13" s="274"/>
      <x:c r="H13" s="274"/>
      <x:c r="I13" s="274"/>
      <x:c r="J13" s="274"/>
      <x:c r="K13" s="274"/>
      <x:c r="L13" s="274"/>
      <x:c r="M13" s="377"/>
      <x:c r="N13" s="302"/>
      <x:c r="O13" s="302"/>
      <x:c r="P13" s="274"/>
      <x:c r="Q13" s="304"/>
      <x:c r="R13" s="304"/>
      <x:c r="S13" s="274"/>
      <x:c r="T13" s="315" t="str">
        <x:f>IF(A13="","",IF(OR(AND(C13&lt;&gt;"",COUNTIFS($C$6:$C$205,C13)&gt;1),AND(D13&lt;&gt;"",COUNTIFS($D$6:$D$205,D13)&gt;1)),"Check duplicate",""))</x:f>
      </x:c>
      <x:c r="U13" s="374" t="str">
        <x:f>IF(A13="","",IF(COUNTIFS('Follow-ups'!$B$6:$B$205,A13,'Follow-ups'!$D$6:$D$205,"&gt;0",'Follow-ups'!$D$6:$D$205,"&lt;="&amp;TODAY())=0,"",_xlfn.MAXIFS('Follow-ups'!$D$6:$D$205,'Follow-ups'!$B$6:$B$205,A13,'Follow-ups'!$D$6:$D$205,"&lt;="&amp;TODAY())))</x:f>
      </x:c>
      <x:c r="V13" s="374" t="str">
        <x:f>IF(A13="","",IF(COUNTIFS('Follow-ups'!$B$6:$B$205,A13,'Follow-ups'!$I$6:$I$205,"Open",'Follow-ups'!$H$6:$H$205,"&gt;0")=0,"",_xlfn.MINIFS('Follow-ups'!$H$6:$H$205,'Follow-ups'!$B$6:$B$205,A13,'Follow-ups'!$I$6:$I$205,"Open",'Follow-ups'!$H$6:$H$205,"&gt;0")))</x:f>
      </x:c>
      <x:c r="W13" s="265" t="str">
        <x:f>IF(A13="","",IF(OR(H13="Converted",H13="Lost"),"Closed lead",IF(H13="On Hold","On hold",IF(ISNUMBER(V13),IF(V13&lt;TODAY(),"Overdue",IF(V13=TODAY(),"Due today","Scheduled")),IF(COUNTIFS('Follow-ups'!$B$6:$B$205,A13,'Follow-ups'!$I$6:$I$205,"Open")&gt;0,"Set task due date","No open task")))))</x:f>
      </x:c>
      <x:c r="X13" s="274"/>
      <x:c r="Y13" s="274"/>
      <x:c r="Z13" s="274"/>
      <x:c r="AA13" s="315" t="str">
        <x:f>IF(A13="","",IF(COUNTIFS($A$6:$A$205,A13)&gt;1,"Duplicate ID",IF(B13="","Add name",IF(AND(C13="",D13=""),"Add phone or email",IF(H13="","Set lead stage",IF(NOT(ISNUMBER(R13)),"Add date added",IF(AND(ISNUMBER(N13),ISNUMBER(O13),N13&gt;O13),"Check budget range",IF(AND(H13="Lost",Y13=""),"Add lost reason",""))))))))</x:f>
      </x:c>
      <x:c r="AB13" s="791"/>
      <x:c r="AC13" s="791"/>
      <x:c r="AD13" s="791"/>
      <x:c r="AE13" s="791"/>
      <x:c r="AF13" s="791"/>
      <x:c r="AG13" s="791"/>
      <x:c r="AH13" s="791"/>
      <x:c r="AI13" s="791"/>
      <x:c r="AJ13" s="791"/>
      <x:c r="AK13" s="791"/>
      <x:c r="AL13" s="793" t="str">
        <x:f>IF($A13="","",IF(OR($H13="Lost",$H13="Converted"),"",IF(OR($C13&lt;&gt;"",$D13&lt;&gt;""),10,0)+IF(AND(ISNUMBER($O13),$O13&gt;0),20,0)+IF($AE13="Yes",15,0)+IF($AF13="Yes",15,IF($AF13="Joint",10,0))+IF(OR($AG13="Immediate",$AG13="0-30 days"),20,IF($AG13="1-3 months",10,0))+IF(OR($AC13="Cash",$AD13="Pre-approved",$AD13="Approved"),10,0)+IF(ISNUMBER($V13),10,0)))</x:f>
      </x:c>
      <x:c r="AM13" s="793" t="str">
        <x:f>IF($A13="","",IF($H13="Lost","Lost",IF($H13="Converted","Converted",IF(NOT(ISNUMBER($AL13)),"",IF($AL13&gt;=75,"Hot",IF($AL13&gt;=45,"Warm","Nurture"))))))</x:f>
      </x:c>
      <x:c r="AN13" s="794"/>
      <x:c r="AO13" s="791"/>
      <x:c r="AP13" s="791"/>
      <x:c r="AQ13" s="794"/>
      <x:c r="AR13" s="794"/>
      <x:c r="AS13" s="791"/>
    </x:row>
    <x:row r="14" ht="26" customHeight="1">
      <x:c r="A14" s="317"/>
      <x:c r="B14" s="318"/>
      <x:c r="C14" s="327"/>
      <x:c r="D14" s="235"/>
      <x:c r="E14" s="235"/>
      <x:c r="F14" s="235"/>
      <x:c r="G14" s="235"/>
      <x:c r="H14" s="235"/>
      <x:c r="I14" s="235"/>
      <x:c r="J14" s="235"/>
      <x:c r="K14" s="235"/>
      <x:c r="L14" s="235"/>
      <x:c r="M14" s="376"/>
      <x:c r="N14" s="236"/>
      <x:c r="O14" s="236"/>
      <x:c r="P14" s="235"/>
      <x:c r="Q14" s="238"/>
      <x:c r="R14" s="238"/>
      <x:c r="S14" s="235"/>
      <x:c r="T14" s="315" t="str">
        <x:f>IF(A14="","",IF(OR(AND(C14&lt;&gt;"",COUNTIFS($C$6:$C$205,C14)&gt;1),AND(D14&lt;&gt;"",COUNTIFS($D$6:$D$205,D14)&gt;1)),"Check duplicate",""))</x:f>
      </x:c>
      <x:c r="U14" s="374" t="str">
        <x:f>IF(A14="","",IF(COUNTIFS('Follow-ups'!$B$6:$B$205,A14,'Follow-ups'!$D$6:$D$205,"&gt;0",'Follow-ups'!$D$6:$D$205,"&lt;="&amp;TODAY())=0,"",_xlfn.MAXIFS('Follow-ups'!$D$6:$D$205,'Follow-ups'!$B$6:$B$205,A14,'Follow-ups'!$D$6:$D$205,"&lt;="&amp;TODAY())))</x:f>
      </x:c>
      <x:c r="V14" s="374" t="str">
        <x:f>IF(A14="","",IF(COUNTIFS('Follow-ups'!$B$6:$B$205,A14,'Follow-ups'!$I$6:$I$205,"Open",'Follow-ups'!$H$6:$H$205,"&gt;0")=0,"",_xlfn.MINIFS('Follow-ups'!$H$6:$H$205,'Follow-ups'!$B$6:$B$205,A14,'Follow-ups'!$I$6:$I$205,"Open",'Follow-ups'!$H$6:$H$205,"&gt;0")))</x:f>
      </x:c>
      <x:c r="W14" s="265" t="str">
        <x:f>IF(A14="","",IF(OR(H14="Converted",H14="Lost"),"Closed lead",IF(H14="On Hold","On hold",IF(ISNUMBER(V14),IF(V14&lt;TODAY(),"Overdue",IF(V14=TODAY(),"Due today","Scheduled")),IF(COUNTIFS('Follow-ups'!$B$6:$B$205,A14,'Follow-ups'!$I$6:$I$205,"Open")&gt;0,"Set task due date","No open task")))))</x:f>
      </x:c>
      <x:c r="X14" s="235"/>
      <x:c r="Y14" s="235"/>
      <x:c r="Z14" s="235"/>
      <x:c r="AA14" s="315" t="str">
        <x:f>IF(A14="","",IF(COUNTIFS($A$6:$A$205,A14)&gt;1,"Duplicate ID",IF(B14="","Add name",IF(AND(C14="",D14=""),"Add phone or email",IF(H14="","Set lead stage",IF(NOT(ISNUMBER(R14)),"Add date added",IF(AND(ISNUMBER(N14),ISNUMBER(O14),N14&gt;O14),"Check budget range",IF(AND(H14="Lost",Y14=""),"Add lost reason",""))))))))</x:f>
      </x:c>
      <x:c r="AB14" s="791"/>
      <x:c r="AC14" s="791"/>
      <x:c r="AD14" s="791"/>
      <x:c r="AE14" s="791"/>
      <x:c r="AF14" s="791"/>
      <x:c r="AG14" s="791"/>
      <x:c r="AH14" s="791"/>
      <x:c r="AI14" s="791"/>
      <x:c r="AJ14" s="791"/>
      <x:c r="AK14" s="791"/>
      <x:c r="AL14" s="793" t="str">
        <x:f>IF($A14="","",IF(OR($H14="Lost",$H14="Converted"),"",IF(OR($C14&lt;&gt;"",$D14&lt;&gt;""),10,0)+IF(AND(ISNUMBER($O14),$O14&gt;0),20,0)+IF($AE14="Yes",15,0)+IF($AF14="Yes",15,IF($AF14="Joint",10,0))+IF(OR($AG14="Immediate",$AG14="0-30 days"),20,IF($AG14="1-3 months",10,0))+IF(OR($AC14="Cash",$AD14="Pre-approved",$AD14="Approved"),10,0)+IF(ISNUMBER($V14),10,0)))</x:f>
      </x:c>
      <x:c r="AM14" s="793" t="str">
        <x:f>IF($A14="","",IF($H14="Lost","Lost",IF($H14="Converted","Converted",IF(NOT(ISNUMBER($AL14)),"",IF($AL14&gt;=75,"Hot",IF($AL14&gt;=45,"Warm","Nurture"))))))</x:f>
      </x:c>
      <x:c r="AN14" s="794"/>
      <x:c r="AO14" s="791"/>
      <x:c r="AP14" s="791"/>
      <x:c r="AQ14" s="794"/>
      <x:c r="AR14" s="794"/>
      <x:c r="AS14" s="791"/>
    </x:row>
    <x:row r="15" ht="26" customHeight="1">
      <x:c r="A15" s="319"/>
      <x:c r="B15" s="320"/>
      <x:c r="C15" s="331"/>
      <x:c r="D15" s="274"/>
      <x:c r="E15" s="274"/>
      <x:c r="F15" s="274"/>
      <x:c r="G15" s="274"/>
      <x:c r="H15" s="274"/>
      <x:c r="I15" s="274"/>
      <x:c r="J15" s="274"/>
      <x:c r="K15" s="274"/>
      <x:c r="L15" s="274"/>
      <x:c r="M15" s="377"/>
      <x:c r="N15" s="302"/>
      <x:c r="O15" s="302"/>
      <x:c r="P15" s="274"/>
      <x:c r="Q15" s="304"/>
      <x:c r="R15" s="304"/>
      <x:c r="S15" s="274"/>
      <x:c r="T15" s="315" t="str">
        <x:f>IF(A15="","",IF(OR(AND(C15&lt;&gt;"",COUNTIFS($C$6:$C$205,C15)&gt;1),AND(D15&lt;&gt;"",COUNTIFS($D$6:$D$205,D15)&gt;1)),"Check duplicate",""))</x:f>
      </x:c>
      <x:c r="U15" s="374" t="str">
        <x:f>IF(A15="","",IF(COUNTIFS('Follow-ups'!$B$6:$B$205,A15,'Follow-ups'!$D$6:$D$205,"&gt;0",'Follow-ups'!$D$6:$D$205,"&lt;="&amp;TODAY())=0,"",_xlfn.MAXIFS('Follow-ups'!$D$6:$D$205,'Follow-ups'!$B$6:$B$205,A15,'Follow-ups'!$D$6:$D$205,"&lt;="&amp;TODAY())))</x:f>
      </x:c>
      <x:c r="V15" s="374" t="str">
        <x:f>IF(A15="","",IF(COUNTIFS('Follow-ups'!$B$6:$B$205,A15,'Follow-ups'!$I$6:$I$205,"Open",'Follow-ups'!$H$6:$H$205,"&gt;0")=0,"",_xlfn.MINIFS('Follow-ups'!$H$6:$H$205,'Follow-ups'!$B$6:$B$205,A15,'Follow-ups'!$I$6:$I$205,"Open",'Follow-ups'!$H$6:$H$205,"&gt;0")))</x:f>
      </x:c>
      <x:c r="W15" s="265" t="str">
        <x:f>IF(A15="","",IF(OR(H15="Converted",H15="Lost"),"Closed lead",IF(H15="On Hold","On hold",IF(ISNUMBER(V15),IF(V15&lt;TODAY(),"Overdue",IF(V15=TODAY(),"Due today","Scheduled")),IF(COUNTIFS('Follow-ups'!$B$6:$B$205,A15,'Follow-ups'!$I$6:$I$205,"Open")&gt;0,"Set task due date","No open task")))))</x:f>
      </x:c>
      <x:c r="X15" s="274"/>
      <x:c r="Y15" s="274"/>
      <x:c r="Z15" s="274"/>
      <x:c r="AA15" s="315" t="str">
        <x:f>IF(A15="","",IF(COUNTIFS($A$6:$A$205,A15)&gt;1,"Duplicate ID",IF(B15="","Add name",IF(AND(C15="",D15=""),"Add phone or email",IF(H15="","Set lead stage",IF(NOT(ISNUMBER(R15)),"Add date added",IF(AND(ISNUMBER(N15),ISNUMBER(O15),N15&gt;O15),"Check budget range",IF(AND(H15="Lost",Y15=""),"Add lost reason",""))))))))</x:f>
      </x:c>
      <x:c r="AB15" s="791"/>
      <x:c r="AC15" s="791"/>
      <x:c r="AD15" s="791"/>
      <x:c r="AE15" s="791"/>
      <x:c r="AF15" s="791"/>
      <x:c r="AG15" s="791"/>
      <x:c r="AH15" s="791"/>
      <x:c r="AI15" s="791"/>
      <x:c r="AJ15" s="791"/>
      <x:c r="AK15" s="791"/>
      <x:c r="AL15" s="793" t="str">
        <x:f>IF($A15="","",IF(OR($H15="Lost",$H15="Converted"),"",IF(OR($C15&lt;&gt;"",$D15&lt;&gt;""),10,0)+IF(AND(ISNUMBER($O15),$O15&gt;0),20,0)+IF($AE15="Yes",15,0)+IF($AF15="Yes",15,IF($AF15="Joint",10,0))+IF(OR($AG15="Immediate",$AG15="0-30 days"),20,IF($AG15="1-3 months",10,0))+IF(OR($AC15="Cash",$AD15="Pre-approved",$AD15="Approved"),10,0)+IF(ISNUMBER($V15),10,0)))</x:f>
      </x:c>
      <x:c r="AM15" s="793" t="str">
        <x:f>IF($A15="","",IF($H15="Lost","Lost",IF($H15="Converted","Converted",IF(NOT(ISNUMBER($AL15)),"",IF($AL15&gt;=75,"Hot",IF($AL15&gt;=45,"Warm","Nurture"))))))</x:f>
      </x:c>
      <x:c r="AN15" s="794"/>
      <x:c r="AO15" s="791"/>
      <x:c r="AP15" s="791"/>
      <x:c r="AQ15" s="794"/>
      <x:c r="AR15" s="794"/>
      <x:c r="AS15" s="791"/>
    </x:row>
    <x:row r="16" ht="26" customHeight="1">
      <x:c r="A16" s="317"/>
      <x:c r="B16" s="318"/>
      <x:c r="C16" s="327"/>
      <x:c r="D16" s="235"/>
      <x:c r="E16" s="235"/>
      <x:c r="F16" s="235"/>
      <x:c r="G16" s="235"/>
      <x:c r="H16" s="235"/>
      <x:c r="I16" s="235"/>
      <x:c r="J16" s="235"/>
      <x:c r="K16" s="235"/>
      <x:c r="L16" s="235"/>
      <x:c r="M16" s="376"/>
      <x:c r="N16" s="236"/>
      <x:c r="O16" s="236"/>
      <x:c r="P16" s="235"/>
      <x:c r="Q16" s="238"/>
      <x:c r="R16" s="238"/>
      <x:c r="S16" s="235"/>
      <x:c r="T16" s="315" t="str">
        <x:f>IF(A16="","",IF(OR(AND(C16&lt;&gt;"",COUNTIFS($C$6:$C$205,C16)&gt;1),AND(D16&lt;&gt;"",COUNTIFS($D$6:$D$205,D16)&gt;1)),"Check duplicate",""))</x:f>
      </x:c>
      <x:c r="U16" s="374" t="str">
        <x:f>IF(A16="","",IF(COUNTIFS('Follow-ups'!$B$6:$B$205,A16,'Follow-ups'!$D$6:$D$205,"&gt;0",'Follow-ups'!$D$6:$D$205,"&lt;="&amp;TODAY())=0,"",_xlfn.MAXIFS('Follow-ups'!$D$6:$D$205,'Follow-ups'!$B$6:$B$205,A16,'Follow-ups'!$D$6:$D$205,"&lt;="&amp;TODAY())))</x:f>
      </x:c>
      <x:c r="V16" s="374" t="str">
        <x:f>IF(A16="","",IF(COUNTIFS('Follow-ups'!$B$6:$B$205,A16,'Follow-ups'!$I$6:$I$205,"Open",'Follow-ups'!$H$6:$H$205,"&gt;0")=0,"",_xlfn.MINIFS('Follow-ups'!$H$6:$H$205,'Follow-ups'!$B$6:$B$205,A16,'Follow-ups'!$I$6:$I$205,"Open",'Follow-ups'!$H$6:$H$205,"&gt;0")))</x:f>
      </x:c>
      <x:c r="W16" s="265" t="str">
        <x:f>IF(A16="","",IF(OR(H16="Converted",H16="Lost"),"Closed lead",IF(H16="On Hold","On hold",IF(ISNUMBER(V16),IF(V16&lt;TODAY(),"Overdue",IF(V16=TODAY(),"Due today","Scheduled")),IF(COUNTIFS('Follow-ups'!$B$6:$B$205,A16,'Follow-ups'!$I$6:$I$205,"Open")&gt;0,"Set task due date","No open task")))))</x:f>
      </x:c>
      <x:c r="X16" s="235"/>
      <x:c r="Y16" s="235"/>
      <x:c r="Z16" s="235"/>
      <x:c r="AA16" s="315" t="str">
        <x:f>IF(A16="","",IF(COUNTIFS($A$6:$A$205,A16)&gt;1,"Duplicate ID",IF(B16="","Add name",IF(AND(C16="",D16=""),"Add phone or email",IF(H16="","Set lead stage",IF(NOT(ISNUMBER(R16)),"Add date added",IF(AND(ISNUMBER(N16),ISNUMBER(O16),N16&gt;O16),"Check budget range",IF(AND(H16="Lost",Y16=""),"Add lost reason",""))))))))</x:f>
      </x:c>
      <x:c r="AB16" s="791"/>
      <x:c r="AC16" s="791"/>
      <x:c r="AD16" s="791"/>
      <x:c r="AE16" s="791"/>
      <x:c r="AF16" s="791"/>
      <x:c r="AG16" s="791"/>
      <x:c r="AH16" s="791"/>
      <x:c r="AI16" s="791"/>
      <x:c r="AJ16" s="791"/>
      <x:c r="AK16" s="791"/>
      <x:c r="AL16" s="793" t="str">
        <x:f>IF($A16="","",IF(OR($H16="Lost",$H16="Converted"),"",IF(OR($C16&lt;&gt;"",$D16&lt;&gt;""),10,0)+IF(AND(ISNUMBER($O16),$O16&gt;0),20,0)+IF($AE16="Yes",15,0)+IF($AF16="Yes",15,IF($AF16="Joint",10,0))+IF(OR($AG16="Immediate",$AG16="0-30 days"),20,IF($AG16="1-3 months",10,0))+IF(OR($AC16="Cash",$AD16="Pre-approved",$AD16="Approved"),10,0)+IF(ISNUMBER($V16),10,0)))</x:f>
      </x:c>
      <x:c r="AM16" s="793" t="str">
        <x:f>IF($A16="","",IF($H16="Lost","Lost",IF($H16="Converted","Converted",IF(NOT(ISNUMBER($AL16)),"",IF($AL16&gt;=75,"Hot",IF($AL16&gt;=45,"Warm","Nurture"))))))</x:f>
      </x:c>
      <x:c r="AN16" s="794"/>
      <x:c r="AO16" s="791"/>
      <x:c r="AP16" s="791"/>
      <x:c r="AQ16" s="794"/>
      <x:c r="AR16" s="794"/>
      <x:c r="AS16" s="791"/>
    </x:row>
    <x:row r="17" ht="26" customHeight="1">
      <x:c r="A17" s="319"/>
      <x:c r="B17" s="320"/>
      <x:c r="C17" s="331"/>
      <x:c r="D17" s="274"/>
      <x:c r="E17" s="274"/>
      <x:c r="F17" s="274"/>
      <x:c r="G17" s="274"/>
      <x:c r="H17" s="274"/>
      <x:c r="I17" s="274"/>
      <x:c r="J17" s="274"/>
      <x:c r="K17" s="274"/>
      <x:c r="L17" s="274"/>
      <x:c r="M17" s="377"/>
      <x:c r="N17" s="302"/>
      <x:c r="O17" s="302"/>
      <x:c r="P17" s="274"/>
      <x:c r="Q17" s="304"/>
      <x:c r="R17" s="304"/>
      <x:c r="S17" s="274"/>
      <x:c r="T17" s="315" t="str">
        <x:f>IF(A17="","",IF(OR(AND(C17&lt;&gt;"",COUNTIFS($C$6:$C$205,C17)&gt;1),AND(D17&lt;&gt;"",COUNTIFS($D$6:$D$205,D17)&gt;1)),"Check duplicate",""))</x:f>
      </x:c>
      <x:c r="U17" s="374" t="str">
        <x:f>IF(A17="","",IF(COUNTIFS('Follow-ups'!$B$6:$B$205,A17,'Follow-ups'!$D$6:$D$205,"&gt;0",'Follow-ups'!$D$6:$D$205,"&lt;="&amp;TODAY())=0,"",_xlfn.MAXIFS('Follow-ups'!$D$6:$D$205,'Follow-ups'!$B$6:$B$205,A17,'Follow-ups'!$D$6:$D$205,"&lt;="&amp;TODAY())))</x:f>
      </x:c>
      <x:c r="V17" s="374" t="str">
        <x:f>IF(A17="","",IF(COUNTIFS('Follow-ups'!$B$6:$B$205,A17,'Follow-ups'!$I$6:$I$205,"Open",'Follow-ups'!$H$6:$H$205,"&gt;0")=0,"",_xlfn.MINIFS('Follow-ups'!$H$6:$H$205,'Follow-ups'!$B$6:$B$205,A17,'Follow-ups'!$I$6:$I$205,"Open",'Follow-ups'!$H$6:$H$205,"&gt;0")))</x:f>
      </x:c>
      <x:c r="W17" s="265" t="str">
        <x:f>IF(A17="","",IF(OR(H17="Converted",H17="Lost"),"Closed lead",IF(H17="On Hold","On hold",IF(ISNUMBER(V17),IF(V17&lt;TODAY(),"Overdue",IF(V17=TODAY(),"Due today","Scheduled")),IF(COUNTIFS('Follow-ups'!$B$6:$B$205,A17,'Follow-ups'!$I$6:$I$205,"Open")&gt;0,"Set task due date","No open task")))))</x:f>
      </x:c>
      <x:c r="X17" s="274"/>
      <x:c r="Y17" s="274"/>
      <x:c r="Z17" s="274"/>
      <x:c r="AA17" s="315" t="str">
        <x:f>IF(A17="","",IF(COUNTIFS($A$6:$A$205,A17)&gt;1,"Duplicate ID",IF(B17="","Add name",IF(AND(C17="",D17=""),"Add phone or email",IF(H17="","Set lead stage",IF(NOT(ISNUMBER(R17)),"Add date added",IF(AND(ISNUMBER(N17),ISNUMBER(O17),N17&gt;O17),"Check budget range",IF(AND(H17="Lost",Y17=""),"Add lost reason",""))))))))</x:f>
      </x:c>
      <x:c r="AB17" s="791"/>
      <x:c r="AC17" s="791"/>
      <x:c r="AD17" s="791"/>
      <x:c r="AE17" s="791"/>
      <x:c r="AF17" s="791"/>
      <x:c r="AG17" s="791"/>
      <x:c r="AH17" s="791"/>
      <x:c r="AI17" s="791"/>
      <x:c r="AJ17" s="791"/>
      <x:c r="AK17" s="791"/>
      <x:c r="AL17" s="793" t="str">
        <x:f>IF($A17="","",IF(OR($H17="Lost",$H17="Converted"),"",IF(OR($C17&lt;&gt;"",$D17&lt;&gt;""),10,0)+IF(AND(ISNUMBER($O17),$O17&gt;0),20,0)+IF($AE17="Yes",15,0)+IF($AF17="Yes",15,IF($AF17="Joint",10,0))+IF(OR($AG17="Immediate",$AG17="0-30 days"),20,IF($AG17="1-3 months",10,0))+IF(OR($AC17="Cash",$AD17="Pre-approved",$AD17="Approved"),10,0)+IF(ISNUMBER($V17),10,0)))</x:f>
      </x:c>
      <x:c r="AM17" s="793" t="str">
        <x:f>IF($A17="","",IF($H17="Lost","Lost",IF($H17="Converted","Converted",IF(NOT(ISNUMBER($AL17)),"",IF($AL17&gt;=75,"Hot",IF($AL17&gt;=45,"Warm","Nurture"))))))</x:f>
      </x:c>
      <x:c r="AN17" s="794"/>
      <x:c r="AO17" s="791"/>
      <x:c r="AP17" s="791"/>
      <x:c r="AQ17" s="794"/>
      <x:c r="AR17" s="794"/>
      <x:c r="AS17" s="791"/>
    </x:row>
    <x:row r="18" ht="26" customHeight="1">
      <x:c r="A18" s="317"/>
      <x:c r="B18" s="318"/>
      <x:c r="C18" s="327"/>
      <x:c r="D18" s="235"/>
      <x:c r="E18" s="235"/>
      <x:c r="F18" s="235"/>
      <x:c r="G18" s="235"/>
      <x:c r="H18" s="235"/>
      <x:c r="I18" s="235"/>
      <x:c r="J18" s="235"/>
      <x:c r="K18" s="235"/>
      <x:c r="L18" s="235"/>
      <x:c r="M18" s="376"/>
      <x:c r="N18" s="236"/>
      <x:c r="O18" s="236"/>
      <x:c r="P18" s="235"/>
      <x:c r="Q18" s="238"/>
      <x:c r="R18" s="238"/>
      <x:c r="S18" s="235"/>
      <x:c r="T18" s="315" t="str">
        <x:f>IF(A18="","",IF(OR(AND(C18&lt;&gt;"",COUNTIFS($C$6:$C$205,C18)&gt;1),AND(D18&lt;&gt;"",COUNTIFS($D$6:$D$205,D18)&gt;1)),"Check duplicate",""))</x:f>
      </x:c>
      <x:c r="U18" s="374" t="str">
        <x:f>IF(A18="","",IF(COUNTIFS('Follow-ups'!$B$6:$B$205,A18,'Follow-ups'!$D$6:$D$205,"&gt;0",'Follow-ups'!$D$6:$D$205,"&lt;="&amp;TODAY())=0,"",_xlfn.MAXIFS('Follow-ups'!$D$6:$D$205,'Follow-ups'!$B$6:$B$205,A18,'Follow-ups'!$D$6:$D$205,"&lt;="&amp;TODAY())))</x:f>
      </x:c>
      <x:c r="V18" s="374" t="str">
        <x:f>IF(A18="","",IF(COUNTIFS('Follow-ups'!$B$6:$B$205,A18,'Follow-ups'!$I$6:$I$205,"Open",'Follow-ups'!$H$6:$H$205,"&gt;0")=0,"",_xlfn.MINIFS('Follow-ups'!$H$6:$H$205,'Follow-ups'!$B$6:$B$205,A18,'Follow-ups'!$I$6:$I$205,"Open",'Follow-ups'!$H$6:$H$205,"&gt;0")))</x:f>
      </x:c>
      <x:c r="W18" s="265" t="str">
        <x:f>IF(A18="","",IF(OR(H18="Converted",H18="Lost"),"Closed lead",IF(H18="On Hold","On hold",IF(ISNUMBER(V18),IF(V18&lt;TODAY(),"Overdue",IF(V18=TODAY(),"Due today","Scheduled")),IF(COUNTIFS('Follow-ups'!$B$6:$B$205,A18,'Follow-ups'!$I$6:$I$205,"Open")&gt;0,"Set task due date","No open task")))))</x:f>
      </x:c>
      <x:c r="X18" s="235"/>
      <x:c r="Y18" s="235"/>
      <x:c r="Z18" s="235"/>
      <x:c r="AA18" s="315" t="str">
        <x:f>IF(A18="","",IF(COUNTIFS($A$6:$A$205,A18)&gt;1,"Duplicate ID",IF(B18="","Add name",IF(AND(C18="",D18=""),"Add phone or email",IF(H18="","Set lead stage",IF(NOT(ISNUMBER(R18)),"Add date added",IF(AND(ISNUMBER(N18),ISNUMBER(O18),N18&gt;O18),"Check budget range",IF(AND(H18="Lost",Y18=""),"Add lost reason",""))))))))</x:f>
      </x:c>
      <x:c r="AB18" s="791"/>
      <x:c r="AC18" s="791"/>
      <x:c r="AD18" s="791"/>
      <x:c r="AE18" s="791"/>
      <x:c r="AF18" s="791"/>
      <x:c r="AG18" s="791"/>
      <x:c r="AH18" s="791"/>
      <x:c r="AI18" s="791"/>
      <x:c r="AJ18" s="791"/>
      <x:c r="AK18" s="791"/>
      <x:c r="AL18" s="793" t="str">
        <x:f>IF($A18="","",IF(OR($H18="Lost",$H18="Converted"),"",IF(OR($C18&lt;&gt;"",$D18&lt;&gt;""),10,0)+IF(AND(ISNUMBER($O18),$O18&gt;0),20,0)+IF($AE18="Yes",15,0)+IF($AF18="Yes",15,IF($AF18="Joint",10,0))+IF(OR($AG18="Immediate",$AG18="0-30 days"),20,IF($AG18="1-3 months",10,0))+IF(OR($AC18="Cash",$AD18="Pre-approved",$AD18="Approved"),10,0)+IF(ISNUMBER($V18),10,0)))</x:f>
      </x:c>
      <x:c r="AM18" s="793" t="str">
        <x:f>IF($A18="","",IF($H18="Lost","Lost",IF($H18="Converted","Converted",IF(NOT(ISNUMBER($AL18)),"",IF($AL18&gt;=75,"Hot",IF($AL18&gt;=45,"Warm","Nurture"))))))</x:f>
      </x:c>
      <x:c r="AN18" s="794"/>
      <x:c r="AO18" s="791"/>
      <x:c r="AP18" s="791"/>
      <x:c r="AQ18" s="794"/>
      <x:c r="AR18" s="794"/>
      <x:c r="AS18" s="791"/>
    </x:row>
    <x:row r="19" ht="26" customHeight="1">
      <x:c r="A19" s="319"/>
      <x:c r="B19" s="320"/>
      <x:c r="C19" s="331"/>
      <x:c r="D19" s="274"/>
      <x:c r="E19" s="274"/>
      <x:c r="F19" s="274"/>
      <x:c r="G19" s="274"/>
      <x:c r="H19" s="274"/>
      <x:c r="I19" s="274"/>
      <x:c r="J19" s="274"/>
      <x:c r="K19" s="274"/>
      <x:c r="L19" s="274"/>
      <x:c r="M19" s="377"/>
      <x:c r="N19" s="302"/>
      <x:c r="O19" s="302"/>
      <x:c r="P19" s="274"/>
      <x:c r="Q19" s="304"/>
      <x:c r="R19" s="304"/>
      <x:c r="S19" s="274"/>
      <x:c r="T19" s="315" t="str">
        <x:f>IF(A19="","",IF(OR(AND(C19&lt;&gt;"",COUNTIFS($C$6:$C$205,C19)&gt;1),AND(D19&lt;&gt;"",COUNTIFS($D$6:$D$205,D19)&gt;1)),"Check duplicate",""))</x:f>
      </x:c>
      <x:c r="U19" s="374" t="str">
        <x:f>IF(A19="","",IF(COUNTIFS('Follow-ups'!$B$6:$B$205,A19,'Follow-ups'!$D$6:$D$205,"&gt;0",'Follow-ups'!$D$6:$D$205,"&lt;="&amp;TODAY())=0,"",_xlfn.MAXIFS('Follow-ups'!$D$6:$D$205,'Follow-ups'!$B$6:$B$205,A19,'Follow-ups'!$D$6:$D$205,"&lt;="&amp;TODAY())))</x:f>
      </x:c>
      <x:c r="V19" s="374" t="str">
        <x:f>IF(A19="","",IF(COUNTIFS('Follow-ups'!$B$6:$B$205,A19,'Follow-ups'!$I$6:$I$205,"Open",'Follow-ups'!$H$6:$H$205,"&gt;0")=0,"",_xlfn.MINIFS('Follow-ups'!$H$6:$H$205,'Follow-ups'!$B$6:$B$205,A19,'Follow-ups'!$I$6:$I$205,"Open",'Follow-ups'!$H$6:$H$205,"&gt;0")))</x:f>
      </x:c>
      <x:c r="W19" s="265" t="str">
        <x:f>IF(A19="","",IF(OR(H19="Converted",H19="Lost"),"Closed lead",IF(H19="On Hold","On hold",IF(ISNUMBER(V19),IF(V19&lt;TODAY(),"Overdue",IF(V19=TODAY(),"Due today","Scheduled")),IF(COUNTIFS('Follow-ups'!$B$6:$B$205,A19,'Follow-ups'!$I$6:$I$205,"Open")&gt;0,"Set task due date","No open task")))))</x:f>
      </x:c>
      <x:c r="X19" s="274"/>
      <x:c r="Y19" s="274"/>
      <x:c r="Z19" s="274"/>
      <x:c r="AA19" s="315" t="str">
        <x:f>IF(A19="","",IF(COUNTIFS($A$6:$A$205,A19)&gt;1,"Duplicate ID",IF(B19="","Add name",IF(AND(C19="",D19=""),"Add phone or email",IF(H19="","Set lead stage",IF(NOT(ISNUMBER(R19)),"Add date added",IF(AND(ISNUMBER(N19),ISNUMBER(O19),N19&gt;O19),"Check budget range",IF(AND(H19="Lost",Y19=""),"Add lost reason",""))))))))</x:f>
      </x:c>
      <x:c r="AB19" s="791"/>
      <x:c r="AC19" s="791"/>
      <x:c r="AD19" s="791"/>
      <x:c r="AE19" s="791"/>
      <x:c r="AF19" s="791"/>
      <x:c r="AG19" s="791"/>
      <x:c r="AH19" s="791"/>
      <x:c r="AI19" s="791"/>
      <x:c r="AJ19" s="791"/>
      <x:c r="AK19" s="791"/>
      <x:c r="AL19" s="793" t="str">
        <x:f>IF($A19="","",IF(OR($H19="Lost",$H19="Converted"),"",IF(OR($C19&lt;&gt;"",$D19&lt;&gt;""),10,0)+IF(AND(ISNUMBER($O19),$O19&gt;0),20,0)+IF($AE19="Yes",15,0)+IF($AF19="Yes",15,IF($AF19="Joint",10,0))+IF(OR($AG19="Immediate",$AG19="0-30 days"),20,IF($AG19="1-3 months",10,0))+IF(OR($AC19="Cash",$AD19="Pre-approved",$AD19="Approved"),10,0)+IF(ISNUMBER($V19),10,0)))</x:f>
      </x:c>
      <x:c r="AM19" s="793" t="str">
        <x:f>IF($A19="","",IF($H19="Lost","Lost",IF($H19="Converted","Converted",IF(NOT(ISNUMBER($AL19)),"",IF($AL19&gt;=75,"Hot",IF($AL19&gt;=45,"Warm","Nurture"))))))</x:f>
      </x:c>
      <x:c r="AN19" s="794"/>
      <x:c r="AO19" s="791"/>
      <x:c r="AP19" s="791"/>
      <x:c r="AQ19" s="794"/>
      <x:c r="AR19" s="794"/>
      <x:c r="AS19" s="791"/>
    </x:row>
    <x:row r="20" ht="26" customHeight="1">
      <x:c r="A20" s="317"/>
      <x:c r="B20" s="318"/>
      <x:c r="C20" s="327"/>
      <x:c r="D20" s="235"/>
      <x:c r="E20" s="235"/>
      <x:c r="F20" s="235"/>
      <x:c r="G20" s="235"/>
      <x:c r="H20" s="235"/>
      <x:c r="I20" s="235"/>
      <x:c r="J20" s="235"/>
      <x:c r="K20" s="235"/>
      <x:c r="L20" s="235"/>
      <x:c r="M20" s="376"/>
      <x:c r="N20" s="236"/>
      <x:c r="O20" s="236"/>
      <x:c r="P20" s="235"/>
      <x:c r="Q20" s="238"/>
      <x:c r="R20" s="238"/>
      <x:c r="S20" s="235"/>
      <x:c r="T20" s="315" t="str">
        <x:f>IF(A20="","",IF(OR(AND(C20&lt;&gt;"",COUNTIFS($C$6:$C$205,C20)&gt;1),AND(D20&lt;&gt;"",COUNTIFS($D$6:$D$205,D20)&gt;1)),"Check duplicate",""))</x:f>
      </x:c>
      <x:c r="U20" s="374" t="str">
        <x:f>IF(A20="","",IF(COUNTIFS('Follow-ups'!$B$6:$B$205,A20,'Follow-ups'!$D$6:$D$205,"&gt;0",'Follow-ups'!$D$6:$D$205,"&lt;="&amp;TODAY())=0,"",_xlfn.MAXIFS('Follow-ups'!$D$6:$D$205,'Follow-ups'!$B$6:$B$205,A20,'Follow-ups'!$D$6:$D$205,"&lt;="&amp;TODAY())))</x:f>
      </x:c>
      <x:c r="V20" s="374" t="str">
        <x:f>IF(A20="","",IF(COUNTIFS('Follow-ups'!$B$6:$B$205,A20,'Follow-ups'!$I$6:$I$205,"Open",'Follow-ups'!$H$6:$H$205,"&gt;0")=0,"",_xlfn.MINIFS('Follow-ups'!$H$6:$H$205,'Follow-ups'!$B$6:$B$205,A20,'Follow-ups'!$I$6:$I$205,"Open",'Follow-ups'!$H$6:$H$205,"&gt;0")))</x:f>
      </x:c>
      <x:c r="W20" s="265" t="str">
        <x:f>IF(A20="","",IF(OR(H20="Converted",H20="Lost"),"Closed lead",IF(H20="On Hold","On hold",IF(ISNUMBER(V20),IF(V20&lt;TODAY(),"Overdue",IF(V20=TODAY(),"Due today","Scheduled")),IF(COUNTIFS('Follow-ups'!$B$6:$B$205,A20,'Follow-ups'!$I$6:$I$205,"Open")&gt;0,"Set task due date","No open task")))))</x:f>
      </x:c>
      <x:c r="X20" s="235"/>
      <x:c r="Y20" s="235"/>
      <x:c r="Z20" s="235"/>
      <x:c r="AA20" s="315" t="str">
        <x:f>IF(A20="","",IF(COUNTIFS($A$6:$A$205,A20)&gt;1,"Duplicate ID",IF(B20="","Add name",IF(AND(C20="",D20=""),"Add phone or email",IF(H20="","Set lead stage",IF(NOT(ISNUMBER(R20)),"Add date added",IF(AND(ISNUMBER(N20),ISNUMBER(O20),N20&gt;O20),"Check budget range",IF(AND(H20="Lost",Y20=""),"Add lost reason",""))))))))</x:f>
      </x:c>
      <x:c r="AB20" s="791"/>
      <x:c r="AC20" s="791"/>
      <x:c r="AD20" s="791"/>
      <x:c r="AE20" s="791"/>
      <x:c r="AF20" s="791"/>
      <x:c r="AG20" s="791"/>
      <x:c r="AH20" s="791"/>
      <x:c r="AI20" s="791"/>
      <x:c r="AJ20" s="791"/>
      <x:c r="AK20" s="791"/>
      <x:c r="AL20" s="793" t="str">
        <x:f>IF($A20="","",IF(OR($H20="Lost",$H20="Converted"),"",IF(OR($C20&lt;&gt;"",$D20&lt;&gt;""),10,0)+IF(AND(ISNUMBER($O20),$O20&gt;0),20,0)+IF($AE20="Yes",15,0)+IF($AF20="Yes",15,IF($AF20="Joint",10,0))+IF(OR($AG20="Immediate",$AG20="0-30 days"),20,IF($AG20="1-3 months",10,0))+IF(OR($AC20="Cash",$AD20="Pre-approved",$AD20="Approved"),10,0)+IF(ISNUMBER($V20),10,0)))</x:f>
      </x:c>
      <x:c r="AM20" s="793" t="str">
        <x:f>IF($A20="","",IF($H20="Lost","Lost",IF($H20="Converted","Converted",IF(NOT(ISNUMBER($AL20)),"",IF($AL20&gt;=75,"Hot",IF($AL20&gt;=45,"Warm","Nurture"))))))</x:f>
      </x:c>
      <x:c r="AN20" s="794"/>
      <x:c r="AO20" s="791"/>
      <x:c r="AP20" s="791"/>
      <x:c r="AQ20" s="794"/>
      <x:c r="AR20" s="794"/>
      <x:c r="AS20" s="791"/>
    </x:row>
    <x:row r="21" ht="26" customHeight="1">
      <x:c r="A21" s="319"/>
      <x:c r="B21" s="320"/>
      <x:c r="C21" s="331"/>
      <x:c r="D21" s="274"/>
      <x:c r="E21" s="274"/>
      <x:c r="F21" s="274"/>
      <x:c r="G21" s="274"/>
      <x:c r="H21" s="274"/>
      <x:c r="I21" s="274"/>
      <x:c r="J21" s="274"/>
      <x:c r="K21" s="274"/>
      <x:c r="L21" s="274"/>
      <x:c r="M21" s="377"/>
      <x:c r="N21" s="302"/>
      <x:c r="O21" s="302"/>
      <x:c r="P21" s="274"/>
      <x:c r="Q21" s="304"/>
      <x:c r="R21" s="304"/>
      <x:c r="S21" s="274"/>
      <x:c r="T21" s="315" t="str">
        <x:f>IF(A21="","",IF(OR(AND(C21&lt;&gt;"",COUNTIFS($C$6:$C$205,C21)&gt;1),AND(D21&lt;&gt;"",COUNTIFS($D$6:$D$205,D21)&gt;1)),"Check duplicate",""))</x:f>
      </x:c>
      <x:c r="U21" s="374" t="str">
        <x:f>IF(A21="","",IF(COUNTIFS('Follow-ups'!$B$6:$B$205,A21,'Follow-ups'!$D$6:$D$205,"&gt;0",'Follow-ups'!$D$6:$D$205,"&lt;="&amp;TODAY())=0,"",_xlfn.MAXIFS('Follow-ups'!$D$6:$D$205,'Follow-ups'!$B$6:$B$205,A21,'Follow-ups'!$D$6:$D$205,"&lt;="&amp;TODAY())))</x:f>
      </x:c>
      <x:c r="V21" s="374" t="str">
        <x:f>IF(A21="","",IF(COUNTIFS('Follow-ups'!$B$6:$B$205,A21,'Follow-ups'!$I$6:$I$205,"Open",'Follow-ups'!$H$6:$H$205,"&gt;0")=0,"",_xlfn.MINIFS('Follow-ups'!$H$6:$H$205,'Follow-ups'!$B$6:$B$205,A21,'Follow-ups'!$I$6:$I$205,"Open",'Follow-ups'!$H$6:$H$205,"&gt;0")))</x:f>
      </x:c>
      <x:c r="W21" s="265" t="str">
        <x:f>IF(A21="","",IF(OR(H21="Converted",H21="Lost"),"Closed lead",IF(H21="On Hold","On hold",IF(ISNUMBER(V21),IF(V21&lt;TODAY(),"Overdue",IF(V21=TODAY(),"Due today","Scheduled")),IF(COUNTIFS('Follow-ups'!$B$6:$B$205,A21,'Follow-ups'!$I$6:$I$205,"Open")&gt;0,"Set task due date","No open task")))))</x:f>
      </x:c>
      <x:c r="X21" s="274"/>
      <x:c r="Y21" s="274"/>
      <x:c r="Z21" s="274"/>
      <x:c r="AA21" s="315" t="str">
        <x:f>IF(A21="","",IF(COUNTIFS($A$6:$A$205,A21)&gt;1,"Duplicate ID",IF(B21="","Add name",IF(AND(C21="",D21=""),"Add phone or email",IF(H21="","Set lead stage",IF(NOT(ISNUMBER(R21)),"Add date added",IF(AND(ISNUMBER(N21),ISNUMBER(O21),N21&gt;O21),"Check budget range",IF(AND(H21="Lost",Y21=""),"Add lost reason",""))))))))</x:f>
      </x:c>
      <x:c r="AB21" s="791"/>
      <x:c r="AC21" s="791"/>
      <x:c r="AD21" s="791"/>
      <x:c r="AE21" s="791"/>
      <x:c r="AF21" s="791"/>
      <x:c r="AG21" s="791"/>
      <x:c r="AH21" s="791"/>
      <x:c r="AI21" s="791"/>
      <x:c r="AJ21" s="791"/>
      <x:c r="AK21" s="791"/>
      <x:c r="AL21" s="793" t="str">
        <x:f>IF($A21="","",IF(OR($H21="Lost",$H21="Converted"),"",IF(OR($C21&lt;&gt;"",$D21&lt;&gt;""),10,0)+IF(AND(ISNUMBER($O21),$O21&gt;0),20,0)+IF($AE21="Yes",15,0)+IF($AF21="Yes",15,IF($AF21="Joint",10,0))+IF(OR($AG21="Immediate",$AG21="0-30 days"),20,IF($AG21="1-3 months",10,0))+IF(OR($AC21="Cash",$AD21="Pre-approved",$AD21="Approved"),10,0)+IF(ISNUMBER($V21),10,0)))</x:f>
      </x:c>
      <x:c r="AM21" s="793" t="str">
        <x:f>IF($A21="","",IF($H21="Lost","Lost",IF($H21="Converted","Converted",IF(NOT(ISNUMBER($AL21)),"",IF($AL21&gt;=75,"Hot",IF($AL21&gt;=45,"Warm","Nurture"))))))</x:f>
      </x:c>
      <x:c r="AN21" s="794"/>
      <x:c r="AO21" s="791"/>
      <x:c r="AP21" s="791"/>
      <x:c r="AQ21" s="794"/>
      <x:c r="AR21" s="794"/>
      <x:c r="AS21" s="791"/>
    </x:row>
    <x:row r="22" ht="26" customHeight="1">
      <x:c r="A22" s="317"/>
      <x:c r="B22" s="318"/>
      <x:c r="C22" s="327"/>
      <x:c r="D22" s="235"/>
      <x:c r="E22" s="235"/>
      <x:c r="F22" s="235"/>
      <x:c r="G22" s="235"/>
      <x:c r="H22" s="235"/>
      <x:c r="I22" s="235"/>
      <x:c r="J22" s="235"/>
      <x:c r="K22" s="235"/>
      <x:c r="L22" s="235"/>
      <x:c r="M22" s="376"/>
      <x:c r="N22" s="236"/>
      <x:c r="O22" s="236"/>
      <x:c r="P22" s="235"/>
      <x:c r="Q22" s="238"/>
      <x:c r="R22" s="238"/>
      <x:c r="S22" s="235"/>
      <x:c r="T22" s="315" t="str">
        <x:f>IF(A22="","",IF(OR(AND(C22&lt;&gt;"",COUNTIFS($C$6:$C$205,C22)&gt;1),AND(D22&lt;&gt;"",COUNTIFS($D$6:$D$205,D22)&gt;1)),"Check duplicate",""))</x:f>
      </x:c>
      <x:c r="U22" s="374" t="str">
        <x:f>IF(A22="","",IF(COUNTIFS('Follow-ups'!$B$6:$B$205,A22,'Follow-ups'!$D$6:$D$205,"&gt;0",'Follow-ups'!$D$6:$D$205,"&lt;="&amp;TODAY())=0,"",_xlfn.MAXIFS('Follow-ups'!$D$6:$D$205,'Follow-ups'!$B$6:$B$205,A22,'Follow-ups'!$D$6:$D$205,"&lt;="&amp;TODAY())))</x:f>
      </x:c>
      <x:c r="V22" s="374" t="str">
        <x:f>IF(A22="","",IF(COUNTIFS('Follow-ups'!$B$6:$B$205,A22,'Follow-ups'!$I$6:$I$205,"Open",'Follow-ups'!$H$6:$H$205,"&gt;0")=0,"",_xlfn.MINIFS('Follow-ups'!$H$6:$H$205,'Follow-ups'!$B$6:$B$205,A22,'Follow-ups'!$I$6:$I$205,"Open",'Follow-ups'!$H$6:$H$205,"&gt;0")))</x:f>
      </x:c>
      <x:c r="W22" s="265" t="str">
        <x:f>IF(A22="","",IF(OR(H22="Converted",H22="Lost"),"Closed lead",IF(H22="On Hold","On hold",IF(ISNUMBER(V22),IF(V22&lt;TODAY(),"Overdue",IF(V22=TODAY(),"Due today","Scheduled")),IF(COUNTIFS('Follow-ups'!$B$6:$B$205,A22,'Follow-ups'!$I$6:$I$205,"Open")&gt;0,"Set task due date","No open task")))))</x:f>
      </x:c>
      <x:c r="X22" s="235"/>
      <x:c r="Y22" s="235"/>
      <x:c r="Z22" s="235"/>
      <x:c r="AA22" s="315" t="str">
        <x:f>IF(A22="","",IF(COUNTIFS($A$6:$A$205,A22)&gt;1,"Duplicate ID",IF(B22="","Add name",IF(AND(C22="",D22=""),"Add phone or email",IF(H22="","Set lead stage",IF(NOT(ISNUMBER(R22)),"Add date added",IF(AND(ISNUMBER(N22),ISNUMBER(O22),N22&gt;O22),"Check budget range",IF(AND(H22="Lost",Y22=""),"Add lost reason",""))))))))</x:f>
      </x:c>
      <x:c r="AB22" s="791"/>
      <x:c r="AC22" s="791"/>
      <x:c r="AD22" s="791"/>
      <x:c r="AE22" s="791"/>
      <x:c r="AF22" s="791"/>
      <x:c r="AG22" s="791"/>
      <x:c r="AH22" s="791"/>
      <x:c r="AI22" s="791"/>
      <x:c r="AJ22" s="791"/>
      <x:c r="AK22" s="791"/>
      <x:c r="AL22" s="793" t="str">
        <x:f>IF($A22="","",IF(OR($H22="Lost",$H22="Converted"),"",IF(OR($C22&lt;&gt;"",$D22&lt;&gt;""),10,0)+IF(AND(ISNUMBER($O22),$O22&gt;0),20,0)+IF($AE22="Yes",15,0)+IF($AF22="Yes",15,IF($AF22="Joint",10,0))+IF(OR($AG22="Immediate",$AG22="0-30 days"),20,IF($AG22="1-3 months",10,0))+IF(OR($AC22="Cash",$AD22="Pre-approved",$AD22="Approved"),10,0)+IF(ISNUMBER($V22),10,0)))</x:f>
      </x:c>
      <x:c r="AM22" s="793" t="str">
        <x:f>IF($A22="","",IF($H22="Lost","Lost",IF($H22="Converted","Converted",IF(NOT(ISNUMBER($AL22)),"",IF($AL22&gt;=75,"Hot",IF($AL22&gt;=45,"Warm","Nurture"))))))</x:f>
      </x:c>
      <x:c r="AN22" s="794"/>
      <x:c r="AO22" s="791"/>
      <x:c r="AP22" s="791"/>
      <x:c r="AQ22" s="794"/>
      <x:c r="AR22" s="794"/>
      <x:c r="AS22" s="791"/>
    </x:row>
    <x:row r="23" ht="26" customHeight="1">
      <x:c r="A23" s="319"/>
      <x:c r="B23" s="320"/>
      <x:c r="C23" s="331"/>
      <x:c r="D23" s="274"/>
      <x:c r="E23" s="274"/>
      <x:c r="F23" s="274"/>
      <x:c r="G23" s="274"/>
      <x:c r="H23" s="274"/>
      <x:c r="I23" s="274"/>
      <x:c r="J23" s="274"/>
      <x:c r="K23" s="274"/>
      <x:c r="L23" s="274"/>
      <x:c r="M23" s="377"/>
      <x:c r="N23" s="302"/>
      <x:c r="O23" s="302"/>
      <x:c r="P23" s="274"/>
      <x:c r="Q23" s="304"/>
      <x:c r="R23" s="304"/>
      <x:c r="S23" s="274"/>
      <x:c r="T23" s="315" t="str">
        <x:f>IF(A23="","",IF(OR(AND(C23&lt;&gt;"",COUNTIFS($C$6:$C$205,C23)&gt;1),AND(D23&lt;&gt;"",COUNTIFS($D$6:$D$205,D23)&gt;1)),"Check duplicate",""))</x:f>
      </x:c>
      <x:c r="U23" s="374" t="str">
        <x:f>IF(A23="","",IF(COUNTIFS('Follow-ups'!$B$6:$B$205,A23,'Follow-ups'!$D$6:$D$205,"&gt;0",'Follow-ups'!$D$6:$D$205,"&lt;="&amp;TODAY())=0,"",_xlfn.MAXIFS('Follow-ups'!$D$6:$D$205,'Follow-ups'!$B$6:$B$205,A23,'Follow-ups'!$D$6:$D$205,"&lt;="&amp;TODAY())))</x:f>
      </x:c>
      <x:c r="V23" s="374" t="str">
        <x:f>IF(A23="","",IF(COUNTIFS('Follow-ups'!$B$6:$B$205,A23,'Follow-ups'!$I$6:$I$205,"Open",'Follow-ups'!$H$6:$H$205,"&gt;0")=0,"",_xlfn.MINIFS('Follow-ups'!$H$6:$H$205,'Follow-ups'!$B$6:$B$205,A23,'Follow-ups'!$I$6:$I$205,"Open",'Follow-ups'!$H$6:$H$205,"&gt;0")))</x:f>
      </x:c>
      <x:c r="W23" s="265" t="str">
        <x:f>IF(A23="","",IF(OR(H23="Converted",H23="Lost"),"Closed lead",IF(H23="On Hold","On hold",IF(ISNUMBER(V23),IF(V23&lt;TODAY(),"Overdue",IF(V23=TODAY(),"Due today","Scheduled")),IF(COUNTIFS('Follow-ups'!$B$6:$B$205,A23,'Follow-ups'!$I$6:$I$205,"Open")&gt;0,"Set task due date","No open task")))))</x:f>
      </x:c>
      <x:c r="X23" s="274"/>
      <x:c r="Y23" s="274"/>
      <x:c r="Z23" s="274"/>
      <x:c r="AA23" s="315" t="str">
        <x:f>IF(A23="","",IF(COUNTIFS($A$6:$A$205,A23)&gt;1,"Duplicate ID",IF(B23="","Add name",IF(AND(C23="",D23=""),"Add phone or email",IF(H23="","Set lead stage",IF(NOT(ISNUMBER(R23)),"Add date added",IF(AND(ISNUMBER(N23),ISNUMBER(O23),N23&gt;O23),"Check budget range",IF(AND(H23="Lost",Y23=""),"Add lost reason",""))))))))</x:f>
      </x:c>
      <x:c r="AB23" s="791"/>
      <x:c r="AC23" s="791"/>
      <x:c r="AD23" s="791"/>
      <x:c r="AE23" s="791"/>
      <x:c r="AF23" s="791"/>
      <x:c r="AG23" s="791"/>
      <x:c r="AH23" s="791"/>
      <x:c r="AI23" s="791"/>
      <x:c r="AJ23" s="791"/>
      <x:c r="AK23" s="791"/>
      <x:c r="AL23" s="793" t="str">
        <x:f>IF($A23="","",IF(OR($H23="Lost",$H23="Converted"),"",IF(OR($C23&lt;&gt;"",$D23&lt;&gt;""),10,0)+IF(AND(ISNUMBER($O23),$O23&gt;0),20,0)+IF($AE23="Yes",15,0)+IF($AF23="Yes",15,IF($AF23="Joint",10,0))+IF(OR($AG23="Immediate",$AG23="0-30 days"),20,IF($AG23="1-3 months",10,0))+IF(OR($AC23="Cash",$AD23="Pre-approved",$AD23="Approved"),10,0)+IF(ISNUMBER($V23),10,0)))</x:f>
      </x:c>
      <x:c r="AM23" s="793" t="str">
        <x:f>IF($A23="","",IF($H23="Lost","Lost",IF($H23="Converted","Converted",IF(NOT(ISNUMBER($AL23)),"",IF($AL23&gt;=75,"Hot",IF($AL23&gt;=45,"Warm","Nurture"))))))</x:f>
      </x:c>
      <x:c r="AN23" s="794"/>
      <x:c r="AO23" s="791"/>
      <x:c r="AP23" s="791"/>
      <x:c r="AQ23" s="794"/>
      <x:c r="AR23" s="794"/>
      <x:c r="AS23" s="791"/>
    </x:row>
    <x:row r="24" ht="26" customHeight="1">
      <x:c r="A24" s="317"/>
      <x:c r="B24" s="318"/>
      <x:c r="C24" s="327"/>
      <x:c r="D24" s="235"/>
      <x:c r="E24" s="235"/>
      <x:c r="F24" s="235"/>
      <x:c r="G24" s="235"/>
      <x:c r="H24" s="235"/>
      <x:c r="I24" s="235"/>
      <x:c r="J24" s="235"/>
      <x:c r="K24" s="235"/>
      <x:c r="L24" s="235"/>
      <x:c r="M24" s="376"/>
      <x:c r="N24" s="236"/>
      <x:c r="O24" s="236"/>
      <x:c r="P24" s="235"/>
      <x:c r="Q24" s="238"/>
      <x:c r="R24" s="238"/>
      <x:c r="S24" s="235"/>
      <x:c r="T24" s="315" t="str">
        <x:f>IF(A24="","",IF(OR(AND(C24&lt;&gt;"",COUNTIFS($C$6:$C$205,C24)&gt;1),AND(D24&lt;&gt;"",COUNTIFS($D$6:$D$205,D24)&gt;1)),"Check duplicate",""))</x:f>
      </x:c>
      <x:c r="U24" s="374" t="str">
        <x:f>IF(A24="","",IF(COUNTIFS('Follow-ups'!$B$6:$B$205,A24,'Follow-ups'!$D$6:$D$205,"&gt;0",'Follow-ups'!$D$6:$D$205,"&lt;="&amp;TODAY())=0,"",_xlfn.MAXIFS('Follow-ups'!$D$6:$D$205,'Follow-ups'!$B$6:$B$205,A24,'Follow-ups'!$D$6:$D$205,"&lt;="&amp;TODAY())))</x:f>
      </x:c>
      <x:c r="V24" s="374" t="str">
        <x:f>IF(A24="","",IF(COUNTIFS('Follow-ups'!$B$6:$B$205,A24,'Follow-ups'!$I$6:$I$205,"Open",'Follow-ups'!$H$6:$H$205,"&gt;0")=0,"",_xlfn.MINIFS('Follow-ups'!$H$6:$H$205,'Follow-ups'!$B$6:$B$205,A24,'Follow-ups'!$I$6:$I$205,"Open",'Follow-ups'!$H$6:$H$205,"&gt;0")))</x:f>
      </x:c>
      <x:c r="W24" s="265" t="str">
        <x:f>IF(A24="","",IF(OR(H24="Converted",H24="Lost"),"Closed lead",IF(H24="On Hold","On hold",IF(ISNUMBER(V24),IF(V24&lt;TODAY(),"Overdue",IF(V24=TODAY(),"Due today","Scheduled")),IF(COUNTIFS('Follow-ups'!$B$6:$B$205,A24,'Follow-ups'!$I$6:$I$205,"Open")&gt;0,"Set task due date","No open task")))))</x:f>
      </x:c>
      <x:c r="X24" s="235"/>
      <x:c r="Y24" s="235"/>
      <x:c r="Z24" s="235"/>
      <x:c r="AA24" s="315" t="str">
        <x:f>IF(A24="","",IF(COUNTIFS($A$6:$A$205,A24)&gt;1,"Duplicate ID",IF(B24="","Add name",IF(AND(C24="",D24=""),"Add phone or email",IF(H24="","Set lead stage",IF(NOT(ISNUMBER(R24)),"Add date added",IF(AND(ISNUMBER(N24),ISNUMBER(O24),N24&gt;O24),"Check budget range",IF(AND(H24="Lost",Y24=""),"Add lost reason",""))))))))</x:f>
      </x:c>
      <x:c r="AB24" s="791"/>
      <x:c r="AC24" s="791"/>
      <x:c r="AD24" s="791"/>
      <x:c r="AE24" s="791"/>
      <x:c r="AF24" s="791"/>
      <x:c r="AG24" s="791"/>
      <x:c r="AH24" s="791"/>
      <x:c r="AI24" s="791"/>
      <x:c r="AJ24" s="791"/>
      <x:c r="AK24" s="791"/>
      <x:c r="AL24" s="793" t="str">
        <x:f>IF($A24="","",IF(OR($H24="Lost",$H24="Converted"),"",IF(OR($C24&lt;&gt;"",$D24&lt;&gt;""),10,0)+IF(AND(ISNUMBER($O24),$O24&gt;0),20,0)+IF($AE24="Yes",15,0)+IF($AF24="Yes",15,IF($AF24="Joint",10,0))+IF(OR($AG24="Immediate",$AG24="0-30 days"),20,IF($AG24="1-3 months",10,0))+IF(OR($AC24="Cash",$AD24="Pre-approved",$AD24="Approved"),10,0)+IF(ISNUMBER($V24),10,0)))</x:f>
      </x:c>
      <x:c r="AM24" s="793" t="str">
        <x:f>IF($A24="","",IF($H24="Lost","Lost",IF($H24="Converted","Converted",IF(NOT(ISNUMBER($AL24)),"",IF($AL24&gt;=75,"Hot",IF($AL24&gt;=45,"Warm","Nurture"))))))</x:f>
      </x:c>
      <x:c r="AN24" s="794"/>
      <x:c r="AO24" s="791"/>
      <x:c r="AP24" s="791"/>
      <x:c r="AQ24" s="794"/>
      <x:c r="AR24" s="794"/>
      <x:c r="AS24" s="791"/>
    </x:row>
    <x:row r="25" ht="26" customHeight="1">
      <x:c r="A25" s="319"/>
      <x:c r="B25" s="320"/>
      <x:c r="C25" s="331"/>
      <x:c r="D25" s="274"/>
      <x:c r="E25" s="274"/>
      <x:c r="F25" s="274"/>
      <x:c r="G25" s="274"/>
      <x:c r="H25" s="274"/>
      <x:c r="I25" s="274"/>
      <x:c r="J25" s="274"/>
      <x:c r="K25" s="274"/>
      <x:c r="L25" s="274"/>
      <x:c r="M25" s="377"/>
      <x:c r="N25" s="302"/>
      <x:c r="O25" s="302"/>
      <x:c r="P25" s="274"/>
      <x:c r="Q25" s="304"/>
      <x:c r="R25" s="304"/>
      <x:c r="S25" s="274"/>
      <x:c r="T25" s="315" t="str">
        <x:f>IF(A25="","",IF(OR(AND(C25&lt;&gt;"",COUNTIFS($C$6:$C$205,C25)&gt;1),AND(D25&lt;&gt;"",COUNTIFS($D$6:$D$205,D25)&gt;1)),"Check duplicate",""))</x:f>
      </x:c>
      <x:c r="U25" s="374" t="str">
        <x:f>IF(A25="","",IF(COUNTIFS('Follow-ups'!$B$6:$B$205,A25,'Follow-ups'!$D$6:$D$205,"&gt;0",'Follow-ups'!$D$6:$D$205,"&lt;="&amp;TODAY())=0,"",_xlfn.MAXIFS('Follow-ups'!$D$6:$D$205,'Follow-ups'!$B$6:$B$205,A25,'Follow-ups'!$D$6:$D$205,"&lt;="&amp;TODAY())))</x:f>
      </x:c>
      <x:c r="V25" s="374" t="str">
        <x:f>IF(A25="","",IF(COUNTIFS('Follow-ups'!$B$6:$B$205,A25,'Follow-ups'!$I$6:$I$205,"Open",'Follow-ups'!$H$6:$H$205,"&gt;0")=0,"",_xlfn.MINIFS('Follow-ups'!$H$6:$H$205,'Follow-ups'!$B$6:$B$205,A25,'Follow-ups'!$I$6:$I$205,"Open",'Follow-ups'!$H$6:$H$205,"&gt;0")))</x:f>
      </x:c>
      <x:c r="W25" s="265" t="str">
        <x:f>IF(A25="","",IF(OR(H25="Converted",H25="Lost"),"Closed lead",IF(H25="On Hold","On hold",IF(ISNUMBER(V25),IF(V25&lt;TODAY(),"Overdue",IF(V25=TODAY(),"Due today","Scheduled")),IF(COUNTIFS('Follow-ups'!$B$6:$B$205,A25,'Follow-ups'!$I$6:$I$205,"Open")&gt;0,"Set task due date","No open task")))))</x:f>
      </x:c>
      <x:c r="X25" s="274"/>
      <x:c r="Y25" s="274"/>
      <x:c r="Z25" s="274"/>
      <x:c r="AA25" s="315" t="str">
        <x:f>IF(A25="","",IF(COUNTIFS($A$6:$A$205,A25)&gt;1,"Duplicate ID",IF(B25="","Add name",IF(AND(C25="",D25=""),"Add phone or email",IF(H25="","Set lead stage",IF(NOT(ISNUMBER(R25)),"Add date added",IF(AND(ISNUMBER(N25),ISNUMBER(O25),N25&gt;O25),"Check budget range",IF(AND(H25="Lost",Y25=""),"Add lost reason",""))))))))</x:f>
      </x:c>
      <x:c r="AB25" s="791"/>
      <x:c r="AC25" s="791"/>
      <x:c r="AD25" s="791"/>
      <x:c r="AE25" s="791"/>
      <x:c r="AF25" s="791"/>
      <x:c r="AG25" s="791"/>
      <x:c r="AH25" s="791"/>
      <x:c r="AI25" s="791"/>
      <x:c r="AJ25" s="791"/>
      <x:c r="AK25" s="791"/>
      <x:c r="AL25" s="793" t="str">
        <x:f>IF($A25="","",IF(OR($H25="Lost",$H25="Converted"),"",IF(OR($C25&lt;&gt;"",$D25&lt;&gt;""),10,0)+IF(AND(ISNUMBER($O25),$O25&gt;0),20,0)+IF($AE25="Yes",15,0)+IF($AF25="Yes",15,IF($AF25="Joint",10,0))+IF(OR($AG25="Immediate",$AG25="0-30 days"),20,IF($AG25="1-3 months",10,0))+IF(OR($AC25="Cash",$AD25="Pre-approved",$AD25="Approved"),10,0)+IF(ISNUMBER($V25),10,0)))</x:f>
      </x:c>
      <x:c r="AM25" s="793" t="str">
        <x:f>IF($A25="","",IF($H25="Lost","Lost",IF($H25="Converted","Converted",IF(NOT(ISNUMBER($AL25)),"",IF($AL25&gt;=75,"Hot",IF($AL25&gt;=45,"Warm","Nurture"))))))</x:f>
      </x:c>
      <x:c r="AN25" s="794"/>
      <x:c r="AO25" s="791"/>
      <x:c r="AP25" s="791"/>
      <x:c r="AQ25" s="794"/>
      <x:c r="AR25" s="794"/>
      <x:c r="AS25" s="791"/>
    </x:row>
    <x:row r="26" ht="26" customHeight="1">
      <x:c r="A26" s="317"/>
      <x:c r="B26" s="318"/>
      <x:c r="C26" s="327"/>
      <x:c r="D26" s="235"/>
      <x:c r="E26" s="235"/>
      <x:c r="F26" s="235"/>
      <x:c r="G26" s="235"/>
      <x:c r="H26" s="235"/>
      <x:c r="I26" s="235"/>
      <x:c r="J26" s="235"/>
      <x:c r="K26" s="235"/>
      <x:c r="L26" s="235"/>
      <x:c r="M26" s="376"/>
      <x:c r="N26" s="236"/>
      <x:c r="O26" s="236"/>
      <x:c r="P26" s="235"/>
      <x:c r="Q26" s="238"/>
      <x:c r="R26" s="238"/>
      <x:c r="S26" s="235"/>
      <x:c r="T26" s="315" t="str">
        <x:f>IF(A26="","",IF(OR(AND(C26&lt;&gt;"",COUNTIFS($C$6:$C$205,C26)&gt;1),AND(D26&lt;&gt;"",COUNTIFS($D$6:$D$205,D26)&gt;1)),"Check duplicate",""))</x:f>
      </x:c>
      <x:c r="U26" s="374" t="str">
        <x:f>IF(A26="","",IF(COUNTIFS('Follow-ups'!$B$6:$B$205,A26,'Follow-ups'!$D$6:$D$205,"&gt;0",'Follow-ups'!$D$6:$D$205,"&lt;="&amp;TODAY())=0,"",_xlfn.MAXIFS('Follow-ups'!$D$6:$D$205,'Follow-ups'!$B$6:$B$205,A26,'Follow-ups'!$D$6:$D$205,"&lt;="&amp;TODAY())))</x:f>
      </x:c>
      <x:c r="V26" s="374" t="str">
        <x:f>IF(A26="","",IF(COUNTIFS('Follow-ups'!$B$6:$B$205,A26,'Follow-ups'!$I$6:$I$205,"Open",'Follow-ups'!$H$6:$H$205,"&gt;0")=0,"",_xlfn.MINIFS('Follow-ups'!$H$6:$H$205,'Follow-ups'!$B$6:$B$205,A26,'Follow-ups'!$I$6:$I$205,"Open",'Follow-ups'!$H$6:$H$205,"&gt;0")))</x:f>
      </x:c>
      <x:c r="W26" s="265" t="str">
        <x:f>IF(A26="","",IF(OR(H26="Converted",H26="Lost"),"Closed lead",IF(H26="On Hold","On hold",IF(ISNUMBER(V26),IF(V26&lt;TODAY(),"Overdue",IF(V26=TODAY(),"Due today","Scheduled")),IF(COUNTIFS('Follow-ups'!$B$6:$B$205,A26,'Follow-ups'!$I$6:$I$205,"Open")&gt;0,"Set task due date","No open task")))))</x:f>
      </x:c>
      <x:c r="X26" s="235"/>
      <x:c r="Y26" s="235"/>
      <x:c r="Z26" s="235"/>
      <x:c r="AA26" s="315" t="str">
        <x:f>IF(A26="","",IF(COUNTIFS($A$6:$A$205,A26)&gt;1,"Duplicate ID",IF(B26="","Add name",IF(AND(C26="",D26=""),"Add phone or email",IF(H26="","Set lead stage",IF(NOT(ISNUMBER(R26)),"Add date added",IF(AND(ISNUMBER(N26),ISNUMBER(O26),N26&gt;O26),"Check budget range",IF(AND(H26="Lost",Y26=""),"Add lost reason",""))))))))</x:f>
      </x:c>
      <x:c r="AB26" s="791"/>
      <x:c r="AC26" s="791"/>
      <x:c r="AD26" s="791"/>
      <x:c r="AE26" s="791"/>
      <x:c r="AF26" s="791"/>
      <x:c r="AG26" s="791"/>
      <x:c r="AH26" s="791"/>
      <x:c r="AI26" s="791"/>
      <x:c r="AJ26" s="791"/>
      <x:c r="AK26" s="791"/>
      <x:c r="AL26" s="793" t="str">
        <x:f>IF($A26="","",IF(OR($H26="Lost",$H26="Converted"),"",IF(OR($C26&lt;&gt;"",$D26&lt;&gt;""),10,0)+IF(AND(ISNUMBER($O26),$O26&gt;0),20,0)+IF($AE26="Yes",15,0)+IF($AF26="Yes",15,IF($AF26="Joint",10,0))+IF(OR($AG26="Immediate",$AG26="0-30 days"),20,IF($AG26="1-3 months",10,0))+IF(OR($AC26="Cash",$AD26="Pre-approved",$AD26="Approved"),10,0)+IF(ISNUMBER($V26),10,0)))</x:f>
      </x:c>
      <x:c r="AM26" s="793" t="str">
        <x:f>IF($A26="","",IF($H26="Lost","Lost",IF($H26="Converted","Converted",IF(NOT(ISNUMBER($AL26)),"",IF($AL26&gt;=75,"Hot",IF($AL26&gt;=45,"Warm","Nurture"))))))</x:f>
      </x:c>
      <x:c r="AN26" s="794"/>
      <x:c r="AO26" s="791"/>
      <x:c r="AP26" s="791"/>
      <x:c r="AQ26" s="794"/>
      <x:c r="AR26" s="794"/>
      <x:c r="AS26" s="791"/>
    </x:row>
    <x:row r="27" ht="26" customHeight="1">
      <x:c r="A27" s="319"/>
      <x:c r="B27" s="320"/>
      <x:c r="C27" s="331"/>
      <x:c r="D27" s="274"/>
      <x:c r="E27" s="274"/>
      <x:c r="F27" s="274"/>
      <x:c r="G27" s="274"/>
      <x:c r="H27" s="274"/>
      <x:c r="I27" s="274"/>
      <x:c r="J27" s="274"/>
      <x:c r="K27" s="274"/>
      <x:c r="L27" s="274"/>
      <x:c r="M27" s="377"/>
      <x:c r="N27" s="302"/>
      <x:c r="O27" s="302"/>
      <x:c r="P27" s="274"/>
      <x:c r="Q27" s="304"/>
      <x:c r="R27" s="304"/>
      <x:c r="S27" s="274"/>
      <x:c r="T27" s="315" t="str">
        <x:f>IF(A27="","",IF(OR(AND(C27&lt;&gt;"",COUNTIFS($C$6:$C$205,C27)&gt;1),AND(D27&lt;&gt;"",COUNTIFS($D$6:$D$205,D27)&gt;1)),"Check duplicate",""))</x:f>
      </x:c>
      <x:c r="U27" s="374" t="str">
        <x:f>IF(A27="","",IF(COUNTIFS('Follow-ups'!$B$6:$B$205,A27,'Follow-ups'!$D$6:$D$205,"&gt;0",'Follow-ups'!$D$6:$D$205,"&lt;="&amp;TODAY())=0,"",_xlfn.MAXIFS('Follow-ups'!$D$6:$D$205,'Follow-ups'!$B$6:$B$205,A27,'Follow-ups'!$D$6:$D$205,"&lt;="&amp;TODAY())))</x:f>
      </x:c>
      <x:c r="V27" s="374" t="str">
        <x:f>IF(A27="","",IF(COUNTIFS('Follow-ups'!$B$6:$B$205,A27,'Follow-ups'!$I$6:$I$205,"Open",'Follow-ups'!$H$6:$H$205,"&gt;0")=0,"",_xlfn.MINIFS('Follow-ups'!$H$6:$H$205,'Follow-ups'!$B$6:$B$205,A27,'Follow-ups'!$I$6:$I$205,"Open",'Follow-ups'!$H$6:$H$205,"&gt;0")))</x:f>
      </x:c>
      <x:c r="W27" s="265" t="str">
        <x:f>IF(A27="","",IF(OR(H27="Converted",H27="Lost"),"Closed lead",IF(H27="On Hold","On hold",IF(ISNUMBER(V27),IF(V27&lt;TODAY(),"Overdue",IF(V27=TODAY(),"Due today","Scheduled")),IF(COUNTIFS('Follow-ups'!$B$6:$B$205,A27,'Follow-ups'!$I$6:$I$205,"Open")&gt;0,"Set task due date","No open task")))))</x:f>
      </x:c>
      <x:c r="X27" s="274"/>
      <x:c r="Y27" s="274"/>
      <x:c r="Z27" s="274"/>
      <x:c r="AA27" s="315" t="str">
        <x:f>IF(A27="","",IF(COUNTIFS($A$6:$A$205,A27)&gt;1,"Duplicate ID",IF(B27="","Add name",IF(AND(C27="",D27=""),"Add phone or email",IF(H27="","Set lead stage",IF(NOT(ISNUMBER(R27)),"Add date added",IF(AND(ISNUMBER(N27),ISNUMBER(O27),N27&gt;O27),"Check budget range",IF(AND(H27="Lost",Y27=""),"Add lost reason",""))))))))</x:f>
      </x:c>
      <x:c r="AB27" s="791"/>
      <x:c r="AC27" s="791"/>
      <x:c r="AD27" s="791"/>
      <x:c r="AE27" s="791"/>
      <x:c r="AF27" s="791"/>
      <x:c r="AG27" s="791"/>
      <x:c r="AH27" s="791"/>
      <x:c r="AI27" s="791"/>
      <x:c r="AJ27" s="791"/>
      <x:c r="AK27" s="791"/>
      <x:c r="AL27" s="793" t="str">
        <x:f>IF($A27="","",IF(OR($H27="Lost",$H27="Converted"),"",IF(OR($C27&lt;&gt;"",$D27&lt;&gt;""),10,0)+IF(AND(ISNUMBER($O27),$O27&gt;0),20,0)+IF($AE27="Yes",15,0)+IF($AF27="Yes",15,IF($AF27="Joint",10,0))+IF(OR($AG27="Immediate",$AG27="0-30 days"),20,IF($AG27="1-3 months",10,0))+IF(OR($AC27="Cash",$AD27="Pre-approved",$AD27="Approved"),10,0)+IF(ISNUMBER($V27),10,0)))</x:f>
      </x:c>
      <x:c r="AM27" s="793" t="str">
        <x:f>IF($A27="","",IF($H27="Lost","Lost",IF($H27="Converted","Converted",IF(NOT(ISNUMBER($AL27)),"",IF($AL27&gt;=75,"Hot",IF($AL27&gt;=45,"Warm","Nurture"))))))</x:f>
      </x:c>
      <x:c r="AN27" s="794"/>
      <x:c r="AO27" s="791"/>
      <x:c r="AP27" s="791"/>
      <x:c r="AQ27" s="794"/>
      <x:c r="AR27" s="794"/>
      <x:c r="AS27" s="791"/>
    </x:row>
    <x:row r="28" ht="26" customHeight="1">
      <x:c r="A28" s="317"/>
      <x:c r="B28" s="318"/>
      <x:c r="C28" s="327"/>
      <x:c r="D28" s="235"/>
      <x:c r="E28" s="235"/>
      <x:c r="F28" s="235"/>
      <x:c r="G28" s="235"/>
      <x:c r="H28" s="235"/>
      <x:c r="I28" s="235"/>
      <x:c r="J28" s="235"/>
      <x:c r="K28" s="235"/>
      <x:c r="L28" s="235"/>
      <x:c r="M28" s="376"/>
      <x:c r="N28" s="236"/>
      <x:c r="O28" s="236"/>
      <x:c r="P28" s="235"/>
      <x:c r="Q28" s="238"/>
      <x:c r="R28" s="238"/>
      <x:c r="S28" s="235"/>
      <x:c r="T28" s="315" t="str">
        <x:f>IF(A28="","",IF(OR(AND(C28&lt;&gt;"",COUNTIFS($C$6:$C$205,C28)&gt;1),AND(D28&lt;&gt;"",COUNTIFS($D$6:$D$205,D28)&gt;1)),"Check duplicate",""))</x:f>
      </x:c>
      <x:c r="U28" s="374" t="str">
        <x:f>IF(A28="","",IF(COUNTIFS('Follow-ups'!$B$6:$B$205,A28,'Follow-ups'!$D$6:$D$205,"&gt;0",'Follow-ups'!$D$6:$D$205,"&lt;="&amp;TODAY())=0,"",_xlfn.MAXIFS('Follow-ups'!$D$6:$D$205,'Follow-ups'!$B$6:$B$205,A28,'Follow-ups'!$D$6:$D$205,"&lt;="&amp;TODAY())))</x:f>
      </x:c>
      <x:c r="V28" s="374" t="str">
        <x:f>IF(A28="","",IF(COUNTIFS('Follow-ups'!$B$6:$B$205,A28,'Follow-ups'!$I$6:$I$205,"Open",'Follow-ups'!$H$6:$H$205,"&gt;0")=0,"",_xlfn.MINIFS('Follow-ups'!$H$6:$H$205,'Follow-ups'!$B$6:$B$205,A28,'Follow-ups'!$I$6:$I$205,"Open",'Follow-ups'!$H$6:$H$205,"&gt;0")))</x:f>
      </x:c>
      <x:c r="W28" s="265" t="str">
        <x:f>IF(A28="","",IF(OR(H28="Converted",H28="Lost"),"Closed lead",IF(H28="On Hold","On hold",IF(ISNUMBER(V28),IF(V28&lt;TODAY(),"Overdue",IF(V28=TODAY(),"Due today","Scheduled")),IF(COUNTIFS('Follow-ups'!$B$6:$B$205,A28,'Follow-ups'!$I$6:$I$205,"Open")&gt;0,"Set task due date","No open task")))))</x:f>
      </x:c>
      <x:c r="X28" s="235"/>
      <x:c r="Y28" s="235"/>
      <x:c r="Z28" s="235"/>
      <x:c r="AA28" s="315" t="str">
        <x:f>IF(A28="","",IF(COUNTIFS($A$6:$A$205,A28)&gt;1,"Duplicate ID",IF(B28="","Add name",IF(AND(C28="",D28=""),"Add phone or email",IF(H28="","Set lead stage",IF(NOT(ISNUMBER(R28)),"Add date added",IF(AND(ISNUMBER(N28),ISNUMBER(O28),N28&gt;O28),"Check budget range",IF(AND(H28="Lost",Y28=""),"Add lost reason",""))))))))</x:f>
      </x:c>
      <x:c r="AB28" s="791"/>
      <x:c r="AC28" s="791"/>
      <x:c r="AD28" s="791"/>
      <x:c r="AE28" s="791"/>
      <x:c r="AF28" s="791"/>
      <x:c r="AG28" s="791"/>
      <x:c r="AH28" s="791"/>
      <x:c r="AI28" s="791"/>
      <x:c r="AJ28" s="791"/>
      <x:c r="AK28" s="791"/>
      <x:c r="AL28" s="793" t="str">
        <x:f>IF($A28="","",IF(OR($H28="Lost",$H28="Converted"),"",IF(OR($C28&lt;&gt;"",$D28&lt;&gt;""),10,0)+IF(AND(ISNUMBER($O28),$O28&gt;0),20,0)+IF($AE28="Yes",15,0)+IF($AF28="Yes",15,IF($AF28="Joint",10,0))+IF(OR($AG28="Immediate",$AG28="0-30 days"),20,IF($AG28="1-3 months",10,0))+IF(OR($AC28="Cash",$AD28="Pre-approved",$AD28="Approved"),10,0)+IF(ISNUMBER($V28),10,0)))</x:f>
      </x:c>
      <x:c r="AM28" s="793" t="str">
        <x:f>IF($A28="","",IF($H28="Lost","Lost",IF($H28="Converted","Converted",IF(NOT(ISNUMBER($AL28)),"",IF($AL28&gt;=75,"Hot",IF($AL28&gt;=45,"Warm","Nurture"))))))</x:f>
      </x:c>
      <x:c r="AN28" s="794"/>
      <x:c r="AO28" s="791"/>
      <x:c r="AP28" s="791"/>
      <x:c r="AQ28" s="794"/>
      <x:c r="AR28" s="794"/>
      <x:c r="AS28" s="791"/>
    </x:row>
    <x:row r="29" ht="26" customHeight="1">
      <x:c r="A29" s="319"/>
      <x:c r="B29" s="320"/>
      <x:c r="C29" s="331"/>
      <x:c r="D29" s="274"/>
      <x:c r="E29" s="274"/>
      <x:c r="F29" s="274"/>
      <x:c r="G29" s="274"/>
      <x:c r="H29" s="274"/>
      <x:c r="I29" s="274"/>
      <x:c r="J29" s="274"/>
      <x:c r="K29" s="274"/>
      <x:c r="L29" s="274"/>
      <x:c r="M29" s="377"/>
      <x:c r="N29" s="302"/>
      <x:c r="O29" s="302"/>
      <x:c r="P29" s="274"/>
      <x:c r="Q29" s="304"/>
      <x:c r="R29" s="304"/>
      <x:c r="S29" s="274"/>
      <x:c r="T29" s="315" t="str">
        <x:f>IF(A29="","",IF(OR(AND(C29&lt;&gt;"",COUNTIFS($C$6:$C$205,C29)&gt;1),AND(D29&lt;&gt;"",COUNTIFS($D$6:$D$205,D29)&gt;1)),"Check duplicate",""))</x:f>
      </x:c>
      <x:c r="U29" s="374" t="str">
        <x:f>IF(A29="","",IF(COUNTIFS('Follow-ups'!$B$6:$B$205,A29,'Follow-ups'!$D$6:$D$205,"&gt;0",'Follow-ups'!$D$6:$D$205,"&lt;="&amp;TODAY())=0,"",_xlfn.MAXIFS('Follow-ups'!$D$6:$D$205,'Follow-ups'!$B$6:$B$205,A29,'Follow-ups'!$D$6:$D$205,"&lt;="&amp;TODAY())))</x:f>
      </x:c>
      <x:c r="V29" s="374" t="str">
        <x:f>IF(A29="","",IF(COUNTIFS('Follow-ups'!$B$6:$B$205,A29,'Follow-ups'!$I$6:$I$205,"Open",'Follow-ups'!$H$6:$H$205,"&gt;0")=0,"",_xlfn.MINIFS('Follow-ups'!$H$6:$H$205,'Follow-ups'!$B$6:$B$205,A29,'Follow-ups'!$I$6:$I$205,"Open",'Follow-ups'!$H$6:$H$205,"&gt;0")))</x:f>
      </x:c>
      <x:c r="W29" s="265" t="str">
        <x:f>IF(A29="","",IF(OR(H29="Converted",H29="Lost"),"Closed lead",IF(H29="On Hold","On hold",IF(ISNUMBER(V29),IF(V29&lt;TODAY(),"Overdue",IF(V29=TODAY(),"Due today","Scheduled")),IF(COUNTIFS('Follow-ups'!$B$6:$B$205,A29,'Follow-ups'!$I$6:$I$205,"Open")&gt;0,"Set task due date","No open task")))))</x:f>
      </x:c>
      <x:c r="X29" s="274"/>
      <x:c r="Y29" s="274"/>
      <x:c r="Z29" s="274"/>
      <x:c r="AA29" s="315" t="str">
        <x:f>IF(A29="","",IF(COUNTIFS($A$6:$A$205,A29)&gt;1,"Duplicate ID",IF(B29="","Add name",IF(AND(C29="",D29=""),"Add phone or email",IF(H29="","Set lead stage",IF(NOT(ISNUMBER(R29)),"Add date added",IF(AND(ISNUMBER(N29),ISNUMBER(O29),N29&gt;O29),"Check budget range",IF(AND(H29="Lost",Y29=""),"Add lost reason",""))))))))</x:f>
      </x:c>
      <x:c r="AB29" s="791"/>
      <x:c r="AC29" s="791"/>
      <x:c r="AD29" s="791"/>
      <x:c r="AE29" s="791"/>
      <x:c r="AF29" s="791"/>
      <x:c r="AG29" s="791"/>
      <x:c r="AH29" s="791"/>
      <x:c r="AI29" s="791"/>
      <x:c r="AJ29" s="791"/>
      <x:c r="AK29" s="791"/>
      <x:c r="AL29" s="793" t="str">
        <x:f>IF($A29="","",IF(OR($H29="Lost",$H29="Converted"),"",IF(OR($C29&lt;&gt;"",$D29&lt;&gt;""),10,0)+IF(AND(ISNUMBER($O29),$O29&gt;0),20,0)+IF($AE29="Yes",15,0)+IF($AF29="Yes",15,IF($AF29="Joint",10,0))+IF(OR($AG29="Immediate",$AG29="0-30 days"),20,IF($AG29="1-3 months",10,0))+IF(OR($AC29="Cash",$AD29="Pre-approved",$AD29="Approved"),10,0)+IF(ISNUMBER($V29),10,0)))</x:f>
      </x:c>
      <x:c r="AM29" s="793" t="str">
        <x:f>IF($A29="","",IF($H29="Lost","Lost",IF($H29="Converted","Converted",IF(NOT(ISNUMBER($AL29)),"",IF($AL29&gt;=75,"Hot",IF($AL29&gt;=45,"Warm","Nurture"))))))</x:f>
      </x:c>
      <x:c r="AN29" s="794"/>
      <x:c r="AO29" s="791"/>
      <x:c r="AP29" s="791"/>
      <x:c r="AQ29" s="794"/>
      <x:c r="AR29" s="794"/>
      <x:c r="AS29" s="791"/>
    </x:row>
    <x:row r="30" ht="26" customHeight="1">
      <x:c r="A30" s="317"/>
      <x:c r="B30" s="318"/>
      <x:c r="C30" s="327"/>
      <x:c r="D30" s="235"/>
      <x:c r="E30" s="235"/>
      <x:c r="F30" s="235"/>
      <x:c r="G30" s="235"/>
      <x:c r="H30" s="235"/>
      <x:c r="I30" s="235"/>
      <x:c r="J30" s="235"/>
      <x:c r="K30" s="235"/>
      <x:c r="L30" s="235"/>
      <x:c r="M30" s="376"/>
      <x:c r="N30" s="236"/>
      <x:c r="O30" s="236"/>
      <x:c r="P30" s="235"/>
      <x:c r="Q30" s="238"/>
      <x:c r="R30" s="238"/>
      <x:c r="S30" s="235"/>
      <x:c r="T30" s="315" t="str">
        <x:f>IF(A30="","",IF(OR(AND(C30&lt;&gt;"",COUNTIFS($C$6:$C$205,C30)&gt;1),AND(D30&lt;&gt;"",COUNTIFS($D$6:$D$205,D30)&gt;1)),"Check duplicate",""))</x:f>
      </x:c>
      <x:c r="U30" s="374" t="str">
        <x:f>IF(A30="","",IF(COUNTIFS('Follow-ups'!$B$6:$B$205,A30,'Follow-ups'!$D$6:$D$205,"&gt;0",'Follow-ups'!$D$6:$D$205,"&lt;="&amp;TODAY())=0,"",_xlfn.MAXIFS('Follow-ups'!$D$6:$D$205,'Follow-ups'!$B$6:$B$205,A30,'Follow-ups'!$D$6:$D$205,"&lt;="&amp;TODAY())))</x:f>
      </x:c>
      <x:c r="V30" s="374" t="str">
        <x:f>IF(A30="","",IF(COUNTIFS('Follow-ups'!$B$6:$B$205,A30,'Follow-ups'!$I$6:$I$205,"Open",'Follow-ups'!$H$6:$H$205,"&gt;0")=0,"",_xlfn.MINIFS('Follow-ups'!$H$6:$H$205,'Follow-ups'!$B$6:$B$205,A30,'Follow-ups'!$I$6:$I$205,"Open",'Follow-ups'!$H$6:$H$205,"&gt;0")))</x:f>
      </x:c>
      <x:c r="W30" s="265" t="str">
        <x:f>IF(A30="","",IF(OR(H30="Converted",H30="Lost"),"Closed lead",IF(H30="On Hold","On hold",IF(ISNUMBER(V30),IF(V30&lt;TODAY(),"Overdue",IF(V30=TODAY(),"Due today","Scheduled")),IF(COUNTIFS('Follow-ups'!$B$6:$B$205,A30,'Follow-ups'!$I$6:$I$205,"Open")&gt;0,"Set task due date","No open task")))))</x:f>
      </x:c>
      <x:c r="X30" s="235"/>
      <x:c r="Y30" s="235"/>
      <x:c r="Z30" s="235"/>
      <x:c r="AA30" s="315" t="str">
        <x:f>IF(A30="","",IF(COUNTIFS($A$6:$A$205,A30)&gt;1,"Duplicate ID",IF(B30="","Add name",IF(AND(C30="",D30=""),"Add phone or email",IF(H30="","Set lead stage",IF(NOT(ISNUMBER(R30)),"Add date added",IF(AND(ISNUMBER(N30),ISNUMBER(O30),N30&gt;O30),"Check budget range",IF(AND(H30="Lost",Y30=""),"Add lost reason",""))))))))</x:f>
      </x:c>
      <x:c r="AB30" s="791"/>
      <x:c r="AC30" s="791"/>
      <x:c r="AD30" s="791"/>
      <x:c r="AE30" s="791"/>
      <x:c r="AF30" s="791"/>
      <x:c r="AG30" s="791"/>
      <x:c r="AH30" s="791"/>
      <x:c r="AI30" s="791"/>
      <x:c r="AJ30" s="791"/>
      <x:c r="AK30" s="791"/>
      <x:c r="AL30" s="793" t="str">
        <x:f>IF($A30="","",IF(OR($H30="Lost",$H30="Converted"),"",IF(OR($C30&lt;&gt;"",$D30&lt;&gt;""),10,0)+IF(AND(ISNUMBER($O30),$O30&gt;0),20,0)+IF($AE30="Yes",15,0)+IF($AF30="Yes",15,IF($AF30="Joint",10,0))+IF(OR($AG30="Immediate",$AG30="0-30 days"),20,IF($AG30="1-3 months",10,0))+IF(OR($AC30="Cash",$AD30="Pre-approved",$AD30="Approved"),10,0)+IF(ISNUMBER($V30),10,0)))</x:f>
      </x:c>
      <x:c r="AM30" s="793" t="str">
        <x:f>IF($A30="","",IF($H30="Lost","Lost",IF($H30="Converted","Converted",IF(NOT(ISNUMBER($AL30)),"",IF($AL30&gt;=75,"Hot",IF($AL30&gt;=45,"Warm","Nurture"))))))</x:f>
      </x:c>
      <x:c r="AN30" s="794"/>
      <x:c r="AO30" s="791"/>
      <x:c r="AP30" s="791"/>
      <x:c r="AQ30" s="794"/>
      <x:c r="AR30" s="794"/>
      <x:c r="AS30" s="791"/>
    </x:row>
    <x:row r="31" ht="26" customHeight="1">
      <x:c r="A31" s="319"/>
      <x:c r="B31" s="320"/>
      <x:c r="C31" s="331"/>
      <x:c r="D31" s="274"/>
      <x:c r="E31" s="274"/>
      <x:c r="F31" s="274"/>
      <x:c r="G31" s="274"/>
      <x:c r="H31" s="274"/>
      <x:c r="I31" s="274"/>
      <x:c r="J31" s="274"/>
      <x:c r="K31" s="274"/>
      <x:c r="L31" s="274"/>
      <x:c r="M31" s="377"/>
      <x:c r="N31" s="302"/>
      <x:c r="O31" s="302"/>
      <x:c r="P31" s="274"/>
      <x:c r="Q31" s="304"/>
      <x:c r="R31" s="304"/>
      <x:c r="S31" s="274"/>
      <x:c r="T31" s="315" t="str">
        <x:f>IF(A31="","",IF(OR(AND(C31&lt;&gt;"",COUNTIFS($C$6:$C$205,C31)&gt;1),AND(D31&lt;&gt;"",COUNTIFS($D$6:$D$205,D31)&gt;1)),"Check duplicate",""))</x:f>
      </x:c>
      <x:c r="U31" s="374" t="str">
        <x:f>IF(A31="","",IF(COUNTIFS('Follow-ups'!$B$6:$B$205,A31,'Follow-ups'!$D$6:$D$205,"&gt;0",'Follow-ups'!$D$6:$D$205,"&lt;="&amp;TODAY())=0,"",_xlfn.MAXIFS('Follow-ups'!$D$6:$D$205,'Follow-ups'!$B$6:$B$205,A31,'Follow-ups'!$D$6:$D$205,"&lt;="&amp;TODAY())))</x:f>
      </x:c>
      <x:c r="V31" s="374" t="str">
        <x:f>IF(A31="","",IF(COUNTIFS('Follow-ups'!$B$6:$B$205,A31,'Follow-ups'!$I$6:$I$205,"Open",'Follow-ups'!$H$6:$H$205,"&gt;0")=0,"",_xlfn.MINIFS('Follow-ups'!$H$6:$H$205,'Follow-ups'!$B$6:$B$205,A31,'Follow-ups'!$I$6:$I$205,"Open",'Follow-ups'!$H$6:$H$205,"&gt;0")))</x:f>
      </x:c>
      <x:c r="W31" s="265" t="str">
        <x:f>IF(A31="","",IF(OR(H31="Converted",H31="Lost"),"Closed lead",IF(H31="On Hold","On hold",IF(ISNUMBER(V31),IF(V31&lt;TODAY(),"Overdue",IF(V31=TODAY(),"Due today","Scheduled")),IF(COUNTIFS('Follow-ups'!$B$6:$B$205,A31,'Follow-ups'!$I$6:$I$205,"Open")&gt;0,"Set task due date","No open task")))))</x:f>
      </x:c>
      <x:c r="X31" s="274"/>
      <x:c r="Y31" s="274"/>
      <x:c r="Z31" s="274"/>
      <x:c r="AA31" s="315" t="str">
        <x:f>IF(A31="","",IF(COUNTIFS($A$6:$A$205,A31)&gt;1,"Duplicate ID",IF(B31="","Add name",IF(AND(C31="",D31=""),"Add phone or email",IF(H31="","Set lead stage",IF(NOT(ISNUMBER(R31)),"Add date added",IF(AND(ISNUMBER(N31),ISNUMBER(O31),N31&gt;O31),"Check budget range",IF(AND(H31="Lost",Y31=""),"Add lost reason",""))))))))</x:f>
      </x:c>
      <x:c r="AB31" s="791"/>
      <x:c r="AC31" s="791"/>
      <x:c r="AD31" s="791"/>
      <x:c r="AE31" s="791"/>
      <x:c r="AF31" s="791"/>
      <x:c r="AG31" s="791"/>
      <x:c r="AH31" s="791"/>
      <x:c r="AI31" s="791"/>
      <x:c r="AJ31" s="791"/>
      <x:c r="AK31" s="791"/>
      <x:c r="AL31" s="793" t="str">
        <x:f>IF($A31="","",IF(OR($H31="Lost",$H31="Converted"),"",IF(OR($C31&lt;&gt;"",$D31&lt;&gt;""),10,0)+IF(AND(ISNUMBER($O31),$O31&gt;0),20,0)+IF($AE31="Yes",15,0)+IF($AF31="Yes",15,IF($AF31="Joint",10,0))+IF(OR($AG31="Immediate",$AG31="0-30 days"),20,IF($AG31="1-3 months",10,0))+IF(OR($AC31="Cash",$AD31="Pre-approved",$AD31="Approved"),10,0)+IF(ISNUMBER($V31),10,0)))</x:f>
      </x:c>
      <x:c r="AM31" s="793" t="str">
        <x:f>IF($A31="","",IF($H31="Lost","Lost",IF($H31="Converted","Converted",IF(NOT(ISNUMBER($AL31)),"",IF($AL31&gt;=75,"Hot",IF($AL31&gt;=45,"Warm","Nurture"))))))</x:f>
      </x:c>
      <x:c r="AN31" s="794"/>
      <x:c r="AO31" s="791"/>
      <x:c r="AP31" s="791"/>
      <x:c r="AQ31" s="794"/>
      <x:c r="AR31" s="794"/>
      <x:c r="AS31" s="791"/>
    </x:row>
    <x:row r="32" ht="26" customHeight="1">
      <x:c r="A32" s="317"/>
      <x:c r="B32" s="318"/>
      <x:c r="C32" s="327"/>
      <x:c r="D32" s="235"/>
      <x:c r="E32" s="235"/>
      <x:c r="F32" s="235"/>
      <x:c r="G32" s="235"/>
      <x:c r="H32" s="235"/>
      <x:c r="I32" s="235"/>
      <x:c r="J32" s="235"/>
      <x:c r="K32" s="235"/>
      <x:c r="L32" s="235"/>
      <x:c r="M32" s="376"/>
      <x:c r="N32" s="236"/>
      <x:c r="O32" s="236"/>
      <x:c r="P32" s="235"/>
      <x:c r="Q32" s="238"/>
      <x:c r="R32" s="238"/>
      <x:c r="S32" s="235"/>
      <x:c r="T32" s="315" t="str">
        <x:f>IF(A32="","",IF(OR(AND(C32&lt;&gt;"",COUNTIFS($C$6:$C$205,C32)&gt;1),AND(D32&lt;&gt;"",COUNTIFS($D$6:$D$205,D32)&gt;1)),"Check duplicate",""))</x:f>
      </x:c>
      <x:c r="U32" s="374" t="str">
        <x:f>IF(A32="","",IF(COUNTIFS('Follow-ups'!$B$6:$B$205,A32,'Follow-ups'!$D$6:$D$205,"&gt;0",'Follow-ups'!$D$6:$D$205,"&lt;="&amp;TODAY())=0,"",_xlfn.MAXIFS('Follow-ups'!$D$6:$D$205,'Follow-ups'!$B$6:$B$205,A32,'Follow-ups'!$D$6:$D$205,"&lt;="&amp;TODAY())))</x:f>
      </x:c>
      <x:c r="V32" s="374" t="str">
        <x:f>IF(A32="","",IF(COUNTIFS('Follow-ups'!$B$6:$B$205,A32,'Follow-ups'!$I$6:$I$205,"Open",'Follow-ups'!$H$6:$H$205,"&gt;0")=0,"",_xlfn.MINIFS('Follow-ups'!$H$6:$H$205,'Follow-ups'!$B$6:$B$205,A32,'Follow-ups'!$I$6:$I$205,"Open",'Follow-ups'!$H$6:$H$205,"&gt;0")))</x:f>
      </x:c>
      <x:c r="W32" s="265" t="str">
        <x:f>IF(A32="","",IF(OR(H32="Converted",H32="Lost"),"Closed lead",IF(H32="On Hold","On hold",IF(ISNUMBER(V32),IF(V32&lt;TODAY(),"Overdue",IF(V32=TODAY(),"Due today","Scheduled")),IF(COUNTIFS('Follow-ups'!$B$6:$B$205,A32,'Follow-ups'!$I$6:$I$205,"Open")&gt;0,"Set task due date","No open task")))))</x:f>
      </x:c>
      <x:c r="X32" s="235"/>
      <x:c r="Y32" s="235"/>
      <x:c r="Z32" s="235"/>
      <x:c r="AA32" s="315" t="str">
        <x:f>IF(A32="","",IF(COUNTIFS($A$6:$A$205,A32)&gt;1,"Duplicate ID",IF(B32="","Add name",IF(AND(C32="",D32=""),"Add phone or email",IF(H32="","Set lead stage",IF(NOT(ISNUMBER(R32)),"Add date added",IF(AND(ISNUMBER(N32),ISNUMBER(O32),N32&gt;O32),"Check budget range",IF(AND(H32="Lost",Y32=""),"Add lost reason",""))))))))</x:f>
      </x:c>
      <x:c r="AB32" s="791"/>
      <x:c r="AC32" s="791"/>
      <x:c r="AD32" s="791"/>
      <x:c r="AE32" s="791"/>
      <x:c r="AF32" s="791"/>
      <x:c r="AG32" s="791"/>
      <x:c r="AH32" s="791"/>
      <x:c r="AI32" s="791"/>
      <x:c r="AJ32" s="791"/>
      <x:c r="AK32" s="791"/>
      <x:c r="AL32" s="793" t="str">
        <x:f>IF($A32="","",IF(OR($H32="Lost",$H32="Converted"),"",IF(OR($C32&lt;&gt;"",$D32&lt;&gt;""),10,0)+IF(AND(ISNUMBER($O32),$O32&gt;0),20,0)+IF($AE32="Yes",15,0)+IF($AF32="Yes",15,IF($AF32="Joint",10,0))+IF(OR($AG32="Immediate",$AG32="0-30 days"),20,IF($AG32="1-3 months",10,0))+IF(OR($AC32="Cash",$AD32="Pre-approved",$AD32="Approved"),10,0)+IF(ISNUMBER($V32),10,0)))</x:f>
      </x:c>
      <x:c r="AM32" s="793" t="str">
        <x:f>IF($A32="","",IF($H32="Lost","Lost",IF($H32="Converted","Converted",IF(NOT(ISNUMBER($AL32)),"",IF($AL32&gt;=75,"Hot",IF($AL32&gt;=45,"Warm","Nurture"))))))</x:f>
      </x:c>
      <x:c r="AN32" s="794"/>
      <x:c r="AO32" s="791"/>
      <x:c r="AP32" s="791"/>
      <x:c r="AQ32" s="794"/>
      <x:c r="AR32" s="794"/>
      <x:c r="AS32" s="791"/>
    </x:row>
    <x:row r="33" ht="26" customHeight="1">
      <x:c r="A33" s="319"/>
      <x:c r="B33" s="320"/>
      <x:c r="C33" s="331"/>
      <x:c r="D33" s="274"/>
      <x:c r="E33" s="274"/>
      <x:c r="F33" s="274"/>
      <x:c r="G33" s="274"/>
      <x:c r="H33" s="274"/>
      <x:c r="I33" s="274"/>
      <x:c r="J33" s="274"/>
      <x:c r="K33" s="274"/>
      <x:c r="L33" s="274"/>
      <x:c r="M33" s="377"/>
      <x:c r="N33" s="302"/>
      <x:c r="O33" s="302"/>
      <x:c r="P33" s="274"/>
      <x:c r="Q33" s="304"/>
      <x:c r="R33" s="304"/>
      <x:c r="S33" s="274"/>
      <x:c r="T33" s="315" t="str">
        <x:f>IF(A33="","",IF(OR(AND(C33&lt;&gt;"",COUNTIFS($C$6:$C$205,C33)&gt;1),AND(D33&lt;&gt;"",COUNTIFS($D$6:$D$205,D33)&gt;1)),"Check duplicate",""))</x:f>
      </x:c>
      <x:c r="U33" s="374" t="str">
        <x:f>IF(A33="","",IF(COUNTIFS('Follow-ups'!$B$6:$B$205,A33,'Follow-ups'!$D$6:$D$205,"&gt;0",'Follow-ups'!$D$6:$D$205,"&lt;="&amp;TODAY())=0,"",_xlfn.MAXIFS('Follow-ups'!$D$6:$D$205,'Follow-ups'!$B$6:$B$205,A33,'Follow-ups'!$D$6:$D$205,"&lt;="&amp;TODAY())))</x:f>
      </x:c>
      <x:c r="V33" s="374" t="str">
        <x:f>IF(A33="","",IF(COUNTIFS('Follow-ups'!$B$6:$B$205,A33,'Follow-ups'!$I$6:$I$205,"Open",'Follow-ups'!$H$6:$H$205,"&gt;0")=0,"",_xlfn.MINIFS('Follow-ups'!$H$6:$H$205,'Follow-ups'!$B$6:$B$205,A33,'Follow-ups'!$I$6:$I$205,"Open",'Follow-ups'!$H$6:$H$205,"&gt;0")))</x:f>
      </x:c>
      <x:c r="W33" s="265" t="str">
        <x:f>IF(A33="","",IF(OR(H33="Converted",H33="Lost"),"Closed lead",IF(H33="On Hold","On hold",IF(ISNUMBER(V33),IF(V33&lt;TODAY(),"Overdue",IF(V33=TODAY(),"Due today","Scheduled")),IF(COUNTIFS('Follow-ups'!$B$6:$B$205,A33,'Follow-ups'!$I$6:$I$205,"Open")&gt;0,"Set task due date","No open task")))))</x:f>
      </x:c>
      <x:c r="X33" s="274"/>
      <x:c r="Y33" s="274"/>
      <x:c r="Z33" s="274"/>
      <x:c r="AA33" s="315" t="str">
        <x:f>IF(A33="","",IF(COUNTIFS($A$6:$A$205,A33)&gt;1,"Duplicate ID",IF(B33="","Add name",IF(AND(C33="",D33=""),"Add phone or email",IF(H33="","Set lead stage",IF(NOT(ISNUMBER(R33)),"Add date added",IF(AND(ISNUMBER(N33),ISNUMBER(O33),N33&gt;O33),"Check budget range",IF(AND(H33="Lost",Y33=""),"Add lost reason",""))))))))</x:f>
      </x:c>
      <x:c r="AB33" s="791"/>
      <x:c r="AC33" s="791"/>
      <x:c r="AD33" s="791"/>
      <x:c r="AE33" s="791"/>
      <x:c r="AF33" s="791"/>
      <x:c r="AG33" s="791"/>
      <x:c r="AH33" s="791"/>
      <x:c r="AI33" s="791"/>
      <x:c r="AJ33" s="791"/>
      <x:c r="AK33" s="791"/>
      <x:c r="AL33" s="793" t="str">
        <x:f>IF($A33="","",IF(OR($H33="Lost",$H33="Converted"),"",IF(OR($C33&lt;&gt;"",$D33&lt;&gt;""),10,0)+IF(AND(ISNUMBER($O33),$O33&gt;0),20,0)+IF($AE33="Yes",15,0)+IF($AF33="Yes",15,IF($AF33="Joint",10,0))+IF(OR($AG33="Immediate",$AG33="0-30 days"),20,IF($AG33="1-3 months",10,0))+IF(OR($AC33="Cash",$AD33="Pre-approved",$AD33="Approved"),10,0)+IF(ISNUMBER($V33),10,0)))</x:f>
      </x:c>
      <x:c r="AM33" s="793" t="str">
        <x:f>IF($A33="","",IF($H33="Lost","Lost",IF($H33="Converted","Converted",IF(NOT(ISNUMBER($AL33)),"",IF($AL33&gt;=75,"Hot",IF($AL33&gt;=45,"Warm","Nurture"))))))</x:f>
      </x:c>
      <x:c r="AN33" s="794"/>
      <x:c r="AO33" s="791"/>
      <x:c r="AP33" s="791"/>
      <x:c r="AQ33" s="794"/>
      <x:c r="AR33" s="794"/>
      <x:c r="AS33" s="791"/>
    </x:row>
    <x:row r="34" ht="26" customHeight="1">
      <x:c r="A34" s="317"/>
      <x:c r="B34" s="318"/>
      <x:c r="C34" s="327"/>
      <x:c r="D34" s="235"/>
      <x:c r="E34" s="235"/>
      <x:c r="F34" s="235"/>
      <x:c r="G34" s="235"/>
      <x:c r="H34" s="235"/>
      <x:c r="I34" s="235"/>
      <x:c r="J34" s="235"/>
      <x:c r="K34" s="235"/>
      <x:c r="L34" s="235"/>
      <x:c r="M34" s="376"/>
      <x:c r="N34" s="236"/>
      <x:c r="O34" s="236"/>
      <x:c r="P34" s="235"/>
      <x:c r="Q34" s="238"/>
      <x:c r="R34" s="238"/>
      <x:c r="S34" s="235"/>
      <x:c r="T34" s="315" t="str">
        <x:f>IF(A34="","",IF(OR(AND(C34&lt;&gt;"",COUNTIFS($C$6:$C$205,C34)&gt;1),AND(D34&lt;&gt;"",COUNTIFS($D$6:$D$205,D34)&gt;1)),"Check duplicate",""))</x:f>
      </x:c>
      <x:c r="U34" s="374" t="str">
        <x:f>IF(A34="","",IF(COUNTIFS('Follow-ups'!$B$6:$B$205,A34,'Follow-ups'!$D$6:$D$205,"&gt;0",'Follow-ups'!$D$6:$D$205,"&lt;="&amp;TODAY())=0,"",_xlfn.MAXIFS('Follow-ups'!$D$6:$D$205,'Follow-ups'!$B$6:$B$205,A34,'Follow-ups'!$D$6:$D$205,"&lt;="&amp;TODAY())))</x:f>
      </x:c>
      <x:c r="V34" s="374" t="str">
        <x:f>IF(A34="","",IF(COUNTIFS('Follow-ups'!$B$6:$B$205,A34,'Follow-ups'!$I$6:$I$205,"Open",'Follow-ups'!$H$6:$H$205,"&gt;0")=0,"",_xlfn.MINIFS('Follow-ups'!$H$6:$H$205,'Follow-ups'!$B$6:$B$205,A34,'Follow-ups'!$I$6:$I$205,"Open",'Follow-ups'!$H$6:$H$205,"&gt;0")))</x:f>
      </x:c>
      <x:c r="W34" s="265" t="str">
        <x:f>IF(A34="","",IF(OR(H34="Converted",H34="Lost"),"Closed lead",IF(H34="On Hold","On hold",IF(ISNUMBER(V34),IF(V34&lt;TODAY(),"Overdue",IF(V34=TODAY(),"Due today","Scheduled")),IF(COUNTIFS('Follow-ups'!$B$6:$B$205,A34,'Follow-ups'!$I$6:$I$205,"Open")&gt;0,"Set task due date","No open task")))))</x:f>
      </x:c>
      <x:c r="X34" s="235"/>
      <x:c r="Y34" s="235"/>
      <x:c r="Z34" s="235"/>
      <x:c r="AA34" s="315" t="str">
        <x:f>IF(A34="","",IF(COUNTIFS($A$6:$A$205,A34)&gt;1,"Duplicate ID",IF(B34="","Add name",IF(AND(C34="",D34=""),"Add phone or email",IF(H34="","Set lead stage",IF(NOT(ISNUMBER(R34)),"Add date added",IF(AND(ISNUMBER(N34),ISNUMBER(O34),N34&gt;O34),"Check budget range",IF(AND(H34="Lost",Y34=""),"Add lost reason",""))))))))</x:f>
      </x:c>
      <x:c r="AB34" s="791"/>
      <x:c r="AC34" s="791"/>
      <x:c r="AD34" s="791"/>
      <x:c r="AE34" s="791"/>
      <x:c r="AF34" s="791"/>
      <x:c r="AG34" s="791"/>
      <x:c r="AH34" s="791"/>
      <x:c r="AI34" s="791"/>
      <x:c r="AJ34" s="791"/>
      <x:c r="AK34" s="791"/>
      <x:c r="AL34" s="793" t="str">
        <x:f>IF($A34="","",IF(OR($H34="Lost",$H34="Converted"),"",IF(OR($C34&lt;&gt;"",$D34&lt;&gt;""),10,0)+IF(AND(ISNUMBER($O34),$O34&gt;0),20,0)+IF($AE34="Yes",15,0)+IF($AF34="Yes",15,IF($AF34="Joint",10,0))+IF(OR($AG34="Immediate",$AG34="0-30 days"),20,IF($AG34="1-3 months",10,0))+IF(OR($AC34="Cash",$AD34="Pre-approved",$AD34="Approved"),10,0)+IF(ISNUMBER($V34),10,0)))</x:f>
      </x:c>
      <x:c r="AM34" s="793" t="str">
        <x:f>IF($A34="","",IF($H34="Lost","Lost",IF($H34="Converted","Converted",IF(NOT(ISNUMBER($AL34)),"",IF($AL34&gt;=75,"Hot",IF($AL34&gt;=45,"Warm","Nurture"))))))</x:f>
      </x:c>
      <x:c r="AN34" s="794"/>
      <x:c r="AO34" s="791"/>
      <x:c r="AP34" s="791"/>
      <x:c r="AQ34" s="794"/>
      <x:c r="AR34" s="794"/>
      <x:c r="AS34" s="791"/>
    </x:row>
    <x:row r="35" ht="26" customHeight="1">
      <x:c r="A35" s="319"/>
      <x:c r="B35" s="320"/>
      <x:c r="C35" s="331"/>
      <x:c r="D35" s="274"/>
      <x:c r="E35" s="274"/>
      <x:c r="F35" s="274"/>
      <x:c r="G35" s="274"/>
      <x:c r="H35" s="274"/>
      <x:c r="I35" s="274"/>
      <x:c r="J35" s="274"/>
      <x:c r="K35" s="274"/>
      <x:c r="L35" s="274"/>
      <x:c r="M35" s="377"/>
      <x:c r="N35" s="302"/>
      <x:c r="O35" s="302"/>
      <x:c r="P35" s="274"/>
      <x:c r="Q35" s="304"/>
      <x:c r="R35" s="304"/>
      <x:c r="S35" s="274"/>
      <x:c r="T35" s="315" t="str">
        <x:f>IF(A35="","",IF(OR(AND(C35&lt;&gt;"",COUNTIFS($C$6:$C$205,C35)&gt;1),AND(D35&lt;&gt;"",COUNTIFS($D$6:$D$205,D35)&gt;1)),"Check duplicate",""))</x:f>
      </x:c>
      <x:c r="U35" s="374" t="str">
        <x:f>IF(A35="","",IF(COUNTIFS('Follow-ups'!$B$6:$B$205,A35,'Follow-ups'!$D$6:$D$205,"&gt;0",'Follow-ups'!$D$6:$D$205,"&lt;="&amp;TODAY())=0,"",_xlfn.MAXIFS('Follow-ups'!$D$6:$D$205,'Follow-ups'!$B$6:$B$205,A35,'Follow-ups'!$D$6:$D$205,"&lt;="&amp;TODAY())))</x:f>
      </x:c>
      <x:c r="V35" s="374" t="str">
        <x:f>IF(A35="","",IF(COUNTIFS('Follow-ups'!$B$6:$B$205,A35,'Follow-ups'!$I$6:$I$205,"Open",'Follow-ups'!$H$6:$H$205,"&gt;0")=0,"",_xlfn.MINIFS('Follow-ups'!$H$6:$H$205,'Follow-ups'!$B$6:$B$205,A35,'Follow-ups'!$I$6:$I$205,"Open",'Follow-ups'!$H$6:$H$205,"&gt;0")))</x:f>
      </x:c>
      <x:c r="W35" s="265" t="str">
        <x:f>IF(A35="","",IF(OR(H35="Converted",H35="Lost"),"Closed lead",IF(H35="On Hold","On hold",IF(ISNUMBER(V35),IF(V35&lt;TODAY(),"Overdue",IF(V35=TODAY(),"Due today","Scheduled")),IF(COUNTIFS('Follow-ups'!$B$6:$B$205,A35,'Follow-ups'!$I$6:$I$205,"Open")&gt;0,"Set task due date","No open task")))))</x:f>
      </x:c>
      <x:c r="X35" s="274"/>
      <x:c r="Y35" s="274"/>
      <x:c r="Z35" s="274"/>
      <x:c r="AA35" s="315" t="str">
        <x:f>IF(A35="","",IF(COUNTIFS($A$6:$A$205,A35)&gt;1,"Duplicate ID",IF(B35="","Add name",IF(AND(C35="",D35=""),"Add phone or email",IF(H35="","Set lead stage",IF(NOT(ISNUMBER(R35)),"Add date added",IF(AND(ISNUMBER(N35),ISNUMBER(O35),N35&gt;O35),"Check budget range",IF(AND(H35="Lost",Y35=""),"Add lost reason",""))))))))</x:f>
      </x:c>
      <x:c r="AB35" s="791"/>
      <x:c r="AC35" s="791"/>
      <x:c r="AD35" s="791"/>
      <x:c r="AE35" s="791"/>
      <x:c r="AF35" s="791"/>
      <x:c r="AG35" s="791"/>
      <x:c r="AH35" s="791"/>
      <x:c r="AI35" s="791"/>
      <x:c r="AJ35" s="791"/>
      <x:c r="AK35" s="791"/>
      <x:c r="AL35" s="793" t="str">
        <x:f>IF($A35="","",IF(OR($H35="Lost",$H35="Converted"),"",IF(OR($C35&lt;&gt;"",$D35&lt;&gt;""),10,0)+IF(AND(ISNUMBER($O35),$O35&gt;0),20,0)+IF($AE35="Yes",15,0)+IF($AF35="Yes",15,IF($AF35="Joint",10,0))+IF(OR($AG35="Immediate",$AG35="0-30 days"),20,IF($AG35="1-3 months",10,0))+IF(OR($AC35="Cash",$AD35="Pre-approved",$AD35="Approved"),10,0)+IF(ISNUMBER($V35),10,0)))</x:f>
      </x:c>
      <x:c r="AM35" s="793" t="str">
        <x:f>IF($A35="","",IF($H35="Lost","Lost",IF($H35="Converted","Converted",IF(NOT(ISNUMBER($AL35)),"",IF($AL35&gt;=75,"Hot",IF($AL35&gt;=45,"Warm","Nurture"))))))</x:f>
      </x:c>
      <x:c r="AN35" s="794"/>
      <x:c r="AO35" s="791"/>
      <x:c r="AP35" s="791"/>
      <x:c r="AQ35" s="794"/>
      <x:c r="AR35" s="794"/>
      <x:c r="AS35" s="791"/>
    </x:row>
    <x:row r="36" ht="26" customHeight="1">
      <x:c r="A36" s="317"/>
      <x:c r="B36" s="318"/>
      <x:c r="C36" s="327"/>
      <x:c r="D36" s="235"/>
      <x:c r="E36" s="235"/>
      <x:c r="F36" s="235"/>
      <x:c r="G36" s="235"/>
      <x:c r="H36" s="235"/>
      <x:c r="I36" s="235"/>
      <x:c r="J36" s="235"/>
      <x:c r="K36" s="235"/>
      <x:c r="L36" s="235"/>
      <x:c r="M36" s="376"/>
      <x:c r="N36" s="236"/>
      <x:c r="O36" s="236"/>
      <x:c r="P36" s="235"/>
      <x:c r="Q36" s="238"/>
      <x:c r="R36" s="238"/>
      <x:c r="S36" s="235"/>
      <x:c r="T36" s="315" t="str">
        <x:f>IF(A36="","",IF(OR(AND(C36&lt;&gt;"",COUNTIFS($C$6:$C$205,C36)&gt;1),AND(D36&lt;&gt;"",COUNTIFS($D$6:$D$205,D36)&gt;1)),"Check duplicate",""))</x:f>
      </x:c>
      <x:c r="U36" s="374" t="str">
        <x:f>IF(A36="","",IF(COUNTIFS('Follow-ups'!$B$6:$B$205,A36,'Follow-ups'!$D$6:$D$205,"&gt;0",'Follow-ups'!$D$6:$D$205,"&lt;="&amp;TODAY())=0,"",_xlfn.MAXIFS('Follow-ups'!$D$6:$D$205,'Follow-ups'!$B$6:$B$205,A36,'Follow-ups'!$D$6:$D$205,"&lt;="&amp;TODAY())))</x:f>
      </x:c>
      <x:c r="V36" s="374" t="str">
        <x:f>IF(A36="","",IF(COUNTIFS('Follow-ups'!$B$6:$B$205,A36,'Follow-ups'!$I$6:$I$205,"Open",'Follow-ups'!$H$6:$H$205,"&gt;0")=0,"",_xlfn.MINIFS('Follow-ups'!$H$6:$H$205,'Follow-ups'!$B$6:$B$205,A36,'Follow-ups'!$I$6:$I$205,"Open",'Follow-ups'!$H$6:$H$205,"&gt;0")))</x:f>
      </x:c>
      <x:c r="W36" s="265" t="str">
        <x:f>IF(A36="","",IF(OR(H36="Converted",H36="Lost"),"Closed lead",IF(H36="On Hold","On hold",IF(ISNUMBER(V36),IF(V36&lt;TODAY(),"Overdue",IF(V36=TODAY(),"Due today","Scheduled")),IF(COUNTIFS('Follow-ups'!$B$6:$B$205,A36,'Follow-ups'!$I$6:$I$205,"Open")&gt;0,"Set task due date","No open task")))))</x:f>
      </x:c>
      <x:c r="X36" s="235"/>
      <x:c r="Y36" s="235"/>
      <x:c r="Z36" s="235"/>
      <x:c r="AA36" s="315" t="str">
        <x:f>IF(A36="","",IF(COUNTIFS($A$6:$A$205,A36)&gt;1,"Duplicate ID",IF(B36="","Add name",IF(AND(C36="",D36=""),"Add phone or email",IF(H36="","Set lead stage",IF(NOT(ISNUMBER(R36)),"Add date added",IF(AND(ISNUMBER(N36),ISNUMBER(O36),N36&gt;O36),"Check budget range",IF(AND(H36="Lost",Y36=""),"Add lost reason",""))))))))</x:f>
      </x:c>
      <x:c r="AB36" s="791"/>
      <x:c r="AC36" s="791"/>
      <x:c r="AD36" s="791"/>
      <x:c r="AE36" s="791"/>
      <x:c r="AF36" s="791"/>
      <x:c r="AG36" s="791"/>
      <x:c r="AH36" s="791"/>
      <x:c r="AI36" s="791"/>
      <x:c r="AJ36" s="791"/>
      <x:c r="AK36" s="791"/>
      <x:c r="AL36" s="793" t="str">
        <x:f>IF($A36="","",IF(OR($H36="Lost",$H36="Converted"),"",IF(OR($C36&lt;&gt;"",$D36&lt;&gt;""),10,0)+IF(AND(ISNUMBER($O36),$O36&gt;0),20,0)+IF($AE36="Yes",15,0)+IF($AF36="Yes",15,IF($AF36="Joint",10,0))+IF(OR($AG36="Immediate",$AG36="0-30 days"),20,IF($AG36="1-3 months",10,0))+IF(OR($AC36="Cash",$AD36="Pre-approved",$AD36="Approved"),10,0)+IF(ISNUMBER($V36),10,0)))</x:f>
      </x:c>
      <x:c r="AM36" s="793" t="str">
        <x:f>IF($A36="","",IF($H36="Lost","Lost",IF($H36="Converted","Converted",IF(NOT(ISNUMBER($AL36)),"",IF($AL36&gt;=75,"Hot",IF($AL36&gt;=45,"Warm","Nurture"))))))</x:f>
      </x:c>
      <x:c r="AN36" s="794"/>
      <x:c r="AO36" s="791"/>
      <x:c r="AP36" s="791"/>
      <x:c r="AQ36" s="794"/>
      <x:c r="AR36" s="794"/>
      <x:c r="AS36" s="791"/>
    </x:row>
    <x:row r="37" ht="26" customHeight="1">
      <x:c r="A37" s="319"/>
      <x:c r="B37" s="320"/>
      <x:c r="C37" s="331"/>
      <x:c r="D37" s="274"/>
      <x:c r="E37" s="274"/>
      <x:c r="F37" s="274"/>
      <x:c r="G37" s="274"/>
      <x:c r="H37" s="274"/>
      <x:c r="I37" s="274"/>
      <x:c r="J37" s="274"/>
      <x:c r="K37" s="274"/>
      <x:c r="L37" s="274"/>
      <x:c r="M37" s="377"/>
      <x:c r="N37" s="302"/>
      <x:c r="O37" s="302"/>
      <x:c r="P37" s="274"/>
      <x:c r="Q37" s="304"/>
      <x:c r="R37" s="304"/>
      <x:c r="S37" s="274"/>
      <x:c r="T37" s="315" t="str">
        <x:f>IF(A37="","",IF(OR(AND(C37&lt;&gt;"",COUNTIFS($C$6:$C$205,C37)&gt;1),AND(D37&lt;&gt;"",COUNTIFS($D$6:$D$205,D37)&gt;1)),"Check duplicate",""))</x:f>
      </x:c>
      <x:c r="U37" s="374" t="str">
        <x:f>IF(A37="","",IF(COUNTIFS('Follow-ups'!$B$6:$B$205,A37,'Follow-ups'!$D$6:$D$205,"&gt;0",'Follow-ups'!$D$6:$D$205,"&lt;="&amp;TODAY())=0,"",_xlfn.MAXIFS('Follow-ups'!$D$6:$D$205,'Follow-ups'!$B$6:$B$205,A37,'Follow-ups'!$D$6:$D$205,"&lt;="&amp;TODAY())))</x:f>
      </x:c>
      <x:c r="V37" s="374" t="str">
        <x:f>IF(A37="","",IF(COUNTIFS('Follow-ups'!$B$6:$B$205,A37,'Follow-ups'!$I$6:$I$205,"Open",'Follow-ups'!$H$6:$H$205,"&gt;0")=0,"",_xlfn.MINIFS('Follow-ups'!$H$6:$H$205,'Follow-ups'!$B$6:$B$205,A37,'Follow-ups'!$I$6:$I$205,"Open",'Follow-ups'!$H$6:$H$205,"&gt;0")))</x:f>
      </x:c>
      <x:c r="W37" s="265" t="str">
        <x:f>IF(A37="","",IF(OR(H37="Converted",H37="Lost"),"Closed lead",IF(H37="On Hold","On hold",IF(ISNUMBER(V37),IF(V37&lt;TODAY(),"Overdue",IF(V37=TODAY(),"Due today","Scheduled")),IF(COUNTIFS('Follow-ups'!$B$6:$B$205,A37,'Follow-ups'!$I$6:$I$205,"Open")&gt;0,"Set task due date","No open task")))))</x:f>
      </x:c>
      <x:c r="X37" s="274"/>
      <x:c r="Y37" s="274"/>
      <x:c r="Z37" s="274"/>
      <x:c r="AA37" s="315" t="str">
        <x:f>IF(A37="","",IF(COUNTIFS($A$6:$A$205,A37)&gt;1,"Duplicate ID",IF(B37="","Add name",IF(AND(C37="",D37=""),"Add phone or email",IF(H37="","Set lead stage",IF(NOT(ISNUMBER(R37)),"Add date added",IF(AND(ISNUMBER(N37),ISNUMBER(O37),N37&gt;O37),"Check budget range",IF(AND(H37="Lost",Y37=""),"Add lost reason",""))))))))</x:f>
      </x:c>
      <x:c r="AB37" s="791"/>
      <x:c r="AC37" s="791"/>
      <x:c r="AD37" s="791"/>
      <x:c r="AE37" s="791"/>
      <x:c r="AF37" s="791"/>
      <x:c r="AG37" s="791"/>
      <x:c r="AH37" s="791"/>
      <x:c r="AI37" s="791"/>
      <x:c r="AJ37" s="791"/>
      <x:c r="AK37" s="791"/>
      <x:c r="AL37" s="793" t="str">
        <x:f>IF($A37="","",IF(OR($H37="Lost",$H37="Converted"),"",IF(OR($C37&lt;&gt;"",$D37&lt;&gt;""),10,0)+IF(AND(ISNUMBER($O37),$O37&gt;0),20,0)+IF($AE37="Yes",15,0)+IF($AF37="Yes",15,IF($AF37="Joint",10,0))+IF(OR($AG37="Immediate",$AG37="0-30 days"),20,IF($AG37="1-3 months",10,0))+IF(OR($AC37="Cash",$AD37="Pre-approved",$AD37="Approved"),10,0)+IF(ISNUMBER($V37),10,0)))</x:f>
      </x:c>
      <x:c r="AM37" s="793" t="str">
        <x:f>IF($A37="","",IF($H37="Lost","Lost",IF($H37="Converted","Converted",IF(NOT(ISNUMBER($AL37)),"",IF($AL37&gt;=75,"Hot",IF($AL37&gt;=45,"Warm","Nurture"))))))</x:f>
      </x:c>
      <x:c r="AN37" s="794"/>
      <x:c r="AO37" s="791"/>
      <x:c r="AP37" s="791"/>
      <x:c r="AQ37" s="794"/>
      <x:c r="AR37" s="794"/>
      <x:c r="AS37" s="791"/>
    </x:row>
    <x:row r="38" ht="26" customHeight="1">
      <x:c r="A38" s="317"/>
      <x:c r="B38" s="318"/>
      <x:c r="C38" s="327"/>
      <x:c r="D38" s="235"/>
      <x:c r="E38" s="235"/>
      <x:c r="F38" s="235"/>
      <x:c r="G38" s="235"/>
      <x:c r="H38" s="235"/>
      <x:c r="I38" s="235"/>
      <x:c r="J38" s="235"/>
      <x:c r="K38" s="235"/>
      <x:c r="L38" s="235"/>
      <x:c r="M38" s="376"/>
      <x:c r="N38" s="236"/>
      <x:c r="O38" s="236"/>
      <x:c r="P38" s="235"/>
      <x:c r="Q38" s="238"/>
      <x:c r="R38" s="238"/>
      <x:c r="S38" s="235"/>
      <x:c r="T38" s="315" t="str">
        <x:f>IF(A38="","",IF(OR(AND(C38&lt;&gt;"",COUNTIFS($C$6:$C$205,C38)&gt;1),AND(D38&lt;&gt;"",COUNTIFS($D$6:$D$205,D38)&gt;1)),"Check duplicate",""))</x:f>
      </x:c>
      <x:c r="U38" s="374" t="str">
        <x:f>IF(A38="","",IF(COUNTIFS('Follow-ups'!$B$6:$B$205,A38,'Follow-ups'!$D$6:$D$205,"&gt;0",'Follow-ups'!$D$6:$D$205,"&lt;="&amp;TODAY())=0,"",_xlfn.MAXIFS('Follow-ups'!$D$6:$D$205,'Follow-ups'!$B$6:$B$205,A38,'Follow-ups'!$D$6:$D$205,"&lt;="&amp;TODAY())))</x:f>
      </x:c>
      <x:c r="V38" s="374" t="str">
        <x:f>IF(A38="","",IF(COUNTIFS('Follow-ups'!$B$6:$B$205,A38,'Follow-ups'!$I$6:$I$205,"Open",'Follow-ups'!$H$6:$H$205,"&gt;0")=0,"",_xlfn.MINIFS('Follow-ups'!$H$6:$H$205,'Follow-ups'!$B$6:$B$205,A38,'Follow-ups'!$I$6:$I$205,"Open",'Follow-ups'!$H$6:$H$205,"&gt;0")))</x:f>
      </x:c>
      <x:c r="W38" s="265" t="str">
        <x:f>IF(A38="","",IF(OR(H38="Converted",H38="Lost"),"Closed lead",IF(H38="On Hold","On hold",IF(ISNUMBER(V38),IF(V38&lt;TODAY(),"Overdue",IF(V38=TODAY(),"Due today","Scheduled")),IF(COUNTIFS('Follow-ups'!$B$6:$B$205,A38,'Follow-ups'!$I$6:$I$205,"Open")&gt;0,"Set task due date","No open task")))))</x:f>
      </x:c>
      <x:c r="X38" s="235"/>
      <x:c r="Y38" s="235"/>
      <x:c r="Z38" s="235"/>
      <x:c r="AA38" s="315" t="str">
        <x:f>IF(A38="","",IF(COUNTIFS($A$6:$A$205,A38)&gt;1,"Duplicate ID",IF(B38="","Add name",IF(AND(C38="",D38=""),"Add phone or email",IF(H38="","Set lead stage",IF(NOT(ISNUMBER(R38)),"Add date added",IF(AND(ISNUMBER(N38),ISNUMBER(O38),N38&gt;O38),"Check budget range",IF(AND(H38="Lost",Y38=""),"Add lost reason",""))))))))</x:f>
      </x:c>
      <x:c r="AB38" s="791"/>
      <x:c r="AC38" s="791"/>
      <x:c r="AD38" s="791"/>
      <x:c r="AE38" s="791"/>
      <x:c r="AF38" s="791"/>
      <x:c r="AG38" s="791"/>
      <x:c r="AH38" s="791"/>
      <x:c r="AI38" s="791"/>
      <x:c r="AJ38" s="791"/>
      <x:c r="AK38" s="791"/>
      <x:c r="AL38" s="793" t="str">
        <x:f>IF($A38="","",IF(OR($H38="Lost",$H38="Converted"),"",IF(OR($C38&lt;&gt;"",$D38&lt;&gt;""),10,0)+IF(AND(ISNUMBER($O38),$O38&gt;0),20,0)+IF($AE38="Yes",15,0)+IF($AF38="Yes",15,IF($AF38="Joint",10,0))+IF(OR($AG38="Immediate",$AG38="0-30 days"),20,IF($AG38="1-3 months",10,0))+IF(OR($AC38="Cash",$AD38="Pre-approved",$AD38="Approved"),10,0)+IF(ISNUMBER($V38),10,0)))</x:f>
      </x:c>
      <x:c r="AM38" s="793" t="str">
        <x:f>IF($A38="","",IF($H38="Lost","Lost",IF($H38="Converted","Converted",IF(NOT(ISNUMBER($AL38)),"",IF($AL38&gt;=75,"Hot",IF($AL38&gt;=45,"Warm","Nurture"))))))</x:f>
      </x:c>
      <x:c r="AN38" s="794"/>
      <x:c r="AO38" s="791"/>
      <x:c r="AP38" s="791"/>
      <x:c r="AQ38" s="794"/>
      <x:c r="AR38" s="794"/>
      <x:c r="AS38" s="791"/>
    </x:row>
    <x:row r="39" ht="26" customHeight="1">
      <x:c r="A39" s="319"/>
      <x:c r="B39" s="320"/>
      <x:c r="C39" s="331"/>
      <x:c r="D39" s="274"/>
      <x:c r="E39" s="274"/>
      <x:c r="F39" s="274"/>
      <x:c r="G39" s="274"/>
      <x:c r="H39" s="274"/>
      <x:c r="I39" s="274"/>
      <x:c r="J39" s="274"/>
      <x:c r="K39" s="274"/>
      <x:c r="L39" s="274"/>
      <x:c r="M39" s="377"/>
      <x:c r="N39" s="302"/>
      <x:c r="O39" s="302"/>
      <x:c r="P39" s="274"/>
      <x:c r="Q39" s="304"/>
      <x:c r="R39" s="304"/>
      <x:c r="S39" s="274"/>
      <x:c r="T39" s="315" t="str">
        <x:f>IF(A39="","",IF(OR(AND(C39&lt;&gt;"",COUNTIFS($C$6:$C$205,C39)&gt;1),AND(D39&lt;&gt;"",COUNTIFS($D$6:$D$205,D39)&gt;1)),"Check duplicate",""))</x:f>
      </x:c>
      <x:c r="U39" s="374" t="str">
        <x:f>IF(A39="","",IF(COUNTIFS('Follow-ups'!$B$6:$B$205,A39,'Follow-ups'!$D$6:$D$205,"&gt;0",'Follow-ups'!$D$6:$D$205,"&lt;="&amp;TODAY())=0,"",_xlfn.MAXIFS('Follow-ups'!$D$6:$D$205,'Follow-ups'!$B$6:$B$205,A39,'Follow-ups'!$D$6:$D$205,"&lt;="&amp;TODAY())))</x:f>
      </x:c>
      <x:c r="V39" s="374" t="str">
        <x:f>IF(A39="","",IF(COUNTIFS('Follow-ups'!$B$6:$B$205,A39,'Follow-ups'!$I$6:$I$205,"Open",'Follow-ups'!$H$6:$H$205,"&gt;0")=0,"",_xlfn.MINIFS('Follow-ups'!$H$6:$H$205,'Follow-ups'!$B$6:$B$205,A39,'Follow-ups'!$I$6:$I$205,"Open",'Follow-ups'!$H$6:$H$205,"&gt;0")))</x:f>
      </x:c>
      <x:c r="W39" s="265" t="str">
        <x:f>IF(A39="","",IF(OR(H39="Converted",H39="Lost"),"Closed lead",IF(H39="On Hold","On hold",IF(ISNUMBER(V39),IF(V39&lt;TODAY(),"Overdue",IF(V39=TODAY(),"Due today","Scheduled")),IF(COUNTIFS('Follow-ups'!$B$6:$B$205,A39,'Follow-ups'!$I$6:$I$205,"Open")&gt;0,"Set task due date","No open task")))))</x:f>
      </x:c>
      <x:c r="X39" s="274"/>
      <x:c r="Y39" s="274"/>
      <x:c r="Z39" s="274"/>
      <x:c r="AA39" s="315" t="str">
        <x:f>IF(A39="","",IF(COUNTIFS($A$6:$A$205,A39)&gt;1,"Duplicate ID",IF(B39="","Add name",IF(AND(C39="",D39=""),"Add phone or email",IF(H39="","Set lead stage",IF(NOT(ISNUMBER(R39)),"Add date added",IF(AND(ISNUMBER(N39),ISNUMBER(O39),N39&gt;O39),"Check budget range",IF(AND(H39="Lost",Y39=""),"Add lost reason",""))))))))</x:f>
      </x:c>
      <x:c r="AB39" s="791"/>
      <x:c r="AC39" s="791"/>
      <x:c r="AD39" s="791"/>
      <x:c r="AE39" s="791"/>
      <x:c r="AF39" s="791"/>
      <x:c r="AG39" s="791"/>
      <x:c r="AH39" s="791"/>
      <x:c r="AI39" s="791"/>
      <x:c r="AJ39" s="791"/>
      <x:c r="AK39" s="791"/>
      <x:c r="AL39" s="793" t="str">
        <x:f>IF($A39="","",IF(OR($H39="Lost",$H39="Converted"),"",IF(OR($C39&lt;&gt;"",$D39&lt;&gt;""),10,0)+IF(AND(ISNUMBER($O39),$O39&gt;0),20,0)+IF($AE39="Yes",15,0)+IF($AF39="Yes",15,IF($AF39="Joint",10,0))+IF(OR($AG39="Immediate",$AG39="0-30 days"),20,IF($AG39="1-3 months",10,0))+IF(OR($AC39="Cash",$AD39="Pre-approved",$AD39="Approved"),10,0)+IF(ISNUMBER($V39),10,0)))</x:f>
      </x:c>
      <x:c r="AM39" s="793" t="str">
        <x:f>IF($A39="","",IF($H39="Lost","Lost",IF($H39="Converted","Converted",IF(NOT(ISNUMBER($AL39)),"",IF($AL39&gt;=75,"Hot",IF($AL39&gt;=45,"Warm","Nurture"))))))</x:f>
      </x:c>
      <x:c r="AN39" s="794"/>
      <x:c r="AO39" s="791"/>
      <x:c r="AP39" s="791"/>
      <x:c r="AQ39" s="794"/>
      <x:c r="AR39" s="794"/>
      <x:c r="AS39" s="791"/>
    </x:row>
    <x:row r="40" ht="26" customHeight="1">
      <x:c r="A40" s="317"/>
      <x:c r="B40" s="318"/>
      <x:c r="C40" s="327"/>
      <x:c r="D40" s="235"/>
      <x:c r="E40" s="235"/>
      <x:c r="F40" s="235"/>
      <x:c r="G40" s="235"/>
      <x:c r="H40" s="235"/>
      <x:c r="I40" s="235"/>
      <x:c r="J40" s="235"/>
      <x:c r="K40" s="235"/>
      <x:c r="L40" s="235"/>
      <x:c r="M40" s="376"/>
      <x:c r="N40" s="236"/>
      <x:c r="O40" s="236"/>
      <x:c r="P40" s="235"/>
      <x:c r="Q40" s="238"/>
      <x:c r="R40" s="238"/>
      <x:c r="S40" s="235"/>
      <x:c r="T40" s="315" t="str">
        <x:f>IF(A40="","",IF(OR(AND(C40&lt;&gt;"",COUNTIFS($C$6:$C$205,C40)&gt;1),AND(D40&lt;&gt;"",COUNTIFS($D$6:$D$205,D40)&gt;1)),"Check duplicate",""))</x:f>
      </x:c>
      <x:c r="U40" s="374" t="str">
        <x:f>IF(A40="","",IF(COUNTIFS('Follow-ups'!$B$6:$B$205,A40,'Follow-ups'!$D$6:$D$205,"&gt;0",'Follow-ups'!$D$6:$D$205,"&lt;="&amp;TODAY())=0,"",_xlfn.MAXIFS('Follow-ups'!$D$6:$D$205,'Follow-ups'!$B$6:$B$205,A40,'Follow-ups'!$D$6:$D$205,"&lt;="&amp;TODAY())))</x:f>
      </x:c>
      <x:c r="V40" s="374" t="str">
        <x:f>IF(A40="","",IF(COUNTIFS('Follow-ups'!$B$6:$B$205,A40,'Follow-ups'!$I$6:$I$205,"Open",'Follow-ups'!$H$6:$H$205,"&gt;0")=0,"",_xlfn.MINIFS('Follow-ups'!$H$6:$H$205,'Follow-ups'!$B$6:$B$205,A40,'Follow-ups'!$I$6:$I$205,"Open",'Follow-ups'!$H$6:$H$205,"&gt;0")))</x:f>
      </x:c>
      <x:c r="W40" s="265" t="str">
        <x:f>IF(A40="","",IF(OR(H40="Converted",H40="Lost"),"Closed lead",IF(H40="On Hold","On hold",IF(ISNUMBER(V40),IF(V40&lt;TODAY(),"Overdue",IF(V40=TODAY(),"Due today","Scheduled")),IF(COUNTIFS('Follow-ups'!$B$6:$B$205,A40,'Follow-ups'!$I$6:$I$205,"Open")&gt;0,"Set task due date","No open task")))))</x:f>
      </x:c>
      <x:c r="X40" s="235"/>
      <x:c r="Y40" s="235"/>
      <x:c r="Z40" s="235"/>
      <x:c r="AA40" s="315" t="str">
        <x:f>IF(A40="","",IF(COUNTIFS($A$6:$A$205,A40)&gt;1,"Duplicate ID",IF(B40="","Add name",IF(AND(C40="",D40=""),"Add phone or email",IF(H40="","Set lead stage",IF(NOT(ISNUMBER(R40)),"Add date added",IF(AND(ISNUMBER(N40),ISNUMBER(O40),N40&gt;O40),"Check budget range",IF(AND(H40="Lost",Y40=""),"Add lost reason",""))))))))</x:f>
      </x:c>
      <x:c r="AB40" s="791"/>
      <x:c r="AC40" s="791"/>
      <x:c r="AD40" s="791"/>
      <x:c r="AE40" s="791"/>
      <x:c r="AF40" s="791"/>
      <x:c r="AG40" s="791"/>
      <x:c r="AH40" s="791"/>
      <x:c r="AI40" s="791"/>
      <x:c r="AJ40" s="791"/>
      <x:c r="AK40" s="791"/>
      <x:c r="AL40" s="793" t="str">
        <x:f>IF($A40="","",IF(OR($H40="Lost",$H40="Converted"),"",IF(OR($C40&lt;&gt;"",$D40&lt;&gt;""),10,0)+IF(AND(ISNUMBER($O40),$O40&gt;0),20,0)+IF($AE40="Yes",15,0)+IF($AF40="Yes",15,IF($AF40="Joint",10,0))+IF(OR($AG40="Immediate",$AG40="0-30 days"),20,IF($AG40="1-3 months",10,0))+IF(OR($AC40="Cash",$AD40="Pre-approved",$AD40="Approved"),10,0)+IF(ISNUMBER($V40),10,0)))</x:f>
      </x:c>
      <x:c r="AM40" s="793" t="str">
        <x:f>IF($A40="","",IF($H40="Lost","Lost",IF($H40="Converted","Converted",IF(NOT(ISNUMBER($AL40)),"",IF($AL40&gt;=75,"Hot",IF($AL40&gt;=45,"Warm","Nurture"))))))</x:f>
      </x:c>
      <x:c r="AN40" s="794"/>
      <x:c r="AO40" s="791"/>
      <x:c r="AP40" s="791"/>
      <x:c r="AQ40" s="794"/>
      <x:c r="AR40" s="794"/>
      <x:c r="AS40" s="791"/>
    </x:row>
    <x:row r="41" ht="26" customHeight="1">
      <x:c r="A41" s="319"/>
      <x:c r="B41" s="320"/>
      <x:c r="C41" s="331"/>
      <x:c r="D41" s="274"/>
      <x:c r="E41" s="274"/>
      <x:c r="F41" s="274"/>
      <x:c r="G41" s="274"/>
      <x:c r="H41" s="274"/>
      <x:c r="I41" s="274"/>
      <x:c r="J41" s="274"/>
      <x:c r="K41" s="274"/>
      <x:c r="L41" s="274"/>
      <x:c r="M41" s="377"/>
      <x:c r="N41" s="302"/>
      <x:c r="O41" s="302"/>
      <x:c r="P41" s="274"/>
      <x:c r="Q41" s="304"/>
      <x:c r="R41" s="304"/>
      <x:c r="S41" s="274"/>
      <x:c r="T41" s="315" t="str">
        <x:f>IF(A41="","",IF(OR(AND(C41&lt;&gt;"",COUNTIFS($C$6:$C$205,C41)&gt;1),AND(D41&lt;&gt;"",COUNTIFS($D$6:$D$205,D41)&gt;1)),"Check duplicate",""))</x:f>
      </x:c>
      <x:c r="U41" s="374" t="str">
        <x:f>IF(A41="","",IF(COUNTIFS('Follow-ups'!$B$6:$B$205,A41,'Follow-ups'!$D$6:$D$205,"&gt;0",'Follow-ups'!$D$6:$D$205,"&lt;="&amp;TODAY())=0,"",_xlfn.MAXIFS('Follow-ups'!$D$6:$D$205,'Follow-ups'!$B$6:$B$205,A41,'Follow-ups'!$D$6:$D$205,"&lt;="&amp;TODAY())))</x:f>
      </x:c>
      <x:c r="V41" s="374" t="str">
        <x:f>IF(A41="","",IF(COUNTIFS('Follow-ups'!$B$6:$B$205,A41,'Follow-ups'!$I$6:$I$205,"Open",'Follow-ups'!$H$6:$H$205,"&gt;0")=0,"",_xlfn.MINIFS('Follow-ups'!$H$6:$H$205,'Follow-ups'!$B$6:$B$205,A41,'Follow-ups'!$I$6:$I$205,"Open",'Follow-ups'!$H$6:$H$205,"&gt;0")))</x:f>
      </x:c>
      <x:c r="W41" s="265" t="str">
        <x:f>IF(A41="","",IF(OR(H41="Converted",H41="Lost"),"Closed lead",IF(H41="On Hold","On hold",IF(ISNUMBER(V41),IF(V41&lt;TODAY(),"Overdue",IF(V41=TODAY(),"Due today","Scheduled")),IF(COUNTIFS('Follow-ups'!$B$6:$B$205,A41,'Follow-ups'!$I$6:$I$205,"Open")&gt;0,"Set task due date","No open task")))))</x:f>
      </x:c>
      <x:c r="X41" s="274"/>
      <x:c r="Y41" s="274"/>
      <x:c r="Z41" s="274"/>
      <x:c r="AA41" s="315" t="str">
        <x:f>IF(A41="","",IF(COUNTIFS($A$6:$A$205,A41)&gt;1,"Duplicate ID",IF(B41="","Add name",IF(AND(C41="",D41=""),"Add phone or email",IF(H41="","Set lead stage",IF(NOT(ISNUMBER(R41)),"Add date added",IF(AND(ISNUMBER(N41),ISNUMBER(O41),N41&gt;O41),"Check budget range",IF(AND(H41="Lost",Y41=""),"Add lost reason",""))))))))</x:f>
      </x:c>
      <x:c r="AB41" s="791"/>
      <x:c r="AC41" s="791"/>
      <x:c r="AD41" s="791"/>
      <x:c r="AE41" s="791"/>
      <x:c r="AF41" s="791"/>
      <x:c r="AG41" s="791"/>
      <x:c r="AH41" s="791"/>
      <x:c r="AI41" s="791"/>
      <x:c r="AJ41" s="791"/>
      <x:c r="AK41" s="791"/>
      <x:c r="AL41" s="793" t="str">
        <x:f>IF($A41="","",IF(OR($H41="Lost",$H41="Converted"),"",IF(OR($C41&lt;&gt;"",$D41&lt;&gt;""),10,0)+IF(AND(ISNUMBER($O41),$O41&gt;0),20,0)+IF($AE41="Yes",15,0)+IF($AF41="Yes",15,IF($AF41="Joint",10,0))+IF(OR($AG41="Immediate",$AG41="0-30 days"),20,IF($AG41="1-3 months",10,0))+IF(OR($AC41="Cash",$AD41="Pre-approved",$AD41="Approved"),10,0)+IF(ISNUMBER($V41),10,0)))</x:f>
      </x:c>
      <x:c r="AM41" s="793" t="str">
        <x:f>IF($A41="","",IF($H41="Lost","Lost",IF($H41="Converted","Converted",IF(NOT(ISNUMBER($AL41)),"",IF($AL41&gt;=75,"Hot",IF($AL41&gt;=45,"Warm","Nurture"))))))</x:f>
      </x:c>
      <x:c r="AN41" s="794"/>
      <x:c r="AO41" s="791"/>
      <x:c r="AP41" s="791"/>
      <x:c r="AQ41" s="794"/>
      <x:c r="AR41" s="794"/>
      <x:c r="AS41" s="791"/>
    </x:row>
    <x:row r="42" ht="26" customHeight="1">
      <x:c r="A42" s="317"/>
      <x:c r="B42" s="318"/>
      <x:c r="C42" s="327"/>
      <x:c r="D42" s="235"/>
      <x:c r="E42" s="235"/>
      <x:c r="F42" s="235"/>
      <x:c r="G42" s="235"/>
      <x:c r="H42" s="235"/>
      <x:c r="I42" s="235"/>
      <x:c r="J42" s="235"/>
      <x:c r="K42" s="235"/>
      <x:c r="L42" s="235"/>
      <x:c r="M42" s="376"/>
      <x:c r="N42" s="236"/>
      <x:c r="O42" s="236"/>
      <x:c r="P42" s="235"/>
      <x:c r="Q42" s="238"/>
      <x:c r="R42" s="238"/>
      <x:c r="S42" s="235"/>
      <x:c r="T42" s="315" t="str">
        <x:f>IF(A42="","",IF(OR(AND(C42&lt;&gt;"",COUNTIFS($C$6:$C$205,C42)&gt;1),AND(D42&lt;&gt;"",COUNTIFS($D$6:$D$205,D42)&gt;1)),"Check duplicate",""))</x:f>
      </x:c>
      <x:c r="U42" s="374" t="str">
        <x:f>IF(A42="","",IF(COUNTIFS('Follow-ups'!$B$6:$B$205,A42,'Follow-ups'!$D$6:$D$205,"&gt;0",'Follow-ups'!$D$6:$D$205,"&lt;="&amp;TODAY())=0,"",_xlfn.MAXIFS('Follow-ups'!$D$6:$D$205,'Follow-ups'!$B$6:$B$205,A42,'Follow-ups'!$D$6:$D$205,"&lt;="&amp;TODAY())))</x:f>
      </x:c>
      <x:c r="V42" s="374" t="str">
        <x:f>IF(A42="","",IF(COUNTIFS('Follow-ups'!$B$6:$B$205,A42,'Follow-ups'!$I$6:$I$205,"Open",'Follow-ups'!$H$6:$H$205,"&gt;0")=0,"",_xlfn.MINIFS('Follow-ups'!$H$6:$H$205,'Follow-ups'!$B$6:$B$205,A42,'Follow-ups'!$I$6:$I$205,"Open",'Follow-ups'!$H$6:$H$205,"&gt;0")))</x:f>
      </x:c>
      <x:c r="W42" s="265" t="str">
        <x:f>IF(A42="","",IF(OR(H42="Converted",H42="Lost"),"Closed lead",IF(H42="On Hold","On hold",IF(ISNUMBER(V42),IF(V42&lt;TODAY(),"Overdue",IF(V42=TODAY(),"Due today","Scheduled")),IF(COUNTIFS('Follow-ups'!$B$6:$B$205,A42,'Follow-ups'!$I$6:$I$205,"Open")&gt;0,"Set task due date","No open task")))))</x:f>
      </x:c>
      <x:c r="X42" s="235"/>
      <x:c r="Y42" s="235"/>
      <x:c r="Z42" s="235"/>
      <x:c r="AA42" s="315" t="str">
        <x:f>IF(A42="","",IF(COUNTIFS($A$6:$A$205,A42)&gt;1,"Duplicate ID",IF(B42="","Add name",IF(AND(C42="",D42=""),"Add phone or email",IF(H42="","Set lead stage",IF(NOT(ISNUMBER(R42)),"Add date added",IF(AND(ISNUMBER(N42),ISNUMBER(O42),N42&gt;O42),"Check budget range",IF(AND(H42="Lost",Y42=""),"Add lost reason",""))))))))</x:f>
      </x:c>
      <x:c r="AB42" s="791"/>
      <x:c r="AC42" s="791"/>
      <x:c r="AD42" s="791"/>
      <x:c r="AE42" s="791"/>
      <x:c r="AF42" s="791"/>
      <x:c r="AG42" s="791"/>
      <x:c r="AH42" s="791"/>
      <x:c r="AI42" s="791"/>
      <x:c r="AJ42" s="791"/>
      <x:c r="AK42" s="791"/>
      <x:c r="AL42" s="793" t="str">
        <x:f>IF($A42="","",IF(OR($H42="Lost",$H42="Converted"),"",IF(OR($C42&lt;&gt;"",$D42&lt;&gt;""),10,0)+IF(AND(ISNUMBER($O42),$O42&gt;0),20,0)+IF($AE42="Yes",15,0)+IF($AF42="Yes",15,IF($AF42="Joint",10,0))+IF(OR($AG42="Immediate",$AG42="0-30 days"),20,IF($AG42="1-3 months",10,0))+IF(OR($AC42="Cash",$AD42="Pre-approved",$AD42="Approved"),10,0)+IF(ISNUMBER($V42),10,0)))</x:f>
      </x:c>
      <x:c r="AM42" s="793" t="str">
        <x:f>IF($A42="","",IF($H42="Lost","Lost",IF($H42="Converted","Converted",IF(NOT(ISNUMBER($AL42)),"",IF($AL42&gt;=75,"Hot",IF($AL42&gt;=45,"Warm","Nurture"))))))</x:f>
      </x:c>
      <x:c r="AN42" s="794"/>
      <x:c r="AO42" s="791"/>
      <x:c r="AP42" s="791"/>
      <x:c r="AQ42" s="794"/>
      <x:c r="AR42" s="794"/>
      <x:c r="AS42" s="791"/>
    </x:row>
    <x:row r="43" ht="26" customHeight="1">
      <x:c r="A43" s="319"/>
      <x:c r="B43" s="320"/>
      <x:c r="C43" s="331"/>
      <x:c r="D43" s="274"/>
      <x:c r="E43" s="274"/>
      <x:c r="F43" s="274"/>
      <x:c r="G43" s="274"/>
      <x:c r="H43" s="274"/>
      <x:c r="I43" s="274"/>
      <x:c r="J43" s="274"/>
      <x:c r="K43" s="274"/>
      <x:c r="L43" s="274"/>
      <x:c r="M43" s="377"/>
      <x:c r="N43" s="302"/>
      <x:c r="O43" s="302"/>
      <x:c r="P43" s="274"/>
      <x:c r="Q43" s="304"/>
      <x:c r="R43" s="304"/>
      <x:c r="S43" s="274"/>
      <x:c r="T43" s="315" t="str">
        <x:f>IF(A43="","",IF(OR(AND(C43&lt;&gt;"",COUNTIFS($C$6:$C$205,C43)&gt;1),AND(D43&lt;&gt;"",COUNTIFS($D$6:$D$205,D43)&gt;1)),"Check duplicate",""))</x:f>
      </x:c>
      <x:c r="U43" s="374" t="str">
        <x:f>IF(A43="","",IF(COUNTIFS('Follow-ups'!$B$6:$B$205,A43,'Follow-ups'!$D$6:$D$205,"&gt;0",'Follow-ups'!$D$6:$D$205,"&lt;="&amp;TODAY())=0,"",_xlfn.MAXIFS('Follow-ups'!$D$6:$D$205,'Follow-ups'!$B$6:$B$205,A43,'Follow-ups'!$D$6:$D$205,"&lt;="&amp;TODAY())))</x:f>
      </x:c>
      <x:c r="V43" s="374" t="str">
        <x:f>IF(A43="","",IF(COUNTIFS('Follow-ups'!$B$6:$B$205,A43,'Follow-ups'!$I$6:$I$205,"Open",'Follow-ups'!$H$6:$H$205,"&gt;0")=0,"",_xlfn.MINIFS('Follow-ups'!$H$6:$H$205,'Follow-ups'!$B$6:$B$205,A43,'Follow-ups'!$I$6:$I$205,"Open",'Follow-ups'!$H$6:$H$205,"&gt;0")))</x:f>
      </x:c>
      <x:c r="W43" s="265" t="str">
        <x:f>IF(A43="","",IF(OR(H43="Converted",H43="Lost"),"Closed lead",IF(H43="On Hold","On hold",IF(ISNUMBER(V43),IF(V43&lt;TODAY(),"Overdue",IF(V43=TODAY(),"Due today","Scheduled")),IF(COUNTIFS('Follow-ups'!$B$6:$B$205,A43,'Follow-ups'!$I$6:$I$205,"Open")&gt;0,"Set task due date","No open task")))))</x:f>
      </x:c>
      <x:c r="X43" s="274"/>
      <x:c r="Y43" s="274"/>
      <x:c r="Z43" s="274"/>
      <x:c r="AA43" s="315" t="str">
        <x:f>IF(A43="","",IF(COUNTIFS($A$6:$A$205,A43)&gt;1,"Duplicate ID",IF(B43="","Add name",IF(AND(C43="",D43=""),"Add phone or email",IF(H43="","Set lead stage",IF(NOT(ISNUMBER(R43)),"Add date added",IF(AND(ISNUMBER(N43),ISNUMBER(O43),N43&gt;O43),"Check budget range",IF(AND(H43="Lost",Y43=""),"Add lost reason",""))))))))</x:f>
      </x:c>
      <x:c r="AB43" s="791"/>
      <x:c r="AC43" s="791"/>
      <x:c r="AD43" s="791"/>
      <x:c r="AE43" s="791"/>
      <x:c r="AF43" s="791"/>
      <x:c r="AG43" s="791"/>
      <x:c r="AH43" s="791"/>
      <x:c r="AI43" s="791"/>
      <x:c r="AJ43" s="791"/>
      <x:c r="AK43" s="791"/>
      <x:c r="AL43" s="793" t="str">
        <x:f>IF($A43="","",IF(OR($H43="Lost",$H43="Converted"),"",IF(OR($C43&lt;&gt;"",$D43&lt;&gt;""),10,0)+IF(AND(ISNUMBER($O43),$O43&gt;0),20,0)+IF($AE43="Yes",15,0)+IF($AF43="Yes",15,IF($AF43="Joint",10,0))+IF(OR($AG43="Immediate",$AG43="0-30 days"),20,IF($AG43="1-3 months",10,0))+IF(OR($AC43="Cash",$AD43="Pre-approved",$AD43="Approved"),10,0)+IF(ISNUMBER($V43),10,0)))</x:f>
      </x:c>
      <x:c r="AM43" s="793" t="str">
        <x:f>IF($A43="","",IF($H43="Lost","Lost",IF($H43="Converted","Converted",IF(NOT(ISNUMBER($AL43)),"",IF($AL43&gt;=75,"Hot",IF($AL43&gt;=45,"Warm","Nurture"))))))</x:f>
      </x:c>
      <x:c r="AN43" s="794"/>
      <x:c r="AO43" s="791"/>
      <x:c r="AP43" s="791"/>
      <x:c r="AQ43" s="794"/>
      <x:c r="AR43" s="794"/>
      <x:c r="AS43" s="791"/>
    </x:row>
    <x:row r="44" ht="26" customHeight="1">
      <x:c r="A44" s="317"/>
      <x:c r="B44" s="318"/>
      <x:c r="C44" s="327"/>
      <x:c r="D44" s="235"/>
      <x:c r="E44" s="235"/>
      <x:c r="F44" s="235"/>
      <x:c r="G44" s="235"/>
      <x:c r="H44" s="235"/>
      <x:c r="I44" s="235"/>
      <x:c r="J44" s="235"/>
      <x:c r="K44" s="235"/>
      <x:c r="L44" s="235"/>
      <x:c r="M44" s="376"/>
      <x:c r="N44" s="236"/>
      <x:c r="O44" s="236"/>
      <x:c r="P44" s="235"/>
      <x:c r="Q44" s="238"/>
      <x:c r="R44" s="238"/>
      <x:c r="S44" s="235"/>
      <x:c r="T44" s="315" t="str">
        <x:f>IF(A44="","",IF(OR(AND(C44&lt;&gt;"",COUNTIFS($C$6:$C$205,C44)&gt;1),AND(D44&lt;&gt;"",COUNTIFS($D$6:$D$205,D44)&gt;1)),"Check duplicate",""))</x:f>
      </x:c>
      <x:c r="U44" s="374" t="str">
        <x:f>IF(A44="","",IF(COUNTIFS('Follow-ups'!$B$6:$B$205,A44,'Follow-ups'!$D$6:$D$205,"&gt;0",'Follow-ups'!$D$6:$D$205,"&lt;="&amp;TODAY())=0,"",_xlfn.MAXIFS('Follow-ups'!$D$6:$D$205,'Follow-ups'!$B$6:$B$205,A44,'Follow-ups'!$D$6:$D$205,"&lt;="&amp;TODAY())))</x:f>
      </x:c>
      <x:c r="V44" s="374" t="str">
        <x:f>IF(A44="","",IF(COUNTIFS('Follow-ups'!$B$6:$B$205,A44,'Follow-ups'!$I$6:$I$205,"Open",'Follow-ups'!$H$6:$H$205,"&gt;0")=0,"",_xlfn.MINIFS('Follow-ups'!$H$6:$H$205,'Follow-ups'!$B$6:$B$205,A44,'Follow-ups'!$I$6:$I$205,"Open",'Follow-ups'!$H$6:$H$205,"&gt;0")))</x:f>
      </x:c>
      <x:c r="W44" s="265" t="str">
        <x:f>IF(A44="","",IF(OR(H44="Converted",H44="Lost"),"Closed lead",IF(H44="On Hold","On hold",IF(ISNUMBER(V44),IF(V44&lt;TODAY(),"Overdue",IF(V44=TODAY(),"Due today","Scheduled")),IF(COUNTIFS('Follow-ups'!$B$6:$B$205,A44,'Follow-ups'!$I$6:$I$205,"Open")&gt;0,"Set task due date","No open task")))))</x:f>
      </x:c>
      <x:c r="X44" s="235"/>
      <x:c r="Y44" s="235"/>
      <x:c r="Z44" s="235"/>
      <x:c r="AA44" s="315" t="str">
        <x:f>IF(A44="","",IF(COUNTIFS($A$6:$A$205,A44)&gt;1,"Duplicate ID",IF(B44="","Add name",IF(AND(C44="",D44=""),"Add phone or email",IF(H44="","Set lead stage",IF(NOT(ISNUMBER(R44)),"Add date added",IF(AND(ISNUMBER(N44),ISNUMBER(O44),N44&gt;O44),"Check budget range",IF(AND(H44="Lost",Y44=""),"Add lost reason",""))))))))</x:f>
      </x:c>
      <x:c r="AB44" s="791"/>
      <x:c r="AC44" s="791"/>
      <x:c r="AD44" s="791"/>
      <x:c r="AE44" s="791"/>
      <x:c r="AF44" s="791"/>
      <x:c r="AG44" s="791"/>
      <x:c r="AH44" s="791"/>
      <x:c r="AI44" s="791"/>
      <x:c r="AJ44" s="791"/>
      <x:c r="AK44" s="791"/>
      <x:c r="AL44" s="793" t="str">
        <x:f>IF($A44="","",IF(OR($H44="Lost",$H44="Converted"),"",IF(OR($C44&lt;&gt;"",$D44&lt;&gt;""),10,0)+IF(AND(ISNUMBER($O44),$O44&gt;0),20,0)+IF($AE44="Yes",15,0)+IF($AF44="Yes",15,IF($AF44="Joint",10,0))+IF(OR($AG44="Immediate",$AG44="0-30 days"),20,IF($AG44="1-3 months",10,0))+IF(OR($AC44="Cash",$AD44="Pre-approved",$AD44="Approved"),10,0)+IF(ISNUMBER($V44),10,0)))</x:f>
      </x:c>
      <x:c r="AM44" s="793" t="str">
        <x:f>IF($A44="","",IF($H44="Lost","Lost",IF($H44="Converted","Converted",IF(NOT(ISNUMBER($AL44)),"",IF($AL44&gt;=75,"Hot",IF($AL44&gt;=45,"Warm","Nurture"))))))</x:f>
      </x:c>
      <x:c r="AN44" s="794"/>
      <x:c r="AO44" s="791"/>
      <x:c r="AP44" s="791"/>
      <x:c r="AQ44" s="794"/>
      <x:c r="AR44" s="794"/>
      <x:c r="AS44" s="791"/>
    </x:row>
    <x:row r="45" ht="26" customHeight="1">
      <x:c r="A45" s="319"/>
      <x:c r="B45" s="320"/>
      <x:c r="C45" s="331"/>
      <x:c r="D45" s="274"/>
      <x:c r="E45" s="274"/>
      <x:c r="F45" s="274"/>
      <x:c r="G45" s="274"/>
      <x:c r="H45" s="274"/>
      <x:c r="I45" s="274"/>
      <x:c r="J45" s="274"/>
      <x:c r="K45" s="274"/>
      <x:c r="L45" s="274"/>
      <x:c r="M45" s="377"/>
      <x:c r="N45" s="302"/>
      <x:c r="O45" s="302"/>
      <x:c r="P45" s="274"/>
      <x:c r="Q45" s="304"/>
      <x:c r="R45" s="304"/>
      <x:c r="S45" s="274"/>
      <x:c r="T45" s="315" t="str">
        <x:f>IF(A45="","",IF(OR(AND(C45&lt;&gt;"",COUNTIFS($C$6:$C$205,C45)&gt;1),AND(D45&lt;&gt;"",COUNTIFS($D$6:$D$205,D45)&gt;1)),"Check duplicate",""))</x:f>
      </x:c>
      <x:c r="U45" s="374" t="str">
        <x:f>IF(A45="","",IF(COUNTIFS('Follow-ups'!$B$6:$B$205,A45,'Follow-ups'!$D$6:$D$205,"&gt;0",'Follow-ups'!$D$6:$D$205,"&lt;="&amp;TODAY())=0,"",_xlfn.MAXIFS('Follow-ups'!$D$6:$D$205,'Follow-ups'!$B$6:$B$205,A45,'Follow-ups'!$D$6:$D$205,"&lt;="&amp;TODAY())))</x:f>
      </x:c>
      <x:c r="V45" s="374" t="str">
        <x:f>IF(A45="","",IF(COUNTIFS('Follow-ups'!$B$6:$B$205,A45,'Follow-ups'!$I$6:$I$205,"Open",'Follow-ups'!$H$6:$H$205,"&gt;0")=0,"",_xlfn.MINIFS('Follow-ups'!$H$6:$H$205,'Follow-ups'!$B$6:$B$205,A45,'Follow-ups'!$I$6:$I$205,"Open",'Follow-ups'!$H$6:$H$205,"&gt;0")))</x:f>
      </x:c>
      <x:c r="W45" s="265" t="str">
        <x:f>IF(A45="","",IF(OR(H45="Converted",H45="Lost"),"Closed lead",IF(H45="On Hold","On hold",IF(ISNUMBER(V45),IF(V45&lt;TODAY(),"Overdue",IF(V45=TODAY(),"Due today","Scheduled")),IF(COUNTIFS('Follow-ups'!$B$6:$B$205,A45,'Follow-ups'!$I$6:$I$205,"Open")&gt;0,"Set task due date","No open task")))))</x:f>
      </x:c>
      <x:c r="X45" s="274"/>
      <x:c r="Y45" s="274"/>
      <x:c r="Z45" s="274"/>
      <x:c r="AA45" s="315" t="str">
        <x:f>IF(A45="","",IF(COUNTIFS($A$6:$A$205,A45)&gt;1,"Duplicate ID",IF(B45="","Add name",IF(AND(C45="",D45=""),"Add phone or email",IF(H45="","Set lead stage",IF(NOT(ISNUMBER(R45)),"Add date added",IF(AND(ISNUMBER(N45),ISNUMBER(O45),N45&gt;O45),"Check budget range",IF(AND(H45="Lost",Y45=""),"Add lost reason",""))))))))</x:f>
      </x:c>
      <x:c r="AB45" s="791"/>
      <x:c r="AC45" s="791"/>
      <x:c r="AD45" s="791"/>
      <x:c r="AE45" s="791"/>
      <x:c r="AF45" s="791"/>
      <x:c r="AG45" s="791"/>
      <x:c r="AH45" s="791"/>
      <x:c r="AI45" s="791"/>
      <x:c r="AJ45" s="791"/>
      <x:c r="AK45" s="791"/>
      <x:c r="AL45" s="793" t="str">
        <x:f>IF($A45="","",IF(OR($H45="Lost",$H45="Converted"),"",IF(OR($C45&lt;&gt;"",$D45&lt;&gt;""),10,0)+IF(AND(ISNUMBER($O45),$O45&gt;0),20,0)+IF($AE45="Yes",15,0)+IF($AF45="Yes",15,IF($AF45="Joint",10,0))+IF(OR($AG45="Immediate",$AG45="0-30 days"),20,IF($AG45="1-3 months",10,0))+IF(OR($AC45="Cash",$AD45="Pre-approved",$AD45="Approved"),10,0)+IF(ISNUMBER($V45),10,0)))</x:f>
      </x:c>
      <x:c r="AM45" s="793" t="str">
        <x:f>IF($A45="","",IF($H45="Lost","Lost",IF($H45="Converted","Converted",IF(NOT(ISNUMBER($AL45)),"",IF($AL45&gt;=75,"Hot",IF($AL45&gt;=45,"Warm","Nurture"))))))</x:f>
      </x:c>
      <x:c r="AN45" s="794"/>
      <x:c r="AO45" s="791"/>
      <x:c r="AP45" s="791"/>
      <x:c r="AQ45" s="794"/>
      <x:c r="AR45" s="794"/>
      <x:c r="AS45" s="791"/>
    </x:row>
    <x:row r="46" ht="26" customHeight="1">
      <x:c r="A46" s="317"/>
      <x:c r="B46" s="318"/>
      <x:c r="C46" s="327"/>
      <x:c r="D46" s="235"/>
      <x:c r="E46" s="235"/>
      <x:c r="F46" s="235"/>
      <x:c r="G46" s="235"/>
      <x:c r="H46" s="235"/>
      <x:c r="I46" s="235"/>
      <x:c r="J46" s="235"/>
      <x:c r="K46" s="235"/>
      <x:c r="L46" s="235"/>
      <x:c r="M46" s="376"/>
      <x:c r="N46" s="236"/>
      <x:c r="O46" s="236"/>
      <x:c r="P46" s="235"/>
      <x:c r="Q46" s="238"/>
      <x:c r="R46" s="238"/>
      <x:c r="S46" s="235"/>
      <x:c r="T46" s="315" t="str">
        <x:f>IF(A46="","",IF(OR(AND(C46&lt;&gt;"",COUNTIFS($C$6:$C$205,C46)&gt;1),AND(D46&lt;&gt;"",COUNTIFS($D$6:$D$205,D46)&gt;1)),"Check duplicate",""))</x:f>
      </x:c>
      <x:c r="U46" s="374" t="str">
        <x:f>IF(A46="","",IF(COUNTIFS('Follow-ups'!$B$6:$B$205,A46,'Follow-ups'!$D$6:$D$205,"&gt;0",'Follow-ups'!$D$6:$D$205,"&lt;="&amp;TODAY())=0,"",_xlfn.MAXIFS('Follow-ups'!$D$6:$D$205,'Follow-ups'!$B$6:$B$205,A46,'Follow-ups'!$D$6:$D$205,"&lt;="&amp;TODAY())))</x:f>
      </x:c>
      <x:c r="V46" s="374" t="str">
        <x:f>IF(A46="","",IF(COUNTIFS('Follow-ups'!$B$6:$B$205,A46,'Follow-ups'!$I$6:$I$205,"Open",'Follow-ups'!$H$6:$H$205,"&gt;0")=0,"",_xlfn.MINIFS('Follow-ups'!$H$6:$H$205,'Follow-ups'!$B$6:$B$205,A46,'Follow-ups'!$I$6:$I$205,"Open",'Follow-ups'!$H$6:$H$205,"&gt;0")))</x:f>
      </x:c>
      <x:c r="W46" s="265" t="str">
        <x:f>IF(A46="","",IF(OR(H46="Converted",H46="Lost"),"Closed lead",IF(H46="On Hold","On hold",IF(ISNUMBER(V46),IF(V46&lt;TODAY(),"Overdue",IF(V46=TODAY(),"Due today","Scheduled")),IF(COUNTIFS('Follow-ups'!$B$6:$B$205,A46,'Follow-ups'!$I$6:$I$205,"Open")&gt;0,"Set task due date","No open task")))))</x:f>
      </x:c>
      <x:c r="X46" s="235"/>
      <x:c r="Y46" s="235"/>
      <x:c r="Z46" s="235"/>
      <x:c r="AA46" s="315" t="str">
        <x:f>IF(A46="","",IF(COUNTIFS($A$6:$A$205,A46)&gt;1,"Duplicate ID",IF(B46="","Add name",IF(AND(C46="",D46=""),"Add phone or email",IF(H46="","Set lead stage",IF(NOT(ISNUMBER(R46)),"Add date added",IF(AND(ISNUMBER(N46),ISNUMBER(O46),N46&gt;O46),"Check budget range",IF(AND(H46="Lost",Y46=""),"Add lost reason",""))))))))</x:f>
      </x:c>
      <x:c r="AB46" s="791"/>
      <x:c r="AC46" s="791"/>
      <x:c r="AD46" s="791"/>
      <x:c r="AE46" s="791"/>
      <x:c r="AF46" s="791"/>
      <x:c r="AG46" s="791"/>
      <x:c r="AH46" s="791"/>
      <x:c r="AI46" s="791"/>
      <x:c r="AJ46" s="791"/>
      <x:c r="AK46" s="791"/>
      <x:c r="AL46" s="793" t="str">
        <x:f>IF($A46="","",IF(OR($H46="Lost",$H46="Converted"),"",IF(OR($C46&lt;&gt;"",$D46&lt;&gt;""),10,0)+IF(AND(ISNUMBER($O46),$O46&gt;0),20,0)+IF($AE46="Yes",15,0)+IF($AF46="Yes",15,IF($AF46="Joint",10,0))+IF(OR($AG46="Immediate",$AG46="0-30 days"),20,IF($AG46="1-3 months",10,0))+IF(OR($AC46="Cash",$AD46="Pre-approved",$AD46="Approved"),10,0)+IF(ISNUMBER($V46),10,0)))</x:f>
      </x:c>
      <x:c r="AM46" s="793" t="str">
        <x:f>IF($A46="","",IF($H46="Lost","Lost",IF($H46="Converted","Converted",IF(NOT(ISNUMBER($AL46)),"",IF($AL46&gt;=75,"Hot",IF($AL46&gt;=45,"Warm","Nurture"))))))</x:f>
      </x:c>
      <x:c r="AN46" s="794"/>
      <x:c r="AO46" s="791"/>
      <x:c r="AP46" s="791"/>
      <x:c r="AQ46" s="794"/>
      <x:c r="AR46" s="794"/>
      <x:c r="AS46" s="791"/>
    </x:row>
    <x:row r="47" ht="26" customHeight="1">
      <x:c r="A47" s="319"/>
      <x:c r="B47" s="320"/>
      <x:c r="C47" s="331"/>
      <x:c r="D47" s="274"/>
      <x:c r="E47" s="274"/>
      <x:c r="F47" s="274"/>
      <x:c r="G47" s="274"/>
      <x:c r="H47" s="274"/>
      <x:c r="I47" s="274"/>
      <x:c r="J47" s="274"/>
      <x:c r="K47" s="274"/>
      <x:c r="L47" s="274"/>
      <x:c r="M47" s="377"/>
      <x:c r="N47" s="302"/>
      <x:c r="O47" s="302"/>
      <x:c r="P47" s="274"/>
      <x:c r="Q47" s="304"/>
      <x:c r="R47" s="304"/>
      <x:c r="S47" s="274"/>
      <x:c r="T47" s="315" t="str">
        <x:f>IF(A47="","",IF(OR(AND(C47&lt;&gt;"",COUNTIFS($C$6:$C$205,C47)&gt;1),AND(D47&lt;&gt;"",COUNTIFS($D$6:$D$205,D47)&gt;1)),"Check duplicate",""))</x:f>
      </x:c>
      <x:c r="U47" s="374" t="str">
        <x:f>IF(A47="","",IF(COUNTIFS('Follow-ups'!$B$6:$B$205,A47,'Follow-ups'!$D$6:$D$205,"&gt;0",'Follow-ups'!$D$6:$D$205,"&lt;="&amp;TODAY())=0,"",_xlfn.MAXIFS('Follow-ups'!$D$6:$D$205,'Follow-ups'!$B$6:$B$205,A47,'Follow-ups'!$D$6:$D$205,"&lt;="&amp;TODAY())))</x:f>
      </x:c>
      <x:c r="V47" s="374" t="str">
        <x:f>IF(A47="","",IF(COUNTIFS('Follow-ups'!$B$6:$B$205,A47,'Follow-ups'!$I$6:$I$205,"Open",'Follow-ups'!$H$6:$H$205,"&gt;0")=0,"",_xlfn.MINIFS('Follow-ups'!$H$6:$H$205,'Follow-ups'!$B$6:$B$205,A47,'Follow-ups'!$I$6:$I$205,"Open",'Follow-ups'!$H$6:$H$205,"&gt;0")))</x:f>
      </x:c>
      <x:c r="W47" s="265" t="str">
        <x:f>IF(A47="","",IF(OR(H47="Converted",H47="Lost"),"Closed lead",IF(H47="On Hold","On hold",IF(ISNUMBER(V47),IF(V47&lt;TODAY(),"Overdue",IF(V47=TODAY(),"Due today","Scheduled")),IF(COUNTIFS('Follow-ups'!$B$6:$B$205,A47,'Follow-ups'!$I$6:$I$205,"Open")&gt;0,"Set task due date","No open task")))))</x:f>
      </x:c>
      <x:c r="X47" s="274"/>
      <x:c r="Y47" s="274"/>
      <x:c r="Z47" s="274"/>
      <x:c r="AA47" s="315" t="str">
        <x:f>IF(A47="","",IF(COUNTIFS($A$6:$A$205,A47)&gt;1,"Duplicate ID",IF(B47="","Add name",IF(AND(C47="",D47=""),"Add phone or email",IF(H47="","Set lead stage",IF(NOT(ISNUMBER(R47)),"Add date added",IF(AND(ISNUMBER(N47),ISNUMBER(O47),N47&gt;O47),"Check budget range",IF(AND(H47="Lost",Y47=""),"Add lost reason",""))))))))</x:f>
      </x:c>
      <x:c r="AB47" s="791"/>
      <x:c r="AC47" s="791"/>
      <x:c r="AD47" s="791"/>
      <x:c r="AE47" s="791"/>
      <x:c r="AF47" s="791"/>
      <x:c r="AG47" s="791"/>
      <x:c r="AH47" s="791"/>
      <x:c r="AI47" s="791"/>
      <x:c r="AJ47" s="791"/>
      <x:c r="AK47" s="791"/>
      <x:c r="AL47" s="793" t="str">
        <x:f>IF($A47="","",IF(OR($H47="Lost",$H47="Converted"),"",IF(OR($C47&lt;&gt;"",$D47&lt;&gt;""),10,0)+IF(AND(ISNUMBER($O47),$O47&gt;0),20,0)+IF($AE47="Yes",15,0)+IF($AF47="Yes",15,IF($AF47="Joint",10,0))+IF(OR($AG47="Immediate",$AG47="0-30 days"),20,IF($AG47="1-3 months",10,0))+IF(OR($AC47="Cash",$AD47="Pre-approved",$AD47="Approved"),10,0)+IF(ISNUMBER($V47),10,0)))</x:f>
      </x:c>
      <x:c r="AM47" s="793" t="str">
        <x:f>IF($A47="","",IF($H47="Lost","Lost",IF($H47="Converted","Converted",IF(NOT(ISNUMBER($AL47)),"",IF($AL47&gt;=75,"Hot",IF($AL47&gt;=45,"Warm","Nurture"))))))</x:f>
      </x:c>
      <x:c r="AN47" s="794"/>
      <x:c r="AO47" s="791"/>
      <x:c r="AP47" s="791"/>
      <x:c r="AQ47" s="794"/>
      <x:c r="AR47" s="794"/>
      <x:c r="AS47" s="791"/>
    </x:row>
    <x:row r="48" ht="26" customHeight="1">
      <x:c r="A48" s="317"/>
      <x:c r="B48" s="318"/>
      <x:c r="C48" s="327"/>
      <x:c r="D48" s="235"/>
      <x:c r="E48" s="235"/>
      <x:c r="F48" s="235"/>
      <x:c r="G48" s="235"/>
      <x:c r="H48" s="235"/>
      <x:c r="I48" s="235"/>
      <x:c r="J48" s="235"/>
      <x:c r="K48" s="235"/>
      <x:c r="L48" s="235"/>
      <x:c r="M48" s="376"/>
      <x:c r="N48" s="236"/>
      <x:c r="O48" s="236"/>
      <x:c r="P48" s="235"/>
      <x:c r="Q48" s="238"/>
      <x:c r="R48" s="238"/>
      <x:c r="S48" s="235"/>
      <x:c r="T48" s="315" t="str">
        <x:f>IF(A48="","",IF(OR(AND(C48&lt;&gt;"",COUNTIFS($C$6:$C$205,C48)&gt;1),AND(D48&lt;&gt;"",COUNTIFS($D$6:$D$205,D48)&gt;1)),"Check duplicate",""))</x:f>
      </x:c>
      <x:c r="U48" s="374" t="str">
        <x:f>IF(A48="","",IF(COUNTIFS('Follow-ups'!$B$6:$B$205,A48,'Follow-ups'!$D$6:$D$205,"&gt;0",'Follow-ups'!$D$6:$D$205,"&lt;="&amp;TODAY())=0,"",_xlfn.MAXIFS('Follow-ups'!$D$6:$D$205,'Follow-ups'!$B$6:$B$205,A48,'Follow-ups'!$D$6:$D$205,"&lt;="&amp;TODAY())))</x:f>
      </x:c>
      <x:c r="V48" s="374" t="str">
        <x:f>IF(A48="","",IF(COUNTIFS('Follow-ups'!$B$6:$B$205,A48,'Follow-ups'!$I$6:$I$205,"Open",'Follow-ups'!$H$6:$H$205,"&gt;0")=0,"",_xlfn.MINIFS('Follow-ups'!$H$6:$H$205,'Follow-ups'!$B$6:$B$205,A48,'Follow-ups'!$I$6:$I$205,"Open",'Follow-ups'!$H$6:$H$205,"&gt;0")))</x:f>
      </x:c>
      <x:c r="W48" s="265" t="str">
        <x:f>IF(A48="","",IF(OR(H48="Converted",H48="Lost"),"Closed lead",IF(H48="On Hold","On hold",IF(ISNUMBER(V48),IF(V48&lt;TODAY(),"Overdue",IF(V48=TODAY(),"Due today","Scheduled")),IF(COUNTIFS('Follow-ups'!$B$6:$B$205,A48,'Follow-ups'!$I$6:$I$205,"Open")&gt;0,"Set task due date","No open task")))))</x:f>
      </x:c>
      <x:c r="X48" s="235"/>
      <x:c r="Y48" s="235"/>
      <x:c r="Z48" s="235"/>
      <x:c r="AA48" s="315" t="str">
        <x:f>IF(A48="","",IF(COUNTIFS($A$6:$A$205,A48)&gt;1,"Duplicate ID",IF(B48="","Add name",IF(AND(C48="",D48=""),"Add phone or email",IF(H48="","Set lead stage",IF(NOT(ISNUMBER(R48)),"Add date added",IF(AND(ISNUMBER(N48),ISNUMBER(O48),N48&gt;O48),"Check budget range",IF(AND(H48="Lost",Y48=""),"Add lost reason",""))))))))</x:f>
      </x:c>
      <x:c r="AB48" s="791"/>
      <x:c r="AC48" s="791"/>
      <x:c r="AD48" s="791"/>
      <x:c r="AE48" s="791"/>
      <x:c r="AF48" s="791"/>
      <x:c r="AG48" s="791"/>
      <x:c r="AH48" s="791"/>
      <x:c r="AI48" s="791"/>
      <x:c r="AJ48" s="791"/>
      <x:c r="AK48" s="791"/>
      <x:c r="AL48" s="793" t="str">
        <x:f>IF($A48="","",IF(OR($H48="Lost",$H48="Converted"),"",IF(OR($C48&lt;&gt;"",$D48&lt;&gt;""),10,0)+IF(AND(ISNUMBER($O48),$O48&gt;0),20,0)+IF($AE48="Yes",15,0)+IF($AF48="Yes",15,IF($AF48="Joint",10,0))+IF(OR($AG48="Immediate",$AG48="0-30 days"),20,IF($AG48="1-3 months",10,0))+IF(OR($AC48="Cash",$AD48="Pre-approved",$AD48="Approved"),10,0)+IF(ISNUMBER($V48),10,0)))</x:f>
      </x:c>
      <x:c r="AM48" s="793" t="str">
        <x:f>IF($A48="","",IF($H48="Lost","Lost",IF($H48="Converted","Converted",IF(NOT(ISNUMBER($AL48)),"",IF($AL48&gt;=75,"Hot",IF($AL48&gt;=45,"Warm","Nurture"))))))</x:f>
      </x:c>
      <x:c r="AN48" s="794"/>
      <x:c r="AO48" s="791"/>
      <x:c r="AP48" s="791"/>
      <x:c r="AQ48" s="794"/>
      <x:c r="AR48" s="794"/>
      <x:c r="AS48" s="791"/>
    </x:row>
    <x:row r="49" ht="26" customHeight="1">
      <x:c r="A49" s="319"/>
      <x:c r="B49" s="320"/>
      <x:c r="C49" s="331"/>
      <x:c r="D49" s="274"/>
      <x:c r="E49" s="274"/>
      <x:c r="F49" s="274"/>
      <x:c r="G49" s="274"/>
      <x:c r="H49" s="274"/>
      <x:c r="I49" s="274"/>
      <x:c r="J49" s="274"/>
      <x:c r="K49" s="274"/>
      <x:c r="L49" s="274"/>
      <x:c r="M49" s="377"/>
      <x:c r="N49" s="302"/>
      <x:c r="O49" s="302"/>
      <x:c r="P49" s="274"/>
      <x:c r="Q49" s="304"/>
      <x:c r="R49" s="304"/>
      <x:c r="S49" s="274"/>
      <x:c r="T49" s="315" t="str">
        <x:f>IF(A49="","",IF(OR(AND(C49&lt;&gt;"",COUNTIFS($C$6:$C$205,C49)&gt;1),AND(D49&lt;&gt;"",COUNTIFS($D$6:$D$205,D49)&gt;1)),"Check duplicate",""))</x:f>
      </x:c>
      <x:c r="U49" s="374" t="str">
        <x:f>IF(A49="","",IF(COUNTIFS('Follow-ups'!$B$6:$B$205,A49,'Follow-ups'!$D$6:$D$205,"&gt;0",'Follow-ups'!$D$6:$D$205,"&lt;="&amp;TODAY())=0,"",_xlfn.MAXIFS('Follow-ups'!$D$6:$D$205,'Follow-ups'!$B$6:$B$205,A49,'Follow-ups'!$D$6:$D$205,"&lt;="&amp;TODAY())))</x:f>
      </x:c>
      <x:c r="V49" s="374" t="str">
        <x:f>IF(A49="","",IF(COUNTIFS('Follow-ups'!$B$6:$B$205,A49,'Follow-ups'!$I$6:$I$205,"Open",'Follow-ups'!$H$6:$H$205,"&gt;0")=0,"",_xlfn.MINIFS('Follow-ups'!$H$6:$H$205,'Follow-ups'!$B$6:$B$205,A49,'Follow-ups'!$I$6:$I$205,"Open",'Follow-ups'!$H$6:$H$205,"&gt;0")))</x:f>
      </x:c>
      <x:c r="W49" s="265" t="str">
        <x:f>IF(A49="","",IF(OR(H49="Converted",H49="Lost"),"Closed lead",IF(H49="On Hold","On hold",IF(ISNUMBER(V49),IF(V49&lt;TODAY(),"Overdue",IF(V49=TODAY(),"Due today","Scheduled")),IF(COUNTIFS('Follow-ups'!$B$6:$B$205,A49,'Follow-ups'!$I$6:$I$205,"Open")&gt;0,"Set task due date","No open task")))))</x:f>
      </x:c>
      <x:c r="X49" s="274"/>
      <x:c r="Y49" s="274"/>
      <x:c r="Z49" s="274"/>
      <x:c r="AA49" s="315" t="str">
        <x:f>IF(A49="","",IF(COUNTIFS($A$6:$A$205,A49)&gt;1,"Duplicate ID",IF(B49="","Add name",IF(AND(C49="",D49=""),"Add phone or email",IF(H49="","Set lead stage",IF(NOT(ISNUMBER(R49)),"Add date added",IF(AND(ISNUMBER(N49),ISNUMBER(O49),N49&gt;O49),"Check budget range",IF(AND(H49="Lost",Y49=""),"Add lost reason",""))))))))</x:f>
      </x:c>
      <x:c r="AB49" s="791"/>
      <x:c r="AC49" s="791"/>
      <x:c r="AD49" s="791"/>
      <x:c r="AE49" s="791"/>
      <x:c r="AF49" s="791"/>
      <x:c r="AG49" s="791"/>
      <x:c r="AH49" s="791"/>
      <x:c r="AI49" s="791"/>
      <x:c r="AJ49" s="791"/>
      <x:c r="AK49" s="791"/>
      <x:c r="AL49" s="793" t="str">
        <x:f>IF($A49="","",IF(OR($H49="Lost",$H49="Converted"),"",IF(OR($C49&lt;&gt;"",$D49&lt;&gt;""),10,0)+IF(AND(ISNUMBER($O49),$O49&gt;0),20,0)+IF($AE49="Yes",15,0)+IF($AF49="Yes",15,IF($AF49="Joint",10,0))+IF(OR($AG49="Immediate",$AG49="0-30 days"),20,IF($AG49="1-3 months",10,0))+IF(OR($AC49="Cash",$AD49="Pre-approved",$AD49="Approved"),10,0)+IF(ISNUMBER($V49),10,0)))</x:f>
      </x:c>
      <x:c r="AM49" s="793" t="str">
        <x:f>IF($A49="","",IF($H49="Lost","Lost",IF($H49="Converted","Converted",IF(NOT(ISNUMBER($AL49)),"",IF($AL49&gt;=75,"Hot",IF($AL49&gt;=45,"Warm","Nurture"))))))</x:f>
      </x:c>
      <x:c r="AN49" s="794"/>
      <x:c r="AO49" s="791"/>
      <x:c r="AP49" s="791"/>
      <x:c r="AQ49" s="794"/>
      <x:c r="AR49" s="794"/>
      <x:c r="AS49" s="791"/>
    </x:row>
    <x:row r="50" ht="26" customHeight="1">
      <x:c r="A50" s="317"/>
      <x:c r="B50" s="318"/>
      <x:c r="C50" s="327"/>
      <x:c r="D50" s="235"/>
      <x:c r="E50" s="235"/>
      <x:c r="F50" s="235"/>
      <x:c r="G50" s="235"/>
      <x:c r="H50" s="235"/>
      <x:c r="I50" s="235"/>
      <x:c r="J50" s="235"/>
      <x:c r="K50" s="235"/>
      <x:c r="L50" s="235"/>
      <x:c r="M50" s="376"/>
      <x:c r="N50" s="236"/>
      <x:c r="O50" s="236"/>
      <x:c r="P50" s="235"/>
      <x:c r="Q50" s="238"/>
      <x:c r="R50" s="238"/>
      <x:c r="S50" s="235"/>
      <x:c r="T50" s="315" t="str">
        <x:f>IF(A50="","",IF(OR(AND(C50&lt;&gt;"",COUNTIFS($C$6:$C$205,C50)&gt;1),AND(D50&lt;&gt;"",COUNTIFS($D$6:$D$205,D50)&gt;1)),"Check duplicate",""))</x:f>
      </x:c>
      <x:c r="U50" s="374" t="str">
        <x:f>IF(A50="","",IF(COUNTIFS('Follow-ups'!$B$6:$B$205,A50,'Follow-ups'!$D$6:$D$205,"&gt;0",'Follow-ups'!$D$6:$D$205,"&lt;="&amp;TODAY())=0,"",_xlfn.MAXIFS('Follow-ups'!$D$6:$D$205,'Follow-ups'!$B$6:$B$205,A50,'Follow-ups'!$D$6:$D$205,"&lt;="&amp;TODAY())))</x:f>
      </x:c>
      <x:c r="V50" s="374" t="str">
        <x:f>IF(A50="","",IF(COUNTIFS('Follow-ups'!$B$6:$B$205,A50,'Follow-ups'!$I$6:$I$205,"Open",'Follow-ups'!$H$6:$H$205,"&gt;0")=0,"",_xlfn.MINIFS('Follow-ups'!$H$6:$H$205,'Follow-ups'!$B$6:$B$205,A50,'Follow-ups'!$I$6:$I$205,"Open",'Follow-ups'!$H$6:$H$205,"&gt;0")))</x:f>
      </x:c>
      <x:c r="W50" s="265" t="str">
        <x:f>IF(A50="","",IF(OR(H50="Converted",H50="Lost"),"Closed lead",IF(H50="On Hold","On hold",IF(ISNUMBER(V50),IF(V50&lt;TODAY(),"Overdue",IF(V50=TODAY(),"Due today","Scheduled")),IF(COUNTIFS('Follow-ups'!$B$6:$B$205,A50,'Follow-ups'!$I$6:$I$205,"Open")&gt;0,"Set task due date","No open task")))))</x:f>
      </x:c>
      <x:c r="X50" s="235"/>
      <x:c r="Y50" s="235"/>
      <x:c r="Z50" s="235"/>
      <x:c r="AA50" s="315" t="str">
        <x:f>IF(A50="","",IF(COUNTIFS($A$6:$A$205,A50)&gt;1,"Duplicate ID",IF(B50="","Add name",IF(AND(C50="",D50=""),"Add phone or email",IF(H50="","Set lead stage",IF(NOT(ISNUMBER(R50)),"Add date added",IF(AND(ISNUMBER(N50),ISNUMBER(O50),N50&gt;O50),"Check budget range",IF(AND(H50="Lost",Y50=""),"Add lost reason",""))))))))</x:f>
      </x:c>
      <x:c r="AB50" s="791"/>
      <x:c r="AC50" s="791"/>
      <x:c r="AD50" s="791"/>
      <x:c r="AE50" s="791"/>
      <x:c r="AF50" s="791"/>
      <x:c r="AG50" s="791"/>
      <x:c r="AH50" s="791"/>
      <x:c r="AI50" s="791"/>
      <x:c r="AJ50" s="791"/>
      <x:c r="AK50" s="791"/>
      <x:c r="AL50" s="793" t="str">
        <x:f>IF($A50="","",IF(OR($H50="Lost",$H50="Converted"),"",IF(OR($C50&lt;&gt;"",$D50&lt;&gt;""),10,0)+IF(AND(ISNUMBER($O50),$O50&gt;0),20,0)+IF($AE50="Yes",15,0)+IF($AF50="Yes",15,IF($AF50="Joint",10,0))+IF(OR($AG50="Immediate",$AG50="0-30 days"),20,IF($AG50="1-3 months",10,0))+IF(OR($AC50="Cash",$AD50="Pre-approved",$AD50="Approved"),10,0)+IF(ISNUMBER($V50),10,0)))</x:f>
      </x:c>
      <x:c r="AM50" s="793" t="str">
        <x:f>IF($A50="","",IF($H50="Lost","Lost",IF($H50="Converted","Converted",IF(NOT(ISNUMBER($AL50)),"",IF($AL50&gt;=75,"Hot",IF($AL50&gt;=45,"Warm","Nurture"))))))</x:f>
      </x:c>
      <x:c r="AN50" s="794"/>
      <x:c r="AO50" s="791"/>
      <x:c r="AP50" s="791"/>
      <x:c r="AQ50" s="794"/>
      <x:c r="AR50" s="794"/>
      <x:c r="AS50" s="791"/>
    </x:row>
    <x:row r="51" ht="26" customHeight="1">
      <x:c r="A51" s="319"/>
      <x:c r="B51" s="320"/>
      <x:c r="C51" s="331"/>
      <x:c r="D51" s="274"/>
      <x:c r="E51" s="274"/>
      <x:c r="F51" s="274"/>
      <x:c r="G51" s="274"/>
      <x:c r="H51" s="274"/>
      <x:c r="I51" s="274"/>
      <x:c r="J51" s="274"/>
      <x:c r="K51" s="274"/>
      <x:c r="L51" s="274"/>
      <x:c r="M51" s="377"/>
      <x:c r="N51" s="302"/>
      <x:c r="O51" s="302"/>
      <x:c r="P51" s="274"/>
      <x:c r="Q51" s="304"/>
      <x:c r="R51" s="304"/>
      <x:c r="S51" s="274"/>
      <x:c r="T51" s="315" t="str">
        <x:f>IF(A51="","",IF(OR(AND(C51&lt;&gt;"",COUNTIFS($C$6:$C$205,C51)&gt;1),AND(D51&lt;&gt;"",COUNTIFS($D$6:$D$205,D51)&gt;1)),"Check duplicate",""))</x:f>
      </x:c>
      <x:c r="U51" s="374" t="str">
        <x:f>IF(A51="","",IF(COUNTIFS('Follow-ups'!$B$6:$B$205,A51,'Follow-ups'!$D$6:$D$205,"&gt;0",'Follow-ups'!$D$6:$D$205,"&lt;="&amp;TODAY())=0,"",_xlfn.MAXIFS('Follow-ups'!$D$6:$D$205,'Follow-ups'!$B$6:$B$205,A51,'Follow-ups'!$D$6:$D$205,"&lt;="&amp;TODAY())))</x:f>
      </x:c>
      <x:c r="V51" s="374" t="str">
        <x:f>IF(A51="","",IF(COUNTIFS('Follow-ups'!$B$6:$B$205,A51,'Follow-ups'!$I$6:$I$205,"Open",'Follow-ups'!$H$6:$H$205,"&gt;0")=0,"",_xlfn.MINIFS('Follow-ups'!$H$6:$H$205,'Follow-ups'!$B$6:$B$205,A51,'Follow-ups'!$I$6:$I$205,"Open",'Follow-ups'!$H$6:$H$205,"&gt;0")))</x:f>
      </x:c>
      <x:c r="W51" s="265" t="str">
        <x:f>IF(A51="","",IF(OR(H51="Converted",H51="Lost"),"Closed lead",IF(H51="On Hold","On hold",IF(ISNUMBER(V51),IF(V51&lt;TODAY(),"Overdue",IF(V51=TODAY(),"Due today","Scheduled")),IF(COUNTIFS('Follow-ups'!$B$6:$B$205,A51,'Follow-ups'!$I$6:$I$205,"Open")&gt;0,"Set task due date","No open task")))))</x:f>
      </x:c>
      <x:c r="X51" s="274"/>
      <x:c r="Y51" s="274"/>
      <x:c r="Z51" s="274"/>
      <x:c r="AA51" s="315" t="str">
        <x:f>IF(A51="","",IF(COUNTIFS($A$6:$A$205,A51)&gt;1,"Duplicate ID",IF(B51="","Add name",IF(AND(C51="",D51=""),"Add phone or email",IF(H51="","Set lead stage",IF(NOT(ISNUMBER(R51)),"Add date added",IF(AND(ISNUMBER(N51),ISNUMBER(O51),N51&gt;O51),"Check budget range",IF(AND(H51="Lost",Y51=""),"Add lost reason",""))))))))</x:f>
      </x:c>
      <x:c r="AB51" s="791"/>
      <x:c r="AC51" s="791"/>
      <x:c r="AD51" s="791"/>
      <x:c r="AE51" s="791"/>
      <x:c r="AF51" s="791"/>
      <x:c r="AG51" s="791"/>
      <x:c r="AH51" s="791"/>
      <x:c r="AI51" s="791"/>
      <x:c r="AJ51" s="791"/>
      <x:c r="AK51" s="791"/>
      <x:c r="AL51" s="793" t="str">
        <x:f>IF($A51="","",IF(OR($H51="Lost",$H51="Converted"),"",IF(OR($C51&lt;&gt;"",$D51&lt;&gt;""),10,0)+IF(AND(ISNUMBER($O51),$O51&gt;0),20,0)+IF($AE51="Yes",15,0)+IF($AF51="Yes",15,IF($AF51="Joint",10,0))+IF(OR($AG51="Immediate",$AG51="0-30 days"),20,IF($AG51="1-3 months",10,0))+IF(OR($AC51="Cash",$AD51="Pre-approved",$AD51="Approved"),10,0)+IF(ISNUMBER($V51),10,0)))</x:f>
      </x:c>
      <x:c r="AM51" s="793" t="str">
        <x:f>IF($A51="","",IF($H51="Lost","Lost",IF($H51="Converted","Converted",IF(NOT(ISNUMBER($AL51)),"",IF($AL51&gt;=75,"Hot",IF($AL51&gt;=45,"Warm","Nurture"))))))</x:f>
      </x:c>
      <x:c r="AN51" s="794"/>
      <x:c r="AO51" s="791"/>
      <x:c r="AP51" s="791"/>
      <x:c r="AQ51" s="794"/>
      <x:c r="AR51" s="794"/>
      <x:c r="AS51" s="791"/>
    </x:row>
    <x:row r="52" ht="26" customHeight="1">
      <x:c r="A52" s="317"/>
      <x:c r="B52" s="318"/>
      <x:c r="C52" s="327"/>
      <x:c r="D52" s="235"/>
      <x:c r="E52" s="235"/>
      <x:c r="F52" s="235"/>
      <x:c r="G52" s="235"/>
      <x:c r="H52" s="235"/>
      <x:c r="I52" s="235"/>
      <x:c r="J52" s="235"/>
      <x:c r="K52" s="235"/>
      <x:c r="L52" s="235"/>
      <x:c r="M52" s="376"/>
      <x:c r="N52" s="236"/>
      <x:c r="O52" s="236"/>
      <x:c r="P52" s="235"/>
      <x:c r="Q52" s="238"/>
      <x:c r="R52" s="238"/>
      <x:c r="S52" s="235"/>
      <x:c r="T52" s="315" t="str">
        <x:f>IF(A52="","",IF(OR(AND(C52&lt;&gt;"",COUNTIFS($C$6:$C$205,C52)&gt;1),AND(D52&lt;&gt;"",COUNTIFS($D$6:$D$205,D52)&gt;1)),"Check duplicate",""))</x:f>
      </x:c>
      <x:c r="U52" s="374" t="str">
        <x:f>IF(A52="","",IF(COUNTIFS('Follow-ups'!$B$6:$B$205,A52,'Follow-ups'!$D$6:$D$205,"&gt;0",'Follow-ups'!$D$6:$D$205,"&lt;="&amp;TODAY())=0,"",_xlfn.MAXIFS('Follow-ups'!$D$6:$D$205,'Follow-ups'!$B$6:$B$205,A52,'Follow-ups'!$D$6:$D$205,"&lt;="&amp;TODAY())))</x:f>
      </x:c>
      <x:c r="V52" s="374" t="str">
        <x:f>IF(A52="","",IF(COUNTIFS('Follow-ups'!$B$6:$B$205,A52,'Follow-ups'!$I$6:$I$205,"Open",'Follow-ups'!$H$6:$H$205,"&gt;0")=0,"",_xlfn.MINIFS('Follow-ups'!$H$6:$H$205,'Follow-ups'!$B$6:$B$205,A52,'Follow-ups'!$I$6:$I$205,"Open",'Follow-ups'!$H$6:$H$205,"&gt;0")))</x:f>
      </x:c>
      <x:c r="W52" s="265" t="str">
        <x:f>IF(A52="","",IF(OR(H52="Converted",H52="Lost"),"Closed lead",IF(H52="On Hold","On hold",IF(ISNUMBER(V52),IF(V52&lt;TODAY(),"Overdue",IF(V52=TODAY(),"Due today","Scheduled")),IF(COUNTIFS('Follow-ups'!$B$6:$B$205,A52,'Follow-ups'!$I$6:$I$205,"Open")&gt;0,"Set task due date","No open task")))))</x:f>
      </x:c>
      <x:c r="X52" s="235"/>
      <x:c r="Y52" s="235"/>
      <x:c r="Z52" s="235"/>
      <x:c r="AA52" s="315" t="str">
        <x:f>IF(A52="","",IF(COUNTIFS($A$6:$A$205,A52)&gt;1,"Duplicate ID",IF(B52="","Add name",IF(AND(C52="",D52=""),"Add phone or email",IF(H52="","Set lead stage",IF(NOT(ISNUMBER(R52)),"Add date added",IF(AND(ISNUMBER(N52),ISNUMBER(O52),N52&gt;O52),"Check budget range",IF(AND(H52="Lost",Y52=""),"Add lost reason",""))))))))</x:f>
      </x:c>
      <x:c r="AB52" s="791"/>
      <x:c r="AC52" s="791"/>
      <x:c r="AD52" s="791"/>
      <x:c r="AE52" s="791"/>
      <x:c r="AF52" s="791"/>
      <x:c r="AG52" s="791"/>
      <x:c r="AH52" s="791"/>
      <x:c r="AI52" s="791"/>
      <x:c r="AJ52" s="791"/>
      <x:c r="AK52" s="791"/>
      <x:c r="AL52" s="793" t="str">
        <x:f>IF($A52="","",IF(OR($H52="Lost",$H52="Converted"),"",IF(OR($C52&lt;&gt;"",$D52&lt;&gt;""),10,0)+IF(AND(ISNUMBER($O52),$O52&gt;0),20,0)+IF($AE52="Yes",15,0)+IF($AF52="Yes",15,IF($AF52="Joint",10,0))+IF(OR($AG52="Immediate",$AG52="0-30 days"),20,IF($AG52="1-3 months",10,0))+IF(OR($AC52="Cash",$AD52="Pre-approved",$AD52="Approved"),10,0)+IF(ISNUMBER($V52),10,0)))</x:f>
      </x:c>
      <x:c r="AM52" s="793" t="str">
        <x:f>IF($A52="","",IF($H52="Lost","Lost",IF($H52="Converted","Converted",IF(NOT(ISNUMBER($AL52)),"",IF($AL52&gt;=75,"Hot",IF($AL52&gt;=45,"Warm","Nurture"))))))</x:f>
      </x:c>
      <x:c r="AN52" s="794"/>
      <x:c r="AO52" s="791"/>
      <x:c r="AP52" s="791"/>
      <x:c r="AQ52" s="794"/>
      <x:c r="AR52" s="794"/>
      <x:c r="AS52" s="791"/>
    </x:row>
    <x:row r="53" ht="26" customHeight="1">
      <x:c r="A53" s="319"/>
      <x:c r="B53" s="320"/>
      <x:c r="C53" s="331"/>
      <x:c r="D53" s="274"/>
      <x:c r="E53" s="274"/>
      <x:c r="F53" s="274"/>
      <x:c r="G53" s="274"/>
      <x:c r="H53" s="274"/>
      <x:c r="I53" s="274"/>
      <x:c r="J53" s="274"/>
      <x:c r="K53" s="274"/>
      <x:c r="L53" s="274"/>
      <x:c r="M53" s="377"/>
      <x:c r="N53" s="302"/>
      <x:c r="O53" s="302"/>
      <x:c r="P53" s="274"/>
      <x:c r="Q53" s="304"/>
      <x:c r="R53" s="304"/>
      <x:c r="S53" s="274"/>
      <x:c r="T53" s="315" t="str">
        <x:f>IF(A53="","",IF(OR(AND(C53&lt;&gt;"",COUNTIFS($C$6:$C$205,C53)&gt;1),AND(D53&lt;&gt;"",COUNTIFS($D$6:$D$205,D53)&gt;1)),"Check duplicate",""))</x:f>
      </x:c>
      <x:c r="U53" s="374" t="str">
        <x:f>IF(A53="","",IF(COUNTIFS('Follow-ups'!$B$6:$B$205,A53,'Follow-ups'!$D$6:$D$205,"&gt;0",'Follow-ups'!$D$6:$D$205,"&lt;="&amp;TODAY())=0,"",_xlfn.MAXIFS('Follow-ups'!$D$6:$D$205,'Follow-ups'!$B$6:$B$205,A53,'Follow-ups'!$D$6:$D$205,"&lt;="&amp;TODAY())))</x:f>
      </x:c>
      <x:c r="V53" s="374" t="str">
        <x:f>IF(A53="","",IF(COUNTIFS('Follow-ups'!$B$6:$B$205,A53,'Follow-ups'!$I$6:$I$205,"Open",'Follow-ups'!$H$6:$H$205,"&gt;0")=0,"",_xlfn.MINIFS('Follow-ups'!$H$6:$H$205,'Follow-ups'!$B$6:$B$205,A53,'Follow-ups'!$I$6:$I$205,"Open",'Follow-ups'!$H$6:$H$205,"&gt;0")))</x:f>
      </x:c>
      <x:c r="W53" s="265" t="str">
        <x:f>IF(A53="","",IF(OR(H53="Converted",H53="Lost"),"Closed lead",IF(H53="On Hold","On hold",IF(ISNUMBER(V53),IF(V53&lt;TODAY(),"Overdue",IF(V53=TODAY(),"Due today","Scheduled")),IF(COUNTIFS('Follow-ups'!$B$6:$B$205,A53,'Follow-ups'!$I$6:$I$205,"Open")&gt;0,"Set task due date","No open task")))))</x:f>
      </x:c>
      <x:c r="X53" s="274"/>
      <x:c r="Y53" s="274"/>
      <x:c r="Z53" s="274"/>
      <x:c r="AA53" s="315" t="str">
        <x:f>IF(A53="","",IF(COUNTIFS($A$6:$A$205,A53)&gt;1,"Duplicate ID",IF(B53="","Add name",IF(AND(C53="",D53=""),"Add phone or email",IF(H53="","Set lead stage",IF(NOT(ISNUMBER(R53)),"Add date added",IF(AND(ISNUMBER(N53),ISNUMBER(O53),N53&gt;O53),"Check budget range",IF(AND(H53="Lost",Y53=""),"Add lost reason",""))))))))</x:f>
      </x:c>
      <x:c r="AB53" s="791"/>
      <x:c r="AC53" s="791"/>
      <x:c r="AD53" s="791"/>
      <x:c r="AE53" s="791"/>
      <x:c r="AF53" s="791"/>
      <x:c r="AG53" s="791"/>
      <x:c r="AH53" s="791"/>
      <x:c r="AI53" s="791"/>
      <x:c r="AJ53" s="791"/>
      <x:c r="AK53" s="791"/>
      <x:c r="AL53" s="793" t="str">
        <x:f>IF($A53="","",IF(OR($H53="Lost",$H53="Converted"),"",IF(OR($C53&lt;&gt;"",$D53&lt;&gt;""),10,0)+IF(AND(ISNUMBER($O53),$O53&gt;0),20,0)+IF($AE53="Yes",15,0)+IF($AF53="Yes",15,IF($AF53="Joint",10,0))+IF(OR($AG53="Immediate",$AG53="0-30 days"),20,IF($AG53="1-3 months",10,0))+IF(OR($AC53="Cash",$AD53="Pre-approved",$AD53="Approved"),10,0)+IF(ISNUMBER($V53),10,0)))</x:f>
      </x:c>
      <x:c r="AM53" s="793" t="str">
        <x:f>IF($A53="","",IF($H53="Lost","Lost",IF($H53="Converted","Converted",IF(NOT(ISNUMBER($AL53)),"",IF($AL53&gt;=75,"Hot",IF($AL53&gt;=45,"Warm","Nurture"))))))</x:f>
      </x:c>
      <x:c r="AN53" s="794"/>
      <x:c r="AO53" s="791"/>
      <x:c r="AP53" s="791"/>
      <x:c r="AQ53" s="794"/>
      <x:c r="AR53" s="794"/>
      <x:c r="AS53" s="791"/>
    </x:row>
    <x:row r="54" ht="26" customHeight="1">
      <x:c r="A54" s="317"/>
      <x:c r="B54" s="318"/>
      <x:c r="C54" s="327"/>
      <x:c r="D54" s="235"/>
      <x:c r="E54" s="235"/>
      <x:c r="F54" s="235"/>
      <x:c r="G54" s="235"/>
      <x:c r="H54" s="235"/>
      <x:c r="I54" s="235"/>
      <x:c r="J54" s="235"/>
      <x:c r="K54" s="235"/>
      <x:c r="L54" s="235"/>
      <x:c r="M54" s="376"/>
      <x:c r="N54" s="236"/>
      <x:c r="O54" s="236"/>
      <x:c r="P54" s="235"/>
      <x:c r="Q54" s="238"/>
      <x:c r="R54" s="238"/>
      <x:c r="S54" s="235"/>
      <x:c r="T54" s="315" t="str">
        <x:f>IF(A54="","",IF(OR(AND(C54&lt;&gt;"",COUNTIFS($C$6:$C$205,C54)&gt;1),AND(D54&lt;&gt;"",COUNTIFS($D$6:$D$205,D54)&gt;1)),"Check duplicate",""))</x:f>
      </x:c>
      <x:c r="U54" s="374" t="str">
        <x:f>IF(A54="","",IF(COUNTIFS('Follow-ups'!$B$6:$B$205,A54,'Follow-ups'!$D$6:$D$205,"&gt;0",'Follow-ups'!$D$6:$D$205,"&lt;="&amp;TODAY())=0,"",_xlfn.MAXIFS('Follow-ups'!$D$6:$D$205,'Follow-ups'!$B$6:$B$205,A54,'Follow-ups'!$D$6:$D$205,"&lt;="&amp;TODAY())))</x:f>
      </x:c>
      <x:c r="V54" s="374" t="str">
        <x:f>IF(A54="","",IF(COUNTIFS('Follow-ups'!$B$6:$B$205,A54,'Follow-ups'!$I$6:$I$205,"Open",'Follow-ups'!$H$6:$H$205,"&gt;0")=0,"",_xlfn.MINIFS('Follow-ups'!$H$6:$H$205,'Follow-ups'!$B$6:$B$205,A54,'Follow-ups'!$I$6:$I$205,"Open",'Follow-ups'!$H$6:$H$205,"&gt;0")))</x:f>
      </x:c>
      <x:c r="W54" s="265" t="str">
        <x:f>IF(A54="","",IF(OR(H54="Converted",H54="Lost"),"Closed lead",IF(H54="On Hold","On hold",IF(ISNUMBER(V54),IF(V54&lt;TODAY(),"Overdue",IF(V54=TODAY(),"Due today","Scheduled")),IF(COUNTIFS('Follow-ups'!$B$6:$B$205,A54,'Follow-ups'!$I$6:$I$205,"Open")&gt;0,"Set task due date","No open task")))))</x:f>
      </x:c>
      <x:c r="X54" s="235"/>
      <x:c r="Y54" s="235"/>
      <x:c r="Z54" s="235"/>
      <x:c r="AA54" s="315" t="str">
        <x:f>IF(A54="","",IF(COUNTIFS($A$6:$A$205,A54)&gt;1,"Duplicate ID",IF(B54="","Add name",IF(AND(C54="",D54=""),"Add phone or email",IF(H54="","Set lead stage",IF(NOT(ISNUMBER(R54)),"Add date added",IF(AND(ISNUMBER(N54),ISNUMBER(O54),N54&gt;O54),"Check budget range",IF(AND(H54="Lost",Y54=""),"Add lost reason",""))))))))</x:f>
      </x:c>
      <x:c r="AB54" s="791"/>
      <x:c r="AC54" s="791"/>
      <x:c r="AD54" s="791"/>
      <x:c r="AE54" s="791"/>
      <x:c r="AF54" s="791"/>
      <x:c r="AG54" s="791"/>
      <x:c r="AH54" s="791"/>
      <x:c r="AI54" s="791"/>
      <x:c r="AJ54" s="791"/>
      <x:c r="AK54" s="791"/>
      <x:c r="AL54" s="793" t="str">
        <x:f>IF($A54="","",IF(OR($H54="Lost",$H54="Converted"),"",IF(OR($C54&lt;&gt;"",$D54&lt;&gt;""),10,0)+IF(AND(ISNUMBER($O54),$O54&gt;0),20,0)+IF($AE54="Yes",15,0)+IF($AF54="Yes",15,IF($AF54="Joint",10,0))+IF(OR($AG54="Immediate",$AG54="0-30 days"),20,IF($AG54="1-3 months",10,0))+IF(OR($AC54="Cash",$AD54="Pre-approved",$AD54="Approved"),10,0)+IF(ISNUMBER($V54),10,0)))</x:f>
      </x:c>
      <x:c r="AM54" s="793" t="str">
        <x:f>IF($A54="","",IF($H54="Lost","Lost",IF($H54="Converted","Converted",IF(NOT(ISNUMBER($AL54)),"",IF($AL54&gt;=75,"Hot",IF($AL54&gt;=45,"Warm","Nurture"))))))</x:f>
      </x:c>
      <x:c r="AN54" s="794"/>
      <x:c r="AO54" s="791"/>
      <x:c r="AP54" s="791"/>
      <x:c r="AQ54" s="794"/>
      <x:c r="AR54" s="794"/>
      <x:c r="AS54" s="791"/>
    </x:row>
    <x:row r="55" ht="26" customHeight="1">
      <x:c r="A55" s="319"/>
      <x:c r="B55" s="320"/>
      <x:c r="C55" s="331"/>
      <x:c r="D55" s="274"/>
      <x:c r="E55" s="274"/>
      <x:c r="F55" s="274"/>
      <x:c r="G55" s="274"/>
      <x:c r="H55" s="274"/>
      <x:c r="I55" s="274"/>
      <x:c r="J55" s="274"/>
      <x:c r="K55" s="274"/>
      <x:c r="L55" s="274"/>
      <x:c r="M55" s="377"/>
      <x:c r="N55" s="302"/>
      <x:c r="O55" s="302"/>
      <x:c r="P55" s="274"/>
      <x:c r="Q55" s="304"/>
      <x:c r="R55" s="304"/>
      <x:c r="S55" s="274"/>
      <x:c r="T55" s="315" t="str">
        <x:f>IF(A55="","",IF(OR(AND(C55&lt;&gt;"",COUNTIFS($C$6:$C$205,C55)&gt;1),AND(D55&lt;&gt;"",COUNTIFS($D$6:$D$205,D55)&gt;1)),"Check duplicate",""))</x:f>
      </x:c>
      <x:c r="U55" s="374" t="str">
        <x:f>IF(A55="","",IF(COUNTIFS('Follow-ups'!$B$6:$B$205,A55,'Follow-ups'!$D$6:$D$205,"&gt;0",'Follow-ups'!$D$6:$D$205,"&lt;="&amp;TODAY())=0,"",_xlfn.MAXIFS('Follow-ups'!$D$6:$D$205,'Follow-ups'!$B$6:$B$205,A55,'Follow-ups'!$D$6:$D$205,"&lt;="&amp;TODAY())))</x:f>
      </x:c>
      <x:c r="V55" s="374" t="str">
        <x:f>IF(A55="","",IF(COUNTIFS('Follow-ups'!$B$6:$B$205,A55,'Follow-ups'!$I$6:$I$205,"Open",'Follow-ups'!$H$6:$H$205,"&gt;0")=0,"",_xlfn.MINIFS('Follow-ups'!$H$6:$H$205,'Follow-ups'!$B$6:$B$205,A55,'Follow-ups'!$I$6:$I$205,"Open",'Follow-ups'!$H$6:$H$205,"&gt;0")))</x:f>
      </x:c>
      <x:c r="W55" s="265" t="str">
        <x:f>IF(A55="","",IF(OR(H55="Converted",H55="Lost"),"Closed lead",IF(H55="On Hold","On hold",IF(ISNUMBER(V55),IF(V55&lt;TODAY(),"Overdue",IF(V55=TODAY(),"Due today","Scheduled")),IF(COUNTIFS('Follow-ups'!$B$6:$B$205,A55,'Follow-ups'!$I$6:$I$205,"Open")&gt;0,"Set task due date","No open task")))))</x:f>
      </x:c>
      <x:c r="X55" s="274"/>
      <x:c r="Y55" s="274"/>
      <x:c r="Z55" s="274"/>
      <x:c r="AA55" s="315" t="str">
        <x:f>IF(A55="","",IF(COUNTIFS($A$6:$A$205,A55)&gt;1,"Duplicate ID",IF(B55="","Add name",IF(AND(C55="",D55=""),"Add phone or email",IF(H55="","Set lead stage",IF(NOT(ISNUMBER(R55)),"Add date added",IF(AND(ISNUMBER(N55),ISNUMBER(O55),N55&gt;O55),"Check budget range",IF(AND(H55="Lost",Y55=""),"Add lost reason",""))))))))</x:f>
      </x:c>
      <x:c r="AB55" s="791"/>
      <x:c r="AC55" s="791"/>
      <x:c r="AD55" s="791"/>
      <x:c r="AE55" s="791"/>
      <x:c r="AF55" s="791"/>
      <x:c r="AG55" s="791"/>
      <x:c r="AH55" s="791"/>
      <x:c r="AI55" s="791"/>
      <x:c r="AJ55" s="791"/>
      <x:c r="AK55" s="791"/>
      <x:c r="AL55" s="793" t="str">
        <x:f>IF($A55="","",IF(OR($H55="Lost",$H55="Converted"),"",IF(OR($C55&lt;&gt;"",$D55&lt;&gt;""),10,0)+IF(AND(ISNUMBER($O55),$O55&gt;0),20,0)+IF($AE55="Yes",15,0)+IF($AF55="Yes",15,IF($AF55="Joint",10,0))+IF(OR($AG55="Immediate",$AG55="0-30 days"),20,IF($AG55="1-3 months",10,0))+IF(OR($AC55="Cash",$AD55="Pre-approved",$AD55="Approved"),10,0)+IF(ISNUMBER($V55),10,0)))</x:f>
      </x:c>
      <x:c r="AM55" s="793" t="str">
        <x:f>IF($A55="","",IF($H55="Lost","Lost",IF($H55="Converted","Converted",IF(NOT(ISNUMBER($AL55)),"",IF($AL55&gt;=75,"Hot",IF($AL55&gt;=45,"Warm","Nurture"))))))</x:f>
      </x:c>
      <x:c r="AN55" s="794"/>
      <x:c r="AO55" s="791"/>
      <x:c r="AP55" s="791"/>
      <x:c r="AQ55" s="794"/>
      <x:c r="AR55" s="794"/>
      <x:c r="AS55" s="791"/>
    </x:row>
    <x:row r="56" ht="26" customHeight="1">
      <x:c r="A56" s="317"/>
      <x:c r="B56" s="318"/>
      <x:c r="C56" s="327"/>
      <x:c r="D56" s="235"/>
      <x:c r="E56" s="235"/>
      <x:c r="F56" s="235"/>
      <x:c r="G56" s="235"/>
      <x:c r="H56" s="235"/>
      <x:c r="I56" s="235"/>
      <x:c r="J56" s="235"/>
      <x:c r="K56" s="235"/>
      <x:c r="L56" s="235"/>
      <x:c r="M56" s="376"/>
      <x:c r="N56" s="236"/>
      <x:c r="O56" s="236"/>
      <x:c r="P56" s="235"/>
      <x:c r="Q56" s="238"/>
      <x:c r="R56" s="238"/>
      <x:c r="S56" s="235"/>
      <x:c r="T56" s="315" t="str">
        <x:f>IF(A56="","",IF(OR(AND(C56&lt;&gt;"",COUNTIFS($C$6:$C$205,C56)&gt;1),AND(D56&lt;&gt;"",COUNTIFS($D$6:$D$205,D56)&gt;1)),"Check duplicate",""))</x:f>
      </x:c>
      <x:c r="U56" s="374" t="str">
        <x:f>IF(A56="","",IF(COUNTIFS('Follow-ups'!$B$6:$B$205,A56,'Follow-ups'!$D$6:$D$205,"&gt;0",'Follow-ups'!$D$6:$D$205,"&lt;="&amp;TODAY())=0,"",_xlfn.MAXIFS('Follow-ups'!$D$6:$D$205,'Follow-ups'!$B$6:$B$205,A56,'Follow-ups'!$D$6:$D$205,"&lt;="&amp;TODAY())))</x:f>
      </x:c>
      <x:c r="V56" s="374" t="str">
        <x:f>IF(A56="","",IF(COUNTIFS('Follow-ups'!$B$6:$B$205,A56,'Follow-ups'!$I$6:$I$205,"Open",'Follow-ups'!$H$6:$H$205,"&gt;0")=0,"",_xlfn.MINIFS('Follow-ups'!$H$6:$H$205,'Follow-ups'!$B$6:$B$205,A56,'Follow-ups'!$I$6:$I$205,"Open",'Follow-ups'!$H$6:$H$205,"&gt;0")))</x:f>
      </x:c>
      <x:c r="W56" s="265" t="str">
        <x:f>IF(A56="","",IF(OR(H56="Converted",H56="Lost"),"Closed lead",IF(H56="On Hold","On hold",IF(ISNUMBER(V56),IF(V56&lt;TODAY(),"Overdue",IF(V56=TODAY(),"Due today","Scheduled")),IF(COUNTIFS('Follow-ups'!$B$6:$B$205,A56,'Follow-ups'!$I$6:$I$205,"Open")&gt;0,"Set task due date","No open task")))))</x:f>
      </x:c>
      <x:c r="X56" s="235"/>
      <x:c r="Y56" s="235"/>
      <x:c r="Z56" s="235"/>
      <x:c r="AA56" s="315" t="str">
        <x:f>IF(A56="","",IF(COUNTIFS($A$6:$A$205,A56)&gt;1,"Duplicate ID",IF(B56="","Add name",IF(AND(C56="",D56=""),"Add phone or email",IF(H56="","Set lead stage",IF(NOT(ISNUMBER(R56)),"Add date added",IF(AND(ISNUMBER(N56),ISNUMBER(O56),N56&gt;O56),"Check budget range",IF(AND(H56="Lost",Y56=""),"Add lost reason",""))))))))</x:f>
      </x:c>
      <x:c r="AB56" s="791"/>
      <x:c r="AC56" s="791"/>
      <x:c r="AD56" s="791"/>
      <x:c r="AE56" s="791"/>
      <x:c r="AF56" s="791"/>
      <x:c r="AG56" s="791"/>
      <x:c r="AH56" s="791"/>
      <x:c r="AI56" s="791"/>
      <x:c r="AJ56" s="791"/>
      <x:c r="AK56" s="791"/>
      <x:c r="AL56" s="793" t="str">
        <x:f>IF($A56="","",IF(OR($H56="Lost",$H56="Converted"),"",IF(OR($C56&lt;&gt;"",$D56&lt;&gt;""),10,0)+IF(AND(ISNUMBER($O56),$O56&gt;0),20,0)+IF($AE56="Yes",15,0)+IF($AF56="Yes",15,IF($AF56="Joint",10,0))+IF(OR($AG56="Immediate",$AG56="0-30 days"),20,IF($AG56="1-3 months",10,0))+IF(OR($AC56="Cash",$AD56="Pre-approved",$AD56="Approved"),10,0)+IF(ISNUMBER($V56),10,0)))</x:f>
      </x:c>
      <x:c r="AM56" s="793" t="str">
        <x:f>IF($A56="","",IF($H56="Lost","Lost",IF($H56="Converted","Converted",IF(NOT(ISNUMBER($AL56)),"",IF($AL56&gt;=75,"Hot",IF($AL56&gt;=45,"Warm","Nurture"))))))</x:f>
      </x:c>
      <x:c r="AN56" s="794"/>
      <x:c r="AO56" s="791"/>
      <x:c r="AP56" s="791"/>
      <x:c r="AQ56" s="794"/>
      <x:c r="AR56" s="794"/>
      <x:c r="AS56" s="791"/>
    </x:row>
    <x:row r="57" ht="26" customHeight="1">
      <x:c r="A57" s="319"/>
      <x:c r="B57" s="320"/>
      <x:c r="C57" s="331"/>
      <x:c r="D57" s="274"/>
      <x:c r="E57" s="274"/>
      <x:c r="F57" s="274"/>
      <x:c r="G57" s="274"/>
      <x:c r="H57" s="274"/>
      <x:c r="I57" s="274"/>
      <x:c r="J57" s="274"/>
      <x:c r="K57" s="274"/>
      <x:c r="L57" s="274"/>
      <x:c r="M57" s="377"/>
      <x:c r="N57" s="302"/>
      <x:c r="O57" s="302"/>
      <x:c r="P57" s="274"/>
      <x:c r="Q57" s="304"/>
      <x:c r="R57" s="304"/>
      <x:c r="S57" s="274"/>
      <x:c r="T57" s="315" t="str">
        <x:f>IF(A57="","",IF(OR(AND(C57&lt;&gt;"",COUNTIFS($C$6:$C$205,C57)&gt;1),AND(D57&lt;&gt;"",COUNTIFS($D$6:$D$205,D57)&gt;1)),"Check duplicate",""))</x:f>
      </x:c>
      <x:c r="U57" s="374" t="str">
        <x:f>IF(A57="","",IF(COUNTIFS('Follow-ups'!$B$6:$B$205,A57,'Follow-ups'!$D$6:$D$205,"&gt;0",'Follow-ups'!$D$6:$D$205,"&lt;="&amp;TODAY())=0,"",_xlfn.MAXIFS('Follow-ups'!$D$6:$D$205,'Follow-ups'!$B$6:$B$205,A57,'Follow-ups'!$D$6:$D$205,"&lt;="&amp;TODAY())))</x:f>
      </x:c>
      <x:c r="V57" s="374" t="str">
        <x:f>IF(A57="","",IF(COUNTIFS('Follow-ups'!$B$6:$B$205,A57,'Follow-ups'!$I$6:$I$205,"Open",'Follow-ups'!$H$6:$H$205,"&gt;0")=0,"",_xlfn.MINIFS('Follow-ups'!$H$6:$H$205,'Follow-ups'!$B$6:$B$205,A57,'Follow-ups'!$I$6:$I$205,"Open",'Follow-ups'!$H$6:$H$205,"&gt;0")))</x:f>
      </x:c>
      <x:c r="W57" s="265" t="str">
        <x:f>IF(A57="","",IF(OR(H57="Converted",H57="Lost"),"Closed lead",IF(H57="On Hold","On hold",IF(ISNUMBER(V57),IF(V57&lt;TODAY(),"Overdue",IF(V57=TODAY(),"Due today","Scheduled")),IF(COUNTIFS('Follow-ups'!$B$6:$B$205,A57,'Follow-ups'!$I$6:$I$205,"Open")&gt;0,"Set task due date","No open task")))))</x:f>
      </x:c>
      <x:c r="X57" s="274"/>
      <x:c r="Y57" s="274"/>
      <x:c r="Z57" s="274"/>
      <x:c r="AA57" s="315" t="str">
        <x:f>IF(A57="","",IF(COUNTIFS($A$6:$A$205,A57)&gt;1,"Duplicate ID",IF(B57="","Add name",IF(AND(C57="",D57=""),"Add phone or email",IF(H57="","Set lead stage",IF(NOT(ISNUMBER(R57)),"Add date added",IF(AND(ISNUMBER(N57),ISNUMBER(O57),N57&gt;O57),"Check budget range",IF(AND(H57="Lost",Y57=""),"Add lost reason",""))))))))</x:f>
      </x:c>
      <x:c r="AB57" s="791"/>
      <x:c r="AC57" s="791"/>
      <x:c r="AD57" s="791"/>
      <x:c r="AE57" s="791"/>
      <x:c r="AF57" s="791"/>
      <x:c r="AG57" s="791"/>
      <x:c r="AH57" s="791"/>
      <x:c r="AI57" s="791"/>
      <x:c r="AJ57" s="791"/>
      <x:c r="AK57" s="791"/>
      <x:c r="AL57" s="793" t="str">
        <x:f>IF($A57="","",IF(OR($H57="Lost",$H57="Converted"),"",IF(OR($C57&lt;&gt;"",$D57&lt;&gt;""),10,0)+IF(AND(ISNUMBER($O57),$O57&gt;0),20,0)+IF($AE57="Yes",15,0)+IF($AF57="Yes",15,IF($AF57="Joint",10,0))+IF(OR($AG57="Immediate",$AG57="0-30 days"),20,IF($AG57="1-3 months",10,0))+IF(OR($AC57="Cash",$AD57="Pre-approved",$AD57="Approved"),10,0)+IF(ISNUMBER($V57),10,0)))</x:f>
      </x:c>
      <x:c r="AM57" s="793" t="str">
        <x:f>IF($A57="","",IF($H57="Lost","Lost",IF($H57="Converted","Converted",IF(NOT(ISNUMBER($AL57)),"",IF($AL57&gt;=75,"Hot",IF($AL57&gt;=45,"Warm","Nurture"))))))</x:f>
      </x:c>
      <x:c r="AN57" s="794"/>
      <x:c r="AO57" s="791"/>
      <x:c r="AP57" s="791"/>
      <x:c r="AQ57" s="794"/>
      <x:c r="AR57" s="794"/>
      <x:c r="AS57" s="791"/>
    </x:row>
    <x:row r="58" ht="26" customHeight="1">
      <x:c r="A58" s="317"/>
      <x:c r="B58" s="318"/>
      <x:c r="C58" s="327"/>
      <x:c r="D58" s="235"/>
      <x:c r="E58" s="235"/>
      <x:c r="F58" s="235"/>
      <x:c r="G58" s="235"/>
      <x:c r="H58" s="235"/>
      <x:c r="I58" s="235"/>
      <x:c r="J58" s="235"/>
      <x:c r="K58" s="235"/>
      <x:c r="L58" s="235"/>
      <x:c r="M58" s="376"/>
      <x:c r="N58" s="236"/>
      <x:c r="O58" s="236"/>
      <x:c r="P58" s="235"/>
      <x:c r="Q58" s="238"/>
      <x:c r="R58" s="238"/>
      <x:c r="S58" s="235"/>
      <x:c r="T58" s="315" t="str">
        <x:f>IF(A58="","",IF(OR(AND(C58&lt;&gt;"",COUNTIFS($C$6:$C$205,C58)&gt;1),AND(D58&lt;&gt;"",COUNTIFS($D$6:$D$205,D58)&gt;1)),"Check duplicate",""))</x:f>
      </x:c>
      <x:c r="U58" s="374" t="str">
        <x:f>IF(A58="","",IF(COUNTIFS('Follow-ups'!$B$6:$B$205,A58,'Follow-ups'!$D$6:$D$205,"&gt;0",'Follow-ups'!$D$6:$D$205,"&lt;="&amp;TODAY())=0,"",_xlfn.MAXIFS('Follow-ups'!$D$6:$D$205,'Follow-ups'!$B$6:$B$205,A58,'Follow-ups'!$D$6:$D$205,"&lt;="&amp;TODAY())))</x:f>
      </x:c>
      <x:c r="V58" s="374" t="str">
        <x:f>IF(A58="","",IF(COUNTIFS('Follow-ups'!$B$6:$B$205,A58,'Follow-ups'!$I$6:$I$205,"Open",'Follow-ups'!$H$6:$H$205,"&gt;0")=0,"",_xlfn.MINIFS('Follow-ups'!$H$6:$H$205,'Follow-ups'!$B$6:$B$205,A58,'Follow-ups'!$I$6:$I$205,"Open",'Follow-ups'!$H$6:$H$205,"&gt;0")))</x:f>
      </x:c>
      <x:c r="W58" s="265" t="str">
        <x:f>IF(A58="","",IF(OR(H58="Converted",H58="Lost"),"Closed lead",IF(H58="On Hold","On hold",IF(ISNUMBER(V58),IF(V58&lt;TODAY(),"Overdue",IF(V58=TODAY(),"Due today","Scheduled")),IF(COUNTIFS('Follow-ups'!$B$6:$B$205,A58,'Follow-ups'!$I$6:$I$205,"Open")&gt;0,"Set task due date","No open task")))))</x:f>
      </x:c>
      <x:c r="X58" s="235"/>
      <x:c r="Y58" s="235"/>
      <x:c r="Z58" s="235"/>
      <x:c r="AA58" s="315" t="str">
        <x:f>IF(A58="","",IF(COUNTIFS($A$6:$A$205,A58)&gt;1,"Duplicate ID",IF(B58="","Add name",IF(AND(C58="",D58=""),"Add phone or email",IF(H58="","Set lead stage",IF(NOT(ISNUMBER(R58)),"Add date added",IF(AND(ISNUMBER(N58),ISNUMBER(O58),N58&gt;O58),"Check budget range",IF(AND(H58="Lost",Y58=""),"Add lost reason",""))))))))</x:f>
      </x:c>
      <x:c r="AB58" s="791"/>
      <x:c r="AC58" s="791"/>
      <x:c r="AD58" s="791"/>
      <x:c r="AE58" s="791"/>
      <x:c r="AF58" s="791"/>
      <x:c r="AG58" s="791"/>
      <x:c r="AH58" s="791"/>
      <x:c r="AI58" s="791"/>
      <x:c r="AJ58" s="791"/>
      <x:c r="AK58" s="791"/>
      <x:c r="AL58" s="793" t="str">
        <x:f>IF($A58="","",IF(OR($H58="Lost",$H58="Converted"),"",IF(OR($C58&lt;&gt;"",$D58&lt;&gt;""),10,0)+IF(AND(ISNUMBER($O58),$O58&gt;0),20,0)+IF($AE58="Yes",15,0)+IF($AF58="Yes",15,IF($AF58="Joint",10,0))+IF(OR($AG58="Immediate",$AG58="0-30 days"),20,IF($AG58="1-3 months",10,0))+IF(OR($AC58="Cash",$AD58="Pre-approved",$AD58="Approved"),10,0)+IF(ISNUMBER($V58),10,0)))</x:f>
      </x:c>
      <x:c r="AM58" s="793" t="str">
        <x:f>IF($A58="","",IF($H58="Lost","Lost",IF($H58="Converted","Converted",IF(NOT(ISNUMBER($AL58)),"",IF($AL58&gt;=75,"Hot",IF($AL58&gt;=45,"Warm","Nurture"))))))</x:f>
      </x:c>
      <x:c r="AN58" s="794"/>
      <x:c r="AO58" s="791"/>
      <x:c r="AP58" s="791"/>
      <x:c r="AQ58" s="794"/>
      <x:c r="AR58" s="794"/>
      <x:c r="AS58" s="791"/>
    </x:row>
    <x:row r="59" ht="26" customHeight="1">
      <x:c r="A59" s="319"/>
      <x:c r="B59" s="320"/>
      <x:c r="C59" s="331"/>
      <x:c r="D59" s="274"/>
      <x:c r="E59" s="274"/>
      <x:c r="F59" s="274"/>
      <x:c r="G59" s="274"/>
      <x:c r="H59" s="274"/>
      <x:c r="I59" s="274"/>
      <x:c r="J59" s="274"/>
      <x:c r="K59" s="274"/>
      <x:c r="L59" s="274"/>
      <x:c r="M59" s="377"/>
      <x:c r="N59" s="302"/>
      <x:c r="O59" s="302"/>
      <x:c r="P59" s="274"/>
      <x:c r="Q59" s="304"/>
      <x:c r="R59" s="304"/>
      <x:c r="S59" s="274"/>
      <x:c r="T59" s="315" t="str">
        <x:f>IF(A59="","",IF(OR(AND(C59&lt;&gt;"",COUNTIFS($C$6:$C$205,C59)&gt;1),AND(D59&lt;&gt;"",COUNTIFS($D$6:$D$205,D59)&gt;1)),"Check duplicate",""))</x:f>
      </x:c>
      <x:c r="U59" s="374" t="str">
        <x:f>IF(A59="","",IF(COUNTIFS('Follow-ups'!$B$6:$B$205,A59,'Follow-ups'!$D$6:$D$205,"&gt;0",'Follow-ups'!$D$6:$D$205,"&lt;="&amp;TODAY())=0,"",_xlfn.MAXIFS('Follow-ups'!$D$6:$D$205,'Follow-ups'!$B$6:$B$205,A59,'Follow-ups'!$D$6:$D$205,"&lt;="&amp;TODAY())))</x:f>
      </x:c>
      <x:c r="V59" s="374" t="str">
        <x:f>IF(A59="","",IF(COUNTIFS('Follow-ups'!$B$6:$B$205,A59,'Follow-ups'!$I$6:$I$205,"Open",'Follow-ups'!$H$6:$H$205,"&gt;0")=0,"",_xlfn.MINIFS('Follow-ups'!$H$6:$H$205,'Follow-ups'!$B$6:$B$205,A59,'Follow-ups'!$I$6:$I$205,"Open",'Follow-ups'!$H$6:$H$205,"&gt;0")))</x:f>
      </x:c>
      <x:c r="W59" s="265" t="str">
        <x:f>IF(A59="","",IF(OR(H59="Converted",H59="Lost"),"Closed lead",IF(H59="On Hold","On hold",IF(ISNUMBER(V59),IF(V59&lt;TODAY(),"Overdue",IF(V59=TODAY(),"Due today","Scheduled")),IF(COUNTIFS('Follow-ups'!$B$6:$B$205,A59,'Follow-ups'!$I$6:$I$205,"Open")&gt;0,"Set task due date","No open task")))))</x:f>
      </x:c>
      <x:c r="X59" s="274"/>
      <x:c r="Y59" s="274"/>
      <x:c r="Z59" s="274"/>
      <x:c r="AA59" s="315" t="str">
        <x:f>IF(A59="","",IF(COUNTIFS($A$6:$A$205,A59)&gt;1,"Duplicate ID",IF(B59="","Add name",IF(AND(C59="",D59=""),"Add phone or email",IF(H59="","Set lead stage",IF(NOT(ISNUMBER(R59)),"Add date added",IF(AND(ISNUMBER(N59),ISNUMBER(O59),N59&gt;O59),"Check budget range",IF(AND(H59="Lost",Y59=""),"Add lost reason",""))))))))</x:f>
      </x:c>
      <x:c r="AB59" s="791"/>
      <x:c r="AC59" s="791"/>
      <x:c r="AD59" s="791"/>
      <x:c r="AE59" s="791"/>
      <x:c r="AF59" s="791"/>
      <x:c r="AG59" s="791"/>
      <x:c r="AH59" s="791"/>
      <x:c r="AI59" s="791"/>
      <x:c r="AJ59" s="791"/>
      <x:c r="AK59" s="791"/>
      <x:c r="AL59" s="793" t="str">
        <x:f>IF($A59="","",IF(OR($H59="Lost",$H59="Converted"),"",IF(OR($C59&lt;&gt;"",$D59&lt;&gt;""),10,0)+IF(AND(ISNUMBER($O59),$O59&gt;0),20,0)+IF($AE59="Yes",15,0)+IF($AF59="Yes",15,IF($AF59="Joint",10,0))+IF(OR($AG59="Immediate",$AG59="0-30 days"),20,IF($AG59="1-3 months",10,0))+IF(OR($AC59="Cash",$AD59="Pre-approved",$AD59="Approved"),10,0)+IF(ISNUMBER($V59),10,0)))</x:f>
      </x:c>
      <x:c r="AM59" s="793" t="str">
        <x:f>IF($A59="","",IF($H59="Lost","Lost",IF($H59="Converted","Converted",IF(NOT(ISNUMBER($AL59)),"",IF($AL59&gt;=75,"Hot",IF($AL59&gt;=45,"Warm","Nurture"))))))</x:f>
      </x:c>
      <x:c r="AN59" s="794"/>
      <x:c r="AO59" s="791"/>
      <x:c r="AP59" s="791"/>
      <x:c r="AQ59" s="794"/>
      <x:c r="AR59" s="794"/>
      <x:c r="AS59" s="791"/>
    </x:row>
    <x:row r="60" ht="26" customHeight="1">
      <x:c r="A60" s="317"/>
      <x:c r="B60" s="318"/>
      <x:c r="C60" s="327"/>
      <x:c r="D60" s="235"/>
      <x:c r="E60" s="235"/>
      <x:c r="F60" s="235"/>
      <x:c r="G60" s="235"/>
      <x:c r="H60" s="235"/>
      <x:c r="I60" s="235"/>
      <x:c r="J60" s="235"/>
      <x:c r="K60" s="235"/>
      <x:c r="L60" s="235"/>
      <x:c r="M60" s="376"/>
      <x:c r="N60" s="236"/>
      <x:c r="O60" s="236"/>
      <x:c r="P60" s="235"/>
      <x:c r="Q60" s="238"/>
      <x:c r="R60" s="238"/>
      <x:c r="S60" s="235"/>
      <x:c r="T60" s="315" t="str">
        <x:f>IF(A60="","",IF(OR(AND(C60&lt;&gt;"",COUNTIFS($C$6:$C$205,C60)&gt;1),AND(D60&lt;&gt;"",COUNTIFS($D$6:$D$205,D60)&gt;1)),"Check duplicate",""))</x:f>
      </x:c>
      <x:c r="U60" s="374" t="str">
        <x:f>IF(A60="","",IF(COUNTIFS('Follow-ups'!$B$6:$B$205,A60,'Follow-ups'!$D$6:$D$205,"&gt;0",'Follow-ups'!$D$6:$D$205,"&lt;="&amp;TODAY())=0,"",_xlfn.MAXIFS('Follow-ups'!$D$6:$D$205,'Follow-ups'!$B$6:$B$205,A60,'Follow-ups'!$D$6:$D$205,"&lt;="&amp;TODAY())))</x:f>
      </x:c>
      <x:c r="V60" s="374" t="str">
        <x:f>IF(A60="","",IF(COUNTIFS('Follow-ups'!$B$6:$B$205,A60,'Follow-ups'!$I$6:$I$205,"Open",'Follow-ups'!$H$6:$H$205,"&gt;0")=0,"",_xlfn.MINIFS('Follow-ups'!$H$6:$H$205,'Follow-ups'!$B$6:$B$205,A60,'Follow-ups'!$I$6:$I$205,"Open",'Follow-ups'!$H$6:$H$205,"&gt;0")))</x:f>
      </x:c>
      <x:c r="W60" s="265" t="str">
        <x:f>IF(A60="","",IF(OR(H60="Converted",H60="Lost"),"Closed lead",IF(H60="On Hold","On hold",IF(ISNUMBER(V60),IF(V60&lt;TODAY(),"Overdue",IF(V60=TODAY(),"Due today","Scheduled")),IF(COUNTIFS('Follow-ups'!$B$6:$B$205,A60,'Follow-ups'!$I$6:$I$205,"Open")&gt;0,"Set task due date","No open task")))))</x:f>
      </x:c>
      <x:c r="X60" s="235"/>
      <x:c r="Y60" s="235"/>
      <x:c r="Z60" s="235"/>
      <x:c r="AA60" s="315" t="str">
        <x:f>IF(A60="","",IF(COUNTIFS($A$6:$A$205,A60)&gt;1,"Duplicate ID",IF(B60="","Add name",IF(AND(C60="",D60=""),"Add phone or email",IF(H60="","Set lead stage",IF(NOT(ISNUMBER(R60)),"Add date added",IF(AND(ISNUMBER(N60),ISNUMBER(O60),N60&gt;O60),"Check budget range",IF(AND(H60="Lost",Y60=""),"Add lost reason",""))))))))</x:f>
      </x:c>
      <x:c r="AB60" s="791"/>
      <x:c r="AC60" s="791"/>
      <x:c r="AD60" s="791"/>
      <x:c r="AE60" s="791"/>
      <x:c r="AF60" s="791"/>
      <x:c r="AG60" s="791"/>
      <x:c r="AH60" s="791"/>
      <x:c r="AI60" s="791"/>
      <x:c r="AJ60" s="791"/>
      <x:c r="AK60" s="791"/>
      <x:c r="AL60" s="793" t="str">
        <x:f>IF($A60="","",IF(OR($H60="Lost",$H60="Converted"),"",IF(OR($C60&lt;&gt;"",$D60&lt;&gt;""),10,0)+IF(AND(ISNUMBER($O60),$O60&gt;0),20,0)+IF($AE60="Yes",15,0)+IF($AF60="Yes",15,IF($AF60="Joint",10,0))+IF(OR($AG60="Immediate",$AG60="0-30 days"),20,IF($AG60="1-3 months",10,0))+IF(OR($AC60="Cash",$AD60="Pre-approved",$AD60="Approved"),10,0)+IF(ISNUMBER($V60),10,0)))</x:f>
      </x:c>
      <x:c r="AM60" s="793" t="str">
        <x:f>IF($A60="","",IF($H60="Lost","Lost",IF($H60="Converted","Converted",IF(NOT(ISNUMBER($AL60)),"",IF($AL60&gt;=75,"Hot",IF($AL60&gt;=45,"Warm","Nurture"))))))</x:f>
      </x:c>
      <x:c r="AN60" s="794"/>
      <x:c r="AO60" s="791"/>
      <x:c r="AP60" s="791"/>
      <x:c r="AQ60" s="794"/>
      <x:c r="AR60" s="794"/>
      <x:c r="AS60" s="791"/>
    </x:row>
    <x:row r="61" ht="26" customHeight="1">
      <x:c r="A61" s="319"/>
      <x:c r="B61" s="320"/>
      <x:c r="C61" s="331"/>
      <x:c r="D61" s="274"/>
      <x:c r="E61" s="274"/>
      <x:c r="F61" s="274"/>
      <x:c r="G61" s="274"/>
      <x:c r="H61" s="274"/>
      <x:c r="I61" s="274"/>
      <x:c r="J61" s="274"/>
      <x:c r="K61" s="274"/>
      <x:c r="L61" s="274"/>
      <x:c r="M61" s="377"/>
      <x:c r="N61" s="302"/>
      <x:c r="O61" s="302"/>
      <x:c r="P61" s="274"/>
      <x:c r="Q61" s="304"/>
      <x:c r="R61" s="304"/>
      <x:c r="S61" s="274"/>
      <x:c r="T61" s="315" t="str">
        <x:f>IF(A61="","",IF(OR(AND(C61&lt;&gt;"",COUNTIFS($C$6:$C$205,C61)&gt;1),AND(D61&lt;&gt;"",COUNTIFS($D$6:$D$205,D61)&gt;1)),"Check duplicate",""))</x:f>
      </x:c>
      <x:c r="U61" s="374" t="str">
        <x:f>IF(A61="","",IF(COUNTIFS('Follow-ups'!$B$6:$B$205,A61,'Follow-ups'!$D$6:$D$205,"&gt;0",'Follow-ups'!$D$6:$D$205,"&lt;="&amp;TODAY())=0,"",_xlfn.MAXIFS('Follow-ups'!$D$6:$D$205,'Follow-ups'!$B$6:$B$205,A61,'Follow-ups'!$D$6:$D$205,"&lt;="&amp;TODAY())))</x:f>
      </x:c>
      <x:c r="V61" s="374" t="str">
        <x:f>IF(A61="","",IF(COUNTIFS('Follow-ups'!$B$6:$B$205,A61,'Follow-ups'!$I$6:$I$205,"Open",'Follow-ups'!$H$6:$H$205,"&gt;0")=0,"",_xlfn.MINIFS('Follow-ups'!$H$6:$H$205,'Follow-ups'!$B$6:$B$205,A61,'Follow-ups'!$I$6:$I$205,"Open",'Follow-ups'!$H$6:$H$205,"&gt;0")))</x:f>
      </x:c>
      <x:c r="W61" s="265" t="str">
        <x:f>IF(A61="","",IF(OR(H61="Converted",H61="Lost"),"Closed lead",IF(H61="On Hold","On hold",IF(ISNUMBER(V61),IF(V61&lt;TODAY(),"Overdue",IF(V61=TODAY(),"Due today","Scheduled")),IF(COUNTIFS('Follow-ups'!$B$6:$B$205,A61,'Follow-ups'!$I$6:$I$205,"Open")&gt;0,"Set task due date","No open task")))))</x:f>
      </x:c>
      <x:c r="X61" s="274"/>
      <x:c r="Y61" s="274"/>
      <x:c r="Z61" s="274"/>
      <x:c r="AA61" s="315" t="str">
        <x:f>IF(A61="","",IF(COUNTIFS($A$6:$A$205,A61)&gt;1,"Duplicate ID",IF(B61="","Add name",IF(AND(C61="",D61=""),"Add phone or email",IF(H61="","Set lead stage",IF(NOT(ISNUMBER(R61)),"Add date added",IF(AND(ISNUMBER(N61),ISNUMBER(O61),N61&gt;O61),"Check budget range",IF(AND(H61="Lost",Y61=""),"Add lost reason",""))))))))</x:f>
      </x:c>
      <x:c r="AB61" s="791"/>
      <x:c r="AC61" s="791"/>
      <x:c r="AD61" s="791"/>
      <x:c r="AE61" s="791"/>
      <x:c r="AF61" s="791"/>
      <x:c r="AG61" s="791"/>
      <x:c r="AH61" s="791"/>
      <x:c r="AI61" s="791"/>
      <x:c r="AJ61" s="791"/>
      <x:c r="AK61" s="791"/>
      <x:c r="AL61" s="793" t="str">
        <x:f>IF($A61="","",IF(OR($H61="Lost",$H61="Converted"),"",IF(OR($C61&lt;&gt;"",$D61&lt;&gt;""),10,0)+IF(AND(ISNUMBER($O61),$O61&gt;0),20,0)+IF($AE61="Yes",15,0)+IF($AF61="Yes",15,IF($AF61="Joint",10,0))+IF(OR($AG61="Immediate",$AG61="0-30 days"),20,IF($AG61="1-3 months",10,0))+IF(OR($AC61="Cash",$AD61="Pre-approved",$AD61="Approved"),10,0)+IF(ISNUMBER($V61),10,0)))</x:f>
      </x:c>
      <x:c r="AM61" s="793" t="str">
        <x:f>IF($A61="","",IF($H61="Lost","Lost",IF($H61="Converted","Converted",IF(NOT(ISNUMBER($AL61)),"",IF($AL61&gt;=75,"Hot",IF($AL61&gt;=45,"Warm","Nurture"))))))</x:f>
      </x:c>
      <x:c r="AN61" s="794"/>
      <x:c r="AO61" s="791"/>
      <x:c r="AP61" s="791"/>
      <x:c r="AQ61" s="794"/>
      <x:c r="AR61" s="794"/>
      <x:c r="AS61" s="791"/>
    </x:row>
    <x:row r="62" ht="26" customHeight="1">
      <x:c r="A62" s="317"/>
      <x:c r="B62" s="318"/>
      <x:c r="C62" s="327"/>
      <x:c r="D62" s="235"/>
      <x:c r="E62" s="235"/>
      <x:c r="F62" s="235"/>
      <x:c r="G62" s="235"/>
      <x:c r="H62" s="235"/>
      <x:c r="I62" s="235"/>
      <x:c r="J62" s="235"/>
      <x:c r="K62" s="235"/>
      <x:c r="L62" s="235"/>
      <x:c r="M62" s="376"/>
      <x:c r="N62" s="236"/>
      <x:c r="O62" s="236"/>
      <x:c r="P62" s="235"/>
      <x:c r="Q62" s="238"/>
      <x:c r="R62" s="238"/>
      <x:c r="S62" s="235"/>
      <x:c r="T62" s="315" t="str">
        <x:f>IF(A62="","",IF(OR(AND(C62&lt;&gt;"",COUNTIFS($C$6:$C$205,C62)&gt;1),AND(D62&lt;&gt;"",COUNTIFS($D$6:$D$205,D62)&gt;1)),"Check duplicate",""))</x:f>
      </x:c>
      <x:c r="U62" s="374" t="str">
        <x:f>IF(A62="","",IF(COUNTIFS('Follow-ups'!$B$6:$B$205,A62,'Follow-ups'!$D$6:$D$205,"&gt;0",'Follow-ups'!$D$6:$D$205,"&lt;="&amp;TODAY())=0,"",_xlfn.MAXIFS('Follow-ups'!$D$6:$D$205,'Follow-ups'!$B$6:$B$205,A62,'Follow-ups'!$D$6:$D$205,"&lt;="&amp;TODAY())))</x:f>
      </x:c>
      <x:c r="V62" s="374" t="str">
        <x:f>IF(A62="","",IF(COUNTIFS('Follow-ups'!$B$6:$B$205,A62,'Follow-ups'!$I$6:$I$205,"Open",'Follow-ups'!$H$6:$H$205,"&gt;0")=0,"",_xlfn.MINIFS('Follow-ups'!$H$6:$H$205,'Follow-ups'!$B$6:$B$205,A62,'Follow-ups'!$I$6:$I$205,"Open",'Follow-ups'!$H$6:$H$205,"&gt;0")))</x:f>
      </x:c>
      <x:c r="W62" s="265" t="str">
        <x:f>IF(A62="","",IF(OR(H62="Converted",H62="Lost"),"Closed lead",IF(H62="On Hold","On hold",IF(ISNUMBER(V62),IF(V62&lt;TODAY(),"Overdue",IF(V62=TODAY(),"Due today","Scheduled")),IF(COUNTIFS('Follow-ups'!$B$6:$B$205,A62,'Follow-ups'!$I$6:$I$205,"Open")&gt;0,"Set task due date","No open task")))))</x:f>
      </x:c>
      <x:c r="X62" s="235"/>
      <x:c r="Y62" s="235"/>
      <x:c r="Z62" s="235"/>
      <x:c r="AA62" s="315" t="str">
        <x:f>IF(A62="","",IF(COUNTIFS($A$6:$A$205,A62)&gt;1,"Duplicate ID",IF(B62="","Add name",IF(AND(C62="",D62=""),"Add phone or email",IF(H62="","Set lead stage",IF(NOT(ISNUMBER(R62)),"Add date added",IF(AND(ISNUMBER(N62),ISNUMBER(O62),N62&gt;O62),"Check budget range",IF(AND(H62="Lost",Y62=""),"Add lost reason",""))))))))</x:f>
      </x:c>
      <x:c r="AB62" s="791"/>
      <x:c r="AC62" s="791"/>
      <x:c r="AD62" s="791"/>
      <x:c r="AE62" s="791"/>
      <x:c r="AF62" s="791"/>
      <x:c r="AG62" s="791"/>
      <x:c r="AH62" s="791"/>
      <x:c r="AI62" s="791"/>
      <x:c r="AJ62" s="791"/>
      <x:c r="AK62" s="791"/>
      <x:c r="AL62" s="793" t="str">
        <x:f>IF($A62="","",IF(OR($H62="Lost",$H62="Converted"),"",IF(OR($C62&lt;&gt;"",$D62&lt;&gt;""),10,0)+IF(AND(ISNUMBER($O62),$O62&gt;0),20,0)+IF($AE62="Yes",15,0)+IF($AF62="Yes",15,IF($AF62="Joint",10,0))+IF(OR($AG62="Immediate",$AG62="0-30 days"),20,IF($AG62="1-3 months",10,0))+IF(OR($AC62="Cash",$AD62="Pre-approved",$AD62="Approved"),10,0)+IF(ISNUMBER($V62),10,0)))</x:f>
      </x:c>
      <x:c r="AM62" s="793" t="str">
        <x:f>IF($A62="","",IF($H62="Lost","Lost",IF($H62="Converted","Converted",IF(NOT(ISNUMBER($AL62)),"",IF($AL62&gt;=75,"Hot",IF($AL62&gt;=45,"Warm","Nurture"))))))</x:f>
      </x:c>
      <x:c r="AN62" s="794"/>
      <x:c r="AO62" s="791"/>
      <x:c r="AP62" s="791"/>
      <x:c r="AQ62" s="794"/>
      <x:c r="AR62" s="794"/>
      <x:c r="AS62" s="791"/>
    </x:row>
    <x:row r="63" ht="26" customHeight="1">
      <x:c r="A63" s="319"/>
      <x:c r="B63" s="320"/>
      <x:c r="C63" s="331"/>
      <x:c r="D63" s="274"/>
      <x:c r="E63" s="274"/>
      <x:c r="F63" s="274"/>
      <x:c r="G63" s="274"/>
      <x:c r="H63" s="274"/>
      <x:c r="I63" s="274"/>
      <x:c r="J63" s="274"/>
      <x:c r="K63" s="274"/>
      <x:c r="L63" s="274"/>
      <x:c r="M63" s="377"/>
      <x:c r="N63" s="302"/>
      <x:c r="O63" s="302"/>
      <x:c r="P63" s="274"/>
      <x:c r="Q63" s="304"/>
      <x:c r="R63" s="304"/>
      <x:c r="S63" s="274"/>
      <x:c r="T63" s="315" t="str">
        <x:f>IF(A63="","",IF(OR(AND(C63&lt;&gt;"",COUNTIFS($C$6:$C$205,C63)&gt;1),AND(D63&lt;&gt;"",COUNTIFS($D$6:$D$205,D63)&gt;1)),"Check duplicate",""))</x:f>
      </x:c>
      <x:c r="U63" s="374" t="str">
        <x:f>IF(A63="","",IF(COUNTIFS('Follow-ups'!$B$6:$B$205,A63,'Follow-ups'!$D$6:$D$205,"&gt;0",'Follow-ups'!$D$6:$D$205,"&lt;="&amp;TODAY())=0,"",_xlfn.MAXIFS('Follow-ups'!$D$6:$D$205,'Follow-ups'!$B$6:$B$205,A63,'Follow-ups'!$D$6:$D$205,"&lt;="&amp;TODAY())))</x:f>
      </x:c>
      <x:c r="V63" s="374" t="str">
        <x:f>IF(A63="","",IF(COUNTIFS('Follow-ups'!$B$6:$B$205,A63,'Follow-ups'!$I$6:$I$205,"Open",'Follow-ups'!$H$6:$H$205,"&gt;0")=0,"",_xlfn.MINIFS('Follow-ups'!$H$6:$H$205,'Follow-ups'!$B$6:$B$205,A63,'Follow-ups'!$I$6:$I$205,"Open",'Follow-ups'!$H$6:$H$205,"&gt;0")))</x:f>
      </x:c>
      <x:c r="W63" s="265" t="str">
        <x:f>IF(A63="","",IF(OR(H63="Converted",H63="Lost"),"Closed lead",IF(H63="On Hold","On hold",IF(ISNUMBER(V63),IF(V63&lt;TODAY(),"Overdue",IF(V63=TODAY(),"Due today","Scheduled")),IF(COUNTIFS('Follow-ups'!$B$6:$B$205,A63,'Follow-ups'!$I$6:$I$205,"Open")&gt;0,"Set task due date","No open task")))))</x:f>
      </x:c>
      <x:c r="X63" s="274"/>
      <x:c r="Y63" s="274"/>
      <x:c r="Z63" s="274"/>
      <x:c r="AA63" s="315" t="str">
        <x:f>IF(A63="","",IF(COUNTIFS($A$6:$A$205,A63)&gt;1,"Duplicate ID",IF(B63="","Add name",IF(AND(C63="",D63=""),"Add phone or email",IF(H63="","Set lead stage",IF(NOT(ISNUMBER(R63)),"Add date added",IF(AND(ISNUMBER(N63),ISNUMBER(O63),N63&gt;O63),"Check budget range",IF(AND(H63="Lost",Y63=""),"Add lost reason",""))))))))</x:f>
      </x:c>
      <x:c r="AB63" s="791"/>
      <x:c r="AC63" s="791"/>
      <x:c r="AD63" s="791"/>
      <x:c r="AE63" s="791"/>
      <x:c r="AF63" s="791"/>
      <x:c r="AG63" s="791"/>
      <x:c r="AH63" s="791"/>
      <x:c r="AI63" s="791"/>
      <x:c r="AJ63" s="791"/>
      <x:c r="AK63" s="791"/>
      <x:c r="AL63" s="793" t="str">
        <x:f>IF($A63="","",IF(OR($H63="Lost",$H63="Converted"),"",IF(OR($C63&lt;&gt;"",$D63&lt;&gt;""),10,0)+IF(AND(ISNUMBER($O63),$O63&gt;0),20,0)+IF($AE63="Yes",15,0)+IF($AF63="Yes",15,IF($AF63="Joint",10,0))+IF(OR($AG63="Immediate",$AG63="0-30 days"),20,IF($AG63="1-3 months",10,0))+IF(OR($AC63="Cash",$AD63="Pre-approved",$AD63="Approved"),10,0)+IF(ISNUMBER($V63),10,0)))</x:f>
      </x:c>
      <x:c r="AM63" s="793" t="str">
        <x:f>IF($A63="","",IF($H63="Lost","Lost",IF($H63="Converted","Converted",IF(NOT(ISNUMBER($AL63)),"",IF($AL63&gt;=75,"Hot",IF($AL63&gt;=45,"Warm","Nurture"))))))</x:f>
      </x:c>
      <x:c r="AN63" s="794"/>
      <x:c r="AO63" s="791"/>
      <x:c r="AP63" s="791"/>
      <x:c r="AQ63" s="794"/>
      <x:c r="AR63" s="794"/>
      <x:c r="AS63" s="791"/>
    </x:row>
    <x:row r="64" ht="26" customHeight="1">
      <x:c r="A64" s="317"/>
      <x:c r="B64" s="318"/>
      <x:c r="C64" s="327"/>
      <x:c r="D64" s="235"/>
      <x:c r="E64" s="235"/>
      <x:c r="F64" s="235"/>
      <x:c r="G64" s="235"/>
      <x:c r="H64" s="235"/>
      <x:c r="I64" s="235"/>
      <x:c r="J64" s="235"/>
      <x:c r="K64" s="235"/>
      <x:c r="L64" s="235"/>
      <x:c r="M64" s="376"/>
      <x:c r="N64" s="236"/>
      <x:c r="O64" s="236"/>
      <x:c r="P64" s="235"/>
      <x:c r="Q64" s="238"/>
      <x:c r="R64" s="238"/>
      <x:c r="S64" s="235"/>
      <x:c r="T64" s="315" t="str">
        <x:f>IF(A64="","",IF(OR(AND(C64&lt;&gt;"",COUNTIFS($C$6:$C$205,C64)&gt;1),AND(D64&lt;&gt;"",COUNTIFS($D$6:$D$205,D64)&gt;1)),"Check duplicate",""))</x:f>
      </x:c>
      <x:c r="U64" s="374" t="str">
        <x:f>IF(A64="","",IF(COUNTIFS('Follow-ups'!$B$6:$B$205,A64,'Follow-ups'!$D$6:$D$205,"&gt;0",'Follow-ups'!$D$6:$D$205,"&lt;="&amp;TODAY())=0,"",_xlfn.MAXIFS('Follow-ups'!$D$6:$D$205,'Follow-ups'!$B$6:$B$205,A64,'Follow-ups'!$D$6:$D$205,"&lt;="&amp;TODAY())))</x:f>
      </x:c>
      <x:c r="V64" s="374" t="str">
        <x:f>IF(A64="","",IF(COUNTIFS('Follow-ups'!$B$6:$B$205,A64,'Follow-ups'!$I$6:$I$205,"Open",'Follow-ups'!$H$6:$H$205,"&gt;0")=0,"",_xlfn.MINIFS('Follow-ups'!$H$6:$H$205,'Follow-ups'!$B$6:$B$205,A64,'Follow-ups'!$I$6:$I$205,"Open",'Follow-ups'!$H$6:$H$205,"&gt;0")))</x:f>
      </x:c>
      <x:c r="W64" s="265" t="str">
        <x:f>IF(A64="","",IF(OR(H64="Converted",H64="Lost"),"Closed lead",IF(H64="On Hold","On hold",IF(ISNUMBER(V64),IF(V64&lt;TODAY(),"Overdue",IF(V64=TODAY(),"Due today","Scheduled")),IF(COUNTIFS('Follow-ups'!$B$6:$B$205,A64,'Follow-ups'!$I$6:$I$205,"Open")&gt;0,"Set task due date","No open task")))))</x:f>
      </x:c>
      <x:c r="X64" s="235"/>
      <x:c r="Y64" s="235"/>
      <x:c r="Z64" s="235"/>
      <x:c r="AA64" s="315" t="str">
        <x:f>IF(A64="","",IF(COUNTIFS($A$6:$A$205,A64)&gt;1,"Duplicate ID",IF(B64="","Add name",IF(AND(C64="",D64=""),"Add phone or email",IF(H64="","Set lead stage",IF(NOT(ISNUMBER(R64)),"Add date added",IF(AND(ISNUMBER(N64),ISNUMBER(O64),N64&gt;O64),"Check budget range",IF(AND(H64="Lost",Y64=""),"Add lost reason",""))))))))</x:f>
      </x:c>
      <x:c r="AB64" s="791"/>
      <x:c r="AC64" s="791"/>
      <x:c r="AD64" s="791"/>
      <x:c r="AE64" s="791"/>
      <x:c r="AF64" s="791"/>
      <x:c r="AG64" s="791"/>
      <x:c r="AH64" s="791"/>
      <x:c r="AI64" s="791"/>
      <x:c r="AJ64" s="791"/>
      <x:c r="AK64" s="791"/>
      <x:c r="AL64" s="793" t="str">
        <x:f>IF($A64="","",IF(OR($H64="Lost",$H64="Converted"),"",IF(OR($C64&lt;&gt;"",$D64&lt;&gt;""),10,0)+IF(AND(ISNUMBER($O64),$O64&gt;0),20,0)+IF($AE64="Yes",15,0)+IF($AF64="Yes",15,IF($AF64="Joint",10,0))+IF(OR($AG64="Immediate",$AG64="0-30 days"),20,IF($AG64="1-3 months",10,0))+IF(OR($AC64="Cash",$AD64="Pre-approved",$AD64="Approved"),10,0)+IF(ISNUMBER($V64),10,0)))</x:f>
      </x:c>
      <x:c r="AM64" s="793" t="str">
        <x:f>IF($A64="","",IF($H64="Lost","Lost",IF($H64="Converted","Converted",IF(NOT(ISNUMBER($AL64)),"",IF($AL64&gt;=75,"Hot",IF($AL64&gt;=45,"Warm","Nurture"))))))</x:f>
      </x:c>
      <x:c r="AN64" s="794"/>
      <x:c r="AO64" s="791"/>
      <x:c r="AP64" s="791"/>
      <x:c r="AQ64" s="794"/>
      <x:c r="AR64" s="794"/>
      <x:c r="AS64" s="791"/>
    </x:row>
    <x:row r="65" ht="26" customHeight="1">
      <x:c r="A65" s="319"/>
      <x:c r="B65" s="320"/>
      <x:c r="C65" s="331"/>
      <x:c r="D65" s="274"/>
      <x:c r="E65" s="274"/>
      <x:c r="F65" s="274"/>
      <x:c r="G65" s="274"/>
      <x:c r="H65" s="274"/>
      <x:c r="I65" s="274"/>
      <x:c r="J65" s="274"/>
      <x:c r="K65" s="274"/>
      <x:c r="L65" s="274"/>
      <x:c r="M65" s="377"/>
      <x:c r="N65" s="302"/>
      <x:c r="O65" s="302"/>
      <x:c r="P65" s="274"/>
      <x:c r="Q65" s="304"/>
      <x:c r="R65" s="304"/>
      <x:c r="S65" s="274"/>
      <x:c r="T65" s="315" t="str">
        <x:f>IF(A65="","",IF(OR(AND(C65&lt;&gt;"",COUNTIFS($C$6:$C$205,C65)&gt;1),AND(D65&lt;&gt;"",COUNTIFS($D$6:$D$205,D65)&gt;1)),"Check duplicate",""))</x:f>
      </x:c>
      <x:c r="U65" s="374" t="str">
        <x:f>IF(A65="","",IF(COUNTIFS('Follow-ups'!$B$6:$B$205,A65,'Follow-ups'!$D$6:$D$205,"&gt;0",'Follow-ups'!$D$6:$D$205,"&lt;="&amp;TODAY())=0,"",_xlfn.MAXIFS('Follow-ups'!$D$6:$D$205,'Follow-ups'!$B$6:$B$205,A65,'Follow-ups'!$D$6:$D$205,"&lt;="&amp;TODAY())))</x:f>
      </x:c>
      <x:c r="V65" s="374" t="str">
        <x:f>IF(A65="","",IF(COUNTIFS('Follow-ups'!$B$6:$B$205,A65,'Follow-ups'!$I$6:$I$205,"Open",'Follow-ups'!$H$6:$H$205,"&gt;0")=0,"",_xlfn.MINIFS('Follow-ups'!$H$6:$H$205,'Follow-ups'!$B$6:$B$205,A65,'Follow-ups'!$I$6:$I$205,"Open",'Follow-ups'!$H$6:$H$205,"&gt;0")))</x:f>
      </x:c>
      <x:c r="W65" s="265" t="str">
        <x:f>IF(A65="","",IF(OR(H65="Converted",H65="Lost"),"Closed lead",IF(H65="On Hold","On hold",IF(ISNUMBER(V65),IF(V65&lt;TODAY(),"Overdue",IF(V65=TODAY(),"Due today","Scheduled")),IF(COUNTIFS('Follow-ups'!$B$6:$B$205,A65,'Follow-ups'!$I$6:$I$205,"Open")&gt;0,"Set task due date","No open task")))))</x:f>
      </x:c>
      <x:c r="X65" s="274"/>
      <x:c r="Y65" s="274"/>
      <x:c r="Z65" s="274"/>
      <x:c r="AA65" s="315" t="str">
        <x:f>IF(A65="","",IF(COUNTIFS($A$6:$A$205,A65)&gt;1,"Duplicate ID",IF(B65="","Add name",IF(AND(C65="",D65=""),"Add phone or email",IF(H65="","Set lead stage",IF(NOT(ISNUMBER(R65)),"Add date added",IF(AND(ISNUMBER(N65),ISNUMBER(O65),N65&gt;O65),"Check budget range",IF(AND(H65="Lost",Y65=""),"Add lost reason",""))))))))</x:f>
      </x:c>
      <x:c r="AB65" s="791"/>
      <x:c r="AC65" s="791"/>
      <x:c r="AD65" s="791"/>
      <x:c r="AE65" s="791"/>
      <x:c r="AF65" s="791"/>
      <x:c r="AG65" s="791"/>
      <x:c r="AH65" s="791"/>
      <x:c r="AI65" s="791"/>
      <x:c r="AJ65" s="791"/>
      <x:c r="AK65" s="791"/>
      <x:c r="AL65" s="793" t="str">
        <x:f>IF($A65="","",IF(OR($H65="Lost",$H65="Converted"),"",IF(OR($C65&lt;&gt;"",$D65&lt;&gt;""),10,0)+IF(AND(ISNUMBER($O65),$O65&gt;0),20,0)+IF($AE65="Yes",15,0)+IF($AF65="Yes",15,IF($AF65="Joint",10,0))+IF(OR($AG65="Immediate",$AG65="0-30 days"),20,IF($AG65="1-3 months",10,0))+IF(OR($AC65="Cash",$AD65="Pre-approved",$AD65="Approved"),10,0)+IF(ISNUMBER($V65),10,0)))</x:f>
      </x:c>
      <x:c r="AM65" s="793" t="str">
        <x:f>IF($A65="","",IF($H65="Lost","Lost",IF($H65="Converted","Converted",IF(NOT(ISNUMBER($AL65)),"",IF($AL65&gt;=75,"Hot",IF($AL65&gt;=45,"Warm","Nurture"))))))</x:f>
      </x:c>
      <x:c r="AN65" s="794"/>
      <x:c r="AO65" s="791"/>
      <x:c r="AP65" s="791"/>
      <x:c r="AQ65" s="794"/>
      <x:c r="AR65" s="794"/>
      <x:c r="AS65" s="791"/>
    </x:row>
    <x:row r="66" ht="26" customHeight="1">
      <x:c r="A66" s="317"/>
      <x:c r="B66" s="318"/>
      <x:c r="C66" s="327"/>
      <x:c r="D66" s="235"/>
      <x:c r="E66" s="235"/>
      <x:c r="F66" s="235"/>
      <x:c r="G66" s="235"/>
      <x:c r="H66" s="235"/>
      <x:c r="I66" s="235"/>
      <x:c r="J66" s="235"/>
      <x:c r="K66" s="235"/>
      <x:c r="L66" s="235"/>
      <x:c r="M66" s="376"/>
      <x:c r="N66" s="236"/>
      <x:c r="O66" s="236"/>
      <x:c r="P66" s="235"/>
      <x:c r="Q66" s="238"/>
      <x:c r="R66" s="238"/>
      <x:c r="S66" s="235"/>
      <x:c r="T66" s="315" t="str">
        <x:f>IF(A66="","",IF(OR(AND(C66&lt;&gt;"",COUNTIFS($C$6:$C$205,C66)&gt;1),AND(D66&lt;&gt;"",COUNTIFS($D$6:$D$205,D66)&gt;1)),"Check duplicate",""))</x:f>
      </x:c>
      <x:c r="U66" s="374" t="str">
        <x:f>IF(A66="","",IF(COUNTIFS('Follow-ups'!$B$6:$B$205,A66,'Follow-ups'!$D$6:$D$205,"&gt;0",'Follow-ups'!$D$6:$D$205,"&lt;="&amp;TODAY())=0,"",_xlfn.MAXIFS('Follow-ups'!$D$6:$D$205,'Follow-ups'!$B$6:$B$205,A66,'Follow-ups'!$D$6:$D$205,"&lt;="&amp;TODAY())))</x:f>
      </x:c>
      <x:c r="V66" s="374" t="str">
        <x:f>IF(A66="","",IF(COUNTIFS('Follow-ups'!$B$6:$B$205,A66,'Follow-ups'!$I$6:$I$205,"Open",'Follow-ups'!$H$6:$H$205,"&gt;0")=0,"",_xlfn.MINIFS('Follow-ups'!$H$6:$H$205,'Follow-ups'!$B$6:$B$205,A66,'Follow-ups'!$I$6:$I$205,"Open",'Follow-ups'!$H$6:$H$205,"&gt;0")))</x:f>
      </x:c>
      <x:c r="W66" s="265" t="str">
        <x:f>IF(A66="","",IF(OR(H66="Converted",H66="Lost"),"Closed lead",IF(H66="On Hold","On hold",IF(ISNUMBER(V66),IF(V66&lt;TODAY(),"Overdue",IF(V66=TODAY(),"Due today","Scheduled")),IF(COUNTIFS('Follow-ups'!$B$6:$B$205,A66,'Follow-ups'!$I$6:$I$205,"Open")&gt;0,"Set task due date","No open task")))))</x:f>
      </x:c>
      <x:c r="X66" s="235"/>
      <x:c r="Y66" s="235"/>
      <x:c r="Z66" s="235"/>
      <x:c r="AA66" s="315" t="str">
        <x:f>IF(A66="","",IF(COUNTIFS($A$6:$A$205,A66)&gt;1,"Duplicate ID",IF(B66="","Add name",IF(AND(C66="",D66=""),"Add phone or email",IF(H66="","Set lead stage",IF(NOT(ISNUMBER(R66)),"Add date added",IF(AND(ISNUMBER(N66),ISNUMBER(O66),N66&gt;O66),"Check budget range",IF(AND(H66="Lost",Y66=""),"Add lost reason",""))))))))</x:f>
      </x:c>
      <x:c r="AB66" s="791"/>
      <x:c r="AC66" s="791"/>
      <x:c r="AD66" s="791"/>
      <x:c r="AE66" s="791"/>
      <x:c r="AF66" s="791"/>
      <x:c r="AG66" s="791"/>
      <x:c r="AH66" s="791"/>
      <x:c r="AI66" s="791"/>
      <x:c r="AJ66" s="791"/>
      <x:c r="AK66" s="791"/>
      <x:c r="AL66" s="793" t="str">
        <x:f>IF($A66="","",IF(OR($H66="Lost",$H66="Converted"),"",IF(OR($C66&lt;&gt;"",$D66&lt;&gt;""),10,0)+IF(AND(ISNUMBER($O66),$O66&gt;0),20,0)+IF($AE66="Yes",15,0)+IF($AF66="Yes",15,IF($AF66="Joint",10,0))+IF(OR($AG66="Immediate",$AG66="0-30 days"),20,IF($AG66="1-3 months",10,0))+IF(OR($AC66="Cash",$AD66="Pre-approved",$AD66="Approved"),10,0)+IF(ISNUMBER($V66),10,0)))</x:f>
      </x:c>
      <x:c r="AM66" s="793" t="str">
        <x:f>IF($A66="","",IF($H66="Lost","Lost",IF($H66="Converted","Converted",IF(NOT(ISNUMBER($AL66)),"",IF($AL66&gt;=75,"Hot",IF($AL66&gt;=45,"Warm","Nurture"))))))</x:f>
      </x:c>
      <x:c r="AN66" s="794"/>
      <x:c r="AO66" s="791"/>
      <x:c r="AP66" s="791"/>
      <x:c r="AQ66" s="794"/>
      <x:c r="AR66" s="794"/>
      <x:c r="AS66" s="791"/>
    </x:row>
    <x:row r="67" ht="26" customHeight="1">
      <x:c r="A67" s="319"/>
      <x:c r="B67" s="320"/>
      <x:c r="C67" s="331"/>
      <x:c r="D67" s="274"/>
      <x:c r="E67" s="274"/>
      <x:c r="F67" s="274"/>
      <x:c r="G67" s="274"/>
      <x:c r="H67" s="274"/>
      <x:c r="I67" s="274"/>
      <x:c r="J67" s="274"/>
      <x:c r="K67" s="274"/>
      <x:c r="L67" s="274"/>
      <x:c r="M67" s="377"/>
      <x:c r="N67" s="302"/>
      <x:c r="O67" s="302"/>
      <x:c r="P67" s="274"/>
      <x:c r="Q67" s="304"/>
      <x:c r="R67" s="304"/>
      <x:c r="S67" s="274"/>
      <x:c r="T67" s="315" t="str">
        <x:f>IF(A67="","",IF(OR(AND(C67&lt;&gt;"",COUNTIFS($C$6:$C$205,C67)&gt;1),AND(D67&lt;&gt;"",COUNTIFS($D$6:$D$205,D67)&gt;1)),"Check duplicate",""))</x:f>
      </x:c>
      <x:c r="U67" s="374" t="str">
        <x:f>IF(A67="","",IF(COUNTIFS('Follow-ups'!$B$6:$B$205,A67,'Follow-ups'!$D$6:$D$205,"&gt;0",'Follow-ups'!$D$6:$D$205,"&lt;="&amp;TODAY())=0,"",_xlfn.MAXIFS('Follow-ups'!$D$6:$D$205,'Follow-ups'!$B$6:$B$205,A67,'Follow-ups'!$D$6:$D$205,"&lt;="&amp;TODAY())))</x:f>
      </x:c>
      <x:c r="V67" s="374" t="str">
        <x:f>IF(A67="","",IF(COUNTIFS('Follow-ups'!$B$6:$B$205,A67,'Follow-ups'!$I$6:$I$205,"Open",'Follow-ups'!$H$6:$H$205,"&gt;0")=0,"",_xlfn.MINIFS('Follow-ups'!$H$6:$H$205,'Follow-ups'!$B$6:$B$205,A67,'Follow-ups'!$I$6:$I$205,"Open",'Follow-ups'!$H$6:$H$205,"&gt;0")))</x:f>
      </x:c>
      <x:c r="W67" s="265" t="str">
        <x:f>IF(A67="","",IF(OR(H67="Converted",H67="Lost"),"Closed lead",IF(H67="On Hold","On hold",IF(ISNUMBER(V67),IF(V67&lt;TODAY(),"Overdue",IF(V67=TODAY(),"Due today","Scheduled")),IF(COUNTIFS('Follow-ups'!$B$6:$B$205,A67,'Follow-ups'!$I$6:$I$205,"Open")&gt;0,"Set task due date","No open task")))))</x:f>
      </x:c>
      <x:c r="X67" s="274"/>
      <x:c r="Y67" s="274"/>
      <x:c r="Z67" s="274"/>
      <x:c r="AA67" s="315" t="str">
        <x:f>IF(A67="","",IF(COUNTIFS($A$6:$A$205,A67)&gt;1,"Duplicate ID",IF(B67="","Add name",IF(AND(C67="",D67=""),"Add phone or email",IF(H67="","Set lead stage",IF(NOT(ISNUMBER(R67)),"Add date added",IF(AND(ISNUMBER(N67),ISNUMBER(O67),N67&gt;O67),"Check budget range",IF(AND(H67="Lost",Y67=""),"Add lost reason",""))))))))</x:f>
      </x:c>
      <x:c r="AB67" s="791"/>
      <x:c r="AC67" s="791"/>
      <x:c r="AD67" s="791"/>
      <x:c r="AE67" s="791"/>
      <x:c r="AF67" s="791"/>
      <x:c r="AG67" s="791"/>
      <x:c r="AH67" s="791"/>
      <x:c r="AI67" s="791"/>
      <x:c r="AJ67" s="791"/>
      <x:c r="AK67" s="791"/>
      <x:c r="AL67" s="793" t="str">
        <x:f>IF($A67="","",IF(OR($H67="Lost",$H67="Converted"),"",IF(OR($C67&lt;&gt;"",$D67&lt;&gt;""),10,0)+IF(AND(ISNUMBER($O67),$O67&gt;0),20,0)+IF($AE67="Yes",15,0)+IF($AF67="Yes",15,IF($AF67="Joint",10,0))+IF(OR($AG67="Immediate",$AG67="0-30 days"),20,IF($AG67="1-3 months",10,0))+IF(OR($AC67="Cash",$AD67="Pre-approved",$AD67="Approved"),10,0)+IF(ISNUMBER($V67),10,0)))</x:f>
      </x:c>
      <x:c r="AM67" s="793" t="str">
        <x:f>IF($A67="","",IF($H67="Lost","Lost",IF($H67="Converted","Converted",IF(NOT(ISNUMBER($AL67)),"",IF($AL67&gt;=75,"Hot",IF($AL67&gt;=45,"Warm","Nurture"))))))</x:f>
      </x:c>
      <x:c r="AN67" s="794"/>
      <x:c r="AO67" s="791"/>
      <x:c r="AP67" s="791"/>
      <x:c r="AQ67" s="794"/>
      <x:c r="AR67" s="794"/>
      <x:c r="AS67" s="791"/>
    </x:row>
    <x:row r="68" ht="26" customHeight="1">
      <x:c r="A68" s="317"/>
      <x:c r="B68" s="318"/>
      <x:c r="C68" s="327"/>
      <x:c r="D68" s="235"/>
      <x:c r="E68" s="235"/>
      <x:c r="F68" s="235"/>
      <x:c r="G68" s="235"/>
      <x:c r="H68" s="235"/>
      <x:c r="I68" s="235"/>
      <x:c r="J68" s="235"/>
      <x:c r="K68" s="235"/>
      <x:c r="L68" s="235"/>
      <x:c r="M68" s="376"/>
      <x:c r="N68" s="236"/>
      <x:c r="O68" s="236"/>
      <x:c r="P68" s="235"/>
      <x:c r="Q68" s="238"/>
      <x:c r="R68" s="238"/>
      <x:c r="S68" s="235"/>
      <x:c r="T68" s="315" t="str">
        <x:f>IF(A68="","",IF(OR(AND(C68&lt;&gt;"",COUNTIFS($C$6:$C$205,C68)&gt;1),AND(D68&lt;&gt;"",COUNTIFS($D$6:$D$205,D68)&gt;1)),"Check duplicate",""))</x:f>
      </x:c>
      <x:c r="U68" s="374" t="str">
        <x:f>IF(A68="","",IF(COUNTIFS('Follow-ups'!$B$6:$B$205,A68,'Follow-ups'!$D$6:$D$205,"&gt;0",'Follow-ups'!$D$6:$D$205,"&lt;="&amp;TODAY())=0,"",_xlfn.MAXIFS('Follow-ups'!$D$6:$D$205,'Follow-ups'!$B$6:$B$205,A68,'Follow-ups'!$D$6:$D$205,"&lt;="&amp;TODAY())))</x:f>
      </x:c>
      <x:c r="V68" s="374" t="str">
        <x:f>IF(A68="","",IF(COUNTIFS('Follow-ups'!$B$6:$B$205,A68,'Follow-ups'!$I$6:$I$205,"Open",'Follow-ups'!$H$6:$H$205,"&gt;0")=0,"",_xlfn.MINIFS('Follow-ups'!$H$6:$H$205,'Follow-ups'!$B$6:$B$205,A68,'Follow-ups'!$I$6:$I$205,"Open",'Follow-ups'!$H$6:$H$205,"&gt;0")))</x:f>
      </x:c>
      <x:c r="W68" s="265" t="str">
        <x:f>IF(A68="","",IF(OR(H68="Converted",H68="Lost"),"Closed lead",IF(H68="On Hold","On hold",IF(ISNUMBER(V68),IF(V68&lt;TODAY(),"Overdue",IF(V68=TODAY(),"Due today","Scheduled")),IF(COUNTIFS('Follow-ups'!$B$6:$B$205,A68,'Follow-ups'!$I$6:$I$205,"Open")&gt;0,"Set task due date","No open task")))))</x:f>
      </x:c>
      <x:c r="X68" s="235"/>
      <x:c r="Y68" s="235"/>
      <x:c r="Z68" s="235"/>
      <x:c r="AA68" s="315" t="str">
        <x:f>IF(A68="","",IF(COUNTIFS($A$6:$A$205,A68)&gt;1,"Duplicate ID",IF(B68="","Add name",IF(AND(C68="",D68=""),"Add phone or email",IF(H68="","Set lead stage",IF(NOT(ISNUMBER(R68)),"Add date added",IF(AND(ISNUMBER(N68),ISNUMBER(O68),N68&gt;O68),"Check budget range",IF(AND(H68="Lost",Y68=""),"Add lost reason",""))))))))</x:f>
      </x:c>
      <x:c r="AB68" s="791"/>
      <x:c r="AC68" s="791"/>
      <x:c r="AD68" s="791"/>
      <x:c r="AE68" s="791"/>
      <x:c r="AF68" s="791"/>
      <x:c r="AG68" s="791"/>
      <x:c r="AH68" s="791"/>
      <x:c r="AI68" s="791"/>
      <x:c r="AJ68" s="791"/>
      <x:c r="AK68" s="791"/>
      <x:c r="AL68" s="793" t="str">
        <x:f>IF($A68="","",IF(OR($H68="Lost",$H68="Converted"),"",IF(OR($C68&lt;&gt;"",$D68&lt;&gt;""),10,0)+IF(AND(ISNUMBER($O68),$O68&gt;0),20,0)+IF($AE68="Yes",15,0)+IF($AF68="Yes",15,IF($AF68="Joint",10,0))+IF(OR($AG68="Immediate",$AG68="0-30 days"),20,IF($AG68="1-3 months",10,0))+IF(OR($AC68="Cash",$AD68="Pre-approved",$AD68="Approved"),10,0)+IF(ISNUMBER($V68),10,0)))</x:f>
      </x:c>
      <x:c r="AM68" s="793" t="str">
        <x:f>IF($A68="","",IF($H68="Lost","Lost",IF($H68="Converted","Converted",IF(NOT(ISNUMBER($AL68)),"",IF($AL68&gt;=75,"Hot",IF($AL68&gt;=45,"Warm","Nurture"))))))</x:f>
      </x:c>
      <x:c r="AN68" s="794"/>
      <x:c r="AO68" s="791"/>
      <x:c r="AP68" s="791"/>
      <x:c r="AQ68" s="794"/>
      <x:c r="AR68" s="794"/>
      <x:c r="AS68" s="791"/>
    </x:row>
    <x:row r="69" ht="26" customHeight="1">
      <x:c r="A69" s="319"/>
      <x:c r="B69" s="320"/>
      <x:c r="C69" s="331"/>
      <x:c r="D69" s="274"/>
      <x:c r="E69" s="274"/>
      <x:c r="F69" s="274"/>
      <x:c r="G69" s="274"/>
      <x:c r="H69" s="274"/>
      <x:c r="I69" s="274"/>
      <x:c r="J69" s="274"/>
      <x:c r="K69" s="274"/>
      <x:c r="L69" s="274"/>
      <x:c r="M69" s="377"/>
      <x:c r="N69" s="302"/>
      <x:c r="O69" s="302"/>
      <x:c r="P69" s="274"/>
      <x:c r="Q69" s="304"/>
      <x:c r="R69" s="304"/>
      <x:c r="S69" s="274"/>
      <x:c r="T69" s="315" t="str">
        <x:f>IF(A69="","",IF(OR(AND(C69&lt;&gt;"",COUNTIFS($C$6:$C$205,C69)&gt;1),AND(D69&lt;&gt;"",COUNTIFS($D$6:$D$205,D69)&gt;1)),"Check duplicate",""))</x:f>
      </x:c>
      <x:c r="U69" s="374" t="str">
        <x:f>IF(A69="","",IF(COUNTIFS('Follow-ups'!$B$6:$B$205,A69,'Follow-ups'!$D$6:$D$205,"&gt;0",'Follow-ups'!$D$6:$D$205,"&lt;="&amp;TODAY())=0,"",_xlfn.MAXIFS('Follow-ups'!$D$6:$D$205,'Follow-ups'!$B$6:$B$205,A69,'Follow-ups'!$D$6:$D$205,"&lt;="&amp;TODAY())))</x:f>
      </x:c>
      <x:c r="V69" s="374" t="str">
        <x:f>IF(A69="","",IF(COUNTIFS('Follow-ups'!$B$6:$B$205,A69,'Follow-ups'!$I$6:$I$205,"Open",'Follow-ups'!$H$6:$H$205,"&gt;0")=0,"",_xlfn.MINIFS('Follow-ups'!$H$6:$H$205,'Follow-ups'!$B$6:$B$205,A69,'Follow-ups'!$I$6:$I$205,"Open",'Follow-ups'!$H$6:$H$205,"&gt;0")))</x:f>
      </x:c>
      <x:c r="W69" s="265" t="str">
        <x:f>IF(A69="","",IF(OR(H69="Converted",H69="Lost"),"Closed lead",IF(H69="On Hold","On hold",IF(ISNUMBER(V69),IF(V69&lt;TODAY(),"Overdue",IF(V69=TODAY(),"Due today","Scheduled")),IF(COUNTIFS('Follow-ups'!$B$6:$B$205,A69,'Follow-ups'!$I$6:$I$205,"Open")&gt;0,"Set task due date","No open task")))))</x:f>
      </x:c>
      <x:c r="X69" s="274"/>
      <x:c r="Y69" s="274"/>
      <x:c r="Z69" s="274"/>
      <x:c r="AA69" s="315" t="str">
        <x:f>IF(A69="","",IF(COUNTIFS($A$6:$A$205,A69)&gt;1,"Duplicate ID",IF(B69="","Add name",IF(AND(C69="",D69=""),"Add phone or email",IF(H69="","Set lead stage",IF(NOT(ISNUMBER(R69)),"Add date added",IF(AND(ISNUMBER(N69),ISNUMBER(O69),N69&gt;O69),"Check budget range",IF(AND(H69="Lost",Y69=""),"Add lost reason",""))))))))</x:f>
      </x:c>
      <x:c r="AB69" s="791"/>
      <x:c r="AC69" s="791"/>
      <x:c r="AD69" s="791"/>
      <x:c r="AE69" s="791"/>
      <x:c r="AF69" s="791"/>
      <x:c r="AG69" s="791"/>
      <x:c r="AH69" s="791"/>
      <x:c r="AI69" s="791"/>
      <x:c r="AJ69" s="791"/>
      <x:c r="AK69" s="791"/>
      <x:c r="AL69" s="793" t="str">
        <x:f>IF($A69="","",IF(OR($H69="Lost",$H69="Converted"),"",IF(OR($C69&lt;&gt;"",$D69&lt;&gt;""),10,0)+IF(AND(ISNUMBER($O69),$O69&gt;0),20,0)+IF($AE69="Yes",15,0)+IF($AF69="Yes",15,IF($AF69="Joint",10,0))+IF(OR($AG69="Immediate",$AG69="0-30 days"),20,IF($AG69="1-3 months",10,0))+IF(OR($AC69="Cash",$AD69="Pre-approved",$AD69="Approved"),10,0)+IF(ISNUMBER($V69),10,0)))</x:f>
      </x:c>
      <x:c r="AM69" s="793" t="str">
        <x:f>IF($A69="","",IF($H69="Lost","Lost",IF($H69="Converted","Converted",IF(NOT(ISNUMBER($AL69)),"",IF($AL69&gt;=75,"Hot",IF($AL69&gt;=45,"Warm","Nurture"))))))</x:f>
      </x:c>
      <x:c r="AN69" s="794"/>
      <x:c r="AO69" s="791"/>
      <x:c r="AP69" s="791"/>
      <x:c r="AQ69" s="794"/>
      <x:c r="AR69" s="794"/>
      <x:c r="AS69" s="791"/>
    </x:row>
    <x:row r="70" ht="26" customHeight="1">
      <x:c r="A70" s="317"/>
      <x:c r="B70" s="318"/>
      <x:c r="C70" s="327"/>
      <x:c r="D70" s="235"/>
      <x:c r="E70" s="235"/>
      <x:c r="F70" s="235"/>
      <x:c r="G70" s="235"/>
      <x:c r="H70" s="235"/>
      <x:c r="I70" s="235"/>
      <x:c r="J70" s="235"/>
      <x:c r="K70" s="235"/>
      <x:c r="L70" s="235"/>
      <x:c r="M70" s="376"/>
      <x:c r="N70" s="236"/>
      <x:c r="O70" s="236"/>
      <x:c r="P70" s="235"/>
      <x:c r="Q70" s="238"/>
      <x:c r="R70" s="238"/>
      <x:c r="S70" s="235"/>
      <x:c r="T70" s="315" t="str">
        <x:f>IF(A70="","",IF(OR(AND(C70&lt;&gt;"",COUNTIFS($C$6:$C$205,C70)&gt;1),AND(D70&lt;&gt;"",COUNTIFS($D$6:$D$205,D70)&gt;1)),"Check duplicate",""))</x:f>
      </x:c>
      <x:c r="U70" s="374" t="str">
        <x:f>IF(A70="","",IF(COUNTIFS('Follow-ups'!$B$6:$B$205,A70,'Follow-ups'!$D$6:$D$205,"&gt;0",'Follow-ups'!$D$6:$D$205,"&lt;="&amp;TODAY())=0,"",_xlfn.MAXIFS('Follow-ups'!$D$6:$D$205,'Follow-ups'!$B$6:$B$205,A70,'Follow-ups'!$D$6:$D$205,"&lt;="&amp;TODAY())))</x:f>
      </x:c>
      <x:c r="V70" s="374" t="str">
        <x:f>IF(A70="","",IF(COUNTIFS('Follow-ups'!$B$6:$B$205,A70,'Follow-ups'!$I$6:$I$205,"Open",'Follow-ups'!$H$6:$H$205,"&gt;0")=0,"",_xlfn.MINIFS('Follow-ups'!$H$6:$H$205,'Follow-ups'!$B$6:$B$205,A70,'Follow-ups'!$I$6:$I$205,"Open",'Follow-ups'!$H$6:$H$205,"&gt;0")))</x:f>
      </x:c>
      <x:c r="W70" s="265" t="str">
        <x:f>IF(A70="","",IF(OR(H70="Converted",H70="Lost"),"Closed lead",IF(H70="On Hold","On hold",IF(ISNUMBER(V70),IF(V70&lt;TODAY(),"Overdue",IF(V70=TODAY(),"Due today","Scheduled")),IF(COUNTIFS('Follow-ups'!$B$6:$B$205,A70,'Follow-ups'!$I$6:$I$205,"Open")&gt;0,"Set task due date","No open task")))))</x:f>
      </x:c>
      <x:c r="X70" s="235"/>
      <x:c r="Y70" s="235"/>
      <x:c r="Z70" s="235"/>
      <x:c r="AA70" s="315" t="str">
        <x:f>IF(A70="","",IF(COUNTIFS($A$6:$A$205,A70)&gt;1,"Duplicate ID",IF(B70="","Add name",IF(AND(C70="",D70=""),"Add phone or email",IF(H70="","Set lead stage",IF(NOT(ISNUMBER(R70)),"Add date added",IF(AND(ISNUMBER(N70),ISNUMBER(O70),N70&gt;O70),"Check budget range",IF(AND(H70="Lost",Y70=""),"Add lost reason",""))))))))</x:f>
      </x:c>
      <x:c r="AB70" s="791"/>
      <x:c r="AC70" s="791"/>
      <x:c r="AD70" s="791"/>
      <x:c r="AE70" s="791"/>
      <x:c r="AF70" s="791"/>
      <x:c r="AG70" s="791"/>
      <x:c r="AH70" s="791"/>
      <x:c r="AI70" s="791"/>
      <x:c r="AJ70" s="791"/>
      <x:c r="AK70" s="791"/>
      <x:c r="AL70" s="793" t="str">
        <x:f>IF($A70="","",IF(OR($H70="Lost",$H70="Converted"),"",IF(OR($C70&lt;&gt;"",$D70&lt;&gt;""),10,0)+IF(AND(ISNUMBER($O70),$O70&gt;0),20,0)+IF($AE70="Yes",15,0)+IF($AF70="Yes",15,IF($AF70="Joint",10,0))+IF(OR($AG70="Immediate",$AG70="0-30 days"),20,IF($AG70="1-3 months",10,0))+IF(OR($AC70="Cash",$AD70="Pre-approved",$AD70="Approved"),10,0)+IF(ISNUMBER($V70),10,0)))</x:f>
      </x:c>
      <x:c r="AM70" s="793" t="str">
        <x:f>IF($A70="","",IF($H70="Lost","Lost",IF($H70="Converted","Converted",IF(NOT(ISNUMBER($AL70)),"",IF($AL70&gt;=75,"Hot",IF($AL70&gt;=45,"Warm","Nurture"))))))</x:f>
      </x:c>
      <x:c r="AN70" s="794"/>
      <x:c r="AO70" s="791"/>
      <x:c r="AP70" s="791"/>
      <x:c r="AQ70" s="794"/>
      <x:c r="AR70" s="794"/>
      <x:c r="AS70" s="791"/>
    </x:row>
    <x:row r="71" ht="26" customHeight="1">
      <x:c r="A71" s="319"/>
      <x:c r="B71" s="320"/>
      <x:c r="C71" s="331"/>
      <x:c r="D71" s="274"/>
      <x:c r="E71" s="274"/>
      <x:c r="F71" s="274"/>
      <x:c r="G71" s="274"/>
      <x:c r="H71" s="274"/>
      <x:c r="I71" s="274"/>
      <x:c r="J71" s="274"/>
      <x:c r="K71" s="274"/>
      <x:c r="L71" s="274"/>
      <x:c r="M71" s="377"/>
      <x:c r="N71" s="302"/>
      <x:c r="O71" s="302"/>
      <x:c r="P71" s="274"/>
      <x:c r="Q71" s="304"/>
      <x:c r="R71" s="304"/>
      <x:c r="S71" s="274"/>
      <x:c r="T71" s="315" t="str">
        <x:f>IF(A71="","",IF(OR(AND(C71&lt;&gt;"",COUNTIFS($C$6:$C$205,C71)&gt;1),AND(D71&lt;&gt;"",COUNTIFS($D$6:$D$205,D71)&gt;1)),"Check duplicate",""))</x:f>
      </x:c>
      <x:c r="U71" s="374" t="str">
        <x:f>IF(A71="","",IF(COUNTIFS('Follow-ups'!$B$6:$B$205,A71,'Follow-ups'!$D$6:$D$205,"&gt;0",'Follow-ups'!$D$6:$D$205,"&lt;="&amp;TODAY())=0,"",_xlfn.MAXIFS('Follow-ups'!$D$6:$D$205,'Follow-ups'!$B$6:$B$205,A71,'Follow-ups'!$D$6:$D$205,"&lt;="&amp;TODAY())))</x:f>
      </x:c>
      <x:c r="V71" s="374" t="str">
        <x:f>IF(A71="","",IF(COUNTIFS('Follow-ups'!$B$6:$B$205,A71,'Follow-ups'!$I$6:$I$205,"Open",'Follow-ups'!$H$6:$H$205,"&gt;0")=0,"",_xlfn.MINIFS('Follow-ups'!$H$6:$H$205,'Follow-ups'!$B$6:$B$205,A71,'Follow-ups'!$I$6:$I$205,"Open",'Follow-ups'!$H$6:$H$205,"&gt;0")))</x:f>
      </x:c>
      <x:c r="W71" s="265" t="str">
        <x:f>IF(A71="","",IF(OR(H71="Converted",H71="Lost"),"Closed lead",IF(H71="On Hold","On hold",IF(ISNUMBER(V71),IF(V71&lt;TODAY(),"Overdue",IF(V71=TODAY(),"Due today","Scheduled")),IF(COUNTIFS('Follow-ups'!$B$6:$B$205,A71,'Follow-ups'!$I$6:$I$205,"Open")&gt;0,"Set task due date","No open task")))))</x:f>
      </x:c>
      <x:c r="X71" s="274"/>
      <x:c r="Y71" s="274"/>
      <x:c r="Z71" s="274"/>
      <x:c r="AA71" s="315" t="str">
        <x:f>IF(A71="","",IF(COUNTIFS($A$6:$A$205,A71)&gt;1,"Duplicate ID",IF(B71="","Add name",IF(AND(C71="",D71=""),"Add phone or email",IF(H71="","Set lead stage",IF(NOT(ISNUMBER(R71)),"Add date added",IF(AND(ISNUMBER(N71),ISNUMBER(O71),N71&gt;O71),"Check budget range",IF(AND(H71="Lost",Y71=""),"Add lost reason",""))))))))</x:f>
      </x:c>
      <x:c r="AB71" s="791"/>
      <x:c r="AC71" s="791"/>
      <x:c r="AD71" s="791"/>
      <x:c r="AE71" s="791"/>
      <x:c r="AF71" s="791"/>
      <x:c r="AG71" s="791"/>
      <x:c r="AH71" s="791"/>
      <x:c r="AI71" s="791"/>
      <x:c r="AJ71" s="791"/>
      <x:c r="AK71" s="791"/>
      <x:c r="AL71" s="793" t="str">
        <x:f>IF($A71="","",IF(OR($H71="Lost",$H71="Converted"),"",IF(OR($C71&lt;&gt;"",$D71&lt;&gt;""),10,0)+IF(AND(ISNUMBER($O71),$O71&gt;0),20,0)+IF($AE71="Yes",15,0)+IF($AF71="Yes",15,IF($AF71="Joint",10,0))+IF(OR($AG71="Immediate",$AG71="0-30 days"),20,IF($AG71="1-3 months",10,0))+IF(OR($AC71="Cash",$AD71="Pre-approved",$AD71="Approved"),10,0)+IF(ISNUMBER($V71),10,0)))</x:f>
      </x:c>
      <x:c r="AM71" s="793" t="str">
        <x:f>IF($A71="","",IF($H71="Lost","Lost",IF($H71="Converted","Converted",IF(NOT(ISNUMBER($AL71)),"",IF($AL71&gt;=75,"Hot",IF($AL71&gt;=45,"Warm","Nurture"))))))</x:f>
      </x:c>
      <x:c r="AN71" s="794"/>
      <x:c r="AO71" s="791"/>
      <x:c r="AP71" s="791"/>
      <x:c r="AQ71" s="794"/>
      <x:c r="AR71" s="794"/>
      <x:c r="AS71" s="791"/>
    </x:row>
    <x:row r="72" ht="26" customHeight="1">
      <x:c r="A72" s="317"/>
      <x:c r="B72" s="318"/>
      <x:c r="C72" s="327"/>
      <x:c r="D72" s="235"/>
      <x:c r="E72" s="235"/>
      <x:c r="F72" s="235"/>
      <x:c r="G72" s="235"/>
      <x:c r="H72" s="235"/>
      <x:c r="I72" s="235"/>
      <x:c r="J72" s="235"/>
      <x:c r="K72" s="235"/>
      <x:c r="L72" s="235"/>
      <x:c r="M72" s="376"/>
      <x:c r="N72" s="236"/>
      <x:c r="O72" s="236"/>
      <x:c r="P72" s="235"/>
      <x:c r="Q72" s="238"/>
      <x:c r="R72" s="238"/>
      <x:c r="S72" s="235"/>
      <x:c r="T72" s="315" t="str">
        <x:f>IF(A72="","",IF(OR(AND(C72&lt;&gt;"",COUNTIFS($C$6:$C$205,C72)&gt;1),AND(D72&lt;&gt;"",COUNTIFS($D$6:$D$205,D72)&gt;1)),"Check duplicate",""))</x:f>
      </x:c>
      <x:c r="U72" s="374" t="str">
        <x:f>IF(A72="","",IF(COUNTIFS('Follow-ups'!$B$6:$B$205,A72,'Follow-ups'!$D$6:$D$205,"&gt;0",'Follow-ups'!$D$6:$D$205,"&lt;="&amp;TODAY())=0,"",_xlfn.MAXIFS('Follow-ups'!$D$6:$D$205,'Follow-ups'!$B$6:$B$205,A72,'Follow-ups'!$D$6:$D$205,"&lt;="&amp;TODAY())))</x:f>
      </x:c>
      <x:c r="V72" s="374" t="str">
        <x:f>IF(A72="","",IF(COUNTIFS('Follow-ups'!$B$6:$B$205,A72,'Follow-ups'!$I$6:$I$205,"Open",'Follow-ups'!$H$6:$H$205,"&gt;0")=0,"",_xlfn.MINIFS('Follow-ups'!$H$6:$H$205,'Follow-ups'!$B$6:$B$205,A72,'Follow-ups'!$I$6:$I$205,"Open",'Follow-ups'!$H$6:$H$205,"&gt;0")))</x:f>
      </x:c>
      <x:c r="W72" s="265" t="str">
        <x:f>IF(A72="","",IF(OR(H72="Converted",H72="Lost"),"Closed lead",IF(H72="On Hold","On hold",IF(ISNUMBER(V72),IF(V72&lt;TODAY(),"Overdue",IF(V72=TODAY(),"Due today","Scheduled")),IF(COUNTIFS('Follow-ups'!$B$6:$B$205,A72,'Follow-ups'!$I$6:$I$205,"Open")&gt;0,"Set task due date","No open task")))))</x:f>
      </x:c>
      <x:c r="X72" s="235"/>
      <x:c r="Y72" s="235"/>
      <x:c r="Z72" s="235"/>
      <x:c r="AA72" s="315" t="str">
        <x:f>IF(A72="","",IF(COUNTIFS($A$6:$A$205,A72)&gt;1,"Duplicate ID",IF(B72="","Add name",IF(AND(C72="",D72=""),"Add phone or email",IF(H72="","Set lead stage",IF(NOT(ISNUMBER(R72)),"Add date added",IF(AND(ISNUMBER(N72),ISNUMBER(O72),N72&gt;O72),"Check budget range",IF(AND(H72="Lost",Y72=""),"Add lost reason",""))))))))</x:f>
      </x:c>
      <x:c r="AB72" s="791"/>
      <x:c r="AC72" s="791"/>
      <x:c r="AD72" s="791"/>
      <x:c r="AE72" s="791"/>
      <x:c r="AF72" s="791"/>
      <x:c r="AG72" s="791"/>
      <x:c r="AH72" s="791"/>
      <x:c r="AI72" s="791"/>
      <x:c r="AJ72" s="791"/>
      <x:c r="AK72" s="791"/>
      <x:c r="AL72" s="793" t="str">
        <x:f>IF($A72="","",IF(OR($H72="Lost",$H72="Converted"),"",IF(OR($C72&lt;&gt;"",$D72&lt;&gt;""),10,0)+IF(AND(ISNUMBER($O72),$O72&gt;0),20,0)+IF($AE72="Yes",15,0)+IF($AF72="Yes",15,IF($AF72="Joint",10,0))+IF(OR($AG72="Immediate",$AG72="0-30 days"),20,IF($AG72="1-3 months",10,0))+IF(OR($AC72="Cash",$AD72="Pre-approved",$AD72="Approved"),10,0)+IF(ISNUMBER($V72),10,0)))</x:f>
      </x:c>
      <x:c r="AM72" s="793" t="str">
        <x:f>IF($A72="","",IF($H72="Lost","Lost",IF($H72="Converted","Converted",IF(NOT(ISNUMBER($AL72)),"",IF($AL72&gt;=75,"Hot",IF($AL72&gt;=45,"Warm","Nurture"))))))</x:f>
      </x:c>
      <x:c r="AN72" s="794"/>
      <x:c r="AO72" s="791"/>
      <x:c r="AP72" s="791"/>
      <x:c r="AQ72" s="794"/>
      <x:c r="AR72" s="794"/>
      <x:c r="AS72" s="791"/>
    </x:row>
    <x:row r="73" ht="26" customHeight="1">
      <x:c r="A73" s="319"/>
      <x:c r="B73" s="320"/>
      <x:c r="C73" s="331"/>
      <x:c r="D73" s="274"/>
      <x:c r="E73" s="274"/>
      <x:c r="F73" s="274"/>
      <x:c r="G73" s="274"/>
      <x:c r="H73" s="274"/>
      <x:c r="I73" s="274"/>
      <x:c r="J73" s="274"/>
      <x:c r="K73" s="274"/>
      <x:c r="L73" s="274"/>
      <x:c r="M73" s="377"/>
      <x:c r="N73" s="302"/>
      <x:c r="O73" s="302"/>
      <x:c r="P73" s="274"/>
      <x:c r="Q73" s="304"/>
      <x:c r="R73" s="304"/>
      <x:c r="S73" s="274"/>
      <x:c r="T73" s="315" t="str">
        <x:f>IF(A73="","",IF(OR(AND(C73&lt;&gt;"",COUNTIFS($C$6:$C$205,C73)&gt;1),AND(D73&lt;&gt;"",COUNTIFS($D$6:$D$205,D73)&gt;1)),"Check duplicate",""))</x:f>
      </x:c>
      <x:c r="U73" s="374" t="str">
        <x:f>IF(A73="","",IF(COUNTIFS('Follow-ups'!$B$6:$B$205,A73,'Follow-ups'!$D$6:$D$205,"&gt;0",'Follow-ups'!$D$6:$D$205,"&lt;="&amp;TODAY())=0,"",_xlfn.MAXIFS('Follow-ups'!$D$6:$D$205,'Follow-ups'!$B$6:$B$205,A73,'Follow-ups'!$D$6:$D$205,"&lt;="&amp;TODAY())))</x:f>
      </x:c>
      <x:c r="V73" s="374" t="str">
        <x:f>IF(A73="","",IF(COUNTIFS('Follow-ups'!$B$6:$B$205,A73,'Follow-ups'!$I$6:$I$205,"Open",'Follow-ups'!$H$6:$H$205,"&gt;0")=0,"",_xlfn.MINIFS('Follow-ups'!$H$6:$H$205,'Follow-ups'!$B$6:$B$205,A73,'Follow-ups'!$I$6:$I$205,"Open",'Follow-ups'!$H$6:$H$205,"&gt;0")))</x:f>
      </x:c>
      <x:c r="W73" s="265" t="str">
        <x:f>IF(A73="","",IF(OR(H73="Converted",H73="Lost"),"Closed lead",IF(H73="On Hold","On hold",IF(ISNUMBER(V73),IF(V73&lt;TODAY(),"Overdue",IF(V73=TODAY(),"Due today","Scheduled")),IF(COUNTIFS('Follow-ups'!$B$6:$B$205,A73,'Follow-ups'!$I$6:$I$205,"Open")&gt;0,"Set task due date","No open task")))))</x:f>
      </x:c>
      <x:c r="X73" s="274"/>
      <x:c r="Y73" s="274"/>
      <x:c r="Z73" s="274"/>
      <x:c r="AA73" s="315" t="str">
        <x:f>IF(A73="","",IF(COUNTIFS($A$6:$A$205,A73)&gt;1,"Duplicate ID",IF(B73="","Add name",IF(AND(C73="",D73=""),"Add phone or email",IF(H73="","Set lead stage",IF(NOT(ISNUMBER(R73)),"Add date added",IF(AND(ISNUMBER(N73),ISNUMBER(O73),N73&gt;O73),"Check budget range",IF(AND(H73="Lost",Y73=""),"Add lost reason",""))))))))</x:f>
      </x:c>
      <x:c r="AB73" s="791"/>
      <x:c r="AC73" s="791"/>
      <x:c r="AD73" s="791"/>
      <x:c r="AE73" s="791"/>
      <x:c r="AF73" s="791"/>
      <x:c r="AG73" s="791"/>
      <x:c r="AH73" s="791"/>
      <x:c r="AI73" s="791"/>
      <x:c r="AJ73" s="791"/>
      <x:c r="AK73" s="791"/>
      <x:c r="AL73" s="793" t="str">
        <x:f>IF($A73="","",IF(OR($H73="Lost",$H73="Converted"),"",IF(OR($C73&lt;&gt;"",$D73&lt;&gt;""),10,0)+IF(AND(ISNUMBER($O73),$O73&gt;0),20,0)+IF($AE73="Yes",15,0)+IF($AF73="Yes",15,IF($AF73="Joint",10,0))+IF(OR($AG73="Immediate",$AG73="0-30 days"),20,IF($AG73="1-3 months",10,0))+IF(OR($AC73="Cash",$AD73="Pre-approved",$AD73="Approved"),10,0)+IF(ISNUMBER($V73),10,0)))</x:f>
      </x:c>
      <x:c r="AM73" s="793" t="str">
        <x:f>IF($A73="","",IF($H73="Lost","Lost",IF($H73="Converted","Converted",IF(NOT(ISNUMBER($AL73)),"",IF($AL73&gt;=75,"Hot",IF($AL73&gt;=45,"Warm","Nurture"))))))</x:f>
      </x:c>
      <x:c r="AN73" s="794"/>
      <x:c r="AO73" s="791"/>
      <x:c r="AP73" s="791"/>
      <x:c r="AQ73" s="794"/>
      <x:c r="AR73" s="794"/>
      <x:c r="AS73" s="791"/>
    </x:row>
    <x:row r="74" ht="26" customHeight="1">
      <x:c r="A74" s="317"/>
      <x:c r="B74" s="318"/>
      <x:c r="C74" s="327"/>
      <x:c r="D74" s="235"/>
      <x:c r="E74" s="235"/>
      <x:c r="F74" s="235"/>
      <x:c r="G74" s="235"/>
      <x:c r="H74" s="235"/>
      <x:c r="I74" s="235"/>
      <x:c r="J74" s="235"/>
      <x:c r="K74" s="235"/>
      <x:c r="L74" s="235"/>
      <x:c r="M74" s="376"/>
      <x:c r="N74" s="236"/>
      <x:c r="O74" s="236"/>
      <x:c r="P74" s="235"/>
      <x:c r="Q74" s="238"/>
      <x:c r="R74" s="238"/>
      <x:c r="S74" s="235"/>
      <x:c r="T74" s="315" t="str">
        <x:f>IF(A74="","",IF(OR(AND(C74&lt;&gt;"",COUNTIFS($C$6:$C$205,C74)&gt;1),AND(D74&lt;&gt;"",COUNTIFS($D$6:$D$205,D74)&gt;1)),"Check duplicate",""))</x:f>
      </x:c>
      <x:c r="U74" s="374" t="str">
        <x:f>IF(A74="","",IF(COUNTIFS('Follow-ups'!$B$6:$B$205,A74,'Follow-ups'!$D$6:$D$205,"&gt;0",'Follow-ups'!$D$6:$D$205,"&lt;="&amp;TODAY())=0,"",_xlfn.MAXIFS('Follow-ups'!$D$6:$D$205,'Follow-ups'!$B$6:$B$205,A74,'Follow-ups'!$D$6:$D$205,"&lt;="&amp;TODAY())))</x:f>
      </x:c>
      <x:c r="V74" s="374" t="str">
        <x:f>IF(A74="","",IF(COUNTIFS('Follow-ups'!$B$6:$B$205,A74,'Follow-ups'!$I$6:$I$205,"Open",'Follow-ups'!$H$6:$H$205,"&gt;0")=0,"",_xlfn.MINIFS('Follow-ups'!$H$6:$H$205,'Follow-ups'!$B$6:$B$205,A74,'Follow-ups'!$I$6:$I$205,"Open",'Follow-ups'!$H$6:$H$205,"&gt;0")))</x:f>
      </x:c>
      <x:c r="W74" s="265" t="str">
        <x:f>IF(A74="","",IF(OR(H74="Converted",H74="Lost"),"Closed lead",IF(H74="On Hold","On hold",IF(ISNUMBER(V74),IF(V74&lt;TODAY(),"Overdue",IF(V74=TODAY(),"Due today","Scheduled")),IF(COUNTIFS('Follow-ups'!$B$6:$B$205,A74,'Follow-ups'!$I$6:$I$205,"Open")&gt;0,"Set task due date","No open task")))))</x:f>
      </x:c>
      <x:c r="X74" s="235"/>
      <x:c r="Y74" s="235"/>
      <x:c r="Z74" s="235"/>
      <x:c r="AA74" s="315" t="str">
        <x:f>IF(A74="","",IF(COUNTIFS($A$6:$A$205,A74)&gt;1,"Duplicate ID",IF(B74="","Add name",IF(AND(C74="",D74=""),"Add phone or email",IF(H74="","Set lead stage",IF(NOT(ISNUMBER(R74)),"Add date added",IF(AND(ISNUMBER(N74),ISNUMBER(O74),N74&gt;O74),"Check budget range",IF(AND(H74="Lost",Y74=""),"Add lost reason",""))))))))</x:f>
      </x:c>
      <x:c r="AB74" s="791"/>
      <x:c r="AC74" s="791"/>
      <x:c r="AD74" s="791"/>
      <x:c r="AE74" s="791"/>
      <x:c r="AF74" s="791"/>
      <x:c r="AG74" s="791"/>
      <x:c r="AH74" s="791"/>
      <x:c r="AI74" s="791"/>
      <x:c r="AJ74" s="791"/>
      <x:c r="AK74" s="791"/>
      <x:c r="AL74" s="793" t="str">
        <x:f>IF($A74="","",IF(OR($H74="Lost",$H74="Converted"),"",IF(OR($C74&lt;&gt;"",$D74&lt;&gt;""),10,0)+IF(AND(ISNUMBER($O74),$O74&gt;0),20,0)+IF($AE74="Yes",15,0)+IF($AF74="Yes",15,IF($AF74="Joint",10,0))+IF(OR($AG74="Immediate",$AG74="0-30 days"),20,IF($AG74="1-3 months",10,0))+IF(OR($AC74="Cash",$AD74="Pre-approved",$AD74="Approved"),10,0)+IF(ISNUMBER($V74),10,0)))</x:f>
      </x:c>
      <x:c r="AM74" s="793" t="str">
        <x:f>IF($A74="","",IF($H74="Lost","Lost",IF($H74="Converted","Converted",IF(NOT(ISNUMBER($AL74)),"",IF($AL74&gt;=75,"Hot",IF($AL74&gt;=45,"Warm","Nurture"))))))</x:f>
      </x:c>
      <x:c r="AN74" s="794"/>
      <x:c r="AO74" s="791"/>
      <x:c r="AP74" s="791"/>
      <x:c r="AQ74" s="794"/>
      <x:c r="AR74" s="794"/>
      <x:c r="AS74" s="791"/>
    </x:row>
    <x:row r="75" ht="26" customHeight="1">
      <x:c r="A75" s="319"/>
      <x:c r="B75" s="320"/>
      <x:c r="C75" s="331"/>
      <x:c r="D75" s="274"/>
      <x:c r="E75" s="274"/>
      <x:c r="F75" s="274"/>
      <x:c r="G75" s="274"/>
      <x:c r="H75" s="274"/>
      <x:c r="I75" s="274"/>
      <x:c r="J75" s="274"/>
      <x:c r="K75" s="274"/>
      <x:c r="L75" s="274"/>
      <x:c r="M75" s="377"/>
      <x:c r="N75" s="302"/>
      <x:c r="O75" s="302"/>
      <x:c r="P75" s="274"/>
      <x:c r="Q75" s="304"/>
      <x:c r="R75" s="304"/>
      <x:c r="S75" s="274"/>
      <x:c r="T75" s="315" t="str">
        <x:f>IF(A75="","",IF(OR(AND(C75&lt;&gt;"",COUNTIFS($C$6:$C$205,C75)&gt;1),AND(D75&lt;&gt;"",COUNTIFS($D$6:$D$205,D75)&gt;1)),"Check duplicate",""))</x:f>
      </x:c>
      <x:c r="U75" s="374" t="str">
        <x:f>IF(A75="","",IF(COUNTIFS('Follow-ups'!$B$6:$B$205,A75,'Follow-ups'!$D$6:$D$205,"&gt;0",'Follow-ups'!$D$6:$D$205,"&lt;="&amp;TODAY())=0,"",_xlfn.MAXIFS('Follow-ups'!$D$6:$D$205,'Follow-ups'!$B$6:$B$205,A75,'Follow-ups'!$D$6:$D$205,"&lt;="&amp;TODAY())))</x:f>
      </x:c>
      <x:c r="V75" s="374" t="str">
        <x:f>IF(A75="","",IF(COUNTIFS('Follow-ups'!$B$6:$B$205,A75,'Follow-ups'!$I$6:$I$205,"Open",'Follow-ups'!$H$6:$H$205,"&gt;0")=0,"",_xlfn.MINIFS('Follow-ups'!$H$6:$H$205,'Follow-ups'!$B$6:$B$205,A75,'Follow-ups'!$I$6:$I$205,"Open",'Follow-ups'!$H$6:$H$205,"&gt;0")))</x:f>
      </x:c>
      <x:c r="W75" s="265" t="str">
        <x:f>IF(A75="","",IF(OR(H75="Converted",H75="Lost"),"Closed lead",IF(H75="On Hold","On hold",IF(ISNUMBER(V75),IF(V75&lt;TODAY(),"Overdue",IF(V75=TODAY(),"Due today","Scheduled")),IF(COUNTIFS('Follow-ups'!$B$6:$B$205,A75,'Follow-ups'!$I$6:$I$205,"Open")&gt;0,"Set task due date","No open task")))))</x:f>
      </x:c>
      <x:c r="X75" s="274"/>
      <x:c r="Y75" s="274"/>
      <x:c r="Z75" s="274"/>
      <x:c r="AA75" s="315" t="str">
        <x:f>IF(A75="","",IF(COUNTIFS($A$6:$A$205,A75)&gt;1,"Duplicate ID",IF(B75="","Add name",IF(AND(C75="",D75=""),"Add phone or email",IF(H75="","Set lead stage",IF(NOT(ISNUMBER(R75)),"Add date added",IF(AND(ISNUMBER(N75),ISNUMBER(O75),N75&gt;O75),"Check budget range",IF(AND(H75="Lost",Y75=""),"Add lost reason",""))))))))</x:f>
      </x:c>
      <x:c r="AB75" s="791"/>
      <x:c r="AC75" s="791"/>
      <x:c r="AD75" s="791"/>
      <x:c r="AE75" s="791"/>
      <x:c r="AF75" s="791"/>
      <x:c r="AG75" s="791"/>
      <x:c r="AH75" s="791"/>
      <x:c r="AI75" s="791"/>
      <x:c r="AJ75" s="791"/>
      <x:c r="AK75" s="791"/>
      <x:c r="AL75" s="793" t="str">
        <x:f>IF($A75="","",IF(OR($H75="Lost",$H75="Converted"),"",IF(OR($C75&lt;&gt;"",$D75&lt;&gt;""),10,0)+IF(AND(ISNUMBER($O75),$O75&gt;0),20,0)+IF($AE75="Yes",15,0)+IF($AF75="Yes",15,IF($AF75="Joint",10,0))+IF(OR($AG75="Immediate",$AG75="0-30 days"),20,IF($AG75="1-3 months",10,0))+IF(OR($AC75="Cash",$AD75="Pre-approved",$AD75="Approved"),10,0)+IF(ISNUMBER($V75),10,0)))</x:f>
      </x:c>
      <x:c r="AM75" s="793" t="str">
        <x:f>IF($A75="","",IF($H75="Lost","Lost",IF($H75="Converted","Converted",IF(NOT(ISNUMBER($AL75)),"",IF($AL75&gt;=75,"Hot",IF($AL75&gt;=45,"Warm","Nurture"))))))</x:f>
      </x:c>
      <x:c r="AN75" s="794"/>
      <x:c r="AO75" s="791"/>
      <x:c r="AP75" s="791"/>
      <x:c r="AQ75" s="794"/>
      <x:c r="AR75" s="794"/>
      <x:c r="AS75" s="791"/>
    </x:row>
    <x:row r="76" ht="26" customHeight="1">
      <x:c r="A76" s="317"/>
      <x:c r="B76" s="318"/>
      <x:c r="C76" s="327"/>
      <x:c r="D76" s="235"/>
      <x:c r="E76" s="235"/>
      <x:c r="F76" s="235"/>
      <x:c r="G76" s="235"/>
      <x:c r="H76" s="235"/>
      <x:c r="I76" s="235"/>
      <x:c r="J76" s="235"/>
      <x:c r="K76" s="235"/>
      <x:c r="L76" s="235"/>
      <x:c r="M76" s="376"/>
      <x:c r="N76" s="236"/>
      <x:c r="O76" s="236"/>
      <x:c r="P76" s="235"/>
      <x:c r="Q76" s="238"/>
      <x:c r="R76" s="238"/>
      <x:c r="S76" s="235"/>
      <x:c r="T76" s="315" t="str">
        <x:f>IF(A76="","",IF(OR(AND(C76&lt;&gt;"",COUNTIFS($C$6:$C$205,C76)&gt;1),AND(D76&lt;&gt;"",COUNTIFS($D$6:$D$205,D76)&gt;1)),"Check duplicate",""))</x:f>
      </x:c>
      <x:c r="U76" s="374" t="str">
        <x:f>IF(A76="","",IF(COUNTIFS('Follow-ups'!$B$6:$B$205,A76,'Follow-ups'!$D$6:$D$205,"&gt;0",'Follow-ups'!$D$6:$D$205,"&lt;="&amp;TODAY())=0,"",_xlfn.MAXIFS('Follow-ups'!$D$6:$D$205,'Follow-ups'!$B$6:$B$205,A76,'Follow-ups'!$D$6:$D$205,"&lt;="&amp;TODAY())))</x:f>
      </x:c>
      <x:c r="V76" s="374" t="str">
        <x:f>IF(A76="","",IF(COUNTIFS('Follow-ups'!$B$6:$B$205,A76,'Follow-ups'!$I$6:$I$205,"Open",'Follow-ups'!$H$6:$H$205,"&gt;0")=0,"",_xlfn.MINIFS('Follow-ups'!$H$6:$H$205,'Follow-ups'!$B$6:$B$205,A76,'Follow-ups'!$I$6:$I$205,"Open",'Follow-ups'!$H$6:$H$205,"&gt;0")))</x:f>
      </x:c>
      <x:c r="W76" s="265" t="str">
        <x:f>IF(A76="","",IF(OR(H76="Converted",H76="Lost"),"Closed lead",IF(H76="On Hold","On hold",IF(ISNUMBER(V76),IF(V76&lt;TODAY(),"Overdue",IF(V76=TODAY(),"Due today","Scheduled")),IF(COUNTIFS('Follow-ups'!$B$6:$B$205,A76,'Follow-ups'!$I$6:$I$205,"Open")&gt;0,"Set task due date","No open task")))))</x:f>
      </x:c>
      <x:c r="X76" s="235"/>
      <x:c r="Y76" s="235"/>
      <x:c r="Z76" s="235"/>
      <x:c r="AA76" s="315" t="str">
        <x:f>IF(A76="","",IF(COUNTIFS($A$6:$A$205,A76)&gt;1,"Duplicate ID",IF(B76="","Add name",IF(AND(C76="",D76=""),"Add phone or email",IF(H76="","Set lead stage",IF(NOT(ISNUMBER(R76)),"Add date added",IF(AND(ISNUMBER(N76),ISNUMBER(O76),N76&gt;O76),"Check budget range",IF(AND(H76="Lost",Y76=""),"Add lost reason",""))))))))</x:f>
      </x:c>
      <x:c r="AB76" s="791"/>
      <x:c r="AC76" s="791"/>
      <x:c r="AD76" s="791"/>
      <x:c r="AE76" s="791"/>
      <x:c r="AF76" s="791"/>
      <x:c r="AG76" s="791"/>
      <x:c r="AH76" s="791"/>
      <x:c r="AI76" s="791"/>
      <x:c r="AJ76" s="791"/>
      <x:c r="AK76" s="791"/>
      <x:c r="AL76" s="793" t="str">
        <x:f>IF($A76="","",IF(OR($H76="Lost",$H76="Converted"),"",IF(OR($C76&lt;&gt;"",$D76&lt;&gt;""),10,0)+IF(AND(ISNUMBER($O76),$O76&gt;0),20,0)+IF($AE76="Yes",15,0)+IF($AF76="Yes",15,IF($AF76="Joint",10,0))+IF(OR($AG76="Immediate",$AG76="0-30 days"),20,IF($AG76="1-3 months",10,0))+IF(OR($AC76="Cash",$AD76="Pre-approved",$AD76="Approved"),10,0)+IF(ISNUMBER($V76),10,0)))</x:f>
      </x:c>
      <x:c r="AM76" s="793" t="str">
        <x:f>IF($A76="","",IF($H76="Lost","Lost",IF($H76="Converted","Converted",IF(NOT(ISNUMBER($AL76)),"",IF($AL76&gt;=75,"Hot",IF($AL76&gt;=45,"Warm","Nurture"))))))</x:f>
      </x:c>
      <x:c r="AN76" s="794"/>
      <x:c r="AO76" s="791"/>
      <x:c r="AP76" s="791"/>
      <x:c r="AQ76" s="794"/>
      <x:c r="AR76" s="794"/>
      <x:c r="AS76" s="791"/>
    </x:row>
    <x:row r="77" ht="26" customHeight="1">
      <x:c r="A77" s="319"/>
      <x:c r="B77" s="320"/>
      <x:c r="C77" s="331"/>
      <x:c r="D77" s="274"/>
      <x:c r="E77" s="274"/>
      <x:c r="F77" s="274"/>
      <x:c r="G77" s="274"/>
      <x:c r="H77" s="274"/>
      <x:c r="I77" s="274"/>
      <x:c r="J77" s="274"/>
      <x:c r="K77" s="274"/>
      <x:c r="L77" s="274"/>
      <x:c r="M77" s="377"/>
      <x:c r="N77" s="302"/>
      <x:c r="O77" s="302"/>
      <x:c r="P77" s="274"/>
      <x:c r="Q77" s="304"/>
      <x:c r="R77" s="304"/>
      <x:c r="S77" s="274"/>
      <x:c r="T77" s="315" t="str">
        <x:f>IF(A77="","",IF(OR(AND(C77&lt;&gt;"",COUNTIFS($C$6:$C$205,C77)&gt;1),AND(D77&lt;&gt;"",COUNTIFS($D$6:$D$205,D77)&gt;1)),"Check duplicate",""))</x:f>
      </x:c>
      <x:c r="U77" s="374" t="str">
        <x:f>IF(A77="","",IF(COUNTIFS('Follow-ups'!$B$6:$B$205,A77,'Follow-ups'!$D$6:$D$205,"&gt;0",'Follow-ups'!$D$6:$D$205,"&lt;="&amp;TODAY())=0,"",_xlfn.MAXIFS('Follow-ups'!$D$6:$D$205,'Follow-ups'!$B$6:$B$205,A77,'Follow-ups'!$D$6:$D$205,"&lt;="&amp;TODAY())))</x:f>
      </x:c>
      <x:c r="V77" s="374" t="str">
        <x:f>IF(A77="","",IF(COUNTIFS('Follow-ups'!$B$6:$B$205,A77,'Follow-ups'!$I$6:$I$205,"Open",'Follow-ups'!$H$6:$H$205,"&gt;0")=0,"",_xlfn.MINIFS('Follow-ups'!$H$6:$H$205,'Follow-ups'!$B$6:$B$205,A77,'Follow-ups'!$I$6:$I$205,"Open",'Follow-ups'!$H$6:$H$205,"&gt;0")))</x:f>
      </x:c>
      <x:c r="W77" s="265" t="str">
        <x:f>IF(A77="","",IF(OR(H77="Converted",H77="Lost"),"Closed lead",IF(H77="On Hold","On hold",IF(ISNUMBER(V77),IF(V77&lt;TODAY(),"Overdue",IF(V77=TODAY(),"Due today","Scheduled")),IF(COUNTIFS('Follow-ups'!$B$6:$B$205,A77,'Follow-ups'!$I$6:$I$205,"Open")&gt;0,"Set task due date","No open task")))))</x:f>
      </x:c>
      <x:c r="X77" s="274"/>
      <x:c r="Y77" s="274"/>
      <x:c r="Z77" s="274"/>
      <x:c r="AA77" s="315" t="str">
        <x:f>IF(A77="","",IF(COUNTIFS($A$6:$A$205,A77)&gt;1,"Duplicate ID",IF(B77="","Add name",IF(AND(C77="",D77=""),"Add phone or email",IF(H77="","Set lead stage",IF(NOT(ISNUMBER(R77)),"Add date added",IF(AND(ISNUMBER(N77),ISNUMBER(O77),N77&gt;O77),"Check budget range",IF(AND(H77="Lost",Y77=""),"Add lost reason",""))))))))</x:f>
      </x:c>
      <x:c r="AB77" s="791"/>
      <x:c r="AC77" s="791"/>
      <x:c r="AD77" s="791"/>
      <x:c r="AE77" s="791"/>
      <x:c r="AF77" s="791"/>
      <x:c r="AG77" s="791"/>
      <x:c r="AH77" s="791"/>
      <x:c r="AI77" s="791"/>
      <x:c r="AJ77" s="791"/>
      <x:c r="AK77" s="791"/>
      <x:c r="AL77" s="793" t="str">
        <x:f>IF($A77="","",IF(OR($H77="Lost",$H77="Converted"),"",IF(OR($C77&lt;&gt;"",$D77&lt;&gt;""),10,0)+IF(AND(ISNUMBER($O77),$O77&gt;0),20,0)+IF($AE77="Yes",15,0)+IF($AF77="Yes",15,IF($AF77="Joint",10,0))+IF(OR($AG77="Immediate",$AG77="0-30 days"),20,IF($AG77="1-3 months",10,0))+IF(OR($AC77="Cash",$AD77="Pre-approved",$AD77="Approved"),10,0)+IF(ISNUMBER($V77),10,0)))</x:f>
      </x:c>
      <x:c r="AM77" s="793" t="str">
        <x:f>IF($A77="","",IF($H77="Lost","Lost",IF($H77="Converted","Converted",IF(NOT(ISNUMBER($AL77)),"",IF($AL77&gt;=75,"Hot",IF($AL77&gt;=45,"Warm","Nurture"))))))</x:f>
      </x:c>
      <x:c r="AN77" s="794"/>
      <x:c r="AO77" s="791"/>
      <x:c r="AP77" s="791"/>
      <x:c r="AQ77" s="794"/>
      <x:c r="AR77" s="794"/>
      <x:c r="AS77" s="791"/>
    </x:row>
    <x:row r="78" ht="26" customHeight="1">
      <x:c r="A78" s="317"/>
      <x:c r="B78" s="318"/>
      <x:c r="C78" s="327"/>
      <x:c r="D78" s="235"/>
      <x:c r="E78" s="235"/>
      <x:c r="F78" s="235"/>
      <x:c r="G78" s="235"/>
      <x:c r="H78" s="235"/>
      <x:c r="I78" s="235"/>
      <x:c r="J78" s="235"/>
      <x:c r="K78" s="235"/>
      <x:c r="L78" s="235"/>
      <x:c r="M78" s="376"/>
      <x:c r="N78" s="236"/>
      <x:c r="O78" s="236"/>
      <x:c r="P78" s="235"/>
      <x:c r="Q78" s="238"/>
      <x:c r="R78" s="238"/>
      <x:c r="S78" s="235"/>
      <x:c r="T78" s="315" t="str">
        <x:f>IF(A78="","",IF(OR(AND(C78&lt;&gt;"",COUNTIFS($C$6:$C$205,C78)&gt;1),AND(D78&lt;&gt;"",COUNTIFS($D$6:$D$205,D78)&gt;1)),"Check duplicate",""))</x:f>
      </x:c>
      <x:c r="U78" s="374" t="str">
        <x:f>IF(A78="","",IF(COUNTIFS('Follow-ups'!$B$6:$B$205,A78,'Follow-ups'!$D$6:$D$205,"&gt;0",'Follow-ups'!$D$6:$D$205,"&lt;="&amp;TODAY())=0,"",_xlfn.MAXIFS('Follow-ups'!$D$6:$D$205,'Follow-ups'!$B$6:$B$205,A78,'Follow-ups'!$D$6:$D$205,"&lt;="&amp;TODAY())))</x:f>
      </x:c>
      <x:c r="V78" s="374" t="str">
        <x:f>IF(A78="","",IF(COUNTIFS('Follow-ups'!$B$6:$B$205,A78,'Follow-ups'!$I$6:$I$205,"Open",'Follow-ups'!$H$6:$H$205,"&gt;0")=0,"",_xlfn.MINIFS('Follow-ups'!$H$6:$H$205,'Follow-ups'!$B$6:$B$205,A78,'Follow-ups'!$I$6:$I$205,"Open",'Follow-ups'!$H$6:$H$205,"&gt;0")))</x:f>
      </x:c>
      <x:c r="W78" s="265" t="str">
        <x:f>IF(A78="","",IF(OR(H78="Converted",H78="Lost"),"Closed lead",IF(H78="On Hold","On hold",IF(ISNUMBER(V78),IF(V78&lt;TODAY(),"Overdue",IF(V78=TODAY(),"Due today","Scheduled")),IF(COUNTIFS('Follow-ups'!$B$6:$B$205,A78,'Follow-ups'!$I$6:$I$205,"Open")&gt;0,"Set task due date","No open task")))))</x:f>
      </x:c>
      <x:c r="X78" s="235"/>
      <x:c r="Y78" s="235"/>
      <x:c r="Z78" s="235"/>
      <x:c r="AA78" s="315" t="str">
        <x:f>IF(A78="","",IF(COUNTIFS($A$6:$A$205,A78)&gt;1,"Duplicate ID",IF(B78="","Add name",IF(AND(C78="",D78=""),"Add phone or email",IF(H78="","Set lead stage",IF(NOT(ISNUMBER(R78)),"Add date added",IF(AND(ISNUMBER(N78),ISNUMBER(O78),N78&gt;O78),"Check budget range",IF(AND(H78="Lost",Y78=""),"Add lost reason",""))))))))</x:f>
      </x:c>
      <x:c r="AB78" s="791"/>
      <x:c r="AC78" s="791"/>
      <x:c r="AD78" s="791"/>
      <x:c r="AE78" s="791"/>
      <x:c r="AF78" s="791"/>
      <x:c r="AG78" s="791"/>
      <x:c r="AH78" s="791"/>
      <x:c r="AI78" s="791"/>
      <x:c r="AJ78" s="791"/>
      <x:c r="AK78" s="791"/>
      <x:c r="AL78" s="793" t="str">
        <x:f>IF($A78="","",IF(OR($H78="Lost",$H78="Converted"),"",IF(OR($C78&lt;&gt;"",$D78&lt;&gt;""),10,0)+IF(AND(ISNUMBER($O78),$O78&gt;0),20,0)+IF($AE78="Yes",15,0)+IF($AF78="Yes",15,IF($AF78="Joint",10,0))+IF(OR($AG78="Immediate",$AG78="0-30 days"),20,IF($AG78="1-3 months",10,0))+IF(OR($AC78="Cash",$AD78="Pre-approved",$AD78="Approved"),10,0)+IF(ISNUMBER($V78),10,0)))</x:f>
      </x:c>
      <x:c r="AM78" s="793" t="str">
        <x:f>IF($A78="","",IF($H78="Lost","Lost",IF($H78="Converted","Converted",IF(NOT(ISNUMBER($AL78)),"",IF($AL78&gt;=75,"Hot",IF($AL78&gt;=45,"Warm","Nurture"))))))</x:f>
      </x:c>
      <x:c r="AN78" s="794"/>
      <x:c r="AO78" s="791"/>
      <x:c r="AP78" s="791"/>
      <x:c r="AQ78" s="794"/>
      <x:c r="AR78" s="794"/>
      <x:c r="AS78" s="791"/>
    </x:row>
    <x:row r="79" ht="26" customHeight="1">
      <x:c r="A79" s="319"/>
      <x:c r="B79" s="320"/>
      <x:c r="C79" s="331"/>
      <x:c r="D79" s="274"/>
      <x:c r="E79" s="274"/>
      <x:c r="F79" s="274"/>
      <x:c r="G79" s="274"/>
      <x:c r="H79" s="274"/>
      <x:c r="I79" s="274"/>
      <x:c r="J79" s="274"/>
      <x:c r="K79" s="274"/>
      <x:c r="L79" s="274"/>
      <x:c r="M79" s="377"/>
      <x:c r="N79" s="302"/>
      <x:c r="O79" s="302"/>
      <x:c r="P79" s="274"/>
      <x:c r="Q79" s="304"/>
      <x:c r="R79" s="304"/>
      <x:c r="S79" s="274"/>
      <x:c r="T79" s="315" t="str">
        <x:f>IF(A79="","",IF(OR(AND(C79&lt;&gt;"",COUNTIFS($C$6:$C$205,C79)&gt;1),AND(D79&lt;&gt;"",COUNTIFS($D$6:$D$205,D79)&gt;1)),"Check duplicate",""))</x:f>
      </x:c>
      <x:c r="U79" s="374" t="str">
        <x:f>IF(A79="","",IF(COUNTIFS('Follow-ups'!$B$6:$B$205,A79,'Follow-ups'!$D$6:$D$205,"&gt;0",'Follow-ups'!$D$6:$D$205,"&lt;="&amp;TODAY())=0,"",_xlfn.MAXIFS('Follow-ups'!$D$6:$D$205,'Follow-ups'!$B$6:$B$205,A79,'Follow-ups'!$D$6:$D$205,"&lt;="&amp;TODAY())))</x:f>
      </x:c>
      <x:c r="V79" s="374" t="str">
        <x:f>IF(A79="","",IF(COUNTIFS('Follow-ups'!$B$6:$B$205,A79,'Follow-ups'!$I$6:$I$205,"Open",'Follow-ups'!$H$6:$H$205,"&gt;0")=0,"",_xlfn.MINIFS('Follow-ups'!$H$6:$H$205,'Follow-ups'!$B$6:$B$205,A79,'Follow-ups'!$I$6:$I$205,"Open",'Follow-ups'!$H$6:$H$205,"&gt;0")))</x:f>
      </x:c>
      <x:c r="W79" s="265" t="str">
        <x:f>IF(A79="","",IF(OR(H79="Converted",H79="Lost"),"Closed lead",IF(H79="On Hold","On hold",IF(ISNUMBER(V79),IF(V79&lt;TODAY(),"Overdue",IF(V79=TODAY(),"Due today","Scheduled")),IF(COUNTIFS('Follow-ups'!$B$6:$B$205,A79,'Follow-ups'!$I$6:$I$205,"Open")&gt;0,"Set task due date","No open task")))))</x:f>
      </x:c>
      <x:c r="X79" s="274"/>
      <x:c r="Y79" s="274"/>
      <x:c r="Z79" s="274"/>
      <x:c r="AA79" s="315" t="str">
        <x:f>IF(A79="","",IF(COUNTIFS($A$6:$A$205,A79)&gt;1,"Duplicate ID",IF(B79="","Add name",IF(AND(C79="",D79=""),"Add phone or email",IF(H79="","Set lead stage",IF(NOT(ISNUMBER(R79)),"Add date added",IF(AND(ISNUMBER(N79),ISNUMBER(O79),N79&gt;O79),"Check budget range",IF(AND(H79="Lost",Y79=""),"Add lost reason",""))))))))</x:f>
      </x:c>
      <x:c r="AB79" s="791"/>
      <x:c r="AC79" s="791"/>
      <x:c r="AD79" s="791"/>
      <x:c r="AE79" s="791"/>
      <x:c r="AF79" s="791"/>
      <x:c r="AG79" s="791"/>
      <x:c r="AH79" s="791"/>
      <x:c r="AI79" s="791"/>
      <x:c r="AJ79" s="791"/>
      <x:c r="AK79" s="791"/>
      <x:c r="AL79" s="793" t="str">
        <x:f>IF($A79="","",IF(OR($H79="Lost",$H79="Converted"),"",IF(OR($C79&lt;&gt;"",$D79&lt;&gt;""),10,0)+IF(AND(ISNUMBER($O79),$O79&gt;0),20,0)+IF($AE79="Yes",15,0)+IF($AF79="Yes",15,IF($AF79="Joint",10,0))+IF(OR($AG79="Immediate",$AG79="0-30 days"),20,IF($AG79="1-3 months",10,0))+IF(OR($AC79="Cash",$AD79="Pre-approved",$AD79="Approved"),10,0)+IF(ISNUMBER($V79),10,0)))</x:f>
      </x:c>
      <x:c r="AM79" s="793" t="str">
        <x:f>IF($A79="","",IF($H79="Lost","Lost",IF($H79="Converted","Converted",IF(NOT(ISNUMBER($AL79)),"",IF($AL79&gt;=75,"Hot",IF($AL79&gt;=45,"Warm","Nurture"))))))</x:f>
      </x:c>
      <x:c r="AN79" s="794"/>
      <x:c r="AO79" s="791"/>
      <x:c r="AP79" s="791"/>
      <x:c r="AQ79" s="794"/>
      <x:c r="AR79" s="794"/>
      <x:c r="AS79" s="791"/>
    </x:row>
    <x:row r="80" ht="26" customHeight="1">
      <x:c r="A80" s="317"/>
      <x:c r="B80" s="318"/>
      <x:c r="C80" s="327"/>
      <x:c r="D80" s="235"/>
      <x:c r="E80" s="235"/>
      <x:c r="F80" s="235"/>
      <x:c r="G80" s="235"/>
      <x:c r="H80" s="235"/>
      <x:c r="I80" s="235"/>
      <x:c r="J80" s="235"/>
      <x:c r="K80" s="235"/>
      <x:c r="L80" s="235"/>
      <x:c r="M80" s="376"/>
      <x:c r="N80" s="236"/>
      <x:c r="O80" s="236"/>
      <x:c r="P80" s="235"/>
      <x:c r="Q80" s="238"/>
      <x:c r="R80" s="238"/>
      <x:c r="S80" s="235"/>
      <x:c r="T80" s="315" t="str">
        <x:f>IF(A80="","",IF(OR(AND(C80&lt;&gt;"",COUNTIFS($C$6:$C$205,C80)&gt;1),AND(D80&lt;&gt;"",COUNTIFS($D$6:$D$205,D80)&gt;1)),"Check duplicate",""))</x:f>
      </x:c>
      <x:c r="U80" s="374" t="str">
        <x:f>IF(A80="","",IF(COUNTIFS('Follow-ups'!$B$6:$B$205,A80,'Follow-ups'!$D$6:$D$205,"&gt;0",'Follow-ups'!$D$6:$D$205,"&lt;="&amp;TODAY())=0,"",_xlfn.MAXIFS('Follow-ups'!$D$6:$D$205,'Follow-ups'!$B$6:$B$205,A80,'Follow-ups'!$D$6:$D$205,"&lt;="&amp;TODAY())))</x:f>
      </x:c>
      <x:c r="V80" s="374" t="str">
        <x:f>IF(A80="","",IF(COUNTIFS('Follow-ups'!$B$6:$B$205,A80,'Follow-ups'!$I$6:$I$205,"Open",'Follow-ups'!$H$6:$H$205,"&gt;0")=0,"",_xlfn.MINIFS('Follow-ups'!$H$6:$H$205,'Follow-ups'!$B$6:$B$205,A80,'Follow-ups'!$I$6:$I$205,"Open",'Follow-ups'!$H$6:$H$205,"&gt;0")))</x:f>
      </x:c>
      <x:c r="W80" s="265" t="str">
        <x:f>IF(A80="","",IF(OR(H80="Converted",H80="Lost"),"Closed lead",IF(H80="On Hold","On hold",IF(ISNUMBER(V80),IF(V80&lt;TODAY(),"Overdue",IF(V80=TODAY(),"Due today","Scheduled")),IF(COUNTIFS('Follow-ups'!$B$6:$B$205,A80,'Follow-ups'!$I$6:$I$205,"Open")&gt;0,"Set task due date","No open task")))))</x:f>
      </x:c>
      <x:c r="X80" s="235"/>
      <x:c r="Y80" s="235"/>
      <x:c r="Z80" s="235"/>
      <x:c r="AA80" s="315" t="str">
        <x:f>IF(A80="","",IF(COUNTIFS($A$6:$A$205,A80)&gt;1,"Duplicate ID",IF(B80="","Add name",IF(AND(C80="",D80=""),"Add phone or email",IF(H80="","Set lead stage",IF(NOT(ISNUMBER(R80)),"Add date added",IF(AND(ISNUMBER(N80),ISNUMBER(O80),N80&gt;O80),"Check budget range",IF(AND(H80="Lost",Y80=""),"Add lost reason",""))))))))</x:f>
      </x:c>
      <x:c r="AB80" s="791"/>
      <x:c r="AC80" s="791"/>
      <x:c r="AD80" s="791"/>
      <x:c r="AE80" s="791"/>
      <x:c r="AF80" s="791"/>
      <x:c r="AG80" s="791"/>
      <x:c r="AH80" s="791"/>
      <x:c r="AI80" s="791"/>
      <x:c r="AJ80" s="791"/>
      <x:c r="AK80" s="791"/>
      <x:c r="AL80" s="793" t="str">
        <x:f>IF($A80="","",IF(OR($H80="Lost",$H80="Converted"),"",IF(OR($C80&lt;&gt;"",$D80&lt;&gt;""),10,0)+IF(AND(ISNUMBER($O80),$O80&gt;0),20,0)+IF($AE80="Yes",15,0)+IF($AF80="Yes",15,IF($AF80="Joint",10,0))+IF(OR($AG80="Immediate",$AG80="0-30 days"),20,IF($AG80="1-3 months",10,0))+IF(OR($AC80="Cash",$AD80="Pre-approved",$AD80="Approved"),10,0)+IF(ISNUMBER($V80),10,0)))</x:f>
      </x:c>
      <x:c r="AM80" s="793" t="str">
        <x:f>IF($A80="","",IF($H80="Lost","Lost",IF($H80="Converted","Converted",IF(NOT(ISNUMBER($AL80)),"",IF($AL80&gt;=75,"Hot",IF($AL80&gt;=45,"Warm","Nurture"))))))</x:f>
      </x:c>
      <x:c r="AN80" s="794"/>
      <x:c r="AO80" s="791"/>
      <x:c r="AP80" s="791"/>
      <x:c r="AQ80" s="794"/>
      <x:c r="AR80" s="794"/>
      <x:c r="AS80" s="791"/>
    </x:row>
    <x:row r="81" ht="26" customHeight="1">
      <x:c r="A81" s="319"/>
      <x:c r="B81" s="320"/>
      <x:c r="C81" s="331"/>
      <x:c r="D81" s="274"/>
      <x:c r="E81" s="274"/>
      <x:c r="F81" s="274"/>
      <x:c r="G81" s="274"/>
      <x:c r="H81" s="274"/>
      <x:c r="I81" s="274"/>
      <x:c r="J81" s="274"/>
      <x:c r="K81" s="274"/>
      <x:c r="L81" s="274"/>
      <x:c r="M81" s="377"/>
      <x:c r="N81" s="302"/>
      <x:c r="O81" s="302"/>
      <x:c r="P81" s="274"/>
      <x:c r="Q81" s="304"/>
      <x:c r="R81" s="304"/>
      <x:c r="S81" s="274"/>
      <x:c r="T81" s="315" t="str">
        <x:f>IF(A81="","",IF(OR(AND(C81&lt;&gt;"",COUNTIFS($C$6:$C$205,C81)&gt;1),AND(D81&lt;&gt;"",COUNTIFS($D$6:$D$205,D81)&gt;1)),"Check duplicate",""))</x:f>
      </x:c>
      <x:c r="U81" s="374" t="str">
        <x:f>IF(A81="","",IF(COUNTIFS('Follow-ups'!$B$6:$B$205,A81,'Follow-ups'!$D$6:$D$205,"&gt;0",'Follow-ups'!$D$6:$D$205,"&lt;="&amp;TODAY())=0,"",_xlfn.MAXIFS('Follow-ups'!$D$6:$D$205,'Follow-ups'!$B$6:$B$205,A81,'Follow-ups'!$D$6:$D$205,"&lt;="&amp;TODAY())))</x:f>
      </x:c>
      <x:c r="V81" s="374" t="str">
        <x:f>IF(A81="","",IF(COUNTIFS('Follow-ups'!$B$6:$B$205,A81,'Follow-ups'!$I$6:$I$205,"Open",'Follow-ups'!$H$6:$H$205,"&gt;0")=0,"",_xlfn.MINIFS('Follow-ups'!$H$6:$H$205,'Follow-ups'!$B$6:$B$205,A81,'Follow-ups'!$I$6:$I$205,"Open",'Follow-ups'!$H$6:$H$205,"&gt;0")))</x:f>
      </x:c>
      <x:c r="W81" s="265" t="str">
        <x:f>IF(A81="","",IF(OR(H81="Converted",H81="Lost"),"Closed lead",IF(H81="On Hold","On hold",IF(ISNUMBER(V81),IF(V81&lt;TODAY(),"Overdue",IF(V81=TODAY(),"Due today","Scheduled")),IF(COUNTIFS('Follow-ups'!$B$6:$B$205,A81,'Follow-ups'!$I$6:$I$205,"Open")&gt;0,"Set task due date","No open task")))))</x:f>
      </x:c>
      <x:c r="X81" s="274"/>
      <x:c r="Y81" s="274"/>
      <x:c r="Z81" s="274"/>
      <x:c r="AA81" s="315" t="str">
        <x:f>IF(A81="","",IF(COUNTIFS($A$6:$A$205,A81)&gt;1,"Duplicate ID",IF(B81="","Add name",IF(AND(C81="",D81=""),"Add phone or email",IF(H81="","Set lead stage",IF(NOT(ISNUMBER(R81)),"Add date added",IF(AND(ISNUMBER(N81),ISNUMBER(O81),N81&gt;O81),"Check budget range",IF(AND(H81="Lost",Y81=""),"Add lost reason",""))))))))</x:f>
      </x:c>
      <x:c r="AB81" s="791"/>
      <x:c r="AC81" s="791"/>
      <x:c r="AD81" s="791"/>
      <x:c r="AE81" s="791"/>
      <x:c r="AF81" s="791"/>
      <x:c r="AG81" s="791"/>
      <x:c r="AH81" s="791"/>
      <x:c r="AI81" s="791"/>
      <x:c r="AJ81" s="791"/>
      <x:c r="AK81" s="791"/>
      <x:c r="AL81" s="793" t="str">
        <x:f>IF($A81="","",IF(OR($H81="Lost",$H81="Converted"),"",IF(OR($C81&lt;&gt;"",$D81&lt;&gt;""),10,0)+IF(AND(ISNUMBER($O81),$O81&gt;0),20,0)+IF($AE81="Yes",15,0)+IF($AF81="Yes",15,IF($AF81="Joint",10,0))+IF(OR($AG81="Immediate",$AG81="0-30 days"),20,IF($AG81="1-3 months",10,0))+IF(OR($AC81="Cash",$AD81="Pre-approved",$AD81="Approved"),10,0)+IF(ISNUMBER($V81),10,0)))</x:f>
      </x:c>
      <x:c r="AM81" s="793" t="str">
        <x:f>IF($A81="","",IF($H81="Lost","Lost",IF($H81="Converted","Converted",IF(NOT(ISNUMBER($AL81)),"",IF($AL81&gt;=75,"Hot",IF($AL81&gt;=45,"Warm","Nurture"))))))</x:f>
      </x:c>
      <x:c r="AN81" s="794"/>
      <x:c r="AO81" s="791"/>
      <x:c r="AP81" s="791"/>
      <x:c r="AQ81" s="794"/>
      <x:c r="AR81" s="794"/>
      <x:c r="AS81" s="791"/>
    </x:row>
    <x:row r="82" ht="26" customHeight="1">
      <x:c r="A82" s="317"/>
      <x:c r="B82" s="318"/>
      <x:c r="C82" s="327"/>
      <x:c r="D82" s="235"/>
      <x:c r="E82" s="235"/>
      <x:c r="F82" s="235"/>
      <x:c r="G82" s="235"/>
      <x:c r="H82" s="235"/>
      <x:c r="I82" s="235"/>
      <x:c r="J82" s="235"/>
      <x:c r="K82" s="235"/>
      <x:c r="L82" s="235"/>
      <x:c r="M82" s="376"/>
      <x:c r="N82" s="236"/>
      <x:c r="O82" s="236"/>
      <x:c r="P82" s="235"/>
      <x:c r="Q82" s="238"/>
      <x:c r="R82" s="238"/>
      <x:c r="S82" s="235"/>
      <x:c r="T82" s="315" t="str">
        <x:f>IF(A82="","",IF(OR(AND(C82&lt;&gt;"",COUNTIFS($C$6:$C$205,C82)&gt;1),AND(D82&lt;&gt;"",COUNTIFS($D$6:$D$205,D82)&gt;1)),"Check duplicate",""))</x:f>
      </x:c>
      <x:c r="U82" s="374" t="str">
        <x:f>IF(A82="","",IF(COUNTIFS('Follow-ups'!$B$6:$B$205,A82,'Follow-ups'!$D$6:$D$205,"&gt;0",'Follow-ups'!$D$6:$D$205,"&lt;="&amp;TODAY())=0,"",_xlfn.MAXIFS('Follow-ups'!$D$6:$D$205,'Follow-ups'!$B$6:$B$205,A82,'Follow-ups'!$D$6:$D$205,"&lt;="&amp;TODAY())))</x:f>
      </x:c>
      <x:c r="V82" s="374" t="str">
        <x:f>IF(A82="","",IF(COUNTIFS('Follow-ups'!$B$6:$B$205,A82,'Follow-ups'!$I$6:$I$205,"Open",'Follow-ups'!$H$6:$H$205,"&gt;0")=0,"",_xlfn.MINIFS('Follow-ups'!$H$6:$H$205,'Follow-ups'!$B$6:$B$205,A82,'Follow-ups'!$I$6:$I$205,"Open",'Follow-ups'!$H$6:$H$205,"&gt;0")))</x:f>
      </x:c>
      <x:c r="W82" s="265" t="str">
        <x:f>IF(A82="","",IF(OR(H82="Converted",H82="Lost"),"Closed lead",IF(H82="On Hold","On hold",IF(ISNUMBER(V82),IF(V82&lt;TODAY(),"Overdue",IF(V82=TODAY(),"Due today","Scheduled")),IF(COUNTIFS('Follow-ups'!$B$6:$B$205,A82,'Follow-ups'!$I$6:$I$205,"Open")&gt;0,"Set task due date","No open task")))))</x:f>
      </x:c>
      <x:c r="X82" s="235"/>
      <x:c r="Y82" s="235"/>
      <x:c r="Z82" s="235"/>
      <x:c r="AA82" s="315" t="str">
        <x:f>IF(A82="","",IF(COUNTIFS($A$6:$A$205,A82)&gt;1,"Duplicate ID",IF(B82="","Add name",IF(AND(C82="",D82=""),"Add phone or email",IF(H82="","Set lead stage",IF(NOT(ISNUMBER(R82)),"Add date added",IF(AND(ISNUMBER(N82),ISNUMBER(O82),N82&gt;O82),"Check budget range",IF(AND(H82="Lost",Y82=""),"Add lost reason",""))))))))</x:f>
      </x:c>
      <x:c r="AB82" s="791"/>
      <x:c r="AC82" s="791"/>
      <x:c r="AD82" s="791"/>
      <x:c r="AE82" s="791"/>
      <x:c r="AF82" s="791"/>
      <x:c r="AG82" s="791"/>
      <x:c r="AH82" s="791"/>
      <x:c r="AI82" s="791"/>
      <x:c r="AJ82" s="791"/>
      <x:c r="AK82" s="791"/>
      <x:c r="AL82" s="793" t="str">
        <x:f>IF($A82="","",IF(OR($H82="Lost",$H82="Converted"),"",IF(OR($C82&lt;&gt;"",$D82&lt;&gt;""),10,0)+IF(AND(ISNUMBER($O82),$O82&gt;0),20,0)+IF($AE82="Yes",15,0)+IF($AF82="Yes",15,IF($AF82="Joint",10,0))+IF(OR($AG82="Immediate",$AG82="0-30 days"),20,IF($AG82="1-3 months",10,0))+IF(OR($AC82="Cash",$AD82="Pre-approved",$AD82="Approved"),10,0)+IF(ISNUMBER($V82),10,0)))</x:f>
      </x:c>
      <x:c r="AM82" s="793" t="str">
        <x:f>IF($A82="","",IF($H82="Lost","Lost",IF($H82="Converted","Converted",IF(NOT(ISNUMBER($AL82)),"",IF($AL82&gt;=75,"Hot",IF($AL82&gt;=45,"Warm","Nurture"))))))</x:f>
      </x:c>
      <x:c r="AN82" s="794"/>
      <x:c r="AO82" s="791"/>
      <x:c r="AP82" s="791"/>
      <x:c r="AQ82" s="794"/>
      <x:c r="AR82" s="794"/>
      <x:c r="AS82" s="791"/>
    </x:row>
    <x:row r="83" ht="26" customHeight="1">
      <x:c r="A83" s="319"/>
      <x:c r="B83" s="320"/>
      <x:c r="C83" s="331"/>
      <x:c r="D83" s="274"/>
      <x:c r="E83" s="274"/>
      <x:c r="F83" s="274"/>
      <x:c r="G83" s="274"/>
      <x:c r="H83" s="274"/>
      <x:c r="I83" s="274"/>
      <x:c r="J83" s="274"/>
      <x:c r="K83" s="274"/>
      <x:c r="L83" s="274"/>
      <x:c r="M83" s="377"/>
      <x:c r="N83" s="302"/>
      <x:c r="O83" s="302"/>
      <x:c r="P83" s="274"/>
      <x:c r="Q83" s="304"/>
      <x:c r="R83" s="304"/>
      <x:c r="S83" s="274"/>
      <x:c r="T83" s="315" t="str">
        <x:f>IF(A83="","",IF(OR(AND(C83&lt;&gt;"",COUNTIFS($C$6:$C$205,C83)&gt;1),AND(D83&lt;&gt;"",COUNTIFS($D$6:$D$205,D83)&gt;1)),"Check duplicate",""))</x:f>
      </x:c>
      <x:c r="U83" s="374" t="str">
        <x:f>IF(A83="","",IF(COUNTIFS('Follow-ups'!$B$6:$B$205,A83,'Follow-ups'!$D$6:$D$205,"&gt;0",'Follow-ups'!$D$6:$D$205,"&lt;="&amp;TODAY())=0,"",_xlfn.MAXIFS('Follow-ups'!$D$6:$D$205,'Follow-ups'!$B$6:$B$205,A83,'Follow-ups'!$D$6:$D$205,"&lt;="&amp;TODAY())))</x:f>
      </x:c>
      <x:c r="V83" s="374" t="str">
        <x:f>IF(A83="","",IF(COUNTIFS('Follow-ups'!$B$6:$B$205,A83,'Follow-ups'!$I$6:$I$205,"Open",'Follow-ups'!$H$6:$H$205,"&gt;0")=0,"",_xlfn.MINIFS('Follow-ups'!$H$6:$H$205,'Follow-ups'!$B$6:$B$205,A83,'Follow-ups'!$I$6:$I$205,"Open",'Follow-ups'!$H$6:$H$205,"&gt;0")))</x:f>
      </x:c>
      <x:c r="W83" s="265" t="str">
        <x:f>IF(A83="","",IF(OR(H83="Converted",H83="Lost"),"Closed lead",IF(H83="On Hold","On hold",IF(ISNUMBER(V83),IF(V83&lt;TODAY(),"Overdue",IF(V83=TODAY(),"Due today","Scheduled")),IF(COUNTIFS('Follow-ups'!$B$6:$B$205,A83,'Follow-ups'!$I$6:$I$205,"Open")&gt;0,"Set task due date","No open task")))))</x:f>
      </x:c>
      <x:c r="X83" s="274"/>
      <x:c r="Y83" s="274"/>
      <x:c r="Z83" s="274"/>
      <x:c r="AA83" s="315" t="str">
        <x:f>IF(A83="","",IF(COUNTIFS($A$6:$A$205,A83)&gt;1,"Duplicate ID",IF(B83="","Add name",IF(AND(C83="",D83=""),"Add phone or email",IF(H83="","Set lead stage",IF(NOT(ISNUMBER(R83)),"Add date added",IF(AND(ISNUMBER(N83),ISNUMBER(O83),N83&gt;O83),"Check budget range",IF(AND(H83="Lost",Y83=""),"Add lost reason",""))))))))</x:f>
      </x:c>
      <x:c r="AB83" s="791"/>
      <x:c r="AC83" s="791"/>
      <x:c r="AD83" s="791"/>
      <x:c r="AE83" s="791"/>
      <x:c r="AF83" s="791"/>
      <x:c r="AG83" s="791"/>
      <x:c r="AH83" s="791"/>
      <x:c r="AI83" s="791"/>
      <x:c r="AJ83" s="791"/>
      <x:c r="AK83" s="791"/>
      <x:c r="AL83" s="793" t="str">
        <x:f>IF($A83="","",IF(OR($H83="Lost",$H83="Converted"),"",IF(OR($C83&lt;&gt;"",$D83&lt;&gt;""),10,0)+IF(AND(ISNUMBER($O83),$O83&gt;0),20,0)+IF($AE83="Yes",15,0)+IF($AF83="Yes",15,IF($AF83="Joint",10,0))+IF(OR($AG83="Immediate",$AG83="0-30 days"),20,IF($AG83="1-3 months",10,0))+IF(OR($AC83="Cash",$AD83="Pre-approved",$AD83="Approved"),10,0)+IF(ISNUMBER($V83),10,0)))</x:f>
      </x:c>
      <x:c r="AM83" s="793" t="str">
        <x:f>IF($A83="","",IF($H83="Lost","Lost",IF($H83="Converted","Converted",IF(NOT(ISNUMBER($AL83)),"",IF($AL83&gt;=75,"Hot",IF($AL83&gt;=45,"Warm","Nurture"))))))</x:f>
      </x:c>
      <x:c r="AN83" s="794"/>
      <x:c r="AO83" s="791"/>
      <x:c r="AP83" s="791"/>
      <x:c r="AQ83" s="794"/>
      <x:c r="AR83" s="794"/>
      <x:c r="AS83" s="791"/>
    </x:row>
    <x:row r="84" ht="26" customHeight="1">
      <x:c r="A84" s="317"/>
      <x:c r="B84" s="318"/>
      <x:c r="C84" s="327"/>
      <x:c r="D84" s="235"/>
      <x:c r="E84" s="235"/>
      <x:c r="F84" s="235"/>
      <x:c r="G84" s="235"/>
      <x:c r="H84" s="235"/>
      <x:c r="I84" s="235"/>
      <x:c r="J84" s="235"/>
      <x:c r="K84" s="235"/>
      <x:c r="L84" s="235"/>
      <x:c r="M84" s="376"/>
      <x:c r="N84" s="236"/>
      <x:c r="O84" s="236"/>
      <x:c r="P84" s="235"/>
      <x:c r="Q84" s="238"/>
      <x:c r="R84" s="238"/>
      <x:c r="S84" s="235"/>
      <x:c r="T84" s="315" t="str">
        <x:f>IF(A84="","",IF(OR(AND(C84&lt;&gt;"",COUNTIFS($C$6:$C$205,C84)&gt;1),AND(D84&lt;&gt;"",COUNTIFS($D$6:$D$205,D84)&gt;1)),"Check duplicate",""))</x:f>
      </x:c>
      <x:c r="U84" s="374" t="str">
        <x:f>IF(A84="","",IF(COUNTIFS('Follow-ups'!$B$6:$B$205,A84,'Follow-ups'!$D$6:$D$205,"&gt;0",'Follow-ups'!$D$6:$D$205,"&lt;="&amp;TODAY())=0,"",_xlfn.MAXIFS('Follow-ups'!$D$6:$D$205,'Follow-ups'!$B$6:$B$205,A84,'Follow-ups'!$D$6:$D$205,"&lt;="&amp;TODAY())))</x:f>
      </x:c>
      <x:c r="V84" s="374" t="str">
        <x:f>IF(A84="","",IF(COUNTIFS('Follow-ups'!$B$6:$B$205,A84,'Follow-ups'!$I$6:$I$205,"Open",'Follow-ups'!$H$6:$H$205,"&gt;0")=0,"",_xlfn.MINIFS('Follow-ups'!$H$6:$H$205,'Follow-ups'!$B$6:$B$205,A84,'Follow-ups'!$I$6:$I$205,"Open",'Follow-ups'!$H$6:$H$205,"&gt;0")))</x:f>
      </x:c>
      <x:c r="W84" s="265" t="str">
        <x:f>IF(A84="","",IF(OR(H84="Converted",H84="Lost"),"Closed lead",IF(H84="On Hold","On hold",IF(ISNUMBER(V84),IF(V84&lt;TODAY(),"Overdue",IF(V84=TODAY(),"Due today","Scheduled")),IF(COUNTIFS('Follow-ups'!$B$6:$B$205,A84,'Follow-ups'!$I$6:$I$205,"Open")&gt;0,"Set task due date","No open task")))))</x:f>
      </x:c>
      <x:c r="X84" s="235"/>
      <x:c r="Y84" s="235"/>
      <x:c r="Z84" s="235"/>
      <x:c r="AA84" s="315" t="str">
        <x:f>IF(A84="","",IF(COUNTIFS($A$6:$A$205,A84)&gt;1,"Duplicate ID",IF(B84="","Add name",IF(AND(C84="",D84=""),"Add phone or email",IF(H84="","Set lead stage",IF(NOT(ISNUMBER(R84)),"Add date added",IF(AND(ISNUMBER(N84),ISNUMBER(O84),N84&gt;O84),"Check budget range",IF(AND(H84="Lost",Y84=""),"Add lost reason",""))))))))</x:f>
      </x:c>
      <x:c r="AB84" s="791"/>
      <x:c r="AC84" s="791"/>
      <x:c r="AD84" s="791"/>
      <x:c r="AE84" s="791"/>
      <x:c r="AF84" s="791"/>
      <x:c r="AG84" s="791"/>
      <x:c r="AH84" s="791"/>
      <x:c r="AI84" s="791"/>
      <x:c r="AJ84" s="791"/>
      <x:c r="AK84" s="791"/>
      <x:c r="AL84" s="793" t="str">
        <x:f>IF($A84="","",IF(OR($H84="Lost",$H84="Converted"),"",IF(OR($C84&lt;&gt;"",$D84&lt;&gt;""),10,0)+IF(AND(ISNUMBER($O84),$O84&gt;0),20,0)+IF($AE84="Yes",15,0)+IF($AF84="Yes",15,IF($AF84="Joint",10,0))+IF(OR($AG84="Immediate",$AG84="0-30 days"),20,IF($AG84="1-3 months",10,0))+IF(OR($AC84="Cash",$AD84="Pre-approved",$AD84="Approved"),10,0)+IF(ISNUMBER($V84),10,0)))</x:f>
      </x:c>
      <x:c r="AM84" s="793" t="str">
        <x:f>IF($A84="","",IF($H84="Lost","Lost",IF($H84="Converted","Converted",IF(NOT(ISNUMBER($AL84)),"",IF($AL84&gt;=75,"Hot",IF($AL84&gt;=45,"Warm","Nurture"))))))</x:f>
      </x:c>
      <x:c r="AN84" s="794"/>
      <x:c r="AO84" s="791"/>
      <x:c r="AP84" s="791"/>
      <x:c r="AQ84" s="794"/>
      <x:c r="AR84" s="794"/>
      <x:c r="AS84" s="791"/>
    </x:row>
    <x:row r="85" ht="26" customHeight="1">
      <x:c r="A85" s="319"/>
      <x:c r="B85" s="320"/>
      <x:c r="C85" s="331"/>
      <x:c r="D85" s="274"/>
      <x:c r="E85" s="274"/>
      <x:c r="F85" s="274"/>
      <x:c r="G85" s="274"/>
      <x:c r="H85" s="274"/>
      <x:c r="I85" s="274"/>
      <x:c r="J85" s="274"/>
      <x:c r="K85" s="274"/>
      <x:c r="L85" s="274"/>
      <x:c r="M85" s="377"/>
      <x:c r="N85" s="302"/>
      <x:c r="O85" s="302"/>
      <x:c r="P85" s="274"/>
      <x:c r="Q85" s="304"/>
      <x:c r="R85" s="304"/>
      <x:c r="S85" s="274"/>
      <x:c r="T85" s="315" t="str">
        <x:f>IF(A85="","",IF(OR(AND(C85&lt;&gt;"",COUNTIFS($C$6:$C$205,C85)&gt;1),AND(D85&lt;&gt;"",COUNTIFS($D$6:$D$205,D85)&gt;1)),"Check duplicate",""))</x:f>
      </x:c>
      <x:c r="U85" s="374" t="str">
        <x:f>IF(A85="","",IF(COUNTIFS('Follow-ups'!$B$6:$B$205,A85,'Follow-ups'!$D$6:$D$205,"&gt;0",'Follow-ups'!$D$6:$D$205,"&lt;="&amp;TODAY())=0,"",_xlfn.MAXIFS('Follow-ups'!$D$6:$D$205,'Follow-ups'!$B$6:$B$205,A85,'Follow-ups'!$D$6:$D$205,"&lt;="&amp;TODAY())))</x:f>
      </x:c>
      <x:c r="V85" s="374" t="str">
        <x:f>IF(A85="","",IF(COUNTIFS('Follow-ups'!$B$6:$B$205,A85,'Follow-ups'!$I$6:$I$205,"Open",'Follow-ups'!$H$6:$H$205,"&gt;0")=0,"",_xlfn.MINIFS('Follow-ups'!$H$6:$H$205,'Follow-ups'!$B$6:$B$205,A85,'Follow-ups'!$I$6:$I$205,"Open",'Follow-ups'!$H$6:$H$205,"&gt;0")))</x:f>
      </x:c>
      <x:c r="W85" s="265" t="str">
        <x:f>IF(A85="","",IF(OR(H85="Converted",H85="Lost"),"Closed lead",IF(H85="On Hold","On hold",IF(ISNUMBER(V85),IF(V85&lt;TODAY(),"Overdue",IF(V85=TODAY(),"Due today","Scheduled")),IF(COUNTIFS('Follow-ups'!$B$6:$B$205,A85,'Follow-ups'!$I$6:$I$205,"Open")&gt;0,"Set task due date","No open task")))))</x:f>
      </x:c>
      <x:c r="X85" s="274"/>
      <x:c r="Y85" s="274"/>
      <x:c r="Z85" s="274"/>
      <x:c r="AA85" s="315" t="str">
        <x:f>IF(A85="","",IF(COUNTIFS($A$6:$A$205,A85)&gt;1,"Duplicate ID",IF(B85="","Add name",IF(AND(C85="",D85=""),"Add phone or email",IF(H85="","Set lead stage",IF(NOT(ISNUMBER(R85)),"Add date added",IF(AND(ISNUMBER(N85),ISNUMBER(O85),N85&gt;O85),"Check budget range",IF(AND(H85="Lost",Y85=""),"Add lost reason",""))))))))</x:f>
      </x:c>
      <x:c r="AB85" s="791"/>
      <x:c r="AC85" s="791"/>
      <x:c r="AD85" s="791"/>
      <x:c r="AE85" s="791"/>
      <x:c r="AF85" s="791"/>
      <x:c r="AG85" s="791"/>
      <x:c r="AH85" s="791"/>
      <x:c r="AI85" s="791"/>
      <x:c r="AJ85" s="791"/>
      <x:c r="AK85" s="791"/>
      <x:c r="AL85" s="793" t="str">
        <x:f>IF($A85="","",IF(OR($H85="Lost",$H85="Converted"),"",IF(OR($C85&lt;&gt;"",$D85&lt;&gt;""),10,0)+IF(AND(ISNUMBER($O85),$O85&gt;0),20,0)+IF($AE85="Yes",15,0)+IF($AF85="Yes",15,IF($AF85="Joint",10,0))+IF(OR($AG85="Immediate",$AG85="0-30 days"),20,IF($AG85="1-3 months",10,0))+IF(OR($AC85="Cash",$AD85="Pre-approved",$AD85="Approved"),10,0)+IF(ISNUMBER($V85),10,0)))</x:f>
      </x:c>
      <x:c r="AM85" s="793" t="str">
        <x:f>IF($A85="","",IF($H85="Lost","Lost",IF($H85="Converted","Converted",IF(NOT(ISNUMBER($AL85)),"",IF($AL85&gt;=75,"Hot",IF($AL85&gt;=45,"Warm","Nurture"))))))</x:f>
      </x:c>
      <x:c r="AN85" s="794"/>
      <x:c r="AO85" s="791"/>
      <x:c r="AP85" s="791"/>
      <x:c r="AQ85" s="794"/>
      <x:c r="AR85" s="794"/>
      <x:c r="AS85" s="791"/>
    </x:row>
    <x:row r="86" ht="26" customHeight="1">
      <x:c r="A86" s="317"/>
      <x:c r="B86" s="318"/>
      <x:c r="C86" s="327"/>
      <x:c r="D86" s="235"/>
      <x:c r="E86" s="235"/>
      <x:c r="F86" s="235"/>
      <x:c r="G86" s="235"/>
      <x:c r="H86" s="235"/>
      <x:c r="I86" s="235"/>
      <x:c r="J86" s="235"/>
      <x:c r="K86" s="235"/>
      <x:c r="L86" s="235"/>
      <x:c r="M86" s="376"/>
      <x:c r="N86" s="236"/>
      <x:c r="O86" s="236"/>
      <x:c r="P86" s="235"/>
      <x:c r="Q86" s="238"/>
      <x:c r="R86" s="238"/>
      <x:c r="S86" s="235"/>
      <x:c r="T86" s="315" t="str">
        <x:f>IF(A86="","",IF(OR(AND(C86&lt;&gt;"",COUNTIFS($C$6:$C$205,C86)&gt;1),AND(D86&lt;&gt;"",COUNTIFS($D$6:$D$205,D86)&gt;1)),"Check duplicate",""))</x:f>
      </x:c>
      <x:c r="U86" s="374" t="str">
        <x:f>IF(A86="","",IF(COUNTIFS('Follow-ups'!$B$6:$B$205,A86,'Follow-ups'!$D$6:$D$205,"&gt;0",'Follow-ups'!$D$6:$D$205,"&lt;="&amp;TODAY())=0,"",_xlfn.MAXIFS('Follow-ups'!$D$6:$D$205,'Follow-ups'!$B$6:$B$205,A86,'Follow-ups'!$D$6:$D$205,"&lt;="&amp;TODAY())))</x:f>
      </x:c>
      <x:c r="V86" s="374" t="str">
        <x:f>IF(A86="","",IF(COUNTIFS('Follow-ups'!$B$6:$B$205,A86,'Follow-ups'!$I$6:$I$205,"Open",'Follow-ups'!$H$6:$H$205,"&gt;0")=0,"",_xlfn.MINIFS('Follow-ups'!$H$6:$H$205,'Follow-ups'!$B$6:$B$205,A86,'Follow-ups'!$I$6:$I$205,"Open",'Follow-ups'!$H$6:$H$205,"&gt;0")))</x:f>
      </x:c>
      <x:c r="W86" s="265" t="str">
        <x:f>IF(A86="","",IF(OR(H86="Converted",H86="Lost"),"Closed lead",IF(H86="On Hold","On hold",IF(ISNUMBER(V86),IF(V86&lt;TODAY(),"Overdue",IF(V86=TODAY(),"Due today","Scheduled")),IF(COUNTIFS('Follow-ups'!$B$6:$B$205,A86,'Follow-ups'!$I$6:$I$205,"Open")&gt;0,"Set task due date","No open task")))))</x:f>
      </x:c>
      <x:c r="X86" s="235"/>
      <x:c r="Y86" s="235"/>
      <x:c r="Z86" s="235"/>
      <x:c r="AA86" s="315" t="str">
        <x:f>IF(A86="","",IF(COUNTIFS($A$6:$A$205,A86)&gt;1,"Duplicate ID",IF(B86="","Add name",IF(AND(C86="",D86=""),"Add phone or email",IF(H86="","Set lead stage",IF(NOT(ISNUMBER(R86)),"Add date added",IF(AND(ISNUMBER(N86),ISNUMBER(O86),N86&gt;O86),"Check budget range",IF(AND(H86="Lost",Y86=""),"Add lost reason",""))))))))</x:f>
      </x:c>
      <x:c r="AB86" s="791"/>
      <x:c r="AC86" s="791"/>
      <x:c r="AD86" s="791"/>
      <x:c r="AE86" s="791"/>
      <x:c r="AF86" s="791"/>
      <x:c r="AG86" s="791"/>
      <x:c r="AH86" s="791"/>
      <x:c r="AI86" s="791"/>
      <x:c r="AJ86" s="791"/>
      <x:c r="AK86" s="791"/>
      <x:c r="AL86" s="793" t="str">
        <x:f>IF($A86="","",IF(OR($H86="Lost",$H86="Converted"),"",IF(OR($C86&lt;&gt;"",$D86&lt;&gt;""),10,0)+IF(AND(ISNUMBER($O86),$O86&gt;0),20,0)+IF($AE86="Yes",15,0)+IF($AF86="Yes",15,IF($AF86="Joint",10,0))+IF(OR($AG86="Immediate",$AG86="0-30 days"),20,IF($AG86="1-3 months",10,0))+IF(OR($AC86="Cash",$AD86="Pre-approved",$AD86="Approved"),10,0)+IF(ISNUMBER($V86),10,0)))</x:f>
      </x:c>
      <x:c r="AM86" s="793" t="str">
        <x:f>IF($A86="","",IF($H86="Lost","Lost",IF($H86="Converted","Converted",IF(NOT(ISNUMBER($AL86)),"",IF($AL86&gt;=75,"Hot",IF($AL86&gt;=45,"Warm","Nurture"))))))</x:f>
      </x:c>
      <x:c r="AN86" s="794"/>
      <x:c r="AO86" s="791"/>
      <x:c r="AP86" s="791"/>
      <x:c r="AQ86" s="794"/>
      <x:c r="AR86" s="794"/>
      <x:c r="AS86" s="791"/>
    </x:row>
    <x:row r="87" ht="26" customHeight="1">
      <x:c r="A87" s="319"/>
      <x:c r="B87" s="320"/>
      <x:c r="C87" s="331"/>
      <x:c r="D87" s="274"/>
      <x:c r="E87" s="274"/>
      <x:c r="F87" s="274"/>
      <x:c r="G87" s="274"/>
      <x:c r="H87" s="274"/>
      <x:c r="I87" s="274"/>
      <x:c r="J87" s="274"/>
      <x:c r="K87" s="274"/>
      <x:c r="L87" s="274"/>
      <x:c r="M87" s="377"/>
      <x:c r="N87" s="302"/>
      <x:c r="O87" s="302"/>
      <x:c r="P87" s="274"/>
      <x:c r="Q87" s="304"/>
      <x:c r="R87" s="304"/>
      <x:c r="S87" s="274"/>
      <x:c r="T87" s="315" t="str">
        <x:f>IF(A87="","",IF(OR(AND(C87&lt;&gt;"",COUNTIFS($C$6:$C$205,C87)&gt;1),AND(D87&lt;&gt;"",COUNTIFS($D$6:$D$205,D87)&gt;1)),"Check duplicate",""))</x:f>
      </x:c>
      <x:c r="U87" s="374" t="str">
        <x:f>IF(A87="","",IF(COUNTIFS('Follow-ups'!$B$6:$B$205,A87,'Follow-ups'!$D$6:$D$205,"&gt;0",'Follow-ups'!$D$6:$D$205,"&lt;="&amp;TODAY())=0,"",_xlfn.MAXIFS('Follow-ups'!$D$6:$D$205,'Follow-ups'!$B$6:$B$205,A87,'Follow-ups'!$D$6:$D$205,"&lt;="&amp;TODAY())))</x:f>
      </x:c>
      <x:c r="V87" s="374" t="str">
        <x:f>IF(A87="","",IF(COUNTIFS('Follow-ups'!$B$6:$B$205,A87,'Follow-ups'!$I$6:$I$205,"Open",'Follow-ups'!$H$6:$H$205,"&gt;0")=0,"",_xlfn.MINIFS('Follow-ups'!$H$6:$H$205,'Follow-ups'!$B$6:$B$205,A87,'Follow-ups'!$I$6:$I$205,"Open",'Follow-ups'!$H$6:$H$205,"&gt;0")))</x:f>
      </x:c>
      <x:c r="W87" s="265" t="str">
        <x:f>IF(A87="","",IF(OR(H87="Converted",H87="Lost"),"Closed lead",IF(H87="On Hold","On hold",IF(ISNUMBER(V87),IF(V87&lt;TODAY(),"Overdue",IF(V87=TODAY(),"Due today","Scheduled")),IF(COUNTIFS('Follow-ups'!$B$6:$B$205,A87,'Follow-ups'!$I$6:$I$205,"Open")&gt;0,"Set task due date","No open task")))))</x:f>
      </x:c>
      <x:c r="X87" s="274"/>
      <x:c r="Y87" s="274"/>
      <x:c r="Z87" s="274"/>
      <x:c r="AA87" s="315" t="str">
        <x:f>IF(A87="","",IF(COUNTIFS($A$6:$A$205,A87)&gt;1,"Duplicate ID",IF(B87="","Add name",IF(AND(C87="",D87=""),"Add phone or email",IF(H87="","Set lead stage",IF(NOT(ISNUMBER(R87)),"Add date added",IF(AND(ISNUMBER(N87),ISNUMBER(O87),N87&gt;O87),"Check budget range",IF(AND(H87="Lost",Y87=""),"Add lost reason",""))))))))</x:f>
      </x:c>
      <x:c r="AB87" s="791"/>
      <x:c r="AC87" s="791"/>
      <x:c r="AD87" s="791"/>
      <x:c r="AE87" s="791"/>
      <x:c r="AF87" s="791"/>
      <x:c r="AG87" s="791"/>
      <x:c r="AH87" s="791"/>
      <x:c r="AI87" s="791"/>
      <x:c r="AJ87" s="791"/>
      <x:c r="AK87" s="791"/>
      <x:c r="AL87" s="793" t="str">
        <x:f>IF($A87="","",IF(OR($H87="Lost",$H87="Converted"),"",IF(OR($C87&lt;&gt;"",$D87&lt;&gt;""),10,0)+IF(AND(ISNUMBER($O87),$O87&gt;0),20,0)+IF($AE87="Yes",15,0)+IF($AF87="Yes",15,IF($AF87="Joint",10,0))+IF(OR($AG87="Immediate",$AG87="0-30 days"),20,IF($AG87="1-3 months",10,0))+IF(OR($AC87="Cash",$AD87="Pre-approved",$AD87="Approved"),10,0)+IF(ISNUMBER($V87),10,0)))</x:f>
      </x:c>
      <x:c r="AM87" s="793" t="str">
        <x:f>IF($A87="","",IF($H87="Lost","Lost",IF($H87="Converted","Converted",IF(NOT(ISNUMBER($AL87)),"",IF($AL87&gt;=75,"Hot",IF($AL87&gt;=45,"Warm","Nurture"))))))</x:f>
      </x:c>
      <x:c r="AN87" s="794"/>
      <x:c r="AO87" s="791"/>
      <x:c r="AP87" s="791"/>
      <x:c r="AQ87" s="794"/>
      <x:c r="AR87" s="794"/>
      <x:c r="AS87" s="791"/>
    </x:row>
    <x:row r="88" ht="26" customHeight="1">
      <x:c r="A88" s="317"/>
      <x:c r="B88" s="318"/>
      <x:c r="C88" s="327"/>
      <x:c r="D88" s="235"/>
      <x:c r="E88" s="235"/>
      <x:c r="F88" s="235"/>
      <x:c r="G88" s="235"/>
      <x:c r="H88" s="235"/>
      <x:c r="I88" s="235"/>
      <x:c r="J88" s="235"/>
      <x:c r="K88" s="235"/>
      <x:c r="L88" s="235"/>
      <x:c r="M88" s="376"/>
      <x:c r="N88" s="236"/>
      <x:c r="O88" s="236"/>
      <x:c r="P88" s="235"/>
      <x:c r="Q88" s="238"/>
      <x:c r="R88" s="238"/>
      <x:c r="S88" s="235"/>
      <x:c r="T88" s="315" t="str">
        <x:f>IF(A88="","",IF(OR(AND(C88&lt;&gt;"",COUNTIFS($C$6:$C$205,C88)&gt;1),AND(D88&lt;&gt;"",COUNTIFS($D$6:$D$205,D88)&gt;1)),"Check duplicate",""))</x:f>
      </x:c>
      <x:c r="U88" s="374" t="str">
        <x:f>IF(A88="","",IF(COUNTIFS('Follow-ups'!$B$6:$B$205,A88,'Follow-ups'!$D$6:$D$205,"&gt;0",'Follow-ups'!$D$6:$D$205,"&lt;="&amp;TODAY())=0,"",_xlfn.MAXIFS('Follow-ups'!$D$6:$D$205,'Follow-ups'!$B$6:$B$205,A88,'Follow-ups'!$D$6:$D$205,"&lt;="&amp;TODAY())))</x:f>
      </x:c>
      <x:c r="V88" s="374" t="str">
        <x:f>IF(A88="","",IF(COUNTIFS('Follow-ups'!$B$6:$B$205,A88,'Follow-ups'!$I$6:$I$205,"Open",'Follow-ups'!$H$6:$H$205,"&gt;0")=0,"",_xlfn.MINIFS('Follow-ups'!$H$6:$H$205,'Follow-ups'!$B$6:$B$205,A88,'Follow-ups'!$I$6:$I$205,"Open",'Follow-ups'!$H$6:$H$205,"&gt;0")))</x:f>
      </x:c>
      <x:c r="W88" s="265" t="str">
        <x:f>IF(A88="","",IF(OR(H88="Converted",H88="Lost"),"Closed lead",IF(H88="On Hold","On hold",IF(ISNUMBER(V88),IF(V88&lt;TODAY(),"Overdue",IF(V88=TODAY(),"Due today","Scheduled")),IF(COUNTIFS('Follow-ups'!$B$6:$B$205,A88,'Follow-ups'!$I$6:$I$205,"Open")&gt;0,"Set task due date","No open task")))))</x:f>
      </x:c>
      <x:c r="X88" s="235"/>
      <x:c r="Y88" s="235"/>
      <x:c r="Z88" s="235"/>
      <x:c r="AA88" s="315" t="str">
        <x:f>IF(A88="","",IF(COUNTIFS($A$6:$A$205,A88)&gt;1,"Duplicate ID",IF(B88="","Add name",IF(AND(C88="",D88=""),"Add phone or email",IF(H88="","Set lead stage",IF(NOT(ISNUMBER(R88)),"Add date added",IF(AND(ISNUMBER(N88),ISNUMBER(O88),N88&gt;O88),"Check budget range",IF(AND(H88="Lost",Y88=""),"Add lost reason",""))))))))</x:f>
      </x:c>
      <x:c r="AB88" s="791"/>
      <x:c r="AC88" s="791"/>
      <x:c r="AD88" s="791"/>
      <x:c r="AE88" s="791"/>
      <x:c r="AF88" s="791"/>
      <x:c r="AG88" s="791"/>
      <x:c r="AH88" s="791"/>
      <x:c r="AI88" s="791"/>
      <x:c r="AJ88" s="791"/>
      <x:c r="AK88" s="791"/>
      <x:c r="AL88" s="793" t="str">
        <x:f>IF($A88="","",IF(OR($H88="Lost",$H88="Converted"),"",IF(OR($C88&lt;&gt;"",$D88&lt;&gt;""),10,0)+IF(AND(ISNUMBER($O88),$O88&gt;0),20,0)+IF($AE88="Yes",15,0)+IF($AF88="Yes",15,IF($AF88="Joint",10,0))+IF(OR($AG88="Immediate",$AG88="0-30 days"),20,IF($AG88="1-3 months",10,0))+IF(OR($AC88="Cash",$AD88="Pre-approved",$AD88="Approved"),10,0)+IF(ISNUMBER($V88),10,0)))</x:f>
      </x:c>
      <x:c r="AM88" s="793" t="str">
        <x:f>IF($A88="","",IF($H88="Lost","Lost",IF($H88="Converted","Converted",IF(NOT(ISNUMBER($AL88)),"",IF($AL88&gt;=75,"Hot",IF($AL88&gt;=45,"Warm","Nurture"))))))</x:f>
      </x:c>
      <x:c r="AN88" s="794"/>
      <x:c r="AO88" s="791"/>
      <x:c r="AP88" s="791"/>
      <x:c r="AQ88" s="794"/>
      <x:c r="AR88" s="794"/>
      <x:c r="AS88" s="791"/>
    </x:row>
    <x:row r="89" ht="26" customHeight="1">
      <x:c r="A89" s="319"/>
      <x:c r="B89" s="320"/>
      <x:c r="C89" s="331"/>
      <x:c r="D89" s="274"/>
      <x:c r="E89" s="274"/>
      <x:c r="F89" s="274"/>
      <x:c r="G89" s="274"/>
      <x:c r="H89" s="274"/>
      <x:c r="I89" s="274"/>
      <x:c r="J89" s="274"/>
      <x:c r="K89" s="274"/>
      <x:c r="L89" s="274"/>
      <x:c r="M89" s="377"/>
      <x:c r="N89" s="302"/>
      <x:c r="O89" s="302"/>
      <x:c r="P89" s="274"/>
      <x:c r="Q89" s="304"/>
      <x:c r="R89" s="304"/>
      <x:c r="S89" s="274"/>
      <x:c r="T89" s="315" t="str">
        <x:f>IF(A89="","",IF(OR(AND(C89&lt;&gt;"",COUNTIFS($C$6:$C$205,C89)&gt;1),AND(D89&lt;&gt;"",COUNTIFS($D$6:$D$205,D89)&gt;1)),"Check duplicate",""))</x:f>
      </x:c>
      <x:c r="U89" s="374" t="str">
        <x:f>IF(A89="","",IF(COUNTIFS('Follow-ups'!$B$6:$B$205,A89,'Follow-ups'!$D$6:$D$205,"&gt;0",'Follow-ups'!$D$6:$D$205,"&lt;="&amp;TODAY())=0,"",_xlfn.MAXIFS('Follow-ups'!$D$6:$D$205,'Follow-ups'!$B$6:$B$205,A89,'Follow-ups'!$D$6:$D$205,"&lt;="&amp;TODAY())))</x:f>
      </x:c>
      <x:c r="V89" s="374" t="str">
        <x:f>IF(A89="","",IF(COUNTIFS('Follow-ups'!$B$6:$B$205,A89,'Follow-ups'!$I$6:$I$205,"Open",'Follow-ups'!$H$6:$H$205,"&gt;0")=0,"",_xlfn.MINIFS('Follow-ups'!$H$6:$H$205,'Follow-ups'!$B$6:$B$205,A89,'Follow-ups'!$I$6:$I$205,"Open",'Follow-ups'!$H$6:$H$205,"&gt;0")))</x:f>
      </x:c>
      <x:c r="W89" s="265" t="str">
        <x:f>IF(A89="","",IF(OR(H89="Converted",H89="Lost"),"Closed lead",IF(H89="On Hold","On hold",IF(ISNUMBER(V89),IF(V89&lt;TODAY(),"Overdue",IF(V89=TODAY(),"Due today","Scheduled")),IF(COUNTIFS('Follow-ups'!$B$6:$B$205,A89,'Follow-ups'!$I$6:$I$205,"Open")&gt;0,"Set task due date","No open task")))))</x:f>
      </x:c>
      <x:c r="X89" s="274"/>
      <x:c r="Y89" s="274"/>
      <x:c r="Z89" s="274"/>
      <x:c r="AA89" s="315" t="str">
        <x:f>IF(A89="","",IF(COUNTIFS($A$6:$A$205,A89)&gt;1,"Duplicate ID",IF(B89="","Add name",IF(AND(C89="",D89=""),"Add phone or email",IF(H89="","Set lead stage",IF(NOT(ISNUMBER(R89)),"Add date added",IF(AND(ISNUMBER(N89),ISNUMBER(O89),N89&gt;O89),"Check budget range",IF(AND(H89="Lost",Y89=""),"Add lost reason",""))))))))</x:f>
      </x:c>
      <x:c r="AB89" s="791"/>
      <x:c r="AC89" s="791"/>
      <x:c r="AD89" s="791"/>
      <x:c r="AE89" s="791"/>
      <x:c r="AF89" s="791"/>
      <x:c r="AG89" s="791"/>
      <x:c r="AH89" s="791"/>
      <x:c r="AI89" s="791"/>
      <x:c r="AJ89" s="791"/>
      <x:c r="AK89" s="791"/>
      <x:c r="AL89" s="793" t="str">
        <x:f>IF($A89="","",IF(OR($H89="Lost",$H89="Converted"),"",IF(OR($C89&lt;&gt;"",$D89&lt;&gt;""),10,0)+IF(AND(ISNUMBER($O89),$O89&gt;0),20,0)+IF($AE89="Yes",15,0)+IF($AF89="Yes",15,IF($AF89="Joint",10,0))+IF(OR($AG89="Immediate",$AG89="0-30 days"),20,IF($AG89="1-3 months",10,0))+IF(OR($AC89="Cash",$AD89="Pre-approved",$AD89="Approved"),10,0)+IF(ISNUMBER($V89),10,0)))</x:f>
      </x:c>
      <x:c r="AM89" s="793" t="str">
        <x:f>IF($A89="","",IF($H89="Lost","Lost",IF($H89="Converted","Converted",IF(NOT(ISNUMBER($AL89)),"",IF($AL89&gt;=75,"Hot",IF($AL89&gt;=45,"Warm","Nurture"))))))</x:f>
      </x:c>
      <x:c r="AN89" s="794"/>
      <x:c r="AO89" s="791"/>
      <x:c r="AP89" s="791"/>
      <x:c r="AQ89" s="794"/>
      <x:c r="AR89" s="794"/>
      <x:c r="AS89" s="791"/>
    </x:row>
    <x:row r="90" ht="26" customHeight="1">
      <x:c r="A90" s="317"/>
      <x:c r="B90" s="318"/>
      <x:c r="C90" s="327"/>
      <x:c r="D90" s="235"/>
      <x:c r="E90" s="235"/>
      <x:c r="F90" s="235"/>
      <x:c r="G90" s="235"/>
      <x:c r="H90" s="235"/>
      <x:c r="I90" s="235"/>
      <x:c r="J90" s="235"/>
      <x:c r="K90" s="235"/>
      <x:c r="L90" s="235"/>
      <x:c r="M90" s="376"/>
      <x:c r="N90" s="236"/>
      <x:c r="O90" s="236"/>
      <x:c r="P90" s="235"/>
      <x:c r="Q90" s="238"/>
      <x:c r="R90" s="238"/>
      <x:c r="S90" s="235"/>
      <x:c r="T90" s="315" t="str">
        <x:f>IF(A90="","",IF(OR(AND(C90&lt;&gt;"",COUNTIFS($C$6:$C$205,C90)&gt;1),AND(D90&lt;&gt;"",COUNTIFS($D$6:$D$205,D90)&gt;1)),"Check duplicate",""))</x:f>
      </x:c>
      <x:c r="U90" s="374" t="str">
        <x:f>IF(A90="","",IF(COUNTIFS('Follow-ups'!$B$6:$B$205,A90,'Follow-ups'!$D$6:$D$205,"&gt;0",'Follow-ups'!$D$6:$D$205,"&lt;="&amp;TODAY())=0,"",_xlfn.MAXIFS('Follow-ups'!$D$6:$D$205,'Follow-ups'!$B$6:$B$205,A90,'Follow-ups'!$D$6:$D$205,"&lt;="&amp;TODAY())))</x:f>
      </x:c>
      <x:c r="V90" s="374" t="str">
        <x:f>IF(A90="","",IF(COUNTIFS('Follow-ups'!$B$6:$B$205,A90,'Follow-ups'!$I$6:$I$205,"Open",'Follow-ups'!$H$6:$H$205,"&gt;0")=0,"",_xlfn.MINIFS('Follow-ups'!$H$6:$H$205,'Follow-ups'!$B$6:$B$205,A90,'Follow-ups'!$I$6:$I$205,"Open",'Follow-ups'!$H$6:$H$205,"&gt;0")))</x:f>
      </x:c>
      <x:c r="W90" s="265" t="str">
        <x:f>IF(A90="","",IF(OR(H90="Converted",H90="Lost"),"Closed lead",IF(H90="On Hold","On hold",IF(ISNUMBER(V90),IF(V90&lt;TODAY(),"Overdue",IF(V90=TODAY(),"Due today","Scheduled")),IF(COUNTIFS('Follow-ups'!$B$6:$B$205,A90,'Follow-ups'!$I$6:$I$205,"Open")&gt;0,"Set task due date","No open task")))))</x:f>
      </x:c>
      <x:c r="X90" s="235"/>
      <x:c r="Y90" s="235"/>
      <x:c r="Z90" s="235"/>
      <x:c r="AA90" s="315" t="str">
        <x:f>IF(A90="","",IF(COUNTIFS($A$6:$A$205,A90)&gt;1,"Duplicate ID",IF(B90="","Add name",IF(AND(C90="",D90=""),"Add phone or email",IF(H90="","Set lead stage",IF(NOT(ISNUMBER(R90)),"Add date added",IF(AND(ISNUMBER(N90),ISNUMBER(O90),N90&gt;O90),"Check budget range",IF(AND(H90="Lost",Y90=""),"Add lost reason",""))))))))</x:f>
      </x:c>
      <x:c r="AB90" s="791"/>
      <x:c r="AC90" s="791"/>
      <x:c r="AD90" s="791"/>
      <x:c r="AE90" s="791"/>
      <x:c r="AF90" s="791"/>
      <x:c r="AG90" s="791"/>
      <x:c r="AH90" s="791"/>
      <x:c r="AI90" s="791"/>
      <x:c r="AJ90" s="791"/>
      <x:c r="AK90" s="791"/>
      <x:c r="AL90" s="793" t="str">
        <x:f>IF($A90="","",IF(OR($H90="Lost",$H90="Converted"),"",IF(OR($C90&lt;&gt;"",$D90&lt;&gt;""),10,0)+IF(AND(ISNUMBER($O90),$O90&gt;0),20,0)+IF($AE90="Yes",15,0)+IF($AF90="Yes",15,IF($AF90="Joint",10,0))+IF(OR($AG90="Immediate",$AG90="0-30 days"),20,IF($AG90="1-3 months",10,0))+IF(OR($AC90="Cash",$AD90="Pre-approved",$AD90="Approved"),10,0)+IF(ISNUMBER($V90),10,0)))</x:f>
      </x:c>
      <x:c r="AM90" s="793" t="str">
        <x:f>IF($A90="","",IF($H90="Lost","Lost",IF($H90="Converted","Converted",IF(NOT(ISNUMBER($AL90)),"",IF($AL90&gt;=75,"Hot",IF($AL90&gt;=45,"Warm","Nurture"))))))</x:f>
      </x:c>
      <x:c r="AN90" s="794"/>
      <x:c r="AO90" s="791"/>
      <x:c r="AP90" s="791"/>
      <x:c r="AQ90" s="794"/>
      <x:c r="AR90" s="794"/>
      <x:c r="AS90" s="791"/>
    </x:row>
    <x:row r="91" ht="26" customHeight="1">
      <x:c r="A91" s="319"/>
      <x:c r="B91" s="320"/>
      <x:c r="C91" s="331"/>
      <x:c r="D91" s="274"/>
      <x:c r="E91" s="274"/>
      <x:c r="F91" s="274"/>
      <x:c r="G91" s="274"/>
      <x:c r="H91" s="274"/>
      <x:c r="I91" s="274"/>
      <x:c r="J91" s="274"/>
      <x:c r="K91" s="274"/>
      <x:c r="L91" s="274"/>
      <x:c r="M91" s="377"/>
      <x:c r="N91" s="302"/>
      <x:c r="O91" s="302"/>
      <x:c r="P91" s="274"/>
      <x:c r="Q91" s="304"/>
      <x:c r="R91" s="304"/>
      <x:c r="S91" s="274"/>
      <x:c r="T91" s="315" t="str">
        <x:f>IF(A91="","",IF(OR(AND(C91&lt;&gt;"",COUNTIFS($C$6:$C$205,C91)&gt;1),AND(D91&lt;&gt;"",COUNTIFS($D$6:$D$205,D91)&gt;1)),"Check duplicate",""))</x:f>
      </x:c>
      <x:c r="U91" s="374" t="str">
        <x:f>IF(A91="","",IF(COUNTIFS('Follow-ups'!$B$6:$B$205,A91,'Follow-ups'!$D$6:$D$205,"&gt;0",'Follow-ups'!$D$6:$D$205,"&lt;="&amp;TODAY())=0,"",_xlfn.MAXIFS('Follow-ups'!$D$6:$D$205,'Follow-ups'!$B$6:$B$205,A91,'Follow-ups'!$D$6:$D$205,"&lt;="&amp;TODAY())))</x:f>
      </x:c>
      <x:c r="V91" s="374" t="str">
        <x:f>IF(A91="","",IF(COUNTIFS('Follow-ups'!$B$6:$B$205,A91,'Follow-ups'!$I$6:$I$205,"Open",'Follow-ups'!$H$6:$H$205,"&gt;0")=0,"",_xlfn.MINIFS('Follow-ups'!$H$6:$H$205,'Follow-ups'!$B$6:$B$205,A91,'Follow-ups'!$I$6:$I$205,"Open",'Follow-ups'!$H$6:$H$205,"&gt;0")))</x:f>
      </x:c>
      <x:c r="W91" s="265" t="str">
        <x:f>IF(A91="","",IF(OR(H91="Converted",H91="Lost"),"Closed lead",IF(H91="On Hold","On hold",IF(ISNUMBER(V91),IF(V91&lt;TODAY(),"Overdue",IF(V91=TODAY(),"Due today","Scheduled")),IF(COUNTIFS('Follow-ups'!$B$6:$B$205,A91,'Follow-ups'!$I$6:$I$205,"Open")&gt;0,"Set task due date","No open task")))))</x:f>
      </x:c>
      <x:c r="X91" s="274"/>
      <x:c r="Y91" s="274"/>
      <x:c r="Z91" s="274"/>
      <x:c r="AA91" s="315" t="str">
        <x:f>IF(A91="","",IF(COUNTIFS($A$6:$A$205,A91)&gt;1,"Duplicate ID",IF(B91="","Add name",IF(AND(C91="",D91=""),"Add phone or email",IF(H91="","Set lead stage",IF(NOT(ISNUMBER(R91)),"Add date added",IF(AND(ISNUMBER(N91),ISNUMBER(O91),N91&gt;O91),"Check budget range",IF(AND(H91="Lost",Y91=""),"Add lost reason",""))))))))</x:f>
      </x:c>
      <x:c r="AB91" s="791"/>
      <x:c r="AC91" s="791"/>
      <x:c r="AD91" s="791"/>
      <x:c r="AE91" s="791"/>
      <x:c r="AF91" s="791"/>
      <x:c r="AG91" s="791"/>
      <x:c r="AH91" s="791"/>
      <x:c r="AI91" s="791"/>
      <x:c r="AJ91" s="791"/>
      <x:c r="AK91" s="791"/>
      <x:c r="AL91" s="793" t="str">
        <x:f>IF($A91="","",IF(OR($H91="Lost",$H91="Converted"),"",IF(OR($C91&lt;&gt;"",$D91&lt;&gt;""),10,0)+IF(AND(ISNUMBER($O91),$O91&gt;0),20,0)+IF($AE91="Yes",15,0)+IF($AF91="Yes",15,IF($AF91="Joint",10,0))+IF(OR($AG91="Immediate",$AG91="0-30 days"),20,IF($AG91="1-3 months",10,0))+IF(OR($AC91="Cash",$AD91="Pre-approved",$AD91="Approved"),10,0)+IF(ISNUMBER($V91),10,0)))</x:f>
      </x:c>
      <x:c r="AM91" s="793" t="str">
        <x:f>IF($A91="","",IF($H91="Lost","Lost",IF($H91="Converted","Converted",IF(NOT(ISNUMBER($AL91)),"",IF($AL91&gt;=75,"Hot",IF($AL91&gt;=45,"Warm","Nurture"))))))</x:f>
      </x:c>
      <x:c r="AN91" s="794"/>
      <x:c r="AO91" s="791"/>
      <x:c r="AP91" s="791"/>
      <x:c r="AQ91" s="794"/>
      <x:c r="AR91" s="794"/>
      <x:c r="AS91" s="791"/>
    </x:row>
    <x:row r="92" ht="26" customHeight="1">
      <x:c r="A92" s="317"/>
      <x:c r="B92" s="318"/>
      <x:c r="C92" s="327"/>
      <x:c r="D92" s="235"/>
      <x:c r="E92" s="235"/>
      <x:c r="F92" s="235"/>
      <x:c r="G92" s="235"/>
      <x:c r="H92" s="235"/>
      <x:c r="I92" s="235"/>
      <x:c r="J92" s="235"/>
      <x:c r="K92" s="235"/>
      <x:c r="L92" s="235"/>
      <x:c r="M92" s="376"/>
      <x:c r="N92" s="236"/>
      <x:c r="O92" s="236"/>
      <x:c r="P92" s="235"/>
      <x:c r="Q92" s="238"/>
      <x:c r="R92" s="238"/>
      <x:c r="S92" s="235"/>
      <x:c r="T92" s="315" t="str">
        <x:f>IF(A92="","",IF(OR(AND(C92&lt;&gt;"",COUNTIFS($C$6:$C$205,C92)&gt;1),AND(D92&lt;&gt;"",COUNTIFS($D$6:$D$205,D92)&gt;1)),"Check duplicate",""))</x:f>
      </x:c>
      <x:c r="U92" s="374" t="str">
        <x:f>IF(A92="","",IF(COUNTIFS('Follow-ups'!$B$6:$B$205,A92,'Follow-ups'!$D$6:$D$205,"&gt;0",'Follow-ups'!$D$6:$D$205,"&lt;="&amp;TODAY())=0,"",_xlfn.MAXIFS('Follow-ups'!$D$6:$D$205,'Follow-ups'!$B$6:$B$205,A92,'Follow-ups'!$D$6:$D$205,"&lt;="&amp;TODAY())))</x:f>
      </x:c>
      <x:c r="V92" s="374" t="str">
        <x:f>IF(A92="","",IF(COUNTIFS('Follow-ups'!$B$6:$B$205,A92,'Follow-ups'!$I$6:$I$205,"Open",'Follow-ups'!$H$6:$H$205,"&gt;0")=0,"",_xlfn.MINIFS('Follow-ups'!$H$6:$H$205,'Follow-ups'!$B$6:$B$205,A92,'Follow-ups'!$I$6:$I$205,"Open",'Follow-ups'!$H$6:$H$205,"&gt;0")))</x:f>
      </x:c>
      <x:c r="W92" s="265" t="str">
        <x:f>IF(A92="","",IF(OR(H92="Converted",H92="Lost"),"Closed lead",IF(H92="On Hold","On hold",IF(ISNUMBER(V92),IF(V92&lt;TODAY(),"Overdue",IF(V92=TODAY(),"Due today","Scheduled")),IF(COUNTIFS('Follow-ups'!$B$6:$B$205,A92,'Follow-ups'!$I$6:$I$205,"Open")&gt;0,"Set task due date","No open task")))))</x:f>
      </x:c>
      <x:c r="X92" s="235"/>
      <x:c r="Y92" s="235"/>
      <x:c r="Z92" s="235"/>
      <x:c r="AA92" s="315" t="str">
        <x:f>IF(A92="","",IF(COUNTIFS($A$6:$A$205,A92)&gt;1,"Duplicate ID",IF(B92="","Add name",IF(AND(C92="",D92=""),"Add phone or email",IF(H92="","Set lead stage",IF(NOT(ISNUMBER(R92)),"Add date added",IF(AND(ISNUMBER(N92),ISNUMBER(O92),N92&gt;O92),"Check budget range",IF(AND(H92="Lost",Y92=""),"Add lost reason",""))))))))</x:f>
      </x:c>
      <x:c r="AB92" s="791"/>
      <x:c r="AC92" s="791"/>
      <x:c r="AD92" s="791"/>
      <x:c r="AE92" s="791"/>
      <x:c r="AF92" s="791"/>
      <x:c r="AG92" s="791"/>
      <x:c r="AH92" s="791"/>
      <x:c r="AI92" s="791"/>
      <x:c r="AJ92" s="791"/>
      <x:c r="AK92" s="791"/>
      <x:c r="AL92" s="793" t="str">
        <x:f>IF($A92="","",IF(OR($H92="Lost",$H92="Converted"),"",IF(OR($C92&lt;&gt;"",$D92&lt;&gt;""),10,0)+IF(AND(ISNUMBER($O92),$O92&gt;0),20,0)+IF($AE92="Yes",15,0)+IF($AF92="Yes",15,IF($AF92="Joint",10,0))+IF(OR($AG92="Immediate",$AG92="0-30 days"),20,IF($AG92="1-3 months",10,0))+IF(OR($AC92="Cash",$AD92="Pre-approved",$AD92="Approved"),10,0)+IF(ISNUMBER($V92),10,0)))</x:f>
      </x:c>
      <x:c r="AM92" s="793" t="str">
        <x:f>IF($A92="","",IF($H92="Lost","Lost",IF($H92="Converted","Converted",IF(NOT(ISNUMBER($AL92)),"",IF($AL92&gt;=75,"Hot",IF($AL92&gt;=45,"Warm","Nurture"))))))</x:f>
      </x:c>
      <x:c r="AN92" s="794"/>
      <x:c r="AO92" s="791"/>
      <x:c r="AP92" s="791"/>
      <x:c r="AQ92" s="794"/>
      <x:c r="AR92" s="794"/>
      <x:c r="AS92" s="791"/>
    </x:row>
    <x:row r="93" ht="26" customHeight="1">
      <x:c r="A93" s="319"/>
      <x:c r="B93" s="320"/>
      <x:c r="C93" s="331"/>
      <x:c r="D93" s="274"/>
      <x:c r="E93" s="274"/>
      <x:c r="F93" s="274"/>
      <x:c r="G93" s="274"/>
      <x:c r="H93" s="274"/>
      <x:c r="I93" s="274"/>
      <x:c r="J93" s="274"/>
      <x:c r="K93" s="274"/>
      <x:c r="L93" s="274"/>
      <x:c r="M93" s="377"/>
      <x:c r="N93" s="302"/>
      <x:c r="O93" s="302"/>
      <x:c r="P93" s="274"/>
      <x:c r="Q93" s="304"/>
      <x:c r="R93" s="304"/>
      <x:c r="S93" s="274"/>
      <x:c r="T93" s="315" t="str">
        <x:f>IF(A93="","",IF(OR(AND(C93&lt;&gt;"",COUNTIFS($C$6:$C$205,C93)&gt;1),AND(D93&lt;&gt;"",COUNTIFS($D$6:$D$205,D93)&gt;1)),"Check duplicate",""))</x:f>
      </x:c>
      <x:c r="U93" s="374" t="str">
        <x:f>IF(A93="","",IF(COUNTIFS('Follow-ups'!$B$6:$B$205,A93,'Follow-ups'!$D$6:$D$205,"&gt;0",'Follow-ups'!$D$6:$D$205,"&lt;="&amp;TODAY())=0,"",_xlfn.MAXIFS('Follow-ups'!$D$6:$D$205,'Follow-ups'!$B$6:$B$205,A93,'Follow-ups'!$D$6:$D$205,"&lt;="&amp;TODAY())))</x:f>
      </x:c>
      <x:c r="V93" s="374" t="str">
        <x:f>IF(A93="","",IF(COUNTIFS('Follow-ups'!$B$6:$B$205,A93,'Follow-ups'!$I$6:$I$205,"Open",'Follow-ups'!$H$6:$H$205,"&gt;0")=0,"",_xlfn.MINIFS('Follow-ups'!$H$6:$H$205,'Follow-ups'!$B$6:$B$205,A93,'Follow-ups'!$I$6:$I$205,"Open",'Follow-ups'!$H$6:$H$205,"&gt;0")))</x:f>
      </x:c>
      <x:c r="W93" s="265" t="str">
        <x:f>IF(A93="","",IF(OR(H93="Converted",H93="Lost"),"Closed lead",IF(H93="On Hold","On hold",IF(ISNUMBER(V93),IF(V93&lt;TODAY(),"Overdue",IF(V93=TODAY(),"Due today","Scheduled")),IF(COUNTIFS('Follow-ups'!$B$6:$B$205,A93,'Follow-ups'!$I$6:$I$205,"Open")&gt;0,"Set task due date","No open task")))))</x:f>
      </x:c>
      <x:c r="X93" s="274"/>
      <x:c r="Y93" s="274"/>
      <x:c r="Z93" s="274"/>
      <x:c r="AA93" s="315" t="str">
        <x:f>IF(A93="","",IF(COUNTIFS($A$6:$A$205,A93)&gt;1,"Duplicate ID",IF(B93="","Add name",IF(AND(C93="",D93=""),"Add phone or email",IF(H93="","Set lead stage",IF(NOT(ISNUMBER(R93)),"Add date added",IF(AND(ISNUMBER(N93),ISNUMBER(O93),N93&gt;O93),"Check budget range",IF(AND(H93="Lost",Y93=""),"Add lost reason",""))))))))</x:f>
      </x:c>
      <x:c r="AB93" s="791"/>
      <x:c r="AC93" s="791"/>
      <x:c r="AD93" s="791"/>
      <x:c r="AE93" s="791"/>
      <x:c r="AF93" s="791"/>
      <x:c r="AG93" s="791"/>
      <x:c r="AH93" s="791"/>
      <x:c r="AI93" s="791"/>
      <x:c r="AJ93" s="791"/>
      <x:c r="AK93" s="791"/>
      <x:c r="AL93" s="793" t="str">
        <x:f>IF($A93="","",IF(OR($H93="Lost",$H93="Converted"),"",IF(OR($C93&lt;&gt;"",$D93&lt;&gt;""),10,0)+IF(AND(ISNUMBER($O93),$O93&gt;0),20,0)+IF($AE93="Yes",15,0)+IF($AF93="Yes",15,IF($AF93="Joint",10,0))+IF(OR($AG93="Immediate",$AG93="0-30 days"),20,IF($AG93="1-3 months",10,0))+IF(OR($AC93="Cash",$AD93="Pre-approved",$AD93="Approved"),10,0)+IF(ISNUMBER($V93),10,0)))</x:f>
      </x:c>
      <x:c r="AM93" s="793" t="str">
        <x:f>IF($A93="","",IF($H93="Lost","Lost",IF($H93="Converted","Converted",IF(NOT(ISNUMBER($AL93)),"",IF($AL93&gt;=75,"Hot",IF($AL93&gt;=45,"Warm","Nurture"))))))</x:f>
      </x:c>
      <x:c r="AN93" s="794"/>
      <x:c r="AO93" s="791"/>
      <x:c r="AP93" s="791"/>
      <x:c r="AQ93" s="794"/>
      <x:c r="AR93" s="794"/>
      <x:c r="AS93" s="791"/>
    </x:row>
    <x:row r="94" ht="26" customHeight="1">
      <x:c r="A94" s="317"/>
      <x:c r="B94" s="318"/>
      <x:c r="C94" s="327"/>
      <x:c r="D94" s="235"/>
      <x:c r="E94" s="235"/>
      <x:c r="F94" s="235"/>
      <x:c r="G94" s="235"/>
      <x:c r="H94" s="235"/>
      <x:c r="I94" s="235"/>
      <x:c r="J94" s="235"/>
      <x:c r="K94" s="235"/>
      <x:c r="L94" s="235"/>
      <x:c r="M94" s="376"/>
      <x:c r="N94" s="236"/>
      <x:c r="O94" s="236"/>
      <x:c r="P94" s="235"/>
      <x:c r="Q94" s="238"/>
      <x:c r="R94" s="238"/>
      <x:c r="S94" s="235"/>
      <x:c r="T94" s="315" t="str">
        <x:f>IF(A94="","",IF(OR(AND(C94&lt;&gt;"",COUNTIFS($C$6:$C$205,C94)&gt;1),AND(D94&lt;&gt;"",COUNTIFS($D$6:$D$205,D94)&gt;1)),"Check duplicate",""))</x:f>
      </x:c>
      <x:c r="U94" s="374" t="str">
        <x:f>IF(A94="","",IF(COUNTIFS('Follow-ups'!$B$6:$B$205,A94,'Follow-ups'!$D$6:$D$205,"&gt;0",'Follow-ups'!$D$6:$D$205,"&lt;="&amp;TODAY())=0,"",_xlfn.MAXIFS('Follow-ups'!$D$6:$D$205,'Follow-ups'!$B$6:$B$205,A94,'Follow-ups'!$D$6:$D$205,"&lt;="&amp;TODAY())))</x:f>
      </x:c>
      <x:c r="V94" s="374" t="str">
        <x:f>IF(A94="","",IF(COUNTIFS('Follow-ups'!$B$6:$B$205,A94,'Follow-ups'!$I$6:$I$205,"Open",'Follow-ups'!$H$6:$H$205,"&gt;0")=0,"",_xlfn.MINIFS('Follow-ups'!$H$6:$H$205,'Follow-ups'!$B$6:$B$205,A94,'Follow-ups'!$I$6:$I$205,"Open",'Follow-ups'!$H$6:$H$205,"&gt;0")))</x:f>
      </x:c>
      <x:c r="W94" s="265" t="str">
        <x:f>IF(A94="","",IF(OR(H94="Converted",H94="Lost"),"Closed lead",IF(H94="On Hold","On hold",IF(ISNUMBER(V94),IF(V94&lt;TODAY(),"Overdue",IF(V94=TODAY(),"Due today","Scheduled")),IF(COUNTIFS('Follow-ups'!$B$6:$B$205,A94,'Follow-ups'!$I$6:$I$205,"Open")&gt;0,"Set task due date","No open task")))))</x:f>
      </x:c>
      <x:c r="X94" s="235"/>
      <x:c r="Y94" s="235"/>
      <x:c r="Z94" s="235"/>
      <x:c r="AA94" s="315" t="str">
        <x:f>IF(A94="","",IF(COUNTIFS($A$6:$A$205,A94)&gt;1,"Duplicate ID",IF(B94="","Add name",IF(AND(C94="",D94=""),"Add phone or email",IF(H94="","Set lead stage",IF(NOT(ISNUMBER(R94)),"Add date added",IF(AND(ISNUMBER(N94),ISNUMBER(O94),N94&gt;O94),"Check budget range",IF(AND(H94="Lost",Y94=""),"Add lost reason",""))))))))</x:f>
      </x:c>
      <x:c r="AB94" s="791"/>
      <x:c r="AC94" s="791"/>
      <x:c r="AD94" s="791"/>
      <x:c r="AE94" s="791"/>
      <x:c r="AF94" s="791"/>
      <x:c r="AG94" s="791"/>
      <x:c r="AH94" s="791"/>
      <x:c r="AI94" s="791"/>
      <x:c r="AJ94" s="791"/>
      <x:c r="AK94" s="791"/>
      <x:c r="AL94" s="793" t="str">
        <x:f>IF($A94="","",IF(OR($H94="Lost",$H94="Converted"),"",IF(OR($C94&lt;&gt;"",$D94&lt;&gt;""),10,0)+IF(AND(ISNUMBER($O94),$O94&gt;0),20,0)+IF($AE94="Yes",15,0)+IF($AF94="Yes",15,IF($AF94="Joint",10,0))+IF(OR($AG94="Immediate",$AG94="0-30 days"),20,IF($AG94="1-3 months",10,0))+IF(OR($AC94="Cash",$AD94="Pre-approved",$AD94="Approved"),10,0)+IF(ISNUMBER($V94),10,0)))</x:f>
      </x:c>
      <x:c r="AM94" s="793" t="str">
        <x:f>IF($A94="","",IF($H94="Lost","Lost",IF($H94="Converted","Converted",IF(NOT(ISNUMBER($AL94)),"",IF($AL94&gt;=75,"Hot",IF($AL94&gt;=45,"Warm","Nurture"))))))</x:f>
      </x:c>
      <x:c r="AN94" s="794"/>
      <x:c r="AO94" s="791"/>
      <x:c r="AP94" s="791"/>
      <x:c r="AQ94" s="794"/>
      <x:c r="AR94" s="794"/>
      <x:c r="AS94" s="791"/>
    </x:row>
    <x:row r="95" ht="26" customHeight="1">
      <x:c r="A95" s="319"/>
      <x:c r="B95" s="320"/>
      <x:c r="C95" s="331"/>
      <x:c r="D95" s="274"/>
      <x:c r="E95" s="274"/>
      <x:c r="F95" s="274"/>
      <x:c r="G95" s="274"/>
      <x:c r="H95" s="274"/>
      <x:c r="I95" s="274"/>
      <x:c r="J95" s="274"/>
      <x:c r="K95" s="274"/>
      <x:c r="L95" s="274"/>
      <x:c r="M95" s="377"/>
      <x:c r="N95" s="302"/>
      <x:c r="O95" s="302"/>
      <x:c r="P95" s="274"/>
      <x:c r="Q95" s="304"/>
      <x:c r="R95" s="304"/>
      <x:c r="S95" s="274"/>
      <x:c r="T95" s="315" t="str">
        <x:f>IF(A95="","",IF(OR(AND(C95&lt;&gt;"",COUNTIFS($C$6:$C$205,C95)&gt;1),AND(D95&lt;&gt;"",COUNTIFS($D$6:$D$205,D95)&gt;1)),"Check duplicate",""))</x:f>
      </x:c>
      <x:c r="U95" s="374" t="str">
        <x:f>IF(A95="","",IF(COUNTIFS('Follow-ups'!$B$6:$B$205,A95,'Follow-ups'!$D$6:$D$205,"&gt;0",'Follow-ups'!$D$6:$D$205,"&lt;="&amp;TODAY())=0,"",_xlfn.MAXIFS('Follow-ups'!$D$6:$D$205,'Follow-ups'!$B$6:$B$205,A95,'Follow-ups'!$D$6:$D$205,"&lt;="&amp;TODAY())))</x:f>
      </x:c>
      <x:c r="V95" s="374" t="str">
        <x:f>IF(A95="","",IF(COUNTIFS('Follow-ups'!$B$6:$B$205,A95,'Follow-ups'!$I$6:$I$205,"Open",'Follow-ups'!$H$6:$H$205,"&gt;0")=0,"",_xlfn.MINIFS('Follow-ups'!$H$6:$H$205,'Follow-ups'!$B$6:$B$205,A95,'Follow-ups'!$I$6:$I$205,"Open",'Follow-ups'!$H$6:$H$205,"&gt;0")))</x:f>
      </x:c>
      <x:c r="W95" s="265" t="str">
        <x:f>IF(A95="","",IF(OR(H95="Converted",H95="Lost"),"Closed lead",IF(H95="On Hold","On hold",IF(ISNUMBER(V95),IF(V95&lt;TODAY(),"Overdue",IF(V95=TODAY(),"Due today","Scheduled")),IF(COUNTIFS('Follow-ups'!$B$6:$B$205,A95,'Follow-ups'!$I$6:$I$205,"Open")&gt;0,"Set task due date","No open task")))))</x:f>
      </x:c>
      <x:c r="X95" s="274"/>
      <x:c r="Y95" s="274"/>
      <x:c r="Z95" s="274"/>
      <x:c r="AA95" s="315" t="str">
        <x:f>IF(A95="","",IF(COUNTIFS($A$6:$A$205,A95)&gt;1,"Duplicate ID",IF(B95="","Add name",IF(AND(C95="",D95=""),"Add phone or email",IF(H95="","Set lead stage",IF(NOT(ISNUMBER(R95)),"Add date added",IF(AND(ISNUMBER(N95),ISNUMBER(O95),N95&gt;O95),"Check budget range",IF(AND(H95="Lost",Y95=""),"Add lost reason",""))))))))</x:f>
      </x:c>
      <x:c r="AB95" s="791"/>
      <x:c r="AC95" s="791"/>
      <x:c r="AD95" s="791"/>
      <x:c r="AE95" s="791"/>
      <x:c r="AF95" s="791"/>
      <x:c r="AG95" s="791"/>
      <x:c r="AH95" s="791"/>
      <x:c r="AI95" s="791"/>
      <x:c r="AJ95" s="791"/>
      <x:c r="AK95" s="791"/>
      <x:c r="AL95" s="793" t="str">
        <x:f>IF($A95="","",IF(OR($H95="Lost",$H95="Converted"),"",IF(OR($C95&lt;&gt;"",$D95&lt;&gt;""),10,0)+IF(AND(ISNUMBER($O95),$O95&gt;0),20,0)+IF($AE95="Yes",15,0)+IF($AF95="Yes",15,IF($AF95="Joint",10,0))+IF(OR($AG95="Immediate",$AG95="0-30 days"),20,IF($AG95="1-3 months",10,0))+IF(OR($AC95="Cash",$AD95="Pre-approved",$AD95="Approved"),10,0)+IF(ISNUMBER($V95),10,0)))</x:f>
      </x:c>
      <x:c r="AM95" s="793" t="str">
        <x:f>IF($A95="","",IF($H95="Lost","Lost",IF($H95="Converted","Converted",IF(NOT(ISNUMBER($AL95)),"",IF($AL95&gt;=75,"Hot",IF($AL95&gt;=45,"Warm","Nurture"))))))</x:f>
      </x:c>
      <x:c r="AN95" s="794"/>
      <x:c r="AO95" s="791"/>
      <x:c r="AP95" s="791"/>
      <x:c r="AQ95" s="794"/>
      <x:c r="AR95" s="794"/>
      <x:c r="AS95" s="791"/>
    </x:row>
    <x:row r="96" ht="26" customHeight="1">
      <x:c r="A96" s="317"/>
      <x:c r="B96" s="318"/>
      <x:c r="C96" s="327"/>
      <x:c r="D96" s="235"/>
      <x:c r="E96" s="235"/>
      <x:c r="F96" s="235"/>
      <x:c r="G96" s="235"/>
      <x:c r="H96" s="235"/>
      <x:c r="I96" s="235"/>
      <x:c r="J96" s="235"/>
      <x:c r="K96" s="235"/>
      <x:c r="L96" s="235"/>
      <x:c r="M96" s="376"/>
      <x:c r="N96" s="236"/>
      <x:c r="O96" s="236"/>
      <x:c r="P96" s="235"/>
      <x:c r="Q96" s="238"/>
      <x:c r="R96" s="238"/>
      <x:c r="S96" s="235"/>
      <x:c r="T96" s="315" t="str">
        <x:f>IF(A96="","",IF(OR(AND(C96&lt;&gt;"",COUNTIFS($C$6:$C$205,C96)&gt;1),AND(D96&lt;&gt;"",COUNTIFS($D$6:$D$205,D96)&gt;1)),"Check duplicate",""))</x:f>
      </x:c>
      <x:c r="U96" s="374" t="str">
        <x:f>IF(A96="","",IF(COUNTIFS('Follow-ups'!$B$6:$B$205,A96,'Follow-ups'!$D$6:$D$205,"&gt;0",'Follow-ups'!$D$6:$D$205,"&lt;="&amp;TODAY())=0,"",_xlfn.MAXIFS('Follow-ups'!$D$6:$D$205,'Follow-ups'!$B$6:$B$205,A96,'Follow-ups'!$D$6:$D$205,"&lt;="&amp;TODAY())))</x:f>
      </x:c>
      <x:c r="V96" s="374" t="str">
        <x:f>IF(A96="","",IF(COUNTIFS('Follow-ups'!$B$6:$B$205,A96,'Follow-ups'!$I$6:$I$205,"Open",'Follow-ups'!$H$6:$H$205,"&gt;0")=0,"",_xlfn.MINIFS('Follow-ups'!$H$6:$H$205,'Follow-ups'!$B$6:$B$205,A96,'Follow-ups'!$I$6:$I$205,"Open",'Follow-ups'!$H$6:$H$205,"&gt;0")))</x:f>
      </x:c>
      <x:c r="W96" s="265" t="str">
        <x:f>IF(A96="","",IF(OR(H96="Converted",H96="Lost"),"Closed lead",IF(H96="On Hold","On hold",IF(ISNUMBER(V96),IF(V96&lt;TODAY(),"Overdue",IF(V96=TODAY(),"Due today","Scheduled")),IF(COUNTIFS('Follow-ups'!$B$6:$B$205,A96,'Follow-ups'!$I$6:$I$205,"Open")&gt;0,"Set task due date","No open task")))))</x:f>
      </x:c>
      <x:c r="X96" s="235"/>
      <x:c r="Y96" s="235"/>
      <x:c r="Z96" s="235"/>
      <x:c r="AA96" s="315" t="str">
        <x:f>IF(A96="","",IF(COUNTIFS($A$6:$A$205,A96)&gt;1,"Duplicate ID",IF(B96="","Add name",IF(AND(C96="",D96=""),"Add phone or email",IF(H96="","Set lead stage",IF(NOT(ISNUMBER(R96)),"Add date added",IF(AND(ISNUMBER(N96),ISNUMBER(O96),N96&gt;O96),"Check budget range",IF(AND(H96="Lost",Y96=""),"Add lost reason",""))))))))</x:f>
      </x:c>
      <x:c r="AB96" s="791"/>
      <x:c r="AC96" s="791"/>
      <x:c r="AD96" s="791"/>
      <x:c r="AE96" s="791"/>
      <x:c r="AF96" s="791"/>
      <x:c r="AG96" s="791"/>
      <x:c r="AH96" s="791"/>
      <x:c r="AI96" s="791"/>
      <x:c r="AJ96" s="791"/>
      <x:c r="AK96" s="791"/>
      <x:c r="AL96" s="793" t="str">
        <x:f>IF($A96="","",IF(OR($H96="Lost",$H96="Converted"),"",IF(OR($C96&lt;&gt;"",$D96&lt;&gt;""),10,0)+IF(AND(ISNUMBER($O96),$O96&gt;0),20,0)+IF($AE96="Yes",15,0)+IF($AF96="Yes",15,IF($AF96="Joint",10,0))+IF(OR($AG96="Immediate",$AG96="0-30 days"),20,IF($AG96="1-3 months",10,0))+IF(OR($AC96="Cash",$AD96="Pre-approved",$AD96="Approved"),10,0)+IF(ISNUMBER($V96),10,0)))</x:f>
      </x:c>
      <x:c r="AM96" s="793" t="str">
        <x:f>IF($A96="","",IF($H96="Lost","Lost",IF($H96="Converted","Converted",IF(NOT(ISNUMBER($AL96)),"",IF($AL96&gt;=75,"Hot",IF($AL96&gt;=45,"Warm","Nurture"))))))</x:f>
      </x:c>
      <x:c r="AN96" s="794"/>
      <x:c r="AO96" s="791"/>
      <x:c r="AP96" s="791"/>
      <x:c r="AQ96" s="794"/>
      <x:c r="AR96" s="794"/>
      <x:c r="AS96" s="791"/>
    </x:row>
    <x:row r="97" ht="26" customHeight="1">
      <x:c r="A97" s="319"/>
      <x:c r="B97" s="320"/>
      <x:c r="C97" s="331"/>
      <x:c r="D97" s="274"/>
      <x:c r="E97" s="274"/>
      <x:c r="F97" s="274"/>
      <x:c r="G97" s="274"/>
      <x:c r="H97" s="274"/>
      <x:c r="I97" s="274"/>
      <x:c r="J97" s="274"/>
      <x:c r="K97" s="274"/>
      <x:c r="L97" s="274"/>
      <x:c r="M97" s="377"/>
      <x:c r="N97" s="302"/>
      <x:c r="O97" s="302"/>
      <x:c r="P97" s="274"/>
      <x:c r="Q97" s="304"/>
      <x:c r="R97" s="304"/>
      <x:c r="S97" s="274"/>
      <x:c r="T97" s="315" t="str">
        <x:f>IF(A97="","",IF(OR(AND(C97&lt;&gt;"",COUNTIFS($C$6:$C$205,C97)&gt;1),AND(D97&lt;&gt;"",COUNTIFS($D$6:$D$205,D97)&gt;1)),"Check duplicate",""))</x:f>
      </x:c>
      <x:c r="U97" s="374" t="str">
        <x:f>IF(A97="","",IF(COUNTIFS('Follow-ups'!$B$6:$B$205,A97,'Follow-ups'!$D$6:$D$205,"&gt;0",'Follow-ups'!$D$6:$D$205,"&lt;="&amp;TODAY())=0,"",_xlfn.MAXIFS('Follow-ups'!$D$6:$D$205,'Follow-ups'!$B$6:$B$205,A97,'Follow-ups'!$D$6:$D$205,"&lt;="&amp;TODAY())))</x:f>
      </x:c>
      <x:c r="V97" s="374" t="str">
        <x:f>IF(A97="","",IF(COUNTIFS('Follow-ups'!$B$6:$B$205,A97,'Follow-ups'!$I$6:$I$205,"Open",'Follow-ups'!$H$6:$H$205,"&gt;0")=0,"",_xlfn.MINIFS('Follow-ups'!$H$6:$H$205,'Follow-ups'!$B$6:$B$205,A97,'Follow-ups'!$I$6:$I$205,"Open",'Follow-ups'!$H$6:$H$205,"&gt;0")))</x:f>
      </x:c>
      <x:c r="W97" s="265" t="str">
        <x:f>IF(A97="","",IF(OR(H97="Converted",H97="Lost"),"Closed lead",IF(H97="On Hold","On hold",IF(ISNUMBER(V97),IF(V97&lt;TODAY(),"Overdue",IF(V97=TODAY(),"Due today","Scheduled")),IF(COUNTIFS('Follow-ups'!$B$6:$B$205,A97,'Follow-ups'!$I$6:$I$205,"Open")&gt;0,"Set task due date","No open task")))))</x:f>
      </x:c>
      <x:c r="X97" s="274"/>
      <x:c r="Y97" s="274"/>
      <x:c r="Z97" s="274"/>
      <x:c r="AA97" s="315" t="str">
        <x:f>IF(A97="","",IF(COUNTIFS($A$6:$A$205,A97)&gt;1,"Duplicate ID",IF(B97="","Add name",IF(AND(C97="",D97=""),"Add phone or email",IF(H97="","Set lead stage",IF(NOT(ISNUMBER(R97)),"Add date added",IF(AND(ISNUMBER(N97),ISNUMBER(O97),N97&gt;O97),"Check budget range",IF(AND(H97="Lost",Y97=""),"Add lost reason",""))))))))</x:f>
      </x:c>
      <x:c r="AB97" s="791"/>
      <x:c r="AC97" s="791"/>
      <x:c r="AD97" s="791"/>
      <x:c r="AE97" s="791"/>
      <x:c r="AF97" s="791"/>
      <x:c r="AG97" s="791"/>
      <x:c r="AH97" s="791"/>
      <x:c r="AI97" s="791"/>
      <x:c r="AJ97" s="791"/>
      <x:c r="AK97" s="791"/>
      <x:c r="AL97" s="793" t="str">
        <x:f>IF($A97="","",IF(OR($H97="Lost",$H97="Converted"),"",IF(OR($C97&lt;&gt;"",$D97&lt;&gt;""),10,0)+IF(AND(ISNUMBER($O97),$O97&gt;0),20,0)+IF($AE97="Yes",15,0)+IF($AF97="Yes",15,IF($AF97="Joint",10,0))+IF(OR($AG97="Immediate",$AG97="0-30 days"),20,IF($AG97="1-3 months",10,0))+IF(OR($AC97="Cash",$AD97="Pre-approved",$AD97="Approved"),10,0)+IF(ISNUMBER($V97),10,0)))</x:f>
      </x:c>
      <x:c r="AM97" s="793" t="str">
        <x:f>IF($A97="","",IF($H97="Lost","Lost",IF($H97="Converted","Converted",IF(NOT(ISNUMBER($AL97)),"",IF($AL97&gt;=75,"Hot",IF($AL97&gt;=45,"Warm","Nurture"))))))</x:f>
      </x:c>
      <x:c r="AN97" s="794"/>
      <x:c r="AO97" s="791"/>
      <x:c r="AP97" s="791"/>
      <x:c r="AQ97" s="794"/>
      <x:c r="AR97" s="794"/>
      <x:c r="AS97" s="791"/>
    </x:row>
    <x:row r="98" ht="26" customHeight="1">
      <x:c r="A98" s="317"/>
      <x:c r="B98" s="318"/>
      <x:c r="C98" s="327"/>
      <x:c r="D98" s="235"/>
      <x:c r="E98" s="235"/>
      <x:c r="F98" s="235"/>
      <x:c r="G98" s="235"/>
      <x:c r="H98" s="235"/>
      <x:c r="I98" s="235"/>
      <x:c r="J98" s="235"/>
      <x:c r="K98" s="235"/>
      <x:c r="L98" s="235"/>
      <x:c r="M98" s="376"/>
      <x:c r="N98" s="236"/>
      <x:c r="O98" s="236"/>
      <x:c r="P98" s="235"/>
      <x:c r="Q98" s="238"/>
      <x:c r="R98" s="238"/>
      <x:c r="S98" s="235"/>
      <x:c r="T98" s="315" t="str">
        <x:f>IF(A98="","",IF(OR(AND(C98&lt;&gt;"",COUNTIFS($C$6:$C$205,C98)&gt;1),AND(D98&lt;&gt;"",COUNTIFS($D$6:$D$205,D98)&gt;1)),"Check duplicate",""))</x:f>
      </x:c>
      <x:c r="U98" s="374" t="str">
        <x:f>IF(A98="","",IF(COUNTIFS('Follow-ups'!$B$6:$B$205,A98,'Follow-ups'!$D$6:$D$205,"&gt;0",'Follow-ups'!$D$6:$D$205,"&lt;="&amp;TODAY())=0,"",_xlfn.MAXIFS('Follow-ups'!$D$6:$D$205,'Follow-ups'!$B$6:$B$205,A98,'Follow-ups'!$D$6:$D$205,"&lt;="&amp;TODAY())))</x:f>
      </x:c>
      <x:c r="V98" s="374" t="str">
        <x:f>IF(A98="","",IF(COUNTIFS('Follow-ups'!$B$6:$B$205,A98,'Follow-ups'!$I$6:$I$205,"Open",'Follow-ups'!$H$6:$H$205,"&gt;0")=0,"",_xlfn.MINIFS('Follow-ups'!$H$6:$H$205,'Follow-ups'!$B$6:$B$205,A98,'Follow-ups'!$I$6:$I$205,"Open",'Follow-ups'!$H$6:$H$205,"&gt;0")))</x:f>
      </x:c>
      <x:c r="W98" s="265" t="str">
        <x:f>IF(A98="","",IF(OR(H98="Converted",H98="Lost"),"Closed lead",IF(H98="On Hold","On hold",IF(ISNUMBER(V98),IF(V98&lt;TODAY(),"Overdue",IF(V98=TODAY(),"Due today","Scheduled")),IF(COUNTIFS('Follow-ups'!$B$6:$B$205,A98,'Follow-ups'!$I$6:$I$205,"Open")&gt;0,"Set task due date","No open task")))))</x:f>
      </x:c>
      <x:c r="X98" s="235"/>
      <x:c r="Y98" s="235"/>
      <x:c r="Z98" s="235"/>
      <x:c r="AA98" s="315" t="str">
        <x:f>IF(A98="","",IF(COUNTIFS($A$6:$A$205,A98)&gt;1,"Duplicate ID",IF(B98="","Add name",IF(AND(C98="",D98=""),"Add phone or email",IF(H98="","Set lead stage",IF(NOT(ISNUMBER(R98)),"Add date added",IF(AND(ISNUMBER(N98),ISNUMBER(O98),N98&gt;O98),"Check budget range",IF(AND(H98="Lost",Y98=""),"Add lost reason",""))))))))</x:f>
      </x:c>
      <x:c r="AB98" s="791"/>
      <x:c r="AC98" s="791"/>
      <x:c r="AD98" s="791"/>
      <x:c r="AE98" s="791"/>
      <x:c r="AF98" s="791"/>
      <x:c r="AG98" s="791"/>
      <x:c r="AH98" s="791"/>
      <x:c r="AI98" s="791"/>
      <x:c r="AJ98" s="791"/>
      <x:c r="AK98" s="791"/>
      <x:c r="AL98" s="793" t="str">
        <x:f>IF($A98="","",IF(OR($H98="Lost",$H98="Converted"),"",IF(OR($C98&lt;&gt;"",$D98&lt;&gt;""),10,0)+IF(AND(ISNUMBER($O98),$O98&gt;0),20,0)+IF($AE98="Yes",15,0)+IF($AF98="Yes",15,IF($AF98="Joint",10,0))+IF(OR($AG98="Immediate",$AG98="0-30 days"),20,IF($AG98="1-3 months",10,0))+IF(OR($AC98="Cash",$AD98="Pre-approved",$AD98="Approved"),10,0)+IF(ISNUMBER($V98),10,0)))</x:f>
      </x:c>
      <x:c r="AM98" s="793" t="str">
        <x:f>IF($A98="","",IF($H98="Lost","Lost",IF($H98="Converted","Converted",IF(NOT(ISNUMBER($AL98)),"",IF($AL98&gt;=75,"Hot",IF($AL98&gt;=45,"Warm","Nurture"))))))</x:f>
      </x:c>
      <x:c r="AN98" s="794"/>
      <x:c r="AO98" s="791"/>
      <x:c r="AP98" s="791"/>
      <x:c r="AQ98" s="794"/>
      <x:c r="AR98" s="794"/>
      <x:c r="AS98" s="791"/>
    </x:row>
    <x:row r="99" ht="26" customHeight="1">
      <x:c r="A99" s="319"/>
      <x:c r="B99" s="320"/>
      <x:c r="C99" s="331"/>
      <x:c r="D99" s="274"/>
      <x:c r="E99" s="274"/>
      <x:c r="F99" s="274"/>
      <x:c r="G99" s="274"/>
      <x:c r="H99" s="274"/>
      <x:c r="I99" s="274"/>
      <x:c r="J99" s="274"/>
      <x:c r="K99" s="274"/>
      <x:c r="L99" s="274"/>
      <x:c r="M99" s="377"/>
      <x:c r="N99" s="302"/>
      <x:c r="O99" s="302"/>
      <x:c r="P99" s="274"/>
      <x:c r="Q99" s="304"/>
      <x:c r="R99" s="304"/>
      <x:c r="S99" s="274"/>
      <x:c r="T99" s="315" t="str">
        <x:f>IF(A99="","",IF(OR(AND(C99&lt;&gt;"",COUNTIFS($C$6:$C$205,C99)&gt;1),AND(D99&lt;&gt;"",COUNTIFS($D$6:$D$205,D99)&gt;1)),"Check duplicate",""))</x:f>
      </x:c>
      <x:c r="U99" s="374" t="str">
        <x:f>IF(A99="","",IF(COUNTIFS('Follow-ups'!$B$6:$B$205,A99,'Follow-ups'!$D$6:$D$205,"&gt;0",'Follow-ups'!$D$6:$D$205,"&lt;="&amp;TODAY())=0,"",_xlfn.MAXIFS('Follow-ups'!$D$6:$D$205,'Follow-ups'!$B$6:$B$205,A99,'Follow-ups'!$D$6:$D$205,"&lt;="&amp;TODAY())))</x:f>
      </x:c>
      <x:c r="V99" s="374" t="str">
        <x:f>IF(A99="","",IF(COUNTIFS('Follow-ups'!$B$6:$B$205,A99,'Follow-ups'!$I$6:$I$205,"Open",'Follow-ups'!$H$6:$H$205,"&gt;0")=0,"",_xlfn.MINIFS('Follow-ups'!$H$6:$H$205,'Follow-ups'!$B$6:$B$205,A99,'Follow-ups'!$I$6:$I$205,"Open",'Follow-ups'!$H$6:$H$205,"&gt;0")))</x:f>
      </x:c>
      <x:c r="W99" s="265" t="str">
        <x:f>IF(A99="","",IF(OR(H99="Converted",H99="Lost"),"Closed lead",IF(H99="On Hold","On hold",IF(ISNUMBER(V99),IF(V99&lt;TODAY(),"Overdue",IF(V99=TODAY(),"Due today","Scheduled")),IF(COUNTIFS('Follow-ups'!$B$6:$B$205,A99,'Follow-ups'!$I$6:$I$205,"Open")&gt;0,"Set task due date","No open task")))))</x:f>
      </x:c>
      <x:c r="X99" s="274"/>
      <x:c r="Y99" s="274"/>
      <x:c r="Z99" s="274"/>
      <x:c r="AA99" s="315" t="str">
        <x:f>IF(A99="","",IF(COUNTIFS($A$6:$A$205,A99)&gt;1,"Duplicate ID",IF(B99="","Add name",IF(AND(C99="",D99=""),"Add phone or email",IF(H99="","Set lead stage",IF(NOT(ISNUMBER(R99)),"Add date added",IF(AND(ISNUMBER(N99),ISNUMBER(O99),N99&gt;O99),"Check budget range",IF(AND(H99="Lost",Y99=""),"Add lost reason",""))))))))</x:f>
      </x:c>
      <x:c r="AB99" s="791"/>
      <x:c r="AC99" s="791"/>
      <x:c r="AD99" s="791"/>
      <x:c r="AE99" s="791"/>
      <x:c r="AF99" s="791"/>
      <x:c r="AG99" s="791"/>
      <x:c r="AH99" s="791"/>
      <x:c r="AI99" s="791"/>
      <x:c r="AJ99" s="791"/>
      <x:c r="AK99" s="791"/>
      <x:c r="AL99" s="793" t="str">
        <x:f>IF($A99="","",IF(OR($H99="Lost",$H99="Converted"),"",IF(OR($C99&lt;&gt;"",$D99&lt;&gt;""),10,0)+IF(AND(ISNUMBER($O99),$O99&gt;0),20,0)+IF($AE99="Yes",15,0)+IF($AF99="Yes",15,IF($AF99="Joint",10,0))+IF(OR($AG99="Immediate",$AG99="0-30 days"),20,IF($AG99="1-3 months",10,0))+IF(OR($AC99="Cash",$AD99="Pre-approved",$AD99="Approved"),10,0)+IF(ISNUMBER($V99),10,0)))</x:f>
      </x:c>
      <x:c r="AM99" s="793" t="str">
        <x:f>IF($A99="","",IF($H99="Lost","Lost",IF($H99="Converted","Converted",IF(NOT(ISNUMBER($AL99)),"",IF($AL99&gt;=75,"Hot",IF($AL99&gt;=45,"Warm","Nurture"))))))</x:f>
      </x:c>
      <x:c r="AN99" s="794"/>
      <x:c r="AO99" s="791"/>
      <x:c r="AP99" s="791"/>
      <x:c r="AQ99" s="794"/>
      <x:c r="AR99" s="794"/>
      <x:c r="AS99" s="791"/>
    </x:row>
    <x:row r="100" ht="26" customHeight="1">
      <x:c r="A100" s="317"/>
      <x:c r="B100" s="318"/>
      <x:c r="C100" s="327"/>
      <x:c r="D100" s="235"/>
      <x:c r="E100" s="235"/>
      <x:c r="F100" s="235"/>
      <x:c r="G100" s="235"/>
      <x:c r="H100" s="235"/>
      <x:c r="I100" s="235"/>
      <x:c r="J100" s="235"/>
      <x:c r="K100" s="235"/>
      <x:c r="L100" s="235"/>
      <x:c r="M100" s="376"/>
      <x:c r="N100" s="236"/>
      <x:c r="O100" s="236"/>
      <x:c r="P100" s="235"/>
      <x:c r="Q100" s="238"/>
      <x:c r="R100" s="238"/>
      <x:c r="S100" s="235"/>
      <x:c r="T100" s="315" t="str">
        <x:f>IF(A100="","",IF(OR(AND(C100&lt;&gt;"",COUNTIFS($C$6:$C$205,C100)&gt;1),AND(D100&lt;&gt;"",COUNTIFS($D$6:$D$205,D100)&gt;1)),"Check duplicate",""))</x:f>
      </x:c>
      <x:c r="U100" s="374" t="str">
        <x:f>IF(A100="","",IF(COUNTIFS('Follow-ups'!$B$6:$B$205,A100,'Follow-ups'!$D$6:$D$205,"&gt;0",'Follow-ups'!$D$6:$D$205,"&lt;="&amp;TODAY())=0,"",_xlfn.MAXIFS('Follow-ups'!$D$6:$D$205,'Follow-ups'!$B$6:$B$205,A100,'Follow-ups'!$D$6:$D$205,"&lt;="&amp;TODAY())))</x:f>
      </x:c>
      <x:c r="V100" s="374" t="str">
        <x:f>IF(A100="","",IF(COUNTIFS('Follow-ups'!$B$6:$B$205,A100,'Follow-ups'!$I$6:$I$205,"Open",'Follow-ups'!$H$6:$H$205,"&gt;0")=0,"",_xlfn.MINIFS('Follow-ups'!$H$6:$H$205,'Follow-ups'!$B$6:$B$205,A100,'Follow-ups'!$I$6:$I$205,"Open",'Follow-ups'!$H$6:$H$205,"&gt;0")))</x:f>
      </x:c>
      <x:c r="W100" s="265" t="str">
        <x:f>IF(A100="","",IF(OR(H100="Converted",H100="Lost"),"Closed lead",IF(H100="On Hold","On hold",IF(ISNUMBER(V100),IF(V100&lt;TODAY(),"Overdue",IF(V100=TODAY(),"Due today","Scheduled")),IF(COUNTIFS('Follow-ups'!$B$6:$B$205,A100,'Follow-ups'!$I$6:$I$205,"Open")&gt;0,"Set task due date","No open task")))))</x:f>
      </x:c>
      <x:c r="X100" s="235"/>
      <x:c r="Y100" s="235"/>
      <x:c r="Z100" s="235"/>
      <x:c r="AA100" s="315" t="str">
        <x:f>IF(A100="","",IF(COUNTIFS($A$6:$A$205,A100)&gt;1,"Duplicate ID",IF(B100="","Add name",IF(AND(C100="",D100=""),"Add phone or email",IF(H100="","Set lead stage",IF(NOT(ISNUMBER(R100)),"Add date added",IF(AND(ISNUMBER(N100),ISNUMBER(O100),N100&gt;O100),"Check budget range",IF(AND(H100="Lost",Y100=""),"Add lost reason",""))))))))</x:f>
      </x:c>
      <x:c r="AB100" s="791"/>
      <x:c r="AC100" s="791"/>
      <x:c r="AD100" s="791"/>
      <x:c r="AE100" s="791"/>
      <x:c r="AF100" s="791"/>
      <x:c r="AG100" s="791"/>
      <x:c r="AH100" s="791"/>
      <x:c r="AI100" s="791"/>
      <x:c r="AJ100" s="791"/>
      <x:c r="AK100" s="791"/>
      <x:c r="AL100" s="793" t="str">
        <x:f>IF($A100="","",IF(OR($H100="Lost",$H100="Converted"),"",IF(OR($C100&lt;&gt;"",$D100&lt;&gt;""),10,0)+IF(AND(ISNUMBER($O100),$O100&gt;0),20,0)+IF($AE100="Yes",15,0)+IF($AF100="Yes",15,IF($AF100="Joint",10,0))+IF(OR($AG100="Immediate",$AG100="0-30 days"),20,IF($AG100="1-3 months",10,0))+IF(OR($AC100="Cash",$AD100="Pre-approved",$AD100="Approved"),10,0)+IF(ISNUMBER($V100),10,0)))</x:f>
      </x:c>
      <x:c r="AM100" s="793" t="str">
        <x:f>IF($A100="","",IF($H100="Lost","Lost",IF($H100="Converted","Converted",IF(NOT(ISNUMBER($AL100)),"",IF($AL100&gt;=75,"Hot",IF($AL100&gt;=45,"Warm","Nurture"))))))</x:f>
      </x:c>
      <x:c r="AN100" s="794"/>
      <x:c r="AO100" s="791"/>
      <x:c r="AP100" s="791"/>
      <x:c r="AQ100" s="794"/>
      <x:c r="AR100" s="794"/>
      <x:c r="AS100" s="791"/>
    </x:row>
    <x:row r="101" ht="26" customHeight="1">
      <x:c r="A101" s="319"/>
      <x:c r="B101" s="320"/>
      <x:c r="C101" s="331"/>
      <x:c r="D101" s="274"/>
      <x:c r="E101" s="274"/>
      <x:c r="F101" s="274"/>
      <x:c r="G101" s="274"/>
      <x:c r="H101" s="274"/>
      <x:c r="I101" s="274"/>
      <x:c r="J101" s="274"/>
      <x:c r="K101" s="274"/>
      <x:c r="L101" s="274"/>
      <x:c r="M101" s="377"/>
      <x:c r="N101" s="302"/>
      <x:c r="O101" s="302"/>
      <x:c r="P101" s="274"/>
      <x:c r="Q101" s="304"/>
      <x:c r="R101" s="304"/>
      <x:c r="S101" s="274"/>
      <x:c r="T101" s="315" t="str">
        <x:f>IF(A101="","",IF(OR(AND(C101&lt;&gt;"",COUNTIFS($C$6:$C$205,C101)&gt;1),AND(D101&lt;&gt;"",COUNTIFS($D$6:$D$205,D101)&gt;1)),"Check duplicate",""))</x:f>
      </x:c>
      <x:c r="U101" s="374" t="str">
        <x:f>IF(A101="","",IF(COUNTIFS('Follow-ups'!$B$6:$B$205,A101,'Follow-ups'!$D$6:$D$205,"&gt;0",'Follow-ups'!$D$6:$D$205,"&lt;="&amp;TODAY())=0,"",_xlfn.MAXIFS('Follow-ups'!$D$6:$D$205,'Follow-ups'!$B$6:$B$205,A101,'Follow-ups'!$D$6:$D$205,"&lt;="&amp;TODAY())))</x:f>
      </x:c>
      <x:c r="V101" s="374" t="str">
        <x:f>IF(A101="","",IF(COUNTIFS('Follow-ups'!$B$6:$B$205,A101,'Follow-ups'!$I$6:$I$205,"Open",'Follow-ups'!$H$6:$H$205,"&gt;0")=0,"",_xlfn.MINIFS('Follow-ups'!$H$6:$H$205,'Follow-ups'!$B$6:$B$205,A101,'Follow-ups'!$I$6:$I$205,"Open",'Follow-ups'!$H$6:$H$205,"&gt;0")))</x:f>
      </x:c>
      <x:c r="W101" s="265" t="str">
        <x:f>IF(A101="","",IF(OR(H101="Converted",H101="Lost"),"Closed lead",IF(H101="On Hold","On hold",IF(ISNUMBER(V101),IF(V101&lt;TODAY(),"Overdue",IF(V101=TODAY(),"Due today","Scheduled")),IF(COUNTIFS('Follow-ups'!$B$6:$B$205,A101,'Follow-ups'!$I$6:$I$205,"Open")&gt;0,"Set task due date","No open task")))))</x:f>
      </x:c>
      <x:c r="X101" s="274"/>
      <x:c r="Y101" s="274"/>
      <x:c r="Z101" s="274"/>
      <x:c r="AA101" s="315" t="str">
        <x:f>IF(A101="","",IF(COUNTIFS($A$6:$A$205,A101)&gt;1,"Duplicate ID",IF(B101="","Add name",IF(AND(C101="",D101=""),"Add phone or email",IF(H101="","Set lead stage",IF(NOT(ISNUMBER(R101)),"Add date added",IF(AND(ISNUMBER(N101),ISNUMBER(O101),N101&gt;O101),"Check budget range",IF(AND(H101="Lost",Y101=""),"Add lost reason",""))))))))</x:f>
      </x:c>
      <x:c r="AB101" s="791"/>
      <x:c r="AC101" s="791"/>
      <x:c r="AD101" s="791"/>
      <x:c r="AE101" s="791"/>
      <x:c r="AF101" s="791"/>
      <x:c r="AG101" s="791"/>
      <x:c r="AH101" s="791"/>
      <x:c r="AI101" s="791"/>
      <x:c r="AJ101" s="791"/>
      <x:c r="AK101" s="791"/>
      <x:c r="AL101" s="793" t="str">
        <x:f>IF($A101="","",IF(OR($H101="Lost",$H101="Converted"),"",IF(OR($C101&lt;&gt;"",$D101&lt;&gt;""),10,0)+IF(AND(ISNUMBER($O101),$O101&gt;0),20,0)+IF($AE101="Yes",15,0)+IF($AF101="Yes",15,IF($AF101="Joint",10,0))+IF(OR($AG101="Immediate",$AG101="0-30 days"),20,IF($AG101="1-3 months",10,0))+IF(OR($AC101="Cash",$AD101="Pre-approved",$AD101="Approved"),10,0)+IF(ISNUMBER($V101),10,0)))</x:f>
      </x:c>
      <x:c r="AM101" s="793" t="str">
        <x:f>IF($A101="","",IF($H101="Lost","Lost",IF($H101="Converted","Converted",IF(NOT(ISNUMBER($AL101)),"",IF($AL101&gt;=75,"Hot",IF($AL101&gt;=45,"Warm","Nurture"))))))</x:f>
      </x:c>
      <x:c r="AN101" s="794"/>
      <x:c r="AO101" s="791"/>
      <x:c r="AP101" s="791"/>
      <x:c r="AQ101" s="794"/>
      <x:c r="AR101" s="794"/>
      <x:c r="AS101" s="791"/>
    </x:row>
    <x:row r="102" ht="26" customHeight="1">
      <x:c r="A102" s="317"/>
      <x:c r="B102" s="318"/>
      <x:c r="C102" s="327"/>
      <x:c r="D102" s="235"/>
      <x:c r="E102" s="235"/>
      <x:c r="F102" s="235"/>
      <x:c r="G102" s="235"/>
      <x:c r="H102" s="235"/>
      <x:c r="I102" s="235"/>
      <x:c r="J102" s="235"/>
      <x:c r="K102" s="235"/>
      <x:c r="L102" s="235"/>
      <x:c r="M102" s="376"/>
      <x:c r="N102" s="236"/>
      <x:c r="O102" s="236"/>
      <x:c r="P102" s="235"/>
      <x:c r="Q102" s="238"/>
      <x:c r="R102" s="238"/>
      <x:c r="S102" s="235"/>
      <x:c r="T102" s="315" t="str">
        <x:f>IF(A102="","",IF(OR(AND(C102&lt;&gt;"",COUNTIFS($C$6:$C$205,C102)&gt;1),AND(D102&lt;&gt;"",COUNTIFS($D$6:$D$205,D102)&gt;1)),"Check duplicate",""))</x:f>
      </x:c>
      <x:c r="U102" s="374" t="str">
        <x:f>IF(A102="","",IF(COUNTIFS('Follow-ups'!$B$6:$B$205,A102,'Follow-ups'!$D$6:$D$205,"&gt;0",'Follow-ups'!$D$6:$D$205,"&lt;="&amp;TODAY())=0,"",_xlfn.MAXIFS('Follow-ups'!$D$6:$D$205,'Follow-ups'!$B$6:$B$205,A102,'Follow-ups'!$D$6:$D$205,"&lt;="&amp;TODAY())))</x:f>
      </x:c>
      <x:c r="V102" s="374" t="str">
        <x:f>IF(A102="","",IF(COUNTIFS('Follow-ups'!$B$6:$B$205,A102,'Follow-ups'!$I$6:$I$205,"Open",'Follow-ups'!$H$6:$H$205,"&gt;0")=0,"",_xlfn.MINIFS('Follow-ups'!$H$6:$H$205,'Follow-ups'!$B$6:$B$205,A102,'Follow-ups'!$I$6:$I$205,"Open",'Follow-ups'!$H$6:$H$205,"&gt;0")))</x:f>
      </x:c>
      <x:c r="W102" s="265" t="str">
        <x:f>IF(A102="","",IF(OR(H102="Converted",H102="Lost"),"Closed lead",IF(H102="On Hold","On hold",IF(ISNUMBER(V102),IF(V102&lt;TODAY(),"Overdue",IF(V102=TODAY(),"Due today","Scheduled")),IF(COUNTIFS('Follow-ups'!$B$6:$B$205,A102,'Follow-ups'!$I$6:$I$205,"Open")&gt;0,"Set task due date","No open task")))))</x:f>
      </x:c>
      <x:c r="X102" s="235"/>
      <x:c r="Y102" s="235"/>
      <x:c r="Z102" s="235"/>
      <x:c r="AA102" s="315" t="str">
        <x:f>IF(A102="","",IF(COUNTIFS($A$6:$A$205,A102)&gt;1,"Duplicate ID",IF(B102="","Add name",IF(AND(C102="",D102=""),"Add phone or email",IF(H102="","Set lead stage",IF(NOT(ISNUMBER(R102)),"Add date added",IF(AND(ISNUMBER(N102),ISNUMBER(O102),N102&gt;O102),"Check budget range",IF(AND(H102="Lost",Y102=""),"Add lost reason",""))))))))</x:f>
      </x:c>
      <x:c r="AB102" s="791"/>
      <x:c r="AC102" s="791"/>
      <x:c r="AD102" s="791"/>
      <x:c r="AE102" s="791"/>
      <x:c r="AF102" s="791"/>
      <x:c r="AG102" s="791"/>
      <x:c r="AH102" s="791"/>
      <x:c r="AI102" s="791"/>
      <x:c r="AJ102" s="791"/>
      <x:c r="AK102" s="791"/>
      <x:c r="AL102" s="793" t="str">
        <x:f>IF($A102="","",IF(OR($H102="Lost",$H102="Converted"),"",IF(OR($C102&lt;&gt;"",$D102&lt;&gt;""),10,0)+IF(AND(ISNUMBER($O102),$O102&gt;0),20,0)+IF($AE102="Yes",15,0)+IF($AF102="Yes",15,IF($AF102="Joint",10,0))+IF(OR($AG102="Immediate",$AG102="0-30 days"),20,IF($AG102="1-3 months",10,0))+IF(OR($AC102="Cash",$AD102="Pre-approved",$AD102="Approved"),10,0)+IF(ISNUMBER($V102),10,0)))</x:f>
      </x:c>
      <x:c r="AM102" s="793" t="str">
        <x:f>IF($A102="","",IF($H102="Lost","Lost",IF($H102="Converted","Converted",IF(NOT(ISNUMBER($AL102)),"",IF($AL102&gt;=75,"Hot",IF($AL102&gt;=45,"Warm","Nurture"))))))</x:f>
      </x:c>
      <x:c r="AN102" s="794"/>
      <x:c r="AO102" s="791"/>
      <x:c r="AP102" s="791"/>
      <x:c r="AQ102" s="794"/>
      <x:c r="AR102" s="794"/>
      <x:c r="AS102" s="791"/>
    </x:row>
    <x:row r="103" ht="26" customHeight="1">
      <x:c r="A103" s="319"/>
      <x:c r="B103" s="320"/>
      <x:c r="C103" s="331"/>
      <x:c r="D103" s="274"/>
      <x:c r="E103" s="274"/>
      <x:c r="F103" s="274"/>
      <x:c r="G103" s="274"/>
      <x:c r="H103" s="274"/>
      <x:c r="I103" s="274"/>
      <x:c r="J103" s="274"/>
      <x:c r="K103" s="274"/>
      <x:c r="L103" s="274"/>
      <x:c r="M103" s="377"/>
      <x:c r="N103" s="302"/>
      <x:c r="O103" s="302"/>
      <x:c r="P103" s="274"/>
      <x:c r="Q103" s="304"/>
      <x:c r="R103" s="304"/>
      <x:c r="S103" s="274"/>
      <x:c r="T103" s="315" t="str">
        <x:f>IF(A103="","",IF(OR(AND(C103&lt;&gt;"",COUNTIFS($C$6:$C$205,C103)&gt;1),AND(D103&lt;&gt;"",COUNTIFS($D$6:$D$205,D103)&gt;1)),"Check duplicate",""))</x:f>
      </x:c>
      <x:c r="U103" s="374" t="str">
        <x:f>IF(A103="","",IF(COUNTIFS('Follow-ups'!$B$6:$B$205,A103,'Follow-ups'!$D$6:$D$205,"&gt;0",'Follow-ups'!$D$6:$D$205,"&lt;="&amp;TODAY())=0,"",_xlfn.MAXIFS('Follow-ups'!$D$6:$D$205,'Follow-ups'!$B$6:$B$205,A103,'Follow-ups'!$D$6:$D$205,"&lt;="&amp;TODAY())))</x:f>
      </x:c>
      <x:c r="V103" s="374" t="str">
        <x:f>IF(A103="","",IF(COUNTIFS('Follow-ups'!$B$6:$B$205,A103,'Follow-ups'!$I$6:$I$205,"Open",'Follow-ups'!$H$6:$H$205,"&gt;0")=0,"",_xlfn.MINIFS('Follow-ups'!$H$6:$H$205,'Follow-ups'!$B$6:$B$205,A103,'Follow-ups'!$I$6:$I$205,"Open",'Follow-ups'!$H$6:$H$205,"&gt;0")))</x:f>
      </x:c>
      <x:c r="W103" s="265" t="str">
        <x:f>IF(A103="","",IF(OR(H103="Converted",H103="Lost"),"Closed lead",IF(H103="On Hold","On hold",IF(ISNUMBER(V103),IF(V103&lt;TODAY(),"Overdue",IF(V103=TODAY(),"Due today","Scheduled")),IF(COUNTIFS('Follow-ups'!$B$6:$B$205,A103,'Follow-ups'!$I$6:$I$205,"Open")&gt;0,"Set task due date","No open task")))))</x:f>
      </x:c>
      <x:c r="X103" s="274"/>
      <x:c r="Y103" s="274"/>
      <x:c r="Z103" s="274"/>
      <x:c r="AA103" s="315" t="str">
        <x:f>IF(A103="","",IF(COUNTIFS($A$6:$A$205,A103)&gt;1,"Duplicate ID",IF(B103="","Add name",IF(AND(C103="",D103=""),"Add phone or email",IF(H103="","Set lead stage",IF(NOT(ISNUMBER(R103)),"Add date added",IF(AND(ISNUMBER(N103),ISNUMBER(O103),N103&gt;O103),"Check budget range",IF(AND(H103="Lost",Y103=""),"Add lost reason",""))))))))</x:f>
      </x:c>
      <x:c r="AB103" s="791"/>
      <x:c r="AC103" s="791"/>
      <x:c r="AD103" s="791"/>
      <x:c r="AE103" s="791"/>
      <x:c r="AF103" s="791"/>
      <x:c r="AG103" s="791"/>
      <x:c r="AH103" s="791"/>
      <x:c r="AI103" s="791"/>
      <x:c r="AJ103" s="791"/>
      <x:c r="AK103" s="791"/>
      <x:c r="AL103" s="793" t="str">
        <x:f>IF($A103="","",IF(OR($H103="Lost",$H103="Converted"),"",IF(OR($C103&lt;&gt;"",$D103&lt;&gt;""),10,0)+IF(AND(ISNUMBER($O103),$O103&gt;0),20,0)+IF($AE103="Yes",15,0)+IF($AF103="Yes",15,IF($AF103="Joint",10,0))+IF(OR($AG103="Immediate",$AG103="0-30 days"),20,IF($AG103="1-3 months",10,0))+IF(OR($AC103="Cash",$AD103="Pre-approved",$AD103="Approved"),10,0)+IF(ISNUMBER($V103),10,0)))</x:f>
      </x:c>
      <x:c r="AM103" s="793" t="str">
        <x:f>IF($A103="","",IF($H103="Lost","Lost",IF($H103="Converted","Converted",IF(NOT(ISNUMBER($AL103)),"",IF($AL103&gt;=75,"Hot",IF($AL103&gt;=45,"Warm","Nurture"))))))</x:f>
      </x:c>
      <x:c r="AN103" s="794"/>
      <x:c r="AO103" s="791"/>
      <x:c r="AP103" s="791"/>
      <x:c r="AQ103" s="794"/>
      <x:c r="AR103" s="794"/>
      <x:c r="AS103" s="791"/>
    </x:row>
    <x:row r="104" ht="26" customHeight="1">
      <x:c r="A104" s="317"/>
      <x:c r="B104" s="318"/>
      <x:c r="C104" s="327"/>
      <x:c r="D104" s="235"/>
      <x:c r="E104" s="235"/>
      <x:c r="F104" s="235"/>
      <x:c r="G104" s="235"/>
      <x:c r="H104" s="235"/>
      <x:c r="I104" s="235"/>
      <x:c r="J104" s="235"/>
      <x:c r="K104" s="235"/>
      <x:c r="L104" s="235"/>
      <x:c r="M104" s="376"/>
      <x:c r="N104" s="236"/>
      <x:c r="O104" s="236"/>
      <x:c r="P104" s="235"/>
      <x:c r="Q104" s="238"/>
      <x:c r="R104" s="238"/>
      <x:c r="S104" s="235"/>
      <x:c r="T104" s="315" t="str">
        <x:f>IF(A104="","",IF(OR(AND(C104&lt;&gt;"",COUNTIFS($C$6:$C$205,C104)&gt;1),AND(D104&lt;&gt;"",COUNTIFS($D$6:$D$205,D104)&gt;1)),"Check duplicate",""))</x:f>
      </x:c>
      <x:c r="U104" s="374" t="str">
        <x:f>IF(A104="","",IF(COUNTIFS('Follow-ups'!$B$6:$B$205,A104,'Follow-ups'!$D$6:$D$205,"&gt;0",'Follow-ups'!$D$6:$D$205,"&lt;="&amp;TODAY())=0,"",_xlfn.MAXIFS('Follow-ups'!$D$6:$D$205,'Follow-ups'!$B$6:$B$205,A104,'Follow-ups'!$D$6:$D$205,"&lt;="&amp;TODAY())))</x:f>
      </x:c>
      <x:c r="V104" s="374" t="str">
        <x:f>IF(A104="","",IF(COUNTIFS('Follow-ups'!$B$6:$B$205,A104,'Follow-ups'!$I$6:$I$205,"Open",'Follow-ups'!$H$6:$H$205,"&gt;0")=0,"",_xlfn.MINIFS('Follow-ups'!$H$6:$H$205,'Follow-ups'!$B$6:$B$205,A104,'Follow-ups'!$I$6:$I$205,"Open",'Follow-ups'!$H$6:$H$205,"&gt;0")))</x:f>
      </x:c>
      <x:c r="W104" s="265" t="str">
        <x:f>IF(A104="","",IF(OR(H104="Converted",H104="Lost"),"Closed lead",IF(H104="On Hold","On hold",IF(ISNUMBER(V104),IF(V104&lt;TODAY(),"Overdue",IF(V104=TODAY(),"Due today","Scheduled")),IF(COUNTIFS('Follow-ups'!$B$6:$B$205,A104,'Follow-ups'!$I$6:$I$205,"Open")&gt;0,"Set task due date","No open task")))))</x:f>
      </x:c>
      <x:c r="X104" s="235"/>
      <x:c r="Y104" s="235"/>
      <x:c r="Z104" s="235"/>
      <x:c r="AA104" s="315" t="str">
        <x:f>IF(A104="","",IF(COUNTIFS($A$6:$A$205,A104)&gt;1,"Duplicate ID",IF(B104="","Add name",IF(AND(C104="",D104=""),"Add phone or email",IF(H104="","Set lead stage",IF(NOT(ISNUMBER(R104)),"Add date added",IF(AND(ISNUMBER(N104),ISNUMBER(O104),N104&gt;O104),"Check budget range",IF(AND(H104="Lost",Y104=""),"Add lost reason",""))))))))</x:f>
      </x:c>
      <x:c r="AB104" s="791"/>
      <x:c r="AC104" s="791"/>
      <x:c r="AD104" s="791"/>
      <x:c r="AE104" s="791"/>
      <x:c r="AF104" s="791"/>
      <x:c r="AG104" s="791"/>
      <x:c r="AH104" s="791"/>
      <x:c r="AI104" s="791"/>
      <x:c r="AJ104" s="791"/>
      <x:c r="AK104" s="791"/>
      <x:c r="AL104" s="793" t="str">
        <x:f>IF($A104="","",IF(OR($H104="Lost",$H104="Converted"),"",IF(OR($C104&lt;&gt;"",$D104&lt;&gt;""),10,0)+IF(AND(ISNUMBER($O104),$O104&gt;0),20,0)+IF($AE104="Yes",15,0)+IF($AF104="Yes",15,IF($AF104="Joint",10,0))+IF(OR($AG104="Immediate",$AG104="0-30 days"),20,IF($AG104="1-3 months",10,0))+IF(OR($AC104="Cash",$AD104="Pre-approved",$AD104="Approved"),10,0)+IF(ISNUMBER($V104),10,0)))</x:f>
      </x:c>
      <x:c r="AM104" s="793" t="str">
        <x:f>IF($A104="","",IF($H104="Lost","Lost",IF($H104="Converted","Converted",IF(NOT(ISNUMBER($AL104)),"",IF($AL104&gt;=75,"Hot",IF($AL104&gt;=45,"Warm","Nurture"))))))</x:f>
      </x:c>
      <x:c r="AN104" s="794"/>
      <x:c r="AO104" s="791"/>
      <x:c r="AP104" s="791"/>
      <x:c r="AQ104" s="794"/>
      <x:c r="AR104" s="794"/>
      <x:c r="AS104" s="791"/>
    </x:row>
    <x:row r="105" ht="26" customHeight="1">
      <x:c r="A105" s="319"/>
      <x:c r="B105" s="320"/>
      <x:c r="C105" s="331"/>
      <x:c r="D105" s="274"/>
      <x:c r="E105" s="274"/>
      <x:c r="F105" s="274"/>
      <x:c r="G105" s="274"/>
      <x:c r="H105" s="274"/>
      <x:c r="I105" s="274"/>
      <x:c r="J105" s="274"/>
      <x:c r="K105" s="274"/>
      <x:c r="L105" s="274"/>
      <x:c r="M105" s="377"/>
      <x:c r="N105" s="302"/>
      <x:c r="O105" s="302"/>
      <x:c r="P105" s="274"/>
      <x:c r="Q105" s="304"/>
      <x:c r="R105" s="304"/>
      <x:c r="S105" s="274"/>
      <x:c r="T105" s="315" t="str">
        <x:f>IF(A105="","",IF(OR(AND(C105&lt;&gt;"",COUNTIFS($C$6:$C$205,C105)&gt;1),AND(D105&lt;&gt;"",COUNTIFS($D$6:$D$205,D105)&gt;1)),"Check duplicate",""))</x:f>
      </x:c>
      <x:c r="U105" s="374" t="str">
        <x:f>IF(A105="","",IF(COUNTIFS('Follow-ups'!$B$6:$B$205,A105,'Follow-ups'!$D$6:$D$205,"&gt;0",'Follow-ups'!$D$6:$D$205,"&lt;="&amp;TODAY())=0,"",_xlfn.MAXIFS('Follow-ups'!$D$6:$D$205,'Follow-ups'!$B$6:$B$205,A105,'Follow-ups'!$D$6:$D$205,"&lt;="&amp;TODAY())))</x:f>
      </x:c>
      <x:c r="V105" s="374" t="str">
        <x:f>IF(A105="","",IF(COUNTIFS('Follow-ups'!$B$6:$B$205,A105,'Follow-ups'!$I$6:$I$205,"Open",'Follow-ups'!$H$6:$H$205,"&gt;0")=0,"",_xlfn.MINIFS('Follow-ups'!$H$6:$H$205,'Follow-ups'!$B$6:$B$205,A105,'Follow-ups'!$I$6:$I$205,"Open",'Follow-ups'!$H$6:$H$205,"&gt;0")))</x:f>
      </x:c>
      <x:c r="W105" s="265" t="str">
        <x:f>IF(A105="","",IF(OR(H105="Converted",H105="Lost"),"Closed lead",IF(H105="On Hold","On hold",IF(ISNUMBER(V105),IF(V105&lt;TODAY(),"Overdue",IF(V105=TODAY(),"Due today","Scheduled")),IF(COUNTIFS('Follow-ups'!$B$6:$B$205,A105,'Follow-ups'!$I$6:$I$205,"Open")&gt;0,"Set task due date","No open task")))))</x:f>
      </x:c>
      <x:c r="X105" s="274"/>
      <x:c r="Y105" s="274"/>
      <x:c r="Z105" s="274"/>
      <x:c r="AA105" s="315" t="str">
        <x:f>IF(A105="","",IF(COUNTIFS($A$6:$A$205,A105)&gt;1,"Duplicate ID",IF(B105="","Add name",IF(AND(C105="",D105=""),"Add phone or email",IF(H105="","Set lead stage",IF(NOT(ISNUMBER(R105)),"Add date added",IF(AND(ISNUMBER(N105),ISNUMBER(O105),N105&gt;O105),"Check budget range",IF(AND(H105="Lost",Y105=""),"Add lost reason",""))))))))</x:f>
      </x:c>
      <x:c r="AB105" s="791"/>
      <x:c r="AC105" s="791"/>
      <x:c r="AD105" s="791"/>
      <x:c r="AE105" s="791"/>
      <x:c r="AF105" s="791"/>
      <x:c r="AG105" s="791"/>
      <x:c r="AH105" s="791"/>
      <x:c r="AI105" s="791"/>
      <x:c r="AJ105" s="791"/>
      <x:c r="AK105" s="791"/>
      <x:c r="AL105" s="793" t="str">
        <x:f>IF($A105="","",IF(OR($H105="Lost",$H105="Converted"),"",IF(OR($C105&lt;&gt;"",$D105&lt;&gt;""),10,0)+IF(AND(ISNUMBER($O105),$O105&gt;0),20,0)+IF($AE105="Yes",15,0)+IF($AF105="Yes",15,IF($AF105="Joint",10,0))+IF(OR($AG105="Immediate",$AG105="0-30 days"),20,IF($AG105="1-3 months",10,0))+IF(OR($AC105="Cash",$AD105="Pre-approved",$AD105="Approved"),10,0)+IF(ISNUMBER($V105),10,0)))</x:f>
      </x:c>
      <x:c r="AM105" s="793" t="str">
        <x:f>IF($A105="","",IF($H105="Lost","Lost",IF($H105="Converted","Converted",IF(NOT(ISNUMBER($AL105)),"",IF($AL105&gt;=75,"Hot",IF($AL105&gt;=45,"Warm","Nurture"))))))</x:f>
      </x:c>
      <x:c r="AN105" s="794"/>
      <x:c r="AO105" s="791"/>
      <x:c r="AP105" s="791"/>
      <x:c r="AQ105" s="794"/>
      <x:c r="AR105" s="794"/>
      <x:c r="AS105" s="791"/>
    </x:row>
    <x:row r="106" ht="26" customHeight="1">
      <x:c r="A106" s="317"/>
      <x:c r="B106" s="318"/>
      <x:c r="C106" s="327"/>
      <x:c r="D106" s="235"/>
      <x:c r="E106" s="235"/>
      <x:c r="F106" s="235"/>
      <x:c r="G106" s="235"/>
      <x:c r="H106" s="235"/>
      <x:c r="I106" s="235"/>
      <x:c r="J106" s="235"/>
      <x:c r="K106" s="235"/>
      <x:c r="L106" s="235"/>
      <x:c r="M106" s="376"/>
      <x:c r="N106" s="236"/>
      <x:c r="O106" s="236"/>
      <x:c r="P106" s="235"/>
      <x:c r="Q106" s="238"/>
      <x:c r="R106" s="238"/>
      <x:c r="S106" s="235"/>
      <x:c r="T106" s="315" t="str">
        <x:f>IF(A106="","",IF(OR(AND(C106&lt;&gt;"",COUNTIFS($C$6:$C$205,C106)&gt;1),AND(D106&lt;&gt;"",COUNTIFS($D$6:$D$205,D106)&gt;1)),"Check duplicate",""))</x:f>
      </x:c>
      <x:c r="U106" s="374" t="str">
        <x:f>IF(A106="","",IF(COUNTIFS('Follow-ups'!$B$6:$B$205,A106,'Follow-ups'!$D$6:$D$205,"&gt;0",'Follow-ups'!$D$6:$D$205,"&lt;="&amp;TODAY())=0,"",_xlfn.MAXIFS('Follow-ups'!$D$6:$D$205,'Follow-ups'!$B$6:$B$205,A106,'Follow-ups'!$D$6:$D$205,"&lt;="&amp;TODAY())))</x:f>
      </x:c>
      <x:c r="V106" s="374" t="str">
        <x:f>IF(A106="","",IF(COUNTIFS('Follow-ups'!$B$6:$B$205,A106,'Follow-ups'!$I$6:$I$205,"Open",'Follow-ups'!$H$6:$H$205,"&gt;0")=0,"",_xlfn.MINIFS('Follow-ups'!$H$6:$H$205,'Follow-ups'!$B$6:$B$205,A106,'Follow-ups'!$I$6:$I$205,"Open",'Follow-ups'!$H$6:$H$205,"&gt;0")))</x:f>
      </x:c>
      <x:c r="W106" s="265" t="str">
        <x:f>IF(A106="","",IF(OR(H106="Converted",H106="Lost"),"Closed lead",IF(H106="On Hold","On hold",IF(ISNUMBER(V106),IF(V106&lt;TODAY(),"Overdue",IF(V106=TODAY(),"Due today","Scheduled")),IF(COUNTIFS('Follow-ups'!$B$6:$B$205,A106,'Follow-ups'!$I$6:$I$205,"Open")&gt;0,"Set task due date","No open task")))))</x:f>
      </x:c>
      <x:c r="X106" s="235"/>
      <x:c r="Y106" s="235"/>
      <x:c r="Z106" s="235"/>
      <x:c r="AA106" s="315" t="str">
        <x:f>IF(A106="","",IF(COUNTIFS($A$6:$A$205,A106)&gt;1,"Duplicate ID",IF(B106="","Add name",IF(AND(C106="",D106=""),"Add phone or email",IF(H106="","Set lead stage",IF(NOT(ISNUMBER(R106)),"Add date added",IF(AND(ISNUMBER(N106),ISNUMBER(O106),N106&gt;O106),"Check budget range",IF(AND(H106="Lost",Y106=""),"Add lost reason",""))))))))</x:f>
      </x:c>
      <x:c r="AB106" s="791"/>
      <x:c r="AC106" s="791"/>
      <x:c r="AD106" s="791"/>
      <x:c r="AE106" s="791"/>
      <x:c r="AF106" s="791"/>
      <x:c r="AG106" s="791"/>
      <x:c r="AH106" s="791"/>
      <x:c r="AI106" s="791"/>
      <x:c r="AJ106" s="791"/>
      <x:c r="AK106" s="791"/>
      <x:c r="AL106" s="793" t="str">
        <x:f>IF($A106="","",IF(OR($H106="Lost",$H106="Converted"),"",IF(OR($C106&lt;&gt;"",$D106&lt;&gt;""),10,0)+IF(AND(ISNUMBER($O106),$O106&gt;0),20,0)+IF($AE106="Yes",15,0)+IF($AF106="Yes",15,IF($AF106="Joint",10,0))+IF(OR($AG106="Immediate",$AG106="0-30 days"),20,IF($AG106="1-3 months",10,0))+IF(OR($AC106="Cash",$AD106="Pre-approved",$AD106="Approved"),10,0)+IF(ISNUMBER($V106),10,0)))</x:f>
      </x:c>
      <x:c r="AM106" s="793" t="str">
        <x:f>IF($A106="","",IF($H106="Lost","Lost",IF($H106="Converted","Converted",IF(NOT(ISNUMBER($AL106)),"",IF($AL106&gt;=75,"Hot",IF($AL106&gt;=45,"Warm","Nurture"))))))</x:f>
      </x:c>
      <x:c r="AN106" s="794"/>
      <x:c r="AO106" s="791"/>
      <x:c r="AP106" s="791"/>
      <x:c r="AQ106" s="794"/>
      <x:c r="AR106" s="794"/>
      <x:c r="AS106" s="791"/>
    </x:row>
    <x:row r="107" ht="26" customHeight="1">
      <x:c r="A107" s="319"/>
      <x:c r="B107" s="320"/>
      <x:c r="C107" s="331"/>
      <x:c r="D107" s="274"/>
      <x:c r="E107" s="274"/>
      <x:c r="F107" s="274"/>
      <x:c r="G107" s="274"/>
      <x:c r="H107" s="274"/>
      <x:c r="I107" s="274"/>
      <x:c r="J107" s="274"/>
      <x:c r="K107" s="274"/>
      <x:c r="L107" s="274"/>
      <x:c r="M107" s="377"/>
      <x:c r="N107" s="302"/>
      <x:c r="O107" s="302"/>
      <x:c r="P107" s="274"/>
      <x:c r="Q107" s="304"/>
      <x:c r="R107" s="304"/>
      <x:c r="S107" s="274"/>
      <x:c r="T107" s="315" t="str">
        <x:f>IF(A107="","",IF(OR(AND(C107&lt;&gt;"",COUNTIFS($C$6:$C$205,C107)&gt;1),AND(D107&lt;&gt;"",COUNTIFS($D$6:$D$205,D107)&gt;1)),"Check duplicate",""))</x:f>
      </x:c>
      <x:c r="U107" s="374" t="str">
        <x:f>IF(A107="","",IF(COUNTIFS('Follow-ups'!$B$6:$B$205,A107,'Follow-ups'!$D$6:$D$205,"&gt;0",'Follow-ups'!$D$6:$D$205,"&lt;="&amp;TODAY())=0,"",_xlfn.MAXIFS('Follow-ups'!$D$6:$D$205,'Follow-ups'!$B$6:$B$205,A107,'Follow-ups'!$D$6:$D$205,"&lt;="&amp;TODAY())))</x:f>
      </x:c>
      <x:c r="V107" s="374" t="str">
        <x:f>IF(A107="","",IF(COUNTIFS('Follow-ups'!$B$6:$B$205,A107,'Follow-ups'!$I$6:$I$205,"Open",'Follow-ups'!$H$6:$H$205,"&gt;0")=0,"",_xlfn.MINIFS('Follow-ups'!$H$6:$H$205,'Follow-ups'!$B$6:$B$205,A107,'Follow-ups'!$I$6:$I$205,"Open",'Follow-ups'!$H$6:$H$205,"&gt;0")))</x:f>
      </x:c>
      <x:c r="W107" s="265" t="str">
        <x:f>IF(A107="","",IF(OR(H107="Converted",H107="Lost"),"Closed lead",IF(H107="On Hold","On hold",IF(ISNUMBER(V107),IF(V107&lt;TODAY(),"Overdue",IF(V107=TODAY(),"Due today","Scheduled")),IF(COUNTIFS('Follow-ups'!$B$6:$B$205,A107,'Follow-ups'!$I$6:$I$205,"Open")&gt;0,"Set task due date","No open task")))))</x:f>
      </x:c>
      <x:c r="X107" s="274"/>
      <x:c r="Y107" s="274"/>
      <x:c r="Z107" s="274"/>
      <x:c r="AA107" s="315" t="str">
        <x:f>IF(A107="","",IF(COUNTIFS($A$6:$A$205,A107)&gt;1,"Duplicate ID",IF(B107="","Add name",IF(AND(C107="",D107=""),"Add phone or email",IF(H107="","Set lead stage",IF(NOT(ISNUMBER(R107)),"Add date added",IF(AND(ISNUMBER(N107),ISNUMBER(O107),N107&gt;O107),"Check budget range",IF(AND(H107="Lost",Y107=""),"Add lost reason",""))))))))</x:f>
      </x:c>
      <x:c r="AB107" s="791"/>
      <x:c r="AC107" s="791"/>
      <x:c r="AD107" s="791"/>
      <x:c r="AE107" s="791"/>
      <x:c r="AF107" s="791"/>
      <x:c r="AG107" s="791"/>
      <x:c r="AH107" s="791"/>
      <x:c r="AI107" s="791"/>
      <x:c r="AJ107" s="791"/>
      <x:c r="AK107" s="791"/>
      <x:c r="AL107" s="793" t="str">
        <x:f>IF($A107="","",IF(OR($H107="Lost",$H107="Converted"),"",IF(OR($C107&lt;&gt;"",$D107&lt;&gt;""),10,0)+IF(AND(ISNUMBER($O107),$O107&gt;0),20,0)+IF($AE107="Yes",15,0)+IF($AF107="Yes",15,IF($AF107="Joint",10,0))+IF(OR($AG107="Immediate",$AG107="0-30 days"),20,IF($AG107="1-3 months",10,0))+IF(OR($AC107="Cash",$AD107="Pre-approved",$AD107="Approved"),10,0)+IF(ISNUMBER($V107),10,0)))</x:f>
      </x:c>
      <x:c r="AM107" s="793" t="str">
        <x:f>IF($A107="","",IF($H107="Lost","Lost",IF($H107="Converted","Converted",IF(NOT(ISNUMBER($AL107)),"",IF($AL107&gt;=75,"Hot",IF($AL107&gt;=45,"Warm","Nurture"))))))</x:f>
      </x:c>
      <x:c r="AN107" s="794"/>
      <x:c r="AO107" s="791"/>
      <x:c r="AP107" s="791"/>
      <x:c r="AQ107" s="794"/>
      <x:c r="AR107" s="794"/>
      <x:c r="AS107" s="791"/>
    </x:row>
    <x:row r="108" ht="26" customHeight="1">
      <x:c r="A108" s="317"/>
      <x:c r="B108" s="318"/>
      <x:c r="C108" s="327"/>
      <x:c r="D108" s="235"/>
      <x:c r="E108" s="235"/>
      <x:c r="F108" s="235"/>
      <x:c r="G108" s="235"/>
      <x:c r="H108" s="235"/>
      <x:c r="I108" s="235"/>
      <x:c r="J108" s="235"/>
      <x:c r="K108" s="235"/>
      <x:c r="L108" s="235"/>
      <x:c r="M108" s="376"/>
      <x:c r="N108" s="236"/>
      <x:c r="O108" s="236"/>
      <x:c r="P108" s="235"/>
      <x:c r="Q108" s="238"/>
      <x:c r="R108" s="238"/>
      <x:c r="S108" s="235"/>
      <x:c r="T108" s="315" t="str">
        <x:f>IF(A108="","",IF(OR(AND(C108&lt;&gt;"",COUNTIFS($C$6:$C$205,C108)&gt;1),AND(D108&lt;&gt;"",COUNTIFS($D$6:$D$205,D108)&gt;1)),"Check duplicate",""))</x:f>
      </x:c>
      <x:c r="U108" s="374" t="str">
        <x:f>IF(A108="","",IF(COUNTIFS('Follow-ups'!$B$6:$B$205,A108,'Follow-ups'!$D$6:$D$205,"&gt;0",'Follow-ups'!$D$6:$D$205,"&lt;="&amp;TODAY())=0,"",_xlfn.MAXIFS('Follow-ups'!$D$6:$D$205,'Follow-ups'!$B$6:$B$205,A108,'Follow-ups'!$D$6:$D$205,"&lt;="&amp;TODAY())))</x:f>
      </x:c>
      <x:c r="V108" s="374" t="str">
        <x:f>IF(A108="","",IF(COUNTIFS('Follow-ups'!$B$6:$B$205,A108,'Follow-ups'!$I$6:$I$205,"Open",'Follow-ups'!$H$6:$H$205,"&gt;0")=0,"",_xlfn.MINIFS('Follow-ups'!$H$6:$H$205,'Follow-ups'!$B$6:$B$205,A108,'Follow-ups'!$I$6:$I$205,"Open",'Follow-ups'!$H$6:$H$205,"&gt;0")))</x:f>
      </x:c>
      <x:c r="W108" s="265" t="str">
        <x:f>IF(A108="","",IF(OR(H108="Converted",H108="Lost"),"Closed lead",IF(H108="On Hold","On hold",IF(ISNUMBER(V108),IF(V108&lt;TODAY(),"Overdue",IF(V108=TODAY(),"Due today","Scheduled")),IF(COUNTIFS('Follow-ups'!$B$6:$B$205,A108,'Follow-ups'!$I$6:$I$205,"Open")&gt;0,"Set task due date","No open task")))))</x:f>
      </x:c>
      <x:c r="X108" s="235"/>
      <x:c r="Y108" s="235"/>
      <x:c r="Z108" s="235"/>
      <x:c r="AA108" s="315" t="str">
        <x:f>IF(A108="","",IF(COUNTIFS($A$6:$A$205,A108)&gt;1,"Duplicate ID",IF(B108="","Add name",IF(AND(C108="",D108=""),"Add phone or email",IF(H108="","Set lead stage",IF(NOT(ISNUMBER(R108)),"Add date added",IF(AND(ISNUMBER(N108),ISNUMBER(O108),N108&gt;O108),"Check budget range",IF(AND(H108="Lost",Y108=""),"Add lost reason",""))))))))</x:f>
      </x:c>
      <x:c r="AB108" s="791"/>
      <x:c r="AC108" s="791"/>
      <x:c r="AD108" s="791"/>
      <x:c r="AE108" s="791"/>
      <x:c r="AF108" s="791"/>
      <x:c r="AG108" s="791"/>
      <x:c r="AH108" s="791"/>
      <x:c r="AI108" s="791"/>
      <x:c r="AJ108" s="791"/>
      <x:c r="AK108" s="791"/>
      <x:c r="AL108" s="793" t="str">
        <x:f>IF($A108="","",IF(OR($H108="Lost",$H108="Converted"),"",IF(OR($C108&lt;&gt;"",$D108&lt;&gt;""),10,0)+IF(AND(ISNUMBER($O108),$O108&gt;0),20,0)+IF($AE108="Yes",15,0)+IF($AF108="Yes",15,IF($AF108="Joint",10,0))+IF(OR($AG108="Immediate",$AG108="0-30 days"),20,IF($AG108="1-3 months",10,0))+IF(OR($AC108="Cash",$AD108="Pre-approved",$AD108="Approved"),10,0)+IF(ISNUMBER($V108),10,0)))</x:f>
      </x:c>
      <x:c r="AM108" s="793" t="str">
        <x:f>IF($A108="","",IF($H108="Lost","Lost",IF($H108="Converted","Converted",IF(NOT(ISNUMBER($AL108)),"",IF($AL108&gt;=75,"Hot",IF($AL108&gt;=45,"Warm","Nurture"))))))</x:f>
      </x:c>
      <x:c r="AN108" s="794"/>
      <x:c r="AO108" s="791"/>
      <x:c r="AP108" s="791"/>
      <x:c r="AQ108" s="794"/>
      <x:c r="AR108" s="794"/>
      <x:c r="AS108" s="791"/>
    </x:row>
    <x:row r="109" ht="26" customHeight="1">
      <x:c r="A109" s="319"/>
      <x:c r="B109" s="320"/>
      <x:c r="C109" s="331"/>
      <x:c r="D109" s="274"/>
      <x:c r="E109" s="274"/>
      <x:c r="F109" s="274"/>
      <x:c r="G109" s="274"/>
      <x:c r="H109" s="274"/>
      <x:c r="I109" s="274"/>
      <x:c r="J109" s="274"/>
      <x:c r="K109" s="274"/>
      <x:c r="L109" s="274"/>
      <x:c r="M109" s="377"/>
      <x:c r="N109" s="302"/>
      <x:c r="O109" s="302"/>
      <x:c r="P109" s="274"/>
      <x:c r="Q109" s="304"/>
      <x:c r="R109" s="304"/>
      <x:c r="S109" s="274"/>
      <x:c r="T109" s="315" t="str">
        <x:f>IF(A109="","",IF(OR(AND(C109&lt;&gt;"",COUNTIFS($C$6:$C$205,C109)&gt;1),AND(D109&lt;&gt;"",COUNTIFS($D$6:$D$205,D109)&gt;1)),"Check duplicate",""))</x:f>
      </x:c>
      <x:c r="U109" s="374" t="str">
        <x:f>IF(A109="","",IF(COUNTIFS('Follow-ups'!$B$6:$B$205,A109,'Follow-ups'!$D$6:$D$205,"&gt;0",'Follow-ups'!$D$6:$D$205,"&lt;="&amp;TODAY())=0,"",_xlfn.MAXIFS('Follow-ups'!$D$6:$D$205,'Follow-ups'!$B$6:$B$205,A109,'Follow-ups'!$D$6:$D$205,"&lt;="&amp;TODAY())))</x:f>
      </x:c>
      <x:c r="V109" s="374" t="str">
        <x:f>IF(A109="","",IF(COUNTIFS('Follow-ups'!$B$6:$B$205,A109,'Follow-ups'!$I$6:$I$205,"Open",'Follow-ups'!$H$6:$H$205,"&gt;0")=0,"",_xlfn.MINIFS('Follow-ups'!$H$6:$H$205,'Follow-ups'!$B$6:$B$205,A109,'Follow-ups'!$I$6:$I$205,"Open",'Follow-ups'!$H$6:$H$205,"&gt;0")))</x:f>
      </x:c>
      <x:c r="W109" s="265" t="str">
        <x:f>IF(A109="","",IF(OR(H109="Converted",H109="Lost"),"Closed lead",IF(H109="On Hold","On hold",IF(ISNUMBER(V109),IF(V109&lt;TODAY(),"Overdue",IF(V109=TODAY(),"Due today","Scheduled")),IF(COUNTIFS('Follow-ups'!$B$6:$B$205,A109,'Follow-ups'!$I$6:$I$205,"Open")&gt;0,"Set task due date","No open task")))))</x:f>
      </x:c>
      <x:c r="X109" s="274"/>
      <x:c r="Y109" s="274"/>
      <x:c r="Z109" s="274"/>
      <x:c r="AA109" s="315" t="str">
        <x:f>IF(A109="","",IF(COUNTIFS($A$6:$A$205,A109)&gt;1,"Duplicate ID",IF(B109="","Add name",IF(AND(C109="",D109=""),"Add phone or email",IF(H109="","Set lead stage",IF(NOT(ISNUMBER(R109)),"Add date added",IF(AND(ISNUMBER(N109),ISNUMBER(O109),N109&gt;O109),"Check budget range",IF(AND(H109="Lost",Y109=""),"Add lost reason",""))))))))</x:f>
      </x:c>
      <x:c r="AB109" s="791"/>
      <x:c r="AC109" s="791"/>
      <x:c r="AD109" s="791"/>
      <x:c r="AE109" s="791"/>
      <x:c r="AF109" s="791"/>
      <x:c r="AG109" s="791"/>
      <x:c r="AH109" s="791"/>
      <x:c r="AI109" s="791"/>
      <x:c r="AJ109" s="791"/>
      <x:c r="AK109" s="791"/>
      <x:c r="AL109" s="793" t="str">
        <x:f>IF($A109="","",IF(OR($H109="Lost",$H109="Converted"),"",IF(OR($C109&lt;&gt;"",$D109&lt;&gt;""),10,0)+IF(AND(ISNUMBER($O109),$O109&gt;0),20,0)+IF($AE109="Yes",15,0)+IF($AF109="Yes",15,IF($AF109="Joint",10,0))+IF(OR($AG109="Immediate",$AG109="0-30 days"),20,IF($AG109="1-3 months",10,0))+IF(OR($AC109="Cash",$AD109="Pre-approved",$AD109="Approved"),10,0)+IF(ISNUMBER($V109),10,0)))</x:f>
      </x:c>
      <x:c r="AM109" s="793" t="str">
        <x:f>IF($A109="","",IF($H109="Lost","Lost",IF($H109="Converted","Converted",IF(NOT(ISNUMBER($AL109)),"",IF($AL109&gt;=75,"Hot",IF($AL109&gt;=45,"Warm","Nurture"))))))</x:f>
      </x:c>
      <x:c r="AN109" s="794"/>
      <x:c r="AO109" s="791"/>
      <x:c r="AP109" s="791"/>
      <x:c r="AQ109" s="794"/>
      <x:c r="AR109" s="794"/>
      <x:c r="AS109" s="791"/>
    </x:row>
    <x:row r="110" ht="26" customHeight="1">
      <x:c r="A110" s="317"/>
      <x:c r="B110" s="318"/>
      <x:c r="C110" s="327"/>
      <x:c r="D110" s="235"/>
      <x:c r="E110" s="235"/>
      <x:c r="F110" s="235"/>
      <x:c r="G110" s="235"/>
      <x:c r="H110" s="235"/>
      <x:c r="I110" s="235"/>
      <x:c r="J110" s="235"/>
      <x:c r="K110" s="235"/>
      <x:c r="L110" s="235"/>
      <x:c r="M110" s="376"/>
      <x:c r="N110" s="236"/>
      <x:c r="O110" s="236"/>
      <x:c r="P110" s="235"/>
      <x:c r="Q110" s="238"/>
      <x:c r="R110" s="238"/>
      <x:c r="S110" s="235"/>
      <x:c r="T110" s="315" t="str">
        <x:f>IF(A110="","",IF(OR(AND(C110&lt;&gt;"",COUNTIFS($C$6:$C$205,C110)&gt;1),AND(D110&lt;&gt;"",COUNTIFS($D$6:$D$205,D110)&gt;1)),"Check duplicate",""))</x:f>
      </x:c>
      <x:c r="U110" s="374" t="str">
        <x:f>IF(A110="","",IF(COUNTIFS('Follow-ups'!$B$6:$B$205,A110,'Follow-ups'!$D$6:$D$205,"&gt;0",'Follow-ups'!$D$6:$D$205,"&lt;="&amp;TODAY())=0,"",_xlfn.MAXIFS('Follow-ups'!$D$6:$D$205,'Follow-ups'!$B$6:$B$205,A110,'Follow-ups'!$D$6:$D$205,"&lt;="&amp;TODAY())))</x:f>
      </x:c>
      <x:c r="V110" s="374" t="str">
        <x:f>IF(A110="","",IF(COUNTIFS('Follow-ups'!$B$6:$B$205,A110,'Follow-ups'!$I$6:$I$205,"Open",'Follow-ups'!$H$6:$H$205,"&gt;0")=0,"",_xlfn.MINIFS('Follow-ups'!$H$6:$H$205,'Follow-ups'!$B$6:$B$205,A110,'Follow-ups'!$I$6:$I$205,"Open",'Follow-ups'!$H$6:$H$205,"&gt;0")))</x:f>
      </x:c>
      <x:c r="W110" s="265" t="str">
        <x:f>IF(A110="","",IF(OR(H110="Converted",H110="Lost"),"Closed lead",IF(H110="On Hold","On hold",IF(ISNUMBER(V110),IF(V110&lt;TODAY(),"Overdue",IF(V110=TODAY(),"Due today","Scheduled")),IF(COUNTIFS('Follow-ups'!$B$6:$B$205,A110,'Follow-ups'!$I$6:$I$205,"Open")&gt;0,"Set task due date","No open task")))))</x:f>
      </x:c>
      <x:c r="X110" s="235"/>
      <x:c r="Y110" s="235"/>
      <x:c r="Z110" s="235"/>
      <x:c r="AA110" s="315" t="str">
        <x:f>IF(A110="","",IF(COUNTIFS($A$6:$A$205,A110)&gt;1,"Duplicate ID",IF(B110="","Add name",IF(AND(C110="",D110=""),"Add phone or email",IF(H110="","Set lead stage",IF(NOT(ISNUMBER(R110)),"Add date added",IF(AND(ISNUMBER(N110),ISNUMBER(O110),N110&gt;O110),"Check budget range",IF(AND(H110="Lost",Y110=""),"Add lost reason",""))))))))</x:f>
      </x:c>
      <x:c r="AB110" s="791"/>
      <x:c r="AC110" s="791"/>
      <x:c r="AD110" s="791"/>
      <x:c r="AE110" s="791"/>
      <x:c r="AF110" s="791"/>
      <x:c r="AG110" s="791"/>
      <x:c r="AH110" s="791"/>
      <x:c r="AI110" s="791"/>
      <x:c r="AJ110" s="791"/>
      <x:c r="AK110" s="791"/>
      <x:c r="AL110" s="793" t="str">
        <x:f>IF($A110="","",IF(OR($H110="Lost",$H110="Converted"),"",IF(OR($C110&lt;&gt;"",$D110&lt;&gt;""),10,0)+IF(AND(ISNUMBER($O110),$O110&gt;0),20,0)+IF($AE110="Yes",15,0)+IF($AF110="Yes",15,IF($AF110="Joint",10,0))+IF(OR($AG110="Immediate",$AG110="0-30 days"),20,IF($AG110="1-3 months",10,0))+IF(OR($AC110="Cash",$AD110="Pre-approved",$AD110="Approved"),10,0)+IF(ISNUMBER($V110),10,0)))</x:f>
      </x:c>
      <x:c r="AM110" s="793" t="str">
        <x:f>IF($A110="","",IF($H110="Lost","Lost",IF($H110="Converted","Converted",IF(NOT(ISNUMBER($AL110)),"",IF($AL110&gt;=75,"Hot",IF($AL110&gt;=45,"Warm","Nurture"))))))</x:f>
      </x:c>
      <x:c r="AN110" s="794"/>
      <x:c r="AO110" s="791"/>
      <x:c r="AP110" s="791"/>
      <x:c r="AQ110" s="794"/>
      <x:c r="AR110" s="794"/>
      <x:c r="AS110" s="791"/>
    </x:row>
    <x:row r="111" ht="26" customHeight="1">
      <x:c r="A111" s="319"/>
      <x:c r="B111" s="320"/>
      <x:c r="C111" s="331"/>
      <x:c r="D111" s="274"/>
      <x:c r="E111" s="274"/>
      <x:c r="F111" s="274"/>
      <x:c r="G111" s="274"/>
      <x:c r="H111" s="274"/>
      <x:c r="I111" s="274"/>
      <x:c r="J111" s="274"/>
      <x:c r="K111" s="274"/>
      <x:c r="L111" s="274"/>
      <x:c r="M111" s="377"/>
      <x:c r="N111" s="302"/>
      <x:c r="O111" s="302"/>
      <x:c r="P111" s="274"/>
      <x:c r="Q111" s="304"/>
      <x:c r="R111" s="304"/>
      <x:c r="S111" s="274"/>
      <x:c r="T111" s="315" t="str">
        <x:f>IF(A111="","",IF(OR(AND(C111&lt;&gt;"",COUNTIFS($C$6:$C$205,C111)&gt;1),AND(D111&lt;&gt;"",COUNTIFS($D$6:$D$205,D111)&gt;1)),"Check duplicate",""))</x:f>
      </x:c>
      <x:c r="U111" s="374" t="str">
        <x:f>IF(A111="","",IF(COUNTIFS('Follow-ups'!$B$6:$B$205,A111,'Follow-ups'!$D$6:$D$205,"&gt;0",'Follow-ups'!$D$6:$D$205,"&lt;="&amp;TODAY())=0,"",_xlfn.MAXIFS('Follow-ups'!$D$6:$D$205,'Follow-ups'!$B$6:$B$205,A111,'Follow-ups'!$D$6:$D$205,"&lt;="&amp;TODAY())))</x:f>
      </x:c>
      <x:c r="V111" s="374" t="str">
        <x:f>IF(A111="","",IF(COUNTIFS('Follow-ups'!$B$6:$B$205,A111,'Follow-ups'!$I$6:$I$205,"Open",'Follow-ups'!$H$6:$H$205,"&gt;0")=0,"",_xlfn.MINIFS('Follow-ups'!$H$6:$H$205,'Follow-ups'!$B$6:$B$205,A111,'Follow-ups'!$I$6:$I$205,"Open",'Follow-ups'!$H$6:$H$205,"&gt;0")))</x:f>
      </x:c>
      <x:c r="W111" s="265" t="str">
        <x:f>IF(A111="","",IF(OR(H111="Converted",H111="Lost"),"Closed lead",IF(H111="On Hold","On hold",IF(ISNUMBER(V111),IF(V111&lt;TODAY(),"Overdue",IF(V111=TODAY(),"Due today","Scheduled")),IF(COUNTIFS('Follow-ups'!$B$6:$B$205,A111,'Follow-ups'!$I$6:$I$205,"Open")&gt;0,"Set task due date","No open task")))))</x:f>
      </x:c>
      <x:c r="X111" s="274"/>
      <x:c r="Y111" s="274"/>
      <x:c r="Z111" s="274"/>
      <x:c r="AA111" s="315" t="str">
        <x:f>IF(A111="","",IF(COUNTIFS($A$6:$A$205,A111)&gt;1,"Duplicate ID",IF(B111="","Add name",IF(AND(C111="",D111=""),"Add phone or email",IF(H111="","Set lead stage",IF(NOT(ISNUMBER(R111)),"Add date added",IF(AND(ISNUMBER(N111),ISNUMBER(O111),N111&gt;O111),"Check budget range",IF(AND(H111="Lost",Y111=""),"Add lost reason",""))))))))</x:f>
      </x:c>
      <x:c r="AB111" s="791"/>
      <x:c r="AC111" s="791"/>
      <x:c r="AD111" s="791"/>
      <x:c r="AE111" s="791"/>
      <x:c r="AF111" s="791"/>
      <x:c r="AG111" s="791"/>
      <x:c r="AH111" s="791"/>
      <x:c r="AI111" s="791"/>
      <x:c r="AJ111" s="791"/>
      <x:c r="AK111" s="791"/>
      <x:c r="AL111" s="793" t="str">
        <x:f>IF($A111="","",IF(OR($H111="Lost",$H111="Converted"),"",IF(OR($C111&lt;&gt;"",$D111&lt;&gt;""),10,0)+IF(AND(ISNUMBER($O111),$O111&gt;0),20,0)+IF($AE111="Yes",15,0)+IF($AF111="Yes",15,IF($AF111="Joint",10,0))+IF(OR($AG111="Immediate",$AG111="0-30 days"),20,IF($AG111="1-3 months",10,0))+IF(OR($AC111="Cash",$AD111="Pre-approved",$AD111="Approved"),10,0)+IF(ISNUMBER($V111),10,0)))</x:f>
      </x:c>
      <x:c r="AM111" s="793" t="str">
        <x:f>IF($A111="","",IF($H111="Lost","Lost",IF($H111="Converted","Converted",IF(NOT(ISNUMBER($AL111)),"",IF($AL111&gt;=75,"Hot",IF($AL111&gt;=45,"Warm","Nurture"))))))</x:f>
      </x:c>
      <x:c r="AN111" s="794"/>
      <x:c r="AO111" s="791"/>
      <x:c r="AP111" s="791"/>
      <x:c r="AQ111" s="794"/>
      <x:c r="AR111" s="794"/>
      <x:c r="AS111" s="791"/>
    </x:row>
    <x:row r="112" ht="26" customHeight="1">
      <x:c r="A112" s="317"/>
      <x:c r="B112" s="318"/>
      <x:c r="C112" s="327"/>
      <x:c r="D112" s="235"/>
      <x:c r="E112" s="235"/>
      <x:c r="F112" s="235"/>
      <x:c r="G112" s="235"/>
      <x:c r="H112" s="235"/>
      <x:c r="I112" s="235"/>
      <x:c r="J112" s="235"/>
      <x:c r="K112" s="235"/>
      <x:c r="L112" s="235"/>
      <x:c r="M112" s="376"/>
      <x:c r="N112" s="236"/>
      <x:c r="O112" s="236"/>
      <x:c r="P112" s="235"/>
      <x:c r="Q112" s="238"/>
      <x:c r="R112" s="238"/>
      <x:c r="S112" s="235"/>
      <x:c r="T112" s="315" t="str">
        <x:f>IF(A112="","",IF(OR(AND(C112&lt;&gt;"",COUNTIFS($C$6:$C$205,C112)&gt;1),AND(D112&lt;&gt;"",COUNTIFS($D$6:$D$205,D112)&gt;1)),"Check duplicate",""))</x:f>
      </x:c>
      <x:c r="U112" s="374" t="str">
        <x:f>IF(A112="","",IF(COUNTIFS('Follow-ups'!$B$6:$B$205,A112,'Follow-ups'!$D$6:$D$205,"&gt;0",'Follow-ups'!$D$6:$D$205,"&lt;="&amp;TODAY())=0,"",_xlfn.MAXIFS('Follow-ups'!$D$6:$D$205,'Follow-ups'!$B$6:$B$205,A112,'Follow-ups'!$D$6:$D$205,"&lt;="&amp;TODAY())))</x:f>
      </x:c>
      <x:c r="V112" s="374" t="str">
        <x:f>IF(A112="","",IF(COUNTIFS('Follow-ups'!$B$6:$B$205,A112,'Follow-ups'!$I$6:$I$205,"Open",'Follow-ups'!$H$6:$H$205,"&gt;0")=0,"",_xlfn.MINIFS('Follow-ups'!$H$6:$H$205,'Follow-ups'!$B$6:$B$205,A112,'Follow-ups'!$I$6:$I$205,"Open",'Follow-ups'!$H$6:$H$205,"&gt;0")))</x:f>
      </x:c>
      <x:c r="W112" s="265" t="str">
        <x:f>IF(A112="","",IF(OR(H112="Converted",H112="Lost"),"Closed lead",IF(H112="On Hold","On hold",IF(ISNUMBER(V112),IF(V112&lt;TODAY(),"Overdue",IF(V112=TODAY(),"Due today","Scheduled")),IF(COUNTIFS('Follow-ups'!$B$6:$B$205,A112,'Follow-ups'!$I$6:$I$205,"Open")&gt;0,"Set task due date","No open task")))))</x:f>
      </x:c>
      <x:c r="X112" s="235"/>
      <x:c r="Y112" s="235"/>
      <x:c r="Z112" s="235"/>
      <x:c r="AA112" s="315" t="str">
        <x:f>IF(A112="","",IF(COUNTIFS($A$6:$A$205,A112)&gt;1,"Duplicate ID",IF(B112="","Add name",IF(AND(C112="",D112=""),"Add phone or email",IF(H112="","Set lead stage",IF(NOT(ISNUMBER(R112)),"Add date added",IF(AND(ISNUMBER(N112),ISNUMBER(O112),N112&gt;O112),"Check budget range",IF(AND(H112="Lost",Y112=""),"Add lost reason",""))))))))</x:f>
      </x:c>
      <x:c r="AB112" s="791"/>
      <x:c r="AC112" s="791"/>
      <x:c r="AD112" s="791"/>
      <x:c r="AE112" s="791"/>
      <x:c r="AF112" s="791"/>
      <x:c r="AG112" s="791"/>
      <x:c r="AH112" s="791"/>
      <x:c r="AI112" s="791"/>
      <x:c r="AJ112" s="791"/>
      <x:c r="AK112" s="791"/>
      <x:c r="AL112" s="793" t="str">
        <x:f>IF($A112="","",IF(OR($H112="Lost",$H112="Converted"),"",IF(OR($C112&lt;&gt;"",$D112&lt;&gt;""),10,0)+IF(AND(ISNUMBER($O112),$O112&gt;0),20,0)+IF($AE112="Yes",15,0)+IF($AF112="Yes",15,IF($AF112="Joint",10,0))+IF(OR($AG112="Immediate",$AG112="0-30 days"),20,IF($AG112="1-3 months",10,0))+IF(OR($AC112="Cash",$AD112="Pre-approved",$AD112="Approved"),10,0)+IF(ISNUMBER($V112),10,0)))</x:f>
      </x:c>
      <x:c r="AM112" s="793" t="str">
        <x:f>IF($A112="","",IF($H112="Lost","Lost",IF($H112="Converted","Converted",IF(NOT(ISNUMBER($AL112)),"",IF($AL112&gt;=75,"Hot",IF($AL112&gt;=45,"Warm","Nurture"))))))</x:f>
      </x:c>
      <x:c r="AN112" s="794"/>
      <x:c r="AO112" s="791"/>
      <x:c r="AP112" s="791"/>
      <x:c r="AQ112" s="794"/>
      <x:c r="AR112" s="794"/>
      <x:c r="AS112" s="791"/>
    </x:row>
    <x:row r="113" ht="26" customHeight="1">
      <x:c r="A113" s="319"/>
      <x:c r="B113" s="320"/>
      <x:c r="C113" s="331"/>
      <x:c r="D113" s="274"/>
      <x:c r="E113" s="274"/>
      <x:c r="F113" s="274"/>
      <x:c r="G113" s="274"/>
      <x:c r="H113" s="274"/>
      <x:c r="I113" s="274"/>
      <x:c r="J113" s="274"/>
      <x:c r="K113" s="274"/>
      <x:c r="L113" s="274"/>
      <x:c r="M113" s="377"/>
      <x:c r="N113" s="302"/>
      <x:c r="O113" s="302"/>
      <x:c r="P113" s="274"/>
      <x:c r="Q113" s="304"/>
      <x:c r="R113" s="304"/>
      <x:c r="S113" s="274"/>
      <x:c r="T113" s="315" t="str">
        <x:f>IF(A113="","",IF(OR(AND(C113&lt;&gt;"",COUNTIFS($C$6:$C$205,C113)&gt;1),AND(D113&lt;&gt;"",COUNTIFS($D$6:$D$205,D113)&gt;1)),"Check duplicate",""))</x:f>
      </x:c>
      <x:c r="U113" s="374" t="str">
        <x:f>IF(A113="","",IF(COUNTIFS('Follow-ups'!$B$6:$B$205,A113,'Follow-ups'!$D$6:$D$205,"&gt;0",'Follow-ups'!$D$6:$D$205,"&lt;="&amp;TODAY())=0,"",_xlfn.MAXIFS('Follow-ups'!$D$6:$D$205,'Follow-ups'!$B$6:$B$205,A113,'Follow-ups'!$D$6:$D$205,"&lt;="&amp;TODAY())))</x:f>
      </x:c>
      <x:c r="V113" s="374" t="str">
        <x:f>IF(A113="","",IF(COUNTIFS('Follow-ups'!$B$6:$B$205,A113,'Follow-ups'!$I$6:$I$205,"Open",'Follow-ups'!$H$6:$H$205,"&gt;0")=0,"",_xlfn.MINIFS('Follow-ups'!$H$6:$H$205,'Follow-ups'!$B$6:$B$205,A113,'Follow-ups'!$I$6:$I$205,"Open",'Follow-ups'!$H$6:$H$205,"&gt;0")))</x:f>
      </x:c>
      <x:c r="W113" s="265" t="str">
        <x:f>IF(A113="","",IF(OR(H113="Converted",H113="Lost"),"Closed lead",IF(H113="On Hold","On hold",IF(ISNUMBER(V113),IF(V113&lt;TODAY(),"Overdue",IF(V113=TODAY(),"Due today","Scheduled")),IF(COUNTIFS('Follow-ups'!$B$6:$B$205,A113,'Follow-ups'!$I$6:$I$205,"Open")&gt;0,"Set task due date","No open task")))))</x:f>
      </x:c>
      <x:c r="X113" s="274"/>
      <x:c r="Y113" s="274"/>
      <x:c r="Z113" s="274"/>
      <x:c r="AA113" s="315" t="str">
        <x:f>IF(A113="","",IF(COUNTIFS($A$6:$A$205,A113)&gt;1,"Duplicate ID",IF(B113="","Add name",IF(AND(C113="",D113=""),"Add phone or email",IF(H113="","Set lead stage",IF(NOT(ISNUMBER(R113)),"Add date added",IF(AND(ISNUMBER(N113),ISNUMBER(O113),N113&gt;O113),"Check budget range",IF(AND(H113="Lost",Y113=""),"Add lost reason",""))))))))</x:f>
      </x:c>
      <x:c r="AB113" s="791"/>
      <x:c r="AC113" s="791"/>
      <x:c r="AD113" s="791"/>
      <x:c r="AE113" s="791"/>
      <x:c r="AF113" s="791"/>
      <x:c r="AG113" s="791"/>
      <x:c r="AH113" s="791"/>
      <x:c r="AI113" s="791"/>
      <x:c r="AJ113" s="791"/>
      <x:c r="AK113" s="791"/>
      <x:c r="AL113" s="793" t="str">
        <x:f>IF($A113="","",IF(OR($H113="Lost",$H113="Converted"),"",IF(OR($C113&lt;&gt;"",$D113&lt;&gt;""),10,0)+IF(AND(ISNUMBER($O113),$O113&gt;0),20,0)+IF($AE113="Yes",15,0)+IF($AF113="Yes",15,IF($AF113="Joint",10,0))+IF(OR($AG113="Immediate",$AG113="0-30 days"),20,IF($AG113="1-3 months",10,0))+IF(OR($AC113="Cash",$AD113="Pre-approved",$AD113="Approved"),10,0)+IF(ISNUMBER($V113),10,0)))</x:f>
      </x:c>
      <x:c r="AM113" s="793" t="str">
        <x:f>IF($A113="","",IF($H113="Lost","Lost",IF($H113="Converted","Converted",IF(NOT(ISNUMBER($AL113)),"",IF($AL113&gt;=75,"Hot",IF($AL113&gt;=45,"Warm","Nurture"))))))</x:f>
      </x:c>
      <x:c r="AN113" s="794"/>
      <x:c r="AO113" s="791"/>
      <x:c r="AP113" s="791"/>
      <x:c r="AQ113" s="794"/>
      <x:c r="AR113" s="794"/>
      <x:c r="AS113" s="791"/>
    </x:row>
    <x:row r="114" ht="26" customHeight="1">
      <x:c r="A114" s="317"/>
      <x:c r="B114" s="318"/>
      <x:c r="C114" s="327"/>
      <x:c r="D114" s="235"/>
      <x:c r="E114" s="235"/>
      <x:c r="F114" s="235"/>
      <x:c r="G114" s="235"/>
      <x:c r="H114" s="235"/>
      <x:c r="I114" s="235"/>
      <x:c r="J114" s="235"/>
      <x:c r="K114" s="235"/>
      <x:c r="L114" s="235"/>
      <x:c r="M114" s="376"/>
      <x:c r="N114" s="236"/>
      <x:c r="O114" s="236"/>
      <x:c r="P114" s="235"/>
      <x:c r="Q114" s="238"/>
      <x:c r="R114" s="238"/>
      <x:c r="S114" s="235"/>
      <x:c r="T114" s="315" t="str">
        <x:f>IF(A114="","",IF(OR(AND(C114&lt;&gt;"",COUNTIFS($C$6:$C$205,C114)&gt;1),AND(D114&lt;&gt;"",COUNTIFS($D$6:$D$205,D114)&gt;1)),"Check duplicate",""))</x:f>
      </x:c>
      <x:c r="U114" s="374" t="str">
        <x:f>IF(A114="","",IF(COUNTIFS('Follow-ups'!$B$6:$B$205,A114,'Follow-ups'!$D$6:$D$205,"&gt;0",'Follow-ups'!$D$6:$D$205,"&lt;="&amp;TODAY())=0,"",_xlfn.MAXIFS('Follow-ups'!$D$6:$D$205,'Follow-ups'!$B$6:$B$205,A114,'Follow-ups'!$D$6:$D$205,"&lt;="&amp;TODAY())))</x:f>
      </x:c>
      <x:c r="V114" s="374" t="str">
        <x:f>IF(A114="","",IF(COUNTIFS('Follow-ups'!$B$6:$B$205,A114,'Follow-ups'!$I$6:$I$205,"Open",'Follow-ups'!$H$6:$H$205,"&gt;0")=0,"",_xlfn.MINIFS('Follow-ups'!$H$6:$H$205,'Follow-ups'!$B$6:$B$205,A114,'Follow-ups'!$I$6:$I$205,"Open",'Follow-ups'!$H$6:$H$205,"&gt;0")))</x:f>
      </x:c>
      <x:c r="W114" s="265" t="str">
        <x:f>IF(A114="","",IF(OR(H114="Converted",H114="Lost"),"Closed lead",IF(H114="On Hold","On hold",IF(ISNUMBER(V114),IF(V114&lt;TODAY(),"Overdue",IF(V114=TODAY(),"Due today","Scheduled")),IF(COUNTIFS('Follow-ups'!$B$6:$B$205,A114,'Follow-ups'!$I$6:$I$205,"Open")&gt;0,"Set task due date","No open task")))))</x:f>
      </x:c>
      <x:c r="X114" s="235"/>
      <x:c r="Y114" s="235"/>
      <x:c r="Z114" s="235"/>
      <x:c r="AA114" s="315" t="str">
        <x:f>IF(A114="","",IF(COUNTIFS($A$6:$A$205,A114)&gt;1,"Duplicate ID",IF(B114="","Add name",IF(AND(C114="",D114=""),"Add phone or email",IF(H114="","Set lead stage",IF(NOT(ISNUMBER(R114)),"Add date added",IF(AND(ISNUMBER(N114),ISNUMBER(O114),N114&gt;O114),"Check budget range",IF(AND(H114="Lost",Y114=""),"Add lost reason",""))))))))</x:f>
      </x:c>
      <x:c r="AB114" s="791"/>
      <x:c r="AC114" s="791"/>
      <x:c r="AD114" s="791"/>
      <x:c r="AE114" s="791"/>
      <x:c r="AF114" s="791"/>
      <x:c r="AG114" s="791"/>
      <x:c r="AH114" s="791"/>
      <x:c r="AI114" s="791"/>
      <x:c r="AJ114" s="791"/>
      <x:c r="AK114" s="791"/>
      <x:c r="AL114" s="793" t="str">
        <x:f>IF($A114="","",IF(OR($H114="Lost",$H114="Converted"),"",IF(OR($C114&lt;&gt;"",$D114&lt;&gt;""),10,0)+IF(AND(ISNUMBER($O114),$O114&gt;0),20,0)+IF($AE114="Yes",15,0)+IF($AF114="Yes",15,IF($AF114="Joint",10,0))+IF(OR($AG114="Immediate",$AG114="0-30 days"),20,IF($AG114="1-3 months",10,0))+IF(OR($AC114="Cash",$AD114="Pre-approved",$AD114="Approved"),10,0)+IF(ISNUMBER($V114),10,0)))</x:f>
      </x:c>
      <x:c r="AM114" s="793" t="str">
        <x:f>IF($A114="","",IF($H114="Lost","Lost",IF($H114="Converted","Converted",IF(NOT(ISNUMBER($AL114)),"",IF($AL114&gt;=75,"Hot",IF($AL114&gt;=45,"Warm","Nurture"))))))</x:f>
      </x:c>
      <x:c r="AN114" s="794"/>
      <x:c r="AO114" s="791"/>
      <x:c r="AP114" s="791"/>
      <x:c r="AQ114" s="794"/>
      <x:c r="AR114" s="794"/>
      <x:c r="AS114" s="791"/>
    </x:row>
    <x:row r="115" ht="26" customHeight="1">
      <x:c r="A115" s="319"/>
      <x:c r="B115" s="320"/>
      <x:c r="C115" s="331"/>
      <x:c r="D115" s="274"/>
      <x:c r="E115" s="274"/>
      <x:c r="F115" s="274"/>
      <x:c r="G115" s="274"/>
      <x:c r="H115" s="274"/>
      <x:c r="I115" s="274"/>
      <x:c r="J115" s="274"/>
      <x:c r="K115" s="274"/>
      <x:c r="L115" s="274"/>
      <x:c r="M115" s="377"/>
      <x:c r="N115" s="302"/>
      <x:c r="O115" s="302"/>
      <x:c r="P115" s="274"/>
      <x:c r="Q115" s="304"/>
      <x:c r="R115" s="304"/>
      <x:c r="S115" s="274"/>
      <x:c r="T115" s="315" t="str">
        <x:f>IF(A115="","",IF(OR(AND(C115&lt;&gt;"",COUNTIFS($C$6:$C$205,C115)&gt;1),AND(D115&lt;&gt;"",COUNTIFS($D$6:$D$205,D115)&gt;1)),"Check duplicate",""))</x:f>
      </x:c>
      <x:c r="U115" s="374" t="str">
        <x:f>IF(A115="","",IF(COUNTIFS('Follow-ups'!$B$6:$B$205,A115,'Follow-ups'!$D$6:$D$205,"&gt;0",'Follow-ups'!$D$6:$D$205,"&lt;="&amp;TODAY())=0,"",_xlfn.MAXIFS('Follow-ups'!$D$6:$D$205,'Follow-ups'!$B$6:$B$205,A115,'Follow-ups'!$D$6:$D$205,"&lt;="&amp;TODAY())))</x:f>
      </x:c>
      <x:c r="V115" s="374" t="str">
        <x:f>IF(A115="","",IF(COUNTIFS('Follow-ups'!$B$6:$B$205,A115,'Follow-ups'!$I$6:$I$205,"Open",'Follow-ups'!$H$6:$H$205,"&gt;0")=0,"",_xlfn.MINIFS('Follow-ups'!$H$6:$H$205,'Follow-ups'!$B$6:$B$205,A115,'Follow-ups'!$I$6:$I$205,"Open",'Follow-ups'!$H$6:$H$205,"&gt;0")))</x:f>
      </x:c>
      <x:c r="W115" s="265" t="str">
        <x:f>IF(A115="","",IF(OR(H115="Converted",H115="Lost"),"Closed lead",IF(H115="On Hold","On hold",IF(ISNUMBER(V115),IF(V115&lt;TODAY(),"Overdue",IF(V115=TODAY(),"Due today","Scheduled")),IF(COUNTIFS('Follow-ups'!$B$6:$B$205,A115,'Follow-ups'!$I$6:$I$205,"Open")&gt;0,"Set task due date","No open task")))))</x:f>
      </x:c>
      <x:c r="X115" s="274"/>
      <x:c r="Y115" s="274"/>
      <x:c r="Z115" s="274"/>
      <x:c r="AA115" s="315" t="str">
        <x:f>IF(A115="","",IF(COUNTIFS($A$6:$A$205,A115)&gt;1,"Duplicate ID",IF(B115="","Add name",IF(AND(C115="",D115=""),"Add phone or email",IF(H115="","Set lead stage",IF(NOT(ISNUMBER(R115)),"Add date added",IF(AND(ISNUMBER(N115),ISNUMBER(O115),N115&gt;O115),"Check budget range",IF(AND(H115="Lost",Y115=""),"Add lost reason",""))))))))</x:f>
      </x:c>
      <x:c r="AB115" s="791"/>
      <x:c r="AC115" s="791"/>
      <x:c r="AD115" s="791"/>
      <x:c r="AE115" s="791"/>
      <x:c r="AF115" s="791"/>
      <x:c r="AG115" s="791"/>
      <x:c r="AH115" s="791"/>
      <x:c r="AI115" s="791"/>
      <x:c r="AJ115" s="791"/>
      <x:c r="AK115" s="791"/>
      <x:c r="AL115" s="793" t="str">
        <x:f>IF($A115="","",IF(OR($H115="Lost",$H115="Converted"),"",IF(OR($C115&lt;&gt;"",$D115&lt;&gt;""),10,0)+IF(AND(ISNUMBER($O115),$O115&gt;0),20,0)+IF($AE115="Yes",15,0)+IF($AF115="Yes",15,IF($AF115="Joint",10,0))+IF(OR($AG115="Immediate",$AG115="0-30 days"),20,IF($AG115="1-3 months",10,0))+IF(OR($AC115="Cash",$AD115="Pre-approved",$AD115="Approved"),10,0)+IF(ISNUMBER($V115),10,0)))</x:f>
      </x:c>
      <x:c r="AM115" s="793" t="str">
        <x:f>IF($A115="","",IF($H115="Lost","Lost",IF($H115="Converted","Converted",IF(NOT(ISNUMBER($AL115)),"",IF($AL115&gt;=75,"Hot",IF($AL115&gt;=45,"Warm","Nurture"))))))</x:f>
      </x:c>
      <x:c r="AN115" s="794"/>
      <x:c r="AO115" s="791"/>
      <x:c r="AP115" s="791"/>
      <x:c r="AQ115" s="794"/>
      <x:c r="AR115" s="794"/>
      <x:c r="AS115" s="791"/>
    </x:row>
    <x:row r="116" ht="26" customHeight="1">
      <x:c r="A116" s="317"/>
      <x:c r="B116" s="318"/>
      <x:c r="C116" s="327"/>
      <x:c r="D116" s="235"/>
      <x:c r="E116" s="235"/>
      <x:c r="F116" s="235"/>
      <x:c r="G116" s="235"/>
      <x:c r="H116" s="235"/>
      <x:c r="I116" s="235"/>
      <x:c r="J116" s="235"/>
      <x:c r="K116" s="235"/>
      <x:c r="L116" s="235"/>
      <x:c r="M116" s="376"/>
      <x:c r="N116" s="236"/>
      <x:c r="O116" s="236"/>
      <x:c r="P116" s="235"/>
      <x:c r="Q116" s="238"/>
      <x:c r="R116" s="238"/>
      <x:c r="S116" s="235"/>
      <x:c r="T116" s="315" t="str">
        <x:f>IF(A116="","",IF(OR(AND(C116&lt;&gt;"",COUNTIFS($C$6:$C$205,C116)&gt;1),AND(D116&lt;&gt;"",COUNTIFS($D$6:$D$205,D116)&gt;1)),"Check duplicate",""))</x:f>
      </x:c>
      <x:c r="U116" s="374" t="str">
        <x:f>IF(A116="","",IF(COUNTIFS('Follow-ups'!$B$6:$B$205,A116,'Follow-ups'!$D$6:$D$205,"&gt;0",'Follow-ups'!$D$6:$D$205,"&lt;="&amp;TODAY())=0,"",_xlfn.MAXIFS('Follow-ups'!$D$6:$D$205,'Follow-ups'!$B$6:$B$205,A116,'Follow-ups'!$D$6:$D$205,"&lt;="&amp;TODAY())))</x:f>
      </x:c>
      <x:c r="V116" s="374" t="str">
        <x:f>IF(A116="","",IF(COUNTIFS('Follow-ups'!$B$6:$B$205,A116,'Follow-ups'!$I$6:$I$205,"Open",'Follow-ups'!$H$6:$H$205,"&gt;0")=0,"",_xlfn.MINIFS('Follow-ups'!$H$6:$H$205,'Follow-ups'!$B$6:$B$205,A116,'Follow-ups'!$I$6:$I$205,"Open",'Follow-ups'!$H$6:$H$205,"&gt;0")))</x:f>
      </x:c>
      <x:c r="W116" s="265" t="str">
        <x:f>IF(A116="","",IF(OR(H116="Converted",H116="Lost"),"Closed lead",IF(H116="On Hold","On hold",IF(ISNUMBER(V116),IF(V116&lt;TODAY(),"Overdue",IF(V116=TODAY(),"Due today","Scheduled")),IF(COUNTIFS('Follow-ups'!$B$6:$B$205,A116,'Follow-ups'!$I$6:$I$205,"Open")&gt;0,"Set task due date","No open task")))))</x:f>
      </x:c>
      <x:c r="X116" s="235"/>
      <x:c r="Y116" s="235"/>
      <x:c r="Z116" s="235"/>
      <x:c r="AA116" s="315" t="str">
        <x:f>IF(A116="","",IF(COUNTIFS($A$6:$A$205,A116)&gt;1,"Duplicate ID",IF(B116="","Add name",IF(AND(C116="",D116=""),"Add phone or email",IF(H116="","Set lead stage",IF(NOT(ISNUMBER(R116)),"Add date added",IF(AND(ISNUMBER(N116),ISNUMBER(O116),N116&gt;O116),"Check budget range",IF(AND(H116="Lost",Y116=""),"Add lost reason",""))))))))</x:f>
      </x:c>
      <x:c r="AB116" s="791"/>
      <x:c r="AC116" s="791"/>
      <x:c r="AD116" s="791"/>
      <x:c r="AE116" s="791"/>
      <x:c r="AF116" s="791"/>
      <x:c r="AG116" s="791"/>
      <x:c r="AH116" s="791"/>
      <x:c r="AI116" s="791"/>
      <x:c r="AJ116" s="791"/>
      <x:c r="AK116" s="791"/>
      <x:c r="AL116" s="793" t="str">
        <x:f>IF($A116="","",IF(OR($H116="Lost",$H116="Converted"),"",IF(OR($C116&lt;&gt;"",$D116&lt;&gt;""),10,0)+IF(AND(ISNUMBER($O116),$O116&gt;0),20,0)+IF($AE116="Yes",15,0)+IF($AF116="Yes",15,IF($AF116="Joint",10,0))+IF(OR($AG116="Immediate",$AG116="0-30 days"),20,IF($AG116="1-3 months",10,0))+IF(OR($AC116="Cash",$AD116="Pre-approved",$AD116="Approved"),10,0)+IF(ISNUMBER($V116),10,0)))</x:f>
      </x:c>
      <x:c r="AM116" s="793" t="str">
        <x:f>IF($A116="","",IF($H116="Lost","Lost",IF($H116="Converted","Converted",IF(NOT(ISNUMBER($AL116)),"",IF($AL116&gt;=75,"Hot",IF($AL116&gt;=45,"Warm","Nurture"))))))</x:f>
      </x:c>
      <x:c r="AN116" s="794"/>
      <x:c r="AO116" s="791"/>
      <x:c r="AP116" s="791"/>
      <x:c r="AQ116" s="794"/>
      <x:c r="AR116" s="794"/>
      <x:c r="AS116" s="791"/>
    </x:row>
    <x:row r="117" ht="26" customHeight="1">
      <x:c r="A117" s="319"/>
      <x:c r="B117" s="320"/>
      <x:c r="C117" s="331"/>
      <x:c r="D117" s="274"/>
      <x:c r="E117" s="274"/>
      <x:c r="F117" s="274"/>
      <x:c r="G117" s="274"/>
      <x:c r="H117" s="274"/>
      <x:c r="I117" s="274"/>
      <x:c r="J117" s="274"/>
      <x:c r="K117" s="274"/>
      <x:c r="L117" s="274"/>
      <x:c r="M117" s="377"/>
      <x:c r="N117" s="302"/>
      <x:c r="O117" s="302"/>
      <x:c r="P117" s="274"/>
      <x:c r="Q117" s="304"/>
      <x:c r="R117" s="304"/>
      <x:c r="S117" s="274"/>
      <x:c r="T117" s="315" t="str">
        <x:f>IF(A117="","",IF(OR(AND(C117&lt;&gt;"",COUNTIFS($C$6:$C$205,C117)&gt;1),AND(D117&lt;&gt;"",COUNTIFS($D$6:$D$205,D117)&gt;1)),"Check duplicate",""))</x:f>
      </x:c>
      <x:c r="U117" s="374" t="str">
        <x:f>IF(A117="","",IF(COUNTIFS('Follow-ups'!$B$6:$B$205,A117,'Follow-ups'!$D$6:$D$205,"&gt;0",'Follow-ups'!$D$6:$D$205,"&lt;="&amp;TODAY())=0,"",_xlfn.MAXIFS('Follow-ups'!$D$6:$D$205,'Follow-ups'!$B$6:$B$205,A117,'Follow-ups'!$D$6:$D$205,"&lt;="&amp;TODAY())))</x:f>
      </x:c>
      <x:c r="V117" s="374" t="str">
        <x:f>IF(A117="","",IF(COUNTIFS('Follow-ups'!$B$6:$B$205,A117,'Follow-ups'!$I$6:$I$205,"Open",'Follow-ups'!$H$6:$H$205,"&gt;0")=0,"",_xlfn.MINIFS('Follow-ups'!$H$6:$H$205,'Follow-ups'!$B$6:$B$205,A117,'Follow-ups'!$I$6:$I$205,"Open",'Follow-ups'!$H$6:$H$205,"&gt;0")))</x:f>
      </x:c>
      <x:c r="W117" s="265" t="str">
        <x:f>IF(A117="","",IF(OR(H117="Converted",H117="Lost"),"Closed lead",IF(H117="On Hold","On hold",IF(ISNUMBER(V117),IF(V117&lt;TODAY(),"Overdue",IF(V117=TODAY(),"Due today","Scheduled")),IF(COUNTIFS('Follow-ups'!$B$6:$B$205,A117,'Follow-ups'!$I$6:$I$205,"Open")&gt;0,"Set task due date","No open task")))))</x:f>
      </x:c>
      <x:c r="X117" s="274"/>
      <x:c r="Y117" s="274"/>
      <x:c r="Z117" s="274"/>
      <x:c r="AA117" s="315" t="str">
        <x:f>IF(A117="","",IF(COUNTIFS($A$6:$A$205,A117)&gt;1,"Duplicate ID",IF(B117="","Add name",IF(AND(C117="",D117=""),"Add phone or email",IF(H117="","Set lead stage",IF(NOT(ISNUMBER(R117)),"Add date added",IF(AND(ISNUMBER(N117),ISNUMBER(O117),N117&gt;O117),"Check budget range",IF(AND(H117="Lost",Y117=""),"Add lost reason",""))))))))</x:f>
      </x:c>
      <x:c r="AB117" s="791"/>
      <x:c r="AC117" s="791"/>
      <x:c r="AD117" s="791"/>
      <x:c r="AE117" s="791"/>
      <x:c r="AF117" s="791"/>
      <x:c r="AG117" s="791"/>
      <x:c r="AH117" s="791"/>
      <x:c r="AI117" s="791"/>
      <x:c r="AJ117" s="791"/>
      <x:c r="AK117" s="791"/>
      <x:c r="AL117" s="793" t="str">
        <x:f>IF($A117="","",IF(OR($H117="Lost",$H117="Converted"),"",IF(OR($C117&lt;&gt;"",$D117&lt;&gt;""),10,0)+IF(AND(ISNUMBER($O117),$O117&gt;0),20,0)+IF($AE117="Yes",15,0)+IF($AF117="Yes",15,IF($AF117="Joint",10,0))+IF(OR($AG117="Immediate",$AG117="0-30 days"),20,IF($AG117="1-3 months",10,0))+IF(OR($AC117="Cash",$AD117="Pre-approved",$AD117="Approved"),10,0)+IF(ISNUMBER($V117),10,0)))</x:f>
      </x:c>
      <x:c r="AM117" s="793" t="str">
        <x:f>IF($A117="","",IF($H117="Lost","Lost",IF($H117="Converted","Converted",IF(NOT(ISNUMBER($AL117)),"",IF($AL117&gt;=75,"Hot",IF($AL117&gt;=45,"Warm","Nurture"))))))</x:f>
      </x:c>
      <x:c r="AN117" s="794"/>
      <x:c r="AO117" s="791"/>
      <x:c r="AP117" s="791"/>
      <x:c r="AQ117" s="794"/>
      <x:c r="AR117" s="794"/>
      <x:c r="AS117" s="791"/>
    </x:row>
    <x:row r="118" ht="26" customHeight="1">
      <x:c r="A118" s="317"/>
      <x:c r="B118" s="318"/>
      <x:c r="C118" s="327"/>
      <x:c r="D118" s="235"/>
      <x:c r="E118" s="235"/>
      <x:c r="F118" s="235"/>
      <x:c r="G118" s="235"/>
      <x:c r="H118" s="235"/>
      <x:c r="I118" s="235"/>
      <x:c r="J118" s="235"/>
      <x:c r="K118" s="235"/>
      <x:c r="L118" s="235"/>
      <x:c r="M118" s="376"/>
      <x:c r="N118" s="236"/>
      <x:c r="O118" s="236"/>
      <x:c r="P118" s="235"/>
      <x:c r="Q118" s="238"/>
      <x:c r="R118" s="238"/>
      <x:c r="S118" s="235"/>
      <x:c r="T118" s="315" t="str">
        <x:f>IF(A118="","",IF(OR(AND(C118&lt;&gt;"",COUNTIFS($C$6:$C$205,C118)&gt;1),AND(D118&lt;&gt;"",COUNTIFS($D$6:$D$205,D118)&gt;1)),"Check duplicate",""))</x:f>
      </x:c>
      <x:c r="U118" s="374" t="str">
        <x:f>IF(A118="","",IF(COUNTIFS('Follow-ups'!$B$6:$B$205,A118,'Follow-ups'!$D$6:$D$205,"&gt;0",'Follow-ups'!$D$6:$D$205,"&lt;="&amp;TODAY())=0,"",_xlfn.MAXIFS('Follow-ups'!$D$6:$D$205,'Follow-ups'!$B$6:$B$205,A118,'Follow-ups'!$D$6:$D$205,"&lt;="&amp;TODAY())))</x:f>
      </x:c>
      <x:c r="V118" s="374" t="str">
        <x:f>IF(A118="","",IF(COUNTIFS('Follow-ups'!$B$6:$B$205,A118,'Follow-ups'!$I$6:$I$205,"Open",'Follow-ups'!$H$6:$H$205,"&gt;0")=0,"",_xlfn.MINIFS('Follow-ups'!$H$6:$H$205,'Follow-ups'!$B$6:$B$205,A118,'Follow-ups'!$I$6:$I$205,"Open",'Follow-ups'!$H$6:$H$205,"&gt;0")))</x:f>
      </x:c>
      <x:c r="W118" s="265" t="str">
        <x:f>IF(A118="","",IF(OR(H118="Converted",H118="Lost"),"Closed lead",IF(H118="On Hold","On hold",IF(ISNUMBER(V118),IF(V118&lt;TODAY(),"Overdue",IF(V118=TODAY(),"Due today","Scheduled")),IF(COUNTIFS('Follow-ups'!$B$6:$B$205,A118,'Follow-ups'!$I$6:$I$205,"Open")&gt;0,"Set task due date","No open task")))))</x:f>
      </x:c>
      <x:c r="X118" s="235"/>
      <x:c r="Y118" s="235"/>
      <x:c r="Z118" s="235"/>
      <x:c r="AA118" s="315" t="str">
        <x:f>IF(A118="","",IF(COUNTIFS($A$6:$A$205,A118)&gt;1,"Duplicate ID",IF(B118="","Add name",IF(AND(C118="",D118=""),"Add phone or email",IF(H118="","Set lead stage",IF(NOT(ISNUMBER(R118)),"Add date added",IF(AND(ISNUMBER(N118),ISNUMBER(O118),N118&gt;O118),"Check budget range",IF(AND(H118="Lost",Y118=""),"Add lost reason",""))))))))</x:f>
      </x:c>
      <x:c r="AB118" s="791"/>
      <x:c r="AC118" s="791"/>
      <x:c r="AD118" s="791"/>
      <x:c r="AE118" s="791"/>
      <x:c r="AF118" s="791"/>
      <x:c r="AG118" s="791"/>
      <x:c r="AH118" s="791"/>
      <x:c r="AI118" s="791"/>
      <x:c r="AJ118" s="791"/>
      <x:c r="AK118" s="791"/>
      <x:c r="AL118" s="793" t="str">
        <x:f>IF($A118="","",IF(OR($H118="Lost",$H118="Converted"),"",IF(OR($C118&lt;&gt;"",$D118&lt;&gt;""),10,0)+IF(AND(ISNUMBER($O118),$O118&gt;0),20,0)+IF($AE118="Yes",15,0)+IF($AF118="Yes",15,IF($AF118="Joint",10,0))+IF(OR($AG118="Immediate",$AG118="0-30 days"),20,IF($AG118="1-3 months",10,0))+IF(OR($AC118="Cash",$AD118="Pre-approved",$AD118="Approved"),10,0)+IF(ISNUMBER($V118),10,0)))</x:f>
      </x:c>
      <x:c r="AM118" s="793" t="str">
        <x:f>IF($A118="","",IF($H118="Lost","Lost",IF($H118="Converted","Converted",IF(NOT(ISNUMBER($AL118)),"",IF($AL118&gt;=75,"Hot",IF($AL118&gt;=45,"Warm","Nurture"))))))</x:f>
      </x:c>
      <x:c r="AN118" s="794"/>
      <x:c r="AO118" s="791"/>
      <x:c r="AP118" s="791"/>
      <x:c r="AQ118" s="794"/>
      <x:c r="AR118" s="794"/>
      <x:c r="AS118" s="791"/>
    </x:row>
    <x:row r="119" ht="26" customHeight="1">
      <x:c r="A119" s="319"/>
      <x:c r="B119" s="320"/>
      <x:c r="C119" s="331"/>
      <x:c r="D119" s="274"/>
      <x:c r="E119" s="274"/>
      <x:c r="F119" s="274"/>
      <x:c r="G119" s="274"/>
      <x:c r="H119" s="274"/>
      <x:c r="I119" s="274"/>
      <x:c r="J119" s="274"/>
      <x:c r="K119" s="274"/>
      <x:c r="L119" s="274"/>
      <x:c r="M119" s="377"/>
      <x:c r="N119" s="302"/>
      <x:c r="O119" s="302"/>
      <x:c r="P119" s="274"/>
      <x:c r="Q119" s="304"/>
      <x:c r="R119" s="304"/>
      <x:c r="S119" s="274"/>
      <x:c r="T119" s="315" t="str">
        <x:f>IF(A119="","",IF(OR(AND(C119&lt;&gt;"",COUNTIFS($C$6:$C$205,C119)&gt;1),AND(D119&lt;&gt;"",COUNTIFS($D$6:$D$205,D119)&gt;1)),"Check duplicate",""))</x:f>
      </x:c>
      <x:c r="U119" s="374" t="str">
        <x:f>IF(A119="","",IF(COUNTIFS('Follow-ups'!$B$6:$B$205,A119,'Follow-ups'!$D$6:$D$205,"&gt;0",'Follow-ups'!$D$6:$D$205,"&lt;="&amp;TODAY())=0,"",_xlfn.MAXIFS('Follow-ups'!$D$6:$D$205,'Follow-ups'!$B$6:$B$205,A119,'Follow-ups'!$D$6:$D$205,"&lt;="&amp;TODAY())))</x:f>
      </x:c>
      <x:c r="V119" s="374" t="str">
        <x:f>IF(A119="","",IF(COUNTIFS('Follow-ups'!$B$6:$B$205,A119,'Follow-ups'!$I$6:$I$205,"Open",'Follow-ups'!$H$6:$H$205,"&gt;0")=0,"",_xlfn.MINIFS('Follow-ups'!$H$6:$H$205,'Follow-ups'!$B$6:$B$205,A119,'Follow-ups'!$I$6:$I$205,"Open",'Follow-ups'!$H$6:$H$205,"&gt;0")))</x:f>
      </x:c>
      <x:c r="W119" s="265" t="str">
        <x:f>IF(A119="","",IF(OR(H119="Converted",H119="Lost"),"Closed lead",IF(H119="On Hold","On hold",IF(ISNUMBER(V119),IF(V119&lt;TODAY(),"Overdue",IF(V119=TODAY(),"Due today","Scheduled")),IF(COUNTIFS('Follow-ups'!$B$6:$B$205,A119,'Follow-ups'!$I$6:$I$205,"Open")&gt;0,"Set task due date","No open task")))))</x:f>
      </x:c>
      <x:c r="X119" s="274"/>
      <x:c r="Y119" s="274"/>
      <x:c r="Z119" s="274"/>
      <x:c r="AA119" s="315" t="str">
        <x:f>IF(A119="","",IF(COUNTIFS($A$6:$A$205,A119)&gt;1,"Duplicate ID",IF(B119="","Add name",IF(AND(C119="",D119=""),"Add phone or email",IF(H119="","Set lead stage",IF(NOT(ISNUMBER(R119)),"Add date added",IF(AND(ISNUMBER(N119),ISNUMBER(O119),N119&gt;O119),"Check budget range",IF(AND(H119="Lost",Y119=""),"Add lost reason",""))))))))</x:f>
      </x:c>
      <x:c r="AB119" s="791"/>
      <x:c r="AC119" s="791"/>
      <x:c r="AD119" s="791"/>
      <x:c r="AE119" s="791"/>
      <x:c r="AF119" s="791"/>
      <x:c r="AG119" s="791"/>
      <x:c r="AH119" s="791"/>
      <x:c r="AI119" s="791"/>
      <x:c r="AJ119" s="791"/>
      <x:c r="AK119" s="791"/>
      <x:c r="AL119" s="793" t="str">
        <x:f>IF($A119="","",IF(OR($H119="Lost",$H119="Converted"),"",IF(OR($C119&lt;&gt;"",$D119&lt;&gt;""),10,0)+IF(AND(ISNUMBER($O119),$O119&gt;0),20,0)+IF($AE119="Yes",15,0)+IF($AF119="Yes",15,IF($AF119="Joint",10,0))+IF(OR($AG119="Immediate",$AG119="0-30 days"),20,IF($AG119="1-3 months",10,0))+IF(OR($AC119="Cash",$AD119="Pre-approved",$AD119="Approved"),10,0)+IF(ISNUMBER($V119),10,0)))</x:f>
      </x:c>
      <x:c r="AM119" s="793" t="str">
        <x:f>IF($A119="","",IF($H119="Lost","Lost",IF($H119="Converted","Converted",IF(NOT(ISNUMBER($AL119)),"",IF($AL119&gt;=75,"Hot",IF($AL119&gt;=45,"Warm","Nurture"))))))</x:f>
      </x:c>
      <x:c r="AN119" s="794"/>
      <x:c r="AO119" s="791"/>
      <x:c r="AP119" s="791"/>
      <x:c r="AQ119" s="794"/>
      <x:c r="AR119" s="794"/>
      <x:c r="AS119" s="791"/>
    </x:row>
    <x:row r="120" ht="26" customHeight="1">
      <x:c r="A120" s="317"/>
      <x:c r="B120" s="318"/>
      <x:c r="C120" s="327"/>
      <x:c r="D120" s="235"/>
      <x:c r="E120" s="235"/>
      <x:c r="F120" s="235"/>
      <x:c r="G120" s="235"/>
      <x:c r="H120" s="235"/>
      <x:c r="I120" s="235"/>
      <x:c r="J120" s="235"/>
      <x:c r="K120" s="235"/>
      <x:c r="L120" s="235"/>
      <x:c r="M120" s="376"/>
      <x:c r="N120" s="236"/>
      <x:c r="O120" s="236"/>
      <x:c r="P120" s="235"/>
      <x:c r="Q120" s="238"/>
      <x:c r="R120" s="238"/>
      <x:c r="S120" s="235"/>
      <x:c r="T120" s="315" t="str">
        <x:f>IF(A120="","",IF(OR(AND(C120&lt;&gt;"",COUNTIFS($C$6:$C$205,C120)&gt;1),AND(D120&lt;&gt;"",COUNTIFS($D$6:$D$205,D120)&gt;1)),"Check duplicate",""))</x:f>
      </x:c>
      <x:c r="U120" s="374" t="str">
        <x:f>IF(A120="","",IF(COUNTIFS('Follow-ups'!$B$6:$B$205,A120,'Follow-ups'!$D$6:$D$205,"&gt;0",'Follow-ups'!$D$6:$D$205,"&lt;="&amp;TODAY())=0,"",_xlfn.MAXIFS('Follow-ups'!$D$6:$D$205,'Follow-ups'!$B$6:$B$205,A120,'Follow-ups'!$D$6:$D$205,"&lt;="&amp;TODAY())))</x:f>
      </x:c>
      <x:c r="V120" s="374" t="str">
        <x:f>IF(A120="","",IF(COUNTIFS('Follow-ups'!$B$6:$B$205,A120,'Follow-ups'!$I$6:$I$205,"Open",'Follow-ups'!$H$6:$H$205,"&gt;0")=0,"",_xlfn.MINIFS('Follow-ups'!$H$6:$H$205,'Follow-ups'!$B$6:$B$205,A120,'Follow-ups'!$I$6:$I$205,"Open",'Follow-ups'!$H$6:$H$205,"&gt;0")))</x:f>
      </x:c>
      <x:c r="W120" s="265" t="str">
        <x:f>IF(A120="","",IF(OR(H120="Converted",H120="Lost"),"Closed lead",IF(H120="On Hold","On hold",IF(ISNUMBER(V120),IF(V120&lt;TODAY(),"Overdue",IF(V120=TODAY(),"Due today","Scheduled")),IF(COUNTIFS('Follow-ups'!$B$6:$B$205,A120,'Follow-ups'!$I$6:$I$205,"Open")&gt;0,"Set task due date","No open task")))))</x:f>
      </x:c>
      <x:c r="X120" s="235"/>
      <x:c r="Y120" s="235"/>
      <x:c r="Z120" s="235"/>
      <x:c r="AA120" s="315" t="str">
        <x:f>IF(A120="","",IF(COUNTIFS($A$6:$A$205,A120)&gt;1,"Duplicate ID",IF(B120="","Add name",IF(AND(C120="",D120=""),"Add phone or email",IF(H120="","Set lead stage",IF(NOT(ISNUMBER(R120)),"Add date added",IF(AND(ISNUMBER(N120),ISNUMBER(O120),N120&gt;O120),"Check budget range",IF(AND(H120="Lost",Y120=""),"Add lost reason",""))))))))</x:f>
      </x:c>
      <x:c r="AB120" s="791"/>
      <x:c r="AC120" s="791"/>
      <x:c r="AD120" s="791"/>
      <x:c r="AE120" s="791"/>
      <x:c r="AF120" s="791"/>
      <x:c r="AG120" s="791"/>
      <x:c r="AH120" s="791"/>
      <x:c r="AI120" s="791"/>
      <x:c r="AJ120" s="791"/>
      <x:c r="AK120" s="791"/>
      <x:c r="AL120" s="793" t="str">
        <x:f>IF($A120="","",IF(OR($H120="Lost",$H120="Converted"),"",IF(OR($C120&lt;&gt;"",$D120&lt;&gt;""),10,0)+IF(AND(ISNUMBER($O120),$O120&gt;0),20,0)+IF($AE120="Yes",15,0)+IF($AF120="Yes",15,IF($AF120="Joint",10,0))+IF(OR($AG120="Immediate",$AG120="0-30 days"),20,IF($AG120="1-3 months",10,0))+IF(OR($AC120="Cash",$AD120="Pre-approved",$AD120="Approved"),10,0)+IF(ISNUMBER($V120),10,0)))</x:f>
      </x:c>
      <x:c r="AM120" s="793" t="str">
        <x:f>IF($A120="","",IF($H120="Lost","Lost",IF($H120="Converted","Converted",IF(NOT(ISNUMBER($AL120)),"",IF($AL120&gt;=75,"Hot",IF($AL120&gt;=45,"Warm","Nurture"))))))</x:f>
      </x:c>
      <x:c r="AN120" s="794"/>
      <x:c r="AO120" s="791"/>
      <x:c r="AP120" s="791"/>
      <x:c r="AQ120" s="794"/>
      <x:c r="AR120" s="794"/>
      <x:c r="AS120" s="791"/>
    </x:row>
    <x:row r="121" ht="26" customHeight="1">
      <x:c r="A121" s="319"/>
      <x:c r="B121" s="320"/>
      <x:c r="C121" s="331"/>
      <x:c r="D121" s="274"/>
      <x:c r="E121" s="274"/>
      <x:c r="F121" s="274"/>
      <x:c r="G121" s="274"/>
      <x:c r="H121" s="274"/>
      <x:c r="I121" s="274"/>
      <x:c r="J121" s="274"/>
      <x:c r="K121" s="274"/>
      <x:c r="L121" s="274"/>
      <x:c r="M121" s="377"/>
      <x:c r="N121" s="302"/>
      <x:c r="O121" s="302"/>
      <x:c r="P121" s="274"/>
      <x:c r="Q121" s="304"/>
      <x:c r="R121" s="304"/>
      <x:c r="S121" s="274"/>
      <x:c r="T121" s="315" t="str">
        <x:f>IF(A121="","",IF(OR(AND(C121&lt;&gt;"",COUNTIFS($C$6:$C$205,C121)&gt;1),AND(D121&lt;&gt;"",COUNTIFS($D$6:$D$205,D121)&gt;1)),"Check duplicate",""))</x:f>
      </x:c>
      <x:c r="U121" s="374" t="str">
        <x:f>IF(A121="","",IF(COUNTIFS('Follow-ups'!$B$6:$B$205,A121,'Follow-ups'!$D$6:$D$205,"&gt;0",'Follow-ups'!$D$6:$D$205,"&lt;="&amp;TODAY())=0,"",_xlfn.MAXIFS('Follow-ups'!$D$6:$D$205,'Follow-ups'!$B$6:$B$205,A121,'Follow-ups'!$D$6:$D$205,"&lt;="&amp;TODAY())))</x:f>
      </x:c>
      <x:c r="V121" s="374" t="str">
        <x:f>IF(A121="","",IF(COUNTIFS('Follow-ups'!$B$6:$B$205,A121,'Follow-ups'!$I$6:$I$205,"Open",'Follow-ups'!$H$6:$H$205,"&gt;0")=0,"",_xlfn.MINIFS('Follow-ups'!$H$6:$H$205,'Follow-ups'!$B$6:$B$205,A121,'Follow-ups'!$I$6:$I$205,"Open",'Follow-ups'!$H$6:$H$205,"&gt;0")))</x:f>
      </x:c>
      <x:c r="W121" s="265" t="str">
        <x:f>IF(A121="","",IF(OR(H121="Converted",H121="Lost"),"Closed lead",IF(H121="On Hold","On hold",IF(ISNUMBER(V121),IF(V121&lt;TODAY(),"Overdue",IF(V121=TODAY(),"Due today","Scheduled")),IF(COUNTIFS('Follow-ups'!$B$6:$B$205,A121,'Follow-ups'!$I$6:$I$205,"Open")&gt;0,"Set task due date","No open task")))))</x:f>
      </x:c>
      <x:c r="X121" s="274"/>
      <x:c r="Y121" s="274"/>
      <x:c r="Z121" s="274"/>
      <x:c r="AA121" s="315" t="str">
        <x:f>IF(A121="","",IF(COUNTIFS($A$6:$A$205,A121)&gt;1,"Duplicate ID",IF(B121="","Add name",IF(AND(C121="",D121=""),"Add phone or email",IF(H121="","Set lead stage",IF(NOT(ISNUMBER(R121)),"Add date added",IF(AND(ISNUMBER(N121),ISNUMBER(O121),N121&gt;O121),"Check budget range",IF(AND(H121="Lost",Y121=""),"Add lost reason",""))))))))</x:f>
      </x:c>
      <x:c r="AB121" s="791"/>
      <x:c r="AC121" s="791"/>
      <x:c r="AD121" s="791"/>
      <x:c r="AE121" s="791"/>
      <x:c r="AF121" s="791"/>
      <x:c r="AG121" s="791"/>
      <x:c r="AH121" s="791"/>
      <x:c r="AI121" s="791"/>
      <x:c r="AJ121" s="791"/>
      <x:c r="AK121" s="791"/>
      <x:c r="AL121" s="793" t="str">
        <x:f>IF($A121="","",IF(OR($H121="Lost",$H121="Converted"),"",IF(OR($C121&lt;&gt;"",$D121&lt;&gt;""),10,0)+IF(AND(ISNUMBER($O121),$O121&gt;0),20,0)+IF($AE121="Yes",15,0)+IF($AF121="Yes",15,IF($AF121="Joint",10,0))+IF(OR($AG121="Immediate",$AG121="0-30 days"),20,IF($AG121="1-3 months",10,0))+IF(OR($AC121="Cash",$AD121="Pre-approved",$AD121="Approved"),10,0)+IF(ISNUMBER($V121),10,0)))</x:f>
      </x:c>
      <x:c r="AM121" s="793" t="str">
        <x:f>IF($A121="","",IF($H121="Lost","Lost",IF($H121="Converted","Converted",IF(NOT(ISNUMBER($AL121)),"",IF($AL121&gt;=75,"Hot",IF($AL121&gt;=45,"Warm","Nurture"))))))</x:f>
      </x:c>
      <x:c r="AN121" s="794"/>
      <x:c r="AO121" s="791"/>
      <x:c r="AP121" s="791"/>
      <x:c r="AQ121" s="794"/>
      <x:c r="AR121" s="794"/>
      <x:c r="AS121" s="791"/>
    </x:row>
    <x:row r="122" ht="26" customHeight="1">
      <x:c r="A122" s="317"/>
      <x:c r="B122" s="318"/>
      <x:c r="C122" s="327"/>
      <x:c r="D122" s="235"/>
      <x:c r="E122" s="235"/>
      <x:c r="F122" s="235"/>
      <x:c r="G122" s="235"/>
      <x:c r="H122" s="235"/>
      <x:c r="I122" s="235"/>
      <x:c r="J122" s="235"/>
      <x:c r="K122" s="235"/>
      <x:c r="L122" s="235"/>
      <x:c r="M122" s="376"/>
      <x:c r="N122" s="236"/>
      <x:c r="O122" s="236"/>
      <x:c r="P122" s="235"/>
      <x:c r="Q122" s="238"/>
      <x:c r="R122" s="238"/>
      <x:c r="S122" s="235"/>
      <x:c r="T122" s="315" t="str">
        <x:f>IF(A122="","",IF(OR(AND(C122&lt;&gt;"",COUNTIFS($C$6:$C$205,C122)&gt;1),AND(D122&lt;&gt;"",COUNTIFS($D$6:$D$205,D122)&gt;1)),"Check duplicate",""))</x:f>
      </x:c>
      <x:c r="U122" s="374" t="str">
        <x:f>IF(A122="","",IF(COUNTIFS('Follow-ups'!$B$6:$B$205,A122,'Follow-ups'!$D$6:$D$205,"&gt;0",'Follow-ups'!$D$6:$D$205,"&lt;="&amp;TODAY())=0,"",_xlfn.MAXIFS('Follow-ups'!$D$6:$D$205,'Follow-ups'!$B$6:$B$205,A122,'Follow-ups'!$D$6:$D$205,"&lt;="&amp;TODAY())))</x:f>
      </x:c>
      <x:c r="V122" s="374" t="str">
        <x:f>IF(A122="","",IF(COUNTIFS('Follow-ups'!$B$6:$B$205,A122,'Follow-ups'!$I$6:$I$205,"Open",'Follow-ups'!$H$6:$H$205,"&gt;0")=0,"",_xlfn.MINIFS('Follow-ups'!$H$6:$H$205,'Follow-ups'!$B$6:$B$205,A122,'Follow-ups'!$I$6:$I$205,"Open",'Follow-ups'!$H$6:$H$205,"&gt;0")))</x:f>
      </x:c>
      <x:c r="W122" s="265" t="str">
        <x:f>IF(A122="","",IF(OR(H122="Converted",H122="Lost"),"Closed lead",IF(H122="On Hold","On hold",IF(ISNUMBER(V122),IF(V122&lt;TODAY(),"Overdue",IF(V122=TODAY(),"Due today","Scheduled")),IF(COUNTIFS('Follow-ups'!$B$6:$B$205,A122,'Follow-ups'!$I$6:$I$205,"Open")&gt;0,"Set task due date","No open task")))))</x:f>
      </x:c>
      <x:c r="X122" s="235"/>
      <x:c r="Y122" s="235"/>
      <x:c r="Z122" s="235"/>
      <x:c r="AA122" s="315" t="str">
        <x:f>IF(A122="","",IF(COUNTIFS($A$6:$A$205,A122)&gt;1,"Duplicate ID",IF(B122="","Add name",IF(AND(C122="",D122=""),"Add phone or email",IF(H122="","Set lead stage",IF(NOT(ISNUMBER(R122)),"Add date added",IF(AND(ISNUMBER(N122),ISNUMBER(O122),N122&gt;O122),"Check budget range",IF(AND(H122="Lost",Y122=""),"Add lost reason",""))))))))</x:f>
      </x:c>
      <x:c r="AB122" s="791"/>
      <x:c r="AC122" s="791"/>
      <x:c r="AD122" s="791"/>
      <x:c r="AE122" s="791"/>
      <x:c r="AF122" s="791"/>
      <x:c r="AG122" s="791"/>
      <x:c r="AH122" s="791"/>
      <x:c r="AI122" s="791"/>
      <x:c r="AJ122" s="791"/>
      <x:c r="AK122" s="791"/>
      <x:c r="AL122" s="793" t="str">
        <x:f>IF($A122="","",IF(OR($H122="Lost",$H122="Converted"),"",IF(OR($C122&lt;&gt;"",$D122&lt;&gt;""),10,0)+IF(AND(ISNUMBER($O122),$O122&gt;0),20,0)+IF($AE122="Yes",15,0)+IF($AF122="Yes",15,IF($AF122="Joint",10,0))+IF(OR($AG122="Immediate",$AG122="0-30 days"),20,IF($AG122="1-3 months",10,0))+IF(OR($AC122="Cash",$AD122="Pre-approved",$AD122="Approved"),10,0)+IF(ISNUMBER($V122),10,0)))</x:f>
      </x:c>
      <x:c r="AM122" s="793" t="str">
        <x:f>IF($A122="","",IF($H122="Lost","Lost",IF($H122="Converted","Converted",IF(NOT(ISNUMBER($AL122)),"",IF($AL122&gt;=75,"Hot",IF($AL122&gt;=45,"Warm","Nurture"))))))</x:f>
      </x:c>
      <x:c r="AN122" s="794"/>
      <x:c r="AO122" s="791"/>
      <x:c r="AP122" s="791"/>
      <x:c r="AQ122" s="794"/>
      <x:c r="AR122" s="794"/>
      <x:c r="AS122" s="791"/>
    </x:row>
    <x:row r="123" ht="26" customHeight="1">
      <x:c r="A123" s="319"/>
      <x:c r="B123" s="320"/>
      <x:c r="C123" s="331"/>
      <x:c r="D123" s="274"/>
      <x:c r="E123" s="274"/>
      <x:c r="F123" s="274"/>
      <x:c r="G123" s="274"/>
      <x:c r="H123" s="274"/>
      <x:c r="I123" s="274"/>
      <x:c r="J123" s="274"/>
      <x:c r="K123" s="274"/>
      <x:c r="L123" s="274"/>
      <x:c r="M123" s="377"/>
      <x:c r="N123" s="302"/>
      <x:c r="O123" s="302"/>
      <x:c r="P123" s="274"/>
      <x:c r="Q123" s="304"/>
      <x:c r="R123" s="304"/>
      <x:c r="S123" s="274"/>
      <x:c r="T123" s="315" t="str">
        <x:f>IF(A123="","",IF(OR(AND(C123&lt;&gt;"",COUNTIFS($C$6:$C$205,C123)&gt;1),AND(D123&lt;&gt;"",COUNTIFS($D$6:$D$205,D123)&gt;1)),"Check duplicate",""))</x:f>
      </x:c>
      <x:c r="U123" s="374" t="str">
        <x:f>IF(A123="","",IF(COUNTIFS('Follow-ups'!$B$6:$B$205,A123,'Follow-ups'!$D$6:$D$205,"&gt;0",'Follow-ups'!$D$6:$D$205,"&lt;="&amp;TODAY())=0,"",_xlfn.MAXIFS('Follow-ups'!$D$6:$D$205,'Follow-ups'!$B$6:$B$205,A123,'Follow-ups'!$D$6:$D$205,"&lt;="&amp;TODAY())))</x:f>
      </x:c>
      <x:c r="V123" s="374" t="str">
        <x:f>IF(A123="","",IF(COUNTIFS('Follow-ups'!$B$6:$B$205,A123,'Follow-ups'!$I$6:$I$205,"Open",'Follow-ups'!$H$6:$H$205,"&gt;0")=0,"",_xlfn.MINIFS('Follow-ups'!$H$6:$H$205,'Follow-ups'!$B$6:$B$205,A123,'Follow-ups'!$I$6:$I$205,"Open",'Follow-ups'!$H$6:$H$205,"&gt;0")))</x:f>
      </x:c>
      <x:c r="W123" s="265" t="str">
        <x:f>IF(A123="","",IF(OR(H123="Converted",H123="Lost"),"Closed lead",IF(H123="On Hold","On hold",IF(ISNUMBER(V123),IF(V123&lt;TODAY(),"Overdue",IF(V123=TODAY(),"Due today","Scheduled")),IF(COUNTIFS('Follow-ups'!$B$6:$B$205,A123,'Follow-ups'!$I$6:$I$205,"Open")&gt;0,"Set task due date","No open task")))))</x:f>
      </x:c>
      <x:c r="X123" s="274"/>
      <x:c r="Y123" s="274"/>
      <x:c r="Z123" s="274"/>
      <x:c r="AA123" s="315" t="str">
        <x:f>IF(A123="","",IF(COUNTIFS($A$6:$A$205,A123)&gt;1,"Duplicate ID",IF(B123="","Add name",IF(AND(C123="",D123=""),"Add phone or email",IF(H123="","Set lead stage",IF(NOT(ISNUMBER(R123)),"Add date added",IF(AND(ISNUMBER(N123),ISNUMBER(O123),N123&gt;O123),"Check budget range",IF(AND(H123="Lost",Y123=""),"Add lost reason",""))))))))</x:f>
      </x:c>
      <x:c r="AB123" s="791"/>
      <x:c r="AC123" s="791"/>
      <x:c r="AD123" s="791"/>
      <x:c r="AE123" s="791"/>
      <x:c r="AF123" s="791"/>
      <x:c r="AG123" s="791"/>
      <x:c r="AH123" s="791"/>
      <x:c r="AI123" s="791"/>
      <x:c r="AJ123" s="791"/>
      <x:c r="AK123" s="791"/>
      <x:c r="AL123" s="793" t="str">
        <x:f>IF($A123="","",IF(OR($H123="Lost",$H123="Converted"),"",IF(OR($C123&lt;&gt;"",$D123&lt;&gt;""),10,0)+IF(AND(ISNUMBER($O123),$O123&gt;0),20,0)+IF($AE123="Yes",15,0)+IF($AF123="Yes",15,IF($AF123="Joint",10,0))+IF(OR($AG123="Immediate",$AG123="0-30 days"),20,IF($AG123="1-3 months",10,0))+IF(OR($AC123="Cash",$AD123="Pre-approved",$AD123="Approved"),10,0)+IF(ISNUMBER($V123),10,0)))</x:f>
      </x:c>
      <x:c r="AM123" s="793" t="str">
        <x:f>IF($A123="","",IF($H123="Lost","Lost",IF($H123="Converted","Converted",IF(NOT(ISNUMBER($AL123)),"",IF($AL123&gt;=75,"Hot",IF($AL123&gt;=45,"Warm","Nurture"))))))</x:f>
      </x:c>
      <x:c r="AN123" s="794"/>
      <x:c r="AO123" s="791"/>
      <x:c r="AP123" s="791"/>
      <x:c r="AQ123" s="794"/>
      <x:c r="AR123" s="794"/>
      <x:c r="AS123" s="791"/>
    </x:row>
    <x:row r="124" ht="26" customHeight="1">
      <x:c r="A124" s="317"/>
      <x:c r="B124" s="318"/>
      <x:c r="C124" s="327"/>
      <x:c r="D124" s="235"/>
      <x:c r="E124" s="235"/>
      <x:c r="F124" s="235"/>
      <x:c r="G124" s="235"/>
      <x:c r="H124" s="235"/>
      <x:c r="I124" s="235"/>
      <x:c r="J124" s="235"/>
      <x:c r="K124" s="235"/>
      <x:c r="L124" s="235"/>
      <x:c r="M124" s="376"/>
      <x:c r="N124" s="236"/>
      <x:c r="O124" s="236"/>
      <x:c r="P124" s="235"/>
      <x:c r="Q124" s="238"/>
      <x:c r="R124" s="238"/>
      <x:c r="S124" s="235"/>
      <x:c r="T124" s="315" t="str">
        <x:f>IF(A124="","",IF(OR(AND(C124&lt;&gt;"",COUNTIFS($C$6:$C$205,C124)&gt;1),AND(D124&lt;&gt;"",COUNTIFS($D$6:$D$205,D124)&gt;1)),"Check duplicate",""))</x:f>
      </x:c>
      <x:c r="U124" s="374" t="str">
        <x:f>IF(A124="","",IF(COUNTIFS('Follow-ups'!$B$6:$B$205,A124,'Follow-ups'!$D$6:$D$205,"&gt;0",'Follow-ups'!$D$6:$D$205,"&lt;="&amp;TODAY())=0,"",_xlfn.MAXIFS('Follow-ups'!$D$6:$D$205,'Follow-ups'!$B$6:$B$205,A124,'Follow-ups'!$D$6:$D$205,"&lt;="&amp;TODAY())))</x:f>
      </x:c>
      <x:c r="V124" s="374" t="str">
        <x:f>IF(A124="","",IF(COUNTIFS('Follow-ups'!$B$6:$B$205,A124,'Follow-ups'!$I$6:$I$205,"Open",'Follow-ups'!$H$6:$H$205,"&gt;0")=0,"",_xlfn.MINIFS('Follow-ups'!$H$6:$H$205,'Follow-ups'!$B$6:$B$205,A124,'Follow-ups'!$I$6:$I$205,"Open",'Follow-ups'!$H$6:$H$205,"&gt;0")))</x:f>
      </x:c>
      <x:c r="W124" s="265" t="str">
        <x:f>IF(A124="","",IF(OR(H124="Converted",H124="Lost"),"Closed lead",IF(H124="On Hold","On hold",IF(ISNUMBER(V124),IF(V124&lt;TODAY(),"Overdue",IF(V124=TODAY(),"Due today","Scheduled")),IF(COUNTIFS('Follow-ups'!$B$6:$B$205,A124,'Follow-ups'!$I$6:$I$205,"Open")&gt;0,"Set task due date","No open task")))))</x:f>
      </x:c>
      <x:c r="X124" s="235"/>
      <x:c r="Y124" s="235"/>
      <x:c r="Z124" s="235"/>
      <x:c r="AA124" s="315" t="str">
        <x:f>IF(A124="","",IF(COUNTIFS($A$6:$A$205,A124)&gt;1,"Duplicate ID",IF(B124="","Add name",IF(AND(C124="",D124=""),"Add phone or email",IF(H124="","Set lead stage",IF(NOT(ISNUMBER(R124)),"Add date added",IF(AND(ISNUMBER(N124),ISNUMBER(O124),N124&gt;O124),"Check budget range",IF(AND(H124="Lost",Y124=""),"Add lost reason",""))))))))</x:f>
      </x:c>
      <x:c r="AB124" s="791"/>
      <x:c r="AC124" s="791"/>
      <x:c r="AD124" s="791"/>
      <x:c r="AE124" s="791"/>
      <x:c r="AF124" s="791"/>
      <x:c r="AG124" s="791"/>
      <x:c r="AH124" s="791"/>
      <x:c r="AI124" s="791"/>
      <x:c r="AJ124" s="791"/>
      <x:c r="AK124" s="791"/>
      <x:c r="AL124" s="793" t="str">
        <x:f>IF($A124="","",IF(OR($H124="Lost",$H124="Converted"),"",IF(OR($C124&lt;&gt;"",$D124&lt;&gt;""),10,0)+IF(AND(ISNUMBER($O124),$O124&gt;0),20,0)+IF($AE124="Yes",15,0)+IF($AF124="Yes",15,IF($AF124="Joint",10,0))+IF(OR($AG124="Immediate",$AG124="0-30 days"),20,IF($AG124="1-3 months",10,0))+IF(OR($AC124="Cash",$AD124="Pre-approved",$AD124="Approved"),10,0)+IF(ISNUMBER($V124),10,0)))</x:f>
      </x:c>
      <x:c r="AM124" s="793" t="str">
        <x:f>IF($A124="","",IF($H124="Lost","Lost",IF($H124="Converted","Converted",IF(NOT(ISNUMBER($AL124)),"",IF($AL124&gt;=75,"Hot",IF($AL124&gt;=45,"Warm","Nurture"))))))</x:f>
      </x:c>
      <x:c r="AN124" s="794"/>
      <x:c r="AO124" s="791"/>
      <x:c r="AP124" s="791"/>
      <x:c r="AQ124" s="794"/>
      <x:c r="AR124" s="794"/>
      <x:c r="AS124" s="791"/>
    </x:row>
    <x:row r="125" ht="26" customHeight="1">
      <x:c r="A125" s="319"/>
      <x:c r="B125" s="320"/>
      <x:c r="C125" s="331"/>
      <x:c r="D125" s="274"/>
      <x:c r="E125" s="274"/>
      <x:c r="F125" s="274"/>
      <x:c r="G125" s="274"/>
      <x:c r="H125" s="274"/>
      <x:c r="I125" s="274"/>
      <x:c r="J125" s="274"/>
      <x:c r="K125" s="274"/>
      <x:c r="L125" s="274"/>
      <x:c r="M125" s="377"/>
      <x:c r="N125" s="302"/>
      <x:c r="O125" s="302"/>
      <x:c r="P125" s="274"/>
      <x:c r="Q125" s="304"/>
      <x:c r="R125" s="304"/>
      <x:c r="S125" s="274"/>
      <x:c r="T125" s="315" t="str">
        <x:f>IF(A125="","",IF(OR(AND(C125&lt;&gt;"",COUNTIFS($C$6:$C$205,C125)&gt;1),AND(D125&lt;&gt;"",COUNTIFS($D$6:$D$205,D125)&gt;1)),"Check duplicate",""))</x:f>
      </x:c>
      <x:c r="U125" s="374" t="str">
        <x:f>IF(A125="","",IF(COUNTIFS('Follow-ups'!$B$6:$B$205,A125,'Follow-ups'!$D$6:$D$205,"&gt;0",'Follow-ups'!$D$6:$D$205,"&lt;="&amp;TODAY())=0,"",_xlfn.MAXIFS('Follow-ups'!$D$6:$D$205,'Follow-ups'!$B$6:$B$205,A125,'Follow-ups'!$D$6:$D$205,"&lt;="&amp;TODAY())))</x:f>
      </x:c>
      <x:c r="V125" s="374" t="str">
        <x:f>IF(A125="","",IF(COUNTIFS('Follow-ups'!$B$6:$B$205,A125,'Follow-ups'!$I$6:$I$205,"Open",'Follow-ups'!$H$6:$H$205,"&gt;0")=0,"",_xlfn.MINIFS('Follow-ups'!$H$6:$H$205,'Follow-ups'!$B$6:$B$205,A125,'Follow-ups'!$I$6:$I$205,"Open",'Follow-ups'!$H$6:$H$205,"&gt;0")))</x:f>
      </x:c>
      <x:c r="W125" s="265" t="str">
        <x:f>IF(A125="","",IF(OR(H125="Converted",H125="Lost"),"Closed lead",IF(H125="On Hold","On hold",IF(ISNUMBER(V125),IF(V125&lt;TODAY(),"Overdue",IF(V125=TODAY(),"Due today","Scheduled")),IF(COUNTIFS('Follow-ups'!$B$6:$B$205,A125,'Follow-ups'!$I$6:$I$205,"Open")&gt;0,"Set task due date","No open task")))))</x:f>
      </x:c>
      <x:c r="X125" s="274"/>
      <x:c r="Y125" s="274"/>
      <x:c r="Z125" s="274"/>
      <x:c r="AA125" s="315" t="str">
        <x:f>IF(A125="","",IF(COUNTIFS($A$6:$A$205,A125)&gt;1,"Duplicate ID",IF(B125="","Add name",IF(AND(C125="",D125=""),"Add phone or email",IF(H125="","Set lead stage",IF(NOT(ISNUMBER(R125)),"Add date added",IF(AND(ISNUMBER(N125),ISNUMBER(O125),N125&gt;O125),"Check budget range",IF(AND(H125="Lost",Y125=""),"Add lost reason",""))))))))</x:f>
      </x:c>
      <x:c r="AB125" s="791"/>
      <x:c r="AC125" s="791"/>
      <x:c r="AD125" s="791"/>
      <x:c r="AE125" s="791"/>
      <x:c r="AF125" s="791"/>
      <x:c r="AG125" s="791"/>
      <x:c r="AH125" s="791"/>
      <x:c r="AI125" s="791"/>
      <x:c r="AJ125" s="791"/>
      <x:c r="AK125" s="791"/>
      <x:c r="AL125" s="793" t="str">
        <x:f>IF($A125="","",IF(OR($H125="Lost",$H125="Converted"),"",IF(OR($C125&lt;&gt;"",$D125&lt;&gt;""),10,0)+IF(AND(ISNUMBER($O125),$O125&gt;0),20,0)+IF($AE125="Yes",15,0)+IF($AF125="Yes",15,IF($AF125="Joint",10,0))+IF(OR($AG125="Immediate",$AG125="0-30 days"),20,IF($AG125="1-3 months",10,0))+IF(OR($AC125="Cash",$AD125="Pre-approved",$AD125="Approved"),10,0)+IF(ISNUMBER($V125),10,0)))</x:f>
      </x:c>
      <x:c r="AM125" s="793" t="str">
        <x:f>IF($A125="","",IF($H125="Lost","Lost",IF($H125="Converted","Converted",IF(NOT(ISNUMBER($AL125)),"",IF($AL125&gt;=75,"Hot",IF($AL125&gt;=45,"Warm","Nurture"))))))</x:f>
      </x:c>
      <x:c r="AN125" s="794"/>
      <x:c r="AO125" s="791"/>
      <x:c r="AP125" s="791"/>
      <x:c r="AQ125" s="794"/>
      <x:c r="AR125" s="794"/>
      <x:c r="AS125" s="791"/>
    </x:row>
    <x:row r="126" ht="26" customHeight="1">
      <x:c r="A126" s="317"/>
      <x:c r="B126" s="318"/>
      <x:c r="C126" s="327"/>
      <x:c r="D126" s="235"/>
      <x:c r="E126" s="235"/>
      <x:c r="F126" s="235"/>
      <x:c r="G126" s="235"/>
      <x:c r="H126" s="235"/>
      <x:c r="I126" s="235"/>
      <x:c r="J126" s="235"/>
      <x:c r="K126" s="235"/>
      <x:c r="L126" s="235"/>
      <x:c r="M126" s="376"/>
      <x:c r="N126" s="236"/>
      <x:c r="O126" s="236"/>
      <x:c r="P126" s="235"/>
      <x:c r="Q126" s="238"/>
      <x:c r="R126" s="238"/>
      <x:c r="S126" s="235"/>
      <x:c r="T126" s="315" t="str">
        <x:f>IF(A126="","",IF(OR(AND(C126&lt;&gt;"",COUNTIFS($C$6:$C$205,C126)&gt;1),AND(D126&lt;&gt;"",COUNTIFS($D$6:$D$205,D126)&gt;1)),"Check duplicate",""))</x:f>
      </x:c>
      <x:c r="U126" s="374" t="str">
        <x:f>IF(A126="","",IF(COUNTIFS('Follow-ups'!$B$6:$B$205,A126,'Follow-ups'!$D$6:$D$205,"&gt;0",'Follow-ups'!$D$6:$D$205,"&lt;="&amp;TODAY())=0,"",_xlfn.MAXIFS('Follow-ups'!$D$6:$D$205,'Follow-ups'!$B$6:$B$205,A126,'Follow-ups'!$D$6:$D$205,"&lt;="&amp;TODAY())))</x:f>
      </x:c>
      <x:c r="V126" s="374" t="str">
        <x:f>IF(A126="","",IF(COUNTIFS('Follow-ups'!$B$6:$B$205,A126,'Follow-ups'!$I$6:$I$205,"Open",'Follow-ups'!$H$6:$H$205,"&gt;0")=0,"",_xlfn.MINIFS('Follow-ups'!$H$6:$H$205,'Follow-ups'!$B$6:$B$205,A126,'Follow-ups'!$I$6:$I$205,"Open",'Follow-ups'!$H$6:$H$205,"&gt;0")))</x:f>
      </x:c>
      <x:c r="W126" s="265" t="str">
        <x:f>IF(A126="","",IF(OR(H126="Converted",H126="Lost"),"Closed lead",IF(H126="On Hold","On hold",IF(ISNUMBER(V126),IF(V126&lt;TODAY(),"Overdue",IF(V126=TODAY(),"Due today","Scheduled")),IF(COUNTIFS('Follow-ups'!$B$6:$B$205,A126,'Follow-ups'!$I$6:$I$205,"Open")&gt;0,"Set task due date","No open task")))))</x:f>
      </x:c>
      <x:c r="X126" s="235"/>
      <x:c r="Y126" s="235"/>
      <x:c r="Z126" s="235"/>
      <x:c r="AA126" s="315" t="str">
        <x:f>IF(A126="","",IF(COUNTIFS($A$6:$A$205,A126)&gt;1,"Duplicate ID",IF(B126="","Add name",IF(AND(C126="",D126=""),"Add phone or email",IF(H126="","Set lead stage",IF(NOT(ISNUMBER(R126)),"Add date added",IF(AND(ISNUMBER(N126),ISNUMBER(O126),N126&gt;O126),"Check budget range",IF(AND(H126="Lost",Y126=""),"Add lost reason",""))))))))</x:f>
      </x:c>
      <x:c r="AB126" s="791"/>
      <x:c r="AC126" s="791"/>
      <x:c r="AD126" s="791"/>
      <x:c r="AE126" s="791"/>
      <x:c r="AF126" s="791"/>
      <x:c r="AG126" s="791"/>
      <x:c r="AH126" s="791"/>
      <x:c r="AI126" s="791"/>
      <x:c r="AJ126" s="791"/>
      <x:c r="AK126" s="791"/>
      <x:c r="AL126" s="793" t="str">
        <x:f>IF($A126="","",IF(OR($H126="Lost",$H126="Converted"),"",IF(OR($C126&lt;&gt;"",$D126&lt;&gt;""),10,0)+IF(AND(ISNUMBER($O126),$O126&gt;0),20,0)+IF($AE126="Yes",15,0)+IF($AF126="Yes",15,IF($AF126="Joint",10,0))+IF(OR($AG126="Immediate",$AG126="0-30 days"),20,IF($AG126="1-3 months",10,0))+IF(OR($AC126="Cash",$AD126="Pre-approved",$AD126="Approved"),10,0)+IF(ISNUMBER($V126),10,0)))</x:f>
      </x:c>
      <x:c r="AM126" s="793" t="str">
        <x:f>IF($A126="","",IF($H126="Lost","Lost",IF($H126="Converted","Converted",IF(NOT(ISNUMBER($AL126)),"",IF($AL126&gt;=75,"Hot",IF($AL126&gt;=45,"Warm","Nurture"))))))</x:f>
      </x:c>
      <x:c r="AN126" s="794"/>
      <x:c r="AO126" s="791"/>
      <x:c r="AP126" s="791"/>
      <x:c r="AQ126" s="794"/>
      <x:c r="AR126" s="794"/>
      <x:c r="AS126" s="791"/>
    </x:row>
    <x:row r="127" ht="26" customHeight="1">
      <x:c r="A127" s="319"/>
      <x:c r="B127" s="320"/>
      <x:c r="C127" s="331"/>
      <x:c r="D127" s="274"/>
      <x:c r="E127" s="274"/>
      <x:c r="F127" s="274"/>
      <x:c r="G127" s="274"/>
      <x:c r="H127" s="274"/>
      <x:c r="I127" s="274"/>
      <x:c r="J127" s="274"/>
      <x:c r="K127" s="274"/>
      <x:c r="L127" s="274"/>
      <x:c r="M127" s="377"/>
      <x:c r="N127" s="302"/>
      <x:c r="O127" s="302"/>
      <x:c r="P127" s="274"/>
      <x:c r="Q127" s="304"/>
      <x:c r="R127" s="304"/>
      <x:c r="S127" s="274"/>
      <x:c r="T127" s="315" t="str">
        <x:f>IF(A127="","",IF(OR(AND(C127&lt;&gt;"",COUNTIFS($C$6:$C$205,C127)&gt;1),AND(D127&lt;&gt;"",COUNTIFS($D$6:$D$205,D127)&gt;1)),"Check duplicate",""))</x:f>
      </x:c>
      <x:c r="U127" s="374" t="str">
        <x:f>IF(A127="","",IF(COUNTIFS('Follow-ups'!$B$6:$B$205,A127,'Follow-ups'!$D$6:$D$205,"&gt;0",'Follow-ups'!$D$6:$D$205,"&lt;="&amp;TODAY())=0,"",_xlfn.MAXIFS('Follow-ups'!$D$6:$D$205,'Follow-ups'!$B$6:$B$205,A127,'Follow-ups'!$D$6:$D$205,"&lt;="&amp;TODAY())))</x:f>
      </x:c>
      <x:c r="V127" s="374" t="str">
        <x:f>IF(A127="","",IF(COUNTIFS('Follow-ups'!$B$6:$B$205,A127,'Follow-ups'!$I$6:$I$205,"Open",'Follow-ups'!$H$6:$H$205,"&gt;0")=0,"",_xlfn.MINIFS('Follow-ups'!$H$6:$H$205,'Follow-ups'!$B$6:$B$205,A127,'Follow-ups'!$I$6:$I$205,"Open",'Follow-ups'!$H$6:$H$205,"&gt;0")))</x:f>
      </x:c>
      <x:c r="W127" s="265" t="str">
        <x:f>IF(A127="","",IF(OR(H127="Converted",H127="Lost"),"Closed lead",IF(H127="On Hold","On hold",IF(ISNUMBER(V127),IF(V127&lt;TODAY(),"Overdue",IF(V127=TODAY(),"Due today","Scheduled")),IF(COUNTIFS('Follow-ups'!$B$6:$B$205,A127,'Follow-ups'!$I$6:$I$205,"Open")&gt;0,"Set task due date","No open task")))))</x:f>
      </x:c>
      <x:c r="X127" s="274"/>
      <x:c r="Y127" s="274"/>
      <x:c r="Z127" s="274"/>
      <x:c r="AA127" s="315" t="str">
        <x:f>IF(A127="","",IF(COUNTIFS($A$6:$A$205,A127)&gt;1,"Duplicate ID",IF(B127="","Add name",IF(AND(C127="",D127=""),"Add phone or email",IF(H127="","Set lead stage",IF(NOT(ISNUMBER(R127)),"Add date added",IF(AND(ISNUMBER(N127),ISNUMBER(O127),N127&gt;O127),"Check budget range",IF(AND(H127="Lost",Y127=""),"Add lost reason",""))))))))</x:f>
      </x:c>
      <x:c r="AB127" s="791"/>
      <x:c r="AC127" s="791"/>
      <x:c r="AD127" s="791"/>
      <x:c r="AE127" s="791"/>
      <x:c r="AF127" s="791"/>
      <x:c r="AG127" s="791"/>
      <x:c r="AH127" s="791"/>
      <x:c r="AI127" s="791"/>
      <x:c r="AJ127" s="791"/>
      <x:c r="AK127" s="791"/>
      <x:c r="AL127" s="793" t="str">
        <x:f>IF($A127="","",IF(OR($H127="Lost",$H127="Converted"),"",IF(OR($C127&lt;&gt;"",$D127&lt;&gt;""),10,0)+IF(AND(ISNUMBER($O127),$O127&gt;0),20,0)+IF($AE127="Yes",15,0)+IF($AF127="Yes",15,IF($AF127="Joint",10,0))+IF(OR($AG127="Immediate",$AG127="0-30 days"),20,IF($AG127="1-3 months",10,0))+IF(OR($AC127="Cash",$AD127="Pre-approved",$AD127="Approved"),10,0)+IF(ISNUMBER($V127),10,0)))</x:f>
      </x:c>
      <x:c r="AM127" s="793" t="str">
        <x:f>IF($A127="","",IF($H127="Lost","Lost",IF($H127="Converted","Converted",IF(NOT(ISNUMBER($AL127)),"",IF($AL127&gt;=75,"Hot",IF($AL127&gt;=45,"Warm","Nurture"))))))</x:f>
      </x:c>
      <x:c r="AN127" s="794"/>
      <x:c r="AO127" s="791"/>
      <x:c r="AP127" s="791"/>
      <x:c r="AQ127" s="794"/>
      <x:c r="AR127" s="794"/>
      <x:c r="AS127" s="791"/>
    </x:row>
    <x:row r="128" ht="26" customHeight="1">
      <x:c r="A128" s="317"/>
      <x:c r="B128" s="318"/>
      <x:c r="C128" s="327"/>
      <x:c r="D128" s="235"/>
      <x:c r="E128" s="235"/>
      <x:c r="F128" s="235"/>
      <x:c r="G128" s="235"/>
      <x:c r="H128" s="235"/>
      <x:c r="I128" s="235"/>
      <x:c r="J128" s="235"/>
      <x:c r="K128" s="235"/>
      <x:c r="L128" s="235"/>
      <x:c r="M128" s="376"/>
      <x:c r="N128" s="236"/>
      <x:c r="O128" s="236"/>
      <x:c r="P128" s="235"/>
      <x:c r="Q128" s="238"/>
      <x:c r="R128" s="238"/>
      <x:c r="S128" s="235"/>
      <x:c r="T128" s="315" t="str">
        <x:f>IF(A128="","",IF(OR(AND(C128&lt;&gt;"",COUNTIFS($C$6:$C$205,C128)&gt;1),AND(D128&lt;&gt;"",COUNTIFS($D$6:$D$205,D128)&gt;1)),"Check duplicate",""))</x:f>
      </x:c>
      <x:c r="U128" s="374" t="str">
        <x:f>IF(A128="","",IF(COUNTIFS('Follow-ups'!$B$6:$B$205,A128,'Follow-ups'!$D$6:$D$205,"&gt;0",'Follow-ups'!$D$6:$D$205,"&lt;="&amp;TODAY())=0,"",_xlfn.MAXIFS('Follow-ups'!$D$6:$D$205,'Follow-ups'!$B$6:$B$205,A128,'Follow-ups'!$D$6:$D$205,"&lt;="&amp;TODAY())))</x:f>
      </x:c>
      <x:c r="V128" s="374" t="str">
        <x:f>IF(A128="","",IF(COUNTIFS('Follow-ups'!$B$6:$B$205,A128,'Follow-ups'!$I$6:$I$205,"Open",'Follow-ups'!$H$6:$H$205,"&gt;0")=0,"",_xlfn.MINIFS('Follow-ups'!$H$6:$H$205,'Follow-ups'!$B$6:$B$205,A128,'Follow-ups'!$I$6:$I$205,"Open",'Follow-ups'!$H$6:$H$205,"&gt;0")))</x:f>
      </x:c>
      <x:c r="W128" s="265" t="str">
        <x:f>IF(A128="","",IF(OR(H128="Converted",H128="Lost"),"Closed lead",IF(H128="On Hold","On hold",IF(ISNUMBER(V128),IF(V128&lt;TODAY(),"Overdue",IF(V128=TODAY(),"Due today","Scheduled")),IF(COUNTIFS('Follow-ups'!$B$6:$B$205,A128,'Follow-ups'!$I$6:$I$205,"Open")&gt;0,"Set task due date","No open task")))))</x:f>
      </x:c>
      <x:c r="X128" s="235"/>
      <x:c r="Y128" s="235"/>
      <x:c r="Z128" s="235"/>
      <x:c r="AA128" s="315" t="str">
        <x:f>IF(A128="","",IF(COUNTIFS($A$6:$A$205,A128)&gt;1,"Duplicate ID",IF(B128="","Add name",IF(AND(C128="",D128=""),"Add phone or email",IF(H128="","Set lead stage",IF(NOT(ISNUMBER(R128)),"Add date added",IF(AND(ISNUMBER(N128),ISNUMBER(O128),N128&gt;O128),"Check budget range",IF(AND(H128="Lost",Y128=""),"Add lost reason",""))))))))</x:f>
      </x:c>
      <x:c r="AB128" s="791"/>
      <x:c r="AC128" s="791"/>
      <x:c r="AD128" s="791"/>
      <x:c r="AE128" s="791"/>
      <x:c r="AF128" s="791"/>
      <x:c r="AG128" s="791"/>
      <x:c r="AH128" s="791"/>
      <x:c r="AI128" s="791"/>
      <x:c r="AJ128" s="791"/>
      <x:c r="AK128" s="791"/>
      <x:c r="AL128" s="793" t="str">
        <x:f>IF($A128="","",IF(OR($H128="Lost",$H128="Converted"),"",IF(OR($C128&lt;&gt;"",$D128&lt;&gt;""),10,0)+IF(AND(ISNUMBER($O128),$O128&gt;0),20,0)+IF($AE128="Yes",15,0)+IF($AF128="Yes",15,IF($AF128="Joint",10,0))+IF(OR($AG128="Immediate",$AG128="0-30 days"),20,IF($AG128="1-3 months",10,0))+IF(OR($AC128="Cash",$AD128="Pre-approved",$AD128="Approved"),10,0)+IF(ISNUMBER($V128),10,0)))</x:f>
      </x:c>
      <x:c r="AM128" s="793" t="str">
        <x:f>IF($A128="","",IF($H128="Lost","Lost",IF($H128="Converted","Converted",IF(NOT(ISNUMBER($AL128)),"",IF($AL128&gt;=75,"Hot",IF($AL128&gt;=45,"Warm","Nurture"))))))</x:f>
      </x:c>
      <x:c r="AN128" s="794"/>
      <x:c r="AO128" s="791"/>
      <x:c r="AP128" s="791"/>
      <x:c r="AQ128" s="794"/>
      <x:c r="AR128" s="794"/>
      <x:c r="AS128" s="791"/>
    </x:row>
    <x:row r="129" ht="26" customHeight="1">
      <x:c r="A129" s="319"/>
      <x:c r="B129" s="320"/>
      <x:c r="C129" s="331"/>
      <x:c r="D129" s="274"/>
      <x:c r="E129" s="274"/>
      <x:c r="F129" s="274"/>
      <x:c r="G129" s="274"/>
      <x:c r="H129" s="274"/>
      <x:c r="I129" s="274"/>
      <x:c r="J129" s="274"/>
      <x:c r="K129" s="274"/>
      <x:c r="L129" s="274"/>
      <x:c r="M129" s="377"/>
      <x:c r="N129" s="302"/>
      <x:c r="O129" s="302"/>
      <x:c r="P129" s="274"/>
      <x:c r="Q129" s="304"/>
      <x:c r="R129" s="304"/>
      <x:c r="S129" s="274"/>
      <x:c r="T129" s="315" t="str">
        <x:f>IF(A129="","",IF(OR(AND(C129&lt;&gt;"",COUNTIFS($C$6:$C$205,C129)&gt;1),AND(D129&lt;&gt;"",COUNTIFS($D$6:$D$205,D129)&gt;1)),"Check duplicate",""))</x:f>
      </x:c>
      <x:c r="U129" s="374" t="str">
        <x:f>IF(A129="","",IF(COUNTIFS('Follow-ups'!$B$6:$B$205,A129,'Follow-ups'!$D$6:$D$205,"&gt;0",'Follow-ups'!$D$6:$D$205,"&lt;="&amp;TODAY())=0,"",_xlfn.MAXIFS('Follow-ups'!$D$6:$D$205,'Follow-ups'!$B$6:$B$205,A129,'Follow-ups'!$D$6:$D$205,"&lt;="&amp;TODAY())))</x:f>
      </x:c>
      <x:c r="V129" s="374" t="str">
        <x:f>IF(A129="","",IF(COUNTIFS('Follow-ups'!$B$6:$B$205,A129,'Follow-ups'!$I$6:$I$205,"Open",'Follow-ups'!$H$6:$H$205,"&gt;0")=0,"",_xlfn.MINIFS('Follow-ups'!$H$6:$H$205,'Follow-ups'!$B$6:$B$205,A129,'Follow-ups'!$I$6:$I$205,"Open",'Follow-ups'!$H$6:$H$205,"&gt;0")))</x:f>
      </x:c>
      <x:c r="W129" s="265" t="str">
        <x:f>IF(A129="","",IF(OR(H129="Converted",H129="Lost"),"Closed lead",IF(H129="On Hold","On hold",IF(ISNUMBER(V129),IF(V129&lt;TODAY(),"Overdue",IF(V129=TODAY(),"Due today","Scheduled")),IF(COUNTIFS('Follow-ups'!$B$6:$B$205,A129,'Follow-ups'!$I$6:$I$205,"Open")&gt;0,"Set task due date","No open task")))))</x:f>
      </x:c>
      <x:c r="X129" s="274"/>
      <x:c r="Y129" s="274"/>
      <x:c r="Z129" s="274"/>
      <x:c r="AA129" s="315" t="str">
        <x:f>IF(A129="","",IF(COUNTIFS($A$6:$A$205,A129)&gt;1,"Duplicate ID",IF(B129="","Add name",IF(AND(C129="",D129=""),"Add phone or email",IF(H129="","Set lead stage",IF(NOT(ISNUMBER(R129)),"Add date added",IF(AND(ISNUMBER(N129),ISNUMBER(O129),N129&gt;O129),"Check budget range",IF(AND(H129="Lost",Y129=""),"Add lost reason",""))))))))</x:f>
      </x:c>
      <x:c r="AB129" s="791"/>
      <x:c r="AC129" s="791"/>
      <x:c r="AD129" s="791"/>
      <x:c r="AE129" s="791"/>
      <x:c r="AF129" s="791"/>
      <x:c r="AG129" s="791"/>
      <x:c r="AH129" s="791"/>
      <x:c r="AI129" s="791"/>
      <x:c r="AJ129" s="791"/>
      <x:c r="AK129" s="791"/>
      <x:c r="AL129" s="793" t="str">
        <x:f>IF($A129="","",IF(OR($H129="Lost",$H129="Converted"),"",IF(OR($C129&lt;&gt;"",$D129&lt;&gt;""),10,0)+IF(AND(ISNUMBER($O129),$O129&gt;0),20,0)+IF($AE129="Yes",15,0)+IF($AF129="Yes",15,IF($AF129="Joint",10,0))+IF(OR($AG129="Immediate",$AG129="0-30 days"),20,IF($AG129="1-3 months",10,0))+IF(OR($AC129="Cash",$AD129="Pre-approved",$AD129="Approved"),10,0)+IF(ISNUMBER($V129),10,0)))</x:f>
      </x:c>
      <x:c r="AM129" s="793" t="str">
        <x:f>IF($A129="","",IF($H129="Lost","Lost",IF($H129="Converted","Converted",IF(NOT(ISNUMBER($AL129)),"",IF($AL129&gt;=75,"Hot",IF($AL129&gt;=45,"Warm","Nurture"))))))</x:f>
      </x:c>
      <x:c r="AN129" s="794"/>
      <x:c r="AO129" s="791"/>
      <x:c r="AP129" s="791"/>
      <x:c r="AQ129" s="794"/>
      <x:c r="AR129" s="794"/>
      <x:c r="AS129" s="791"/>
    </x:row>
    <x:row r="130" ht="26" customHeight="1">
      <x:c r="A130" s="317"/>
      <x:c r="B130" s="318"/>
      <x:c r="C130" s="327"/>
      <x:c r="D130" s="235"/>
      <x:c r="E130" s="235"/>
      <x:c r="F130" s="235"/>
      <x:c r="G130" s="235"/>
      <x:c r="H130" s="235"/>
      <x:c r="I130" s="235"/>
      <x:c r="J130" s="235"/>
      <x:c r="K130" s="235"/>
      <x:c r="L130" s="235"/>
      <x:c r="M130" s="376"/>
      <x:c r="N130" s="236"/>
      <x:c r="O130" s="236"/>
      <x:c r="P130" s="235"/>
      <x:c r="Q130" s="238"/>
      <x:c r="R130" s="238"/>
      <x:c r="S130" s="235"/>
      <x:c r="T130" s="315" t="str">
        <x:f>IF(A130="","",IF(OR(AND(C130&lt;&gt;"",COUNTIFS($C$6:$C$205,C130)&gt;1),AND(D130&lt;&gt;"",COUNTIFS($D$6:$D$205,D130)&gt;1)),"Check duplicate",""))</x:f>
      </x:c>
      <x:c r="U130" s="374" t="str">
        <x:f>IF(A130="","",IF(COUNTIFS('Follow-ups'!$B$6:$B$205,A130,'Follow-ups'!$D$6:$D$205,"&gt;0",'Follow-ups'!$D$6:$D$205,"&lt;="&amp;TODAY())=0,"",_xlfn.MAXIFS('Follow-ups'!$D$6:$D$205,'Follow-ups'!$B$6:$B$205,A130,'Follow-ups'!$D$6:$D$205,"&lt;="&amp;TODAY())))</x:f>
      </x:c>
      <x:c r="V130" s="374" t="str">
        <x:f>IF(A130="","",IF(COUNTIFS('Follow-ups'!$B$6:$B$205,A130,'Follow-ups'!$I$6:$I$205,"Open",'Follow-ups'!$H$6:$H$205,"&gt;0")=0,"",_xlfn.MINIFS('Follow-ups'!$H$6:$H$205,'Follow-ups'!$B$6:$B$205,A130,'Follow-ups'!$I$6:$I$205,"Open",'Follow-ups'!$H$6:$H$205,"&gt;0")))</x:f>
      </x:c>
      <x:c r="W130" s="265" t="str">
        <x:f>IF(A130="","",IF(OR(H130="Converted",H130="Lost"),"Closed lead",IF(H130="On Hold","On hold",IF(ISNUMBER(V130),IF(V130&lt;TODAY(),"Overdue",IF(V130=TODAY(),"Due today","Scheduled")),IF(COUNTIFS('Follow-ups'!$B$6:$B$205,A130,'Follow-ups'!$I$6:$I$205,"Open")&gt;0,"Set task due date","No open task")))))</x:f>
      </x:c>
      <x:c r="X130" s="235"/>
      <x:c r="Y130" s="235"/>
      <x:c r="Z130" s="235"/>
      <x:c r="AA130" s="315" t="str">
        <x:f>IF(A130="","",IF(COUNTIFS($A$6:$A$205,A130)&gt;1,"Duplicate ID",IF(B130="","Add name",IF(AND(C130="",D130=""),"Add phone or email",IF(H130="","Set lead stage",IF(NOT(ISNUMBER(R130)),"Add date added",IF(AND(ISNUMBER(N130),ISNUMBER(O130),N130&gt;O130),"Check budget range",IF(AND(H130="Lost",Y130=""),"Add lost reason",""))))))))</x:f>
      </x:c>
      <x:c r="AB130" s="791"/>
      <x:c r="AC130" s="791"/>
      <x:c r="AD130" s="791"/>
      <x:c r="AE130" s="791"/>
      <x:c r="AF130" s="791"/>
      <x:c r="AG130" s="791"/>
      <x:c r="AH130" s="791"/>
      <x:c r="AI130" s="791"/>
      <x:c r="AJ130" s="791"/>
      <x:c r="AK130" s="791"/>
      <x:c r="AL130" s="793" t="str">
        <x:f>IF($A130="","",IF(OR($H130="Lost",$H130="Converted"),"",IF(OR($C130&lt;&gt;"",$D130&lt;&gt;""),10,0)+IF(AND(ISNUMBER($O130),$O130&gt;0),20,0)+IF($AE130="Yes",15,0)+IF($AF130="Yes",15,IF($AF130="Joint",10,0))+IF(OR($AG130="Immediate",$AG130="0-30 days"),20,IF($AG130="1-3 months",10,0))+IF(OR($AC130="Cash",$AD130="Pre-approved",$AD130="Approved"),10,0)+IF(ISNUMBER($V130),10,0)))</x:f>
      </x:c>
      <x:c r="AM130" s="793" t="str">
        <x:f>IF($A130="","",IF($H130="Lost","Lost",IF($H130="Converted","Converted",IF(NOT(ISNUMBER($AL130)),"",IF($AL130&gt;=75,"Hot",IF($AL130&gt;=45,"Warm","Nurture"))))))</x:f>
      </x:c>
      <x:c r="AN130" s="794"/>
      <x:c r="AO130" s="791"/>
      <x:c r="AP130" s="791"/>
      <x:c r="AQ130" s="794"/>
      <x:c r="AR130" s="794"/>
      <x:c r="AS130" s="791"/>
    </x:row>
    <x:row r="131" ht="26" customHeight="1">
      <x:c r="A131" s="319"/>
      <x:c r="B131" s="320"/>
      <x:c r="C131" s="331"/>
      <x:c r="D131" s="274"/>
      <x:c r="E131" s="274"/>
      <x:c r="F131" s="274"/>
      <x:c r="G131" s="274"/>
      <x:c r="H131" s="274"/>
      <x:c r="I131" s="274"/>
      <x:c r="J131" s="274"/>
      <x:c r="K131" s="274"/>
      <x:c r="L131" s="274"/>
      <x:c r="M131" s="377"/>
      <x:c r="N131" s="302"/>
      <x:c r="O131" s="302"/>
      <x:c r="P131" s="274"/>
      <x:c r="Q131" s="304"/>
      <x:c r="R131" s="304"/>
      <x:c r="S131" s="274"/>
      <x:c r="T131" s="315" t="str">
        <x:f>IF(A131="","",IF(OR(AND(C131&lt;&gt;"",COUNTIFS($C$6:$C$205,C131)&gt;1),AND(D131&lt;&gt;"",COUNTIFS($D$6:$D$205,D131)&gt;1)),"Check duplicate",""))</x:f>
      </x:c>
      <x:c r="U131" s="374" t="str">
        <x:f>IF(A131="","",IF(COUNTIFS('Follow-ups'!$B$6:$B$205,A131,'Follow-ups'!$D$6:$D$205,"&gt;0",'Follow-ups'!$D$6:$D$205,"&lt;="&amp;TODAY())=0,"",_xlfn.MAXIFS('Follow-ups'!$D$6:$D$205,'Follow-ups'!$B$6:$B$205,A131,'Follow-ups'!$D$6:$D$205,"&lt;="&amp;TODAY())))</x:f>
      </x:c>
      <x:c r="V131" s="374" t="str">
        <x:f>IF(A131="","",IF(COUNTIFS('Follow-ups'!$B$6:$B$205,A131,'Follow-ups'!$I$6:$I$205,"Open",'Follow-ups'!$H$6:$H$205,"&gt;0")=0,"",_xlfn.MINIFS('Follow-ups'!$H$6:$H$205,'Follow-ups'!$B$6:$B$205,A131,'Follow-ups'!$I$6:$I$205,"Open",'Follow-ups'!$H$6:$H$205,"&gt;0")))</x:f>
      </x:c>
      <x:c r="W131" s="265" t="str">
        <x:f>IF(A131="","",IF(OR(H131="Converted",H131="Lost"),"Closed lead",IF(H131="On Hold","On hold",IF(ISNUMBER(V131),IF(V131&lt;TODAY(),"Overdue",IF(V131=TODAY(),"Due today","Scheduled")),IF(COUNTIFS('Follow-ups'!$B$6:$B$205,A131,'Follow-ups'!$I$6:$I$205,"Open")&gt;0,"Set task due date","No open task")))))</x:f>
      </x:c>
      <x:c r="X131" s="274"/>
      <x:c r="Y131" s="274"/>
      <x:c r="Z131" s="274"/>
      <x:c r="AA131" s="315" t="str">
        <x:f>IF(A131="","",IF(COUNTIFS($A$6:$A$205,A131)&gt;1,"Duplicate ID",IF(B131="","Add name",IF(AND(C131="",D131=""),"Add phone or email",IF(H131="","Set lead stage",IF(NOT(ISNUMBER(R131)),"Add date added",IF(AND(ISNUMBER(N131),ISNUMBER(O131),N131&gt;O131),"Check budget range",IF(AND(H131="Lost",Y131=""),"Add lost reason",""))))))))</x:f>
      </x:c>
      <x:c r="AB131" s="791"/>
      <x:c r="AC131" s="791"/>
      <x:c r="AD131" s="791"/>
      <x:c r="AE131" s="791"/>
      <x:c r="AF131" s="791"/>
      <x:c r="AG131" s="791"/>
      <x:c r="AH131" s="791"/>
      <x:c r="AI131" s="791"/>
      <x:c r="AJ131" s="791"/>
      <x:c r="AK131" s="791"/>
      <x:c r="AL131" s="793" t="str">
        <x:f>IF($A131="","",IF(OR($H131="Lost",$H131="Converted"),"",IF(OR($C131&lt;&gt;"",$D131&lt;&gt;""),10,0)+IF(AND(ISNUMBER($O131),$O131&gt;0),20,0)+IF($AE131="Yes",15,0)+IF($AF131="Yes",15,IF($AF131="Joint",10,0))+IF(OR($AG131="Immediate",$AG131="0-30 days"),20,IF($AG131="1-3 months",10,0))+IF(OR($AC131="Cash",$AD131="Pre-approved",$AD131="Approved"),10,0)+IF(ISNUMBER($V131),10,0)))</x:f>
      </x:c>
      <x:c r="AM131" s="793" t="str">
        <x:f>IF($A131="","",IF($H131="Lost","Lost",IF($H131="Converted","Converted",IF(NOT(ISNUMBER($AL131)),"",IF($AL131&gt;=75,"Hot",IF($AL131&gt;=45,"Warm","Nurture"))))))</x:f>
      </x:c>
      <x:c r="AN131" s="794"/>
      <x:c r="AO131" s="791"/>
      <x:c r="AP131" s="791"/>
      <x:c r="AQ131" s="794"/>
      <x:c r="AR131" s="794"/>
      <x:c r="AS131" s="791"/>
    </x:row>
    <x:row r="132" ht="26" customHeight="1">
      <x:c r="A132" s="317"/>
      <x:c r="B132" s="318"/>
      <x:c r="C132" s="327"/>
      <x:c r="D132" s="235"/>
      <x:c r="E132" s="235"/>
      <x:c r="F132" s="235"/>
      <x:c r="G132" s="235"/>
      <x:c r="H132" s="235"/>
      <x:c r="I132" s="235"/>
      <x:c r="J132" s="235"/>
      <x:c r="K132" s="235"/>
      <x:c r="L132" s="235"/>
      <x:c r="M132" s="376"/>
      <x:c r="N132" s="236"/>
      <x:c r="O132" s="236"/>
      <x:c r="P132" s="235"/>
      <x:c r="Q132" s="238"/>
      <x:c r="R132" s="238"/>
      <x:c r="S132" s="235"/>
      <x:c r="T132" s="315" t="str">
        <x:f>IF(A132="","",IF(OR(AND(C132&lt;&gt;"",COUNTIFS($C$6:$C$205,C132)&gt;1),AND(D132&lt;&gt;"",COUNTIFS($D$6:$D$205,D132)&gt;1)),"Check duplicate",""))</x:f>
      </x:c>
      <x:c r="U132" s="374" t="str">
        <x:f>IF(A132="","",IF(COUNTIFS('Follow-ups'!$B$6:$B$205,A132,'Follow-ups'!$D$6:$D$205,"&gt;0",'Follow-ups'!$D$6:$D$205,"&lt;="&amp;TODAY())=0,"",_xlfn.MAXIFS('Follow-ups'!$D$6:$D$205,'Follow-ups'!$B$6:$B$205,A132,'Follow-ups'!$D$6:$D$205,"&lt;="&amp;TODAY())))</x:f>
      </x:c>
      <x:c r="V132" s="374" t="str">
        <x:f>IF(A132="","",IF(COUNTIFS('Follow-ups'!$B$6:$B$205,A132,'Follow-ups'!$I$6:$I$205,"Open",'Follow-ups'!$H$6:$H$205,"&gt;0")=0,"",_xlfn.MINIFS('Follow-ups'!$H$6:$H$205,'Follow-ups'!$B$6:$B$205,A132,'Follow-ups'!$I$6:$I$205,"Open",'Follow-ups'!$H$6:$H$205,"&gt;0")))</x:f>
      </x:c>
      <x:c r="W132" s="265" t="str">
        <x:f>IF(A132="","",IF(OR(H132="Converted",H132="Lost"),"Closed lead",IF(H132="On Hold","On hold",IF(ISNUMBER(V132),IF(V132&lt;TODAY(),"Overdue",IF(V132=TODAY(),"Due today","Scheduled")),IF(COUNTIFS('Follow-ups'!$B$6:$B$205,A132,'Follow-ups'!$I$6:$I$205,"Open")&gt;0,"Set task due date","No open task")))))</x:f>
      </x:c>
      <x:c r="X132" s="235"/>
      <x:c r="Y132" s="235"/>
      <x:c r="Z132" s="235"/>
      <x:c r="AA132" s="315" t="str">
        <x:f>IF(A132="","",IF(COUNTIFS($A$6:$A$205,A132)&gt;1,"Duplicate ID",IF(B132="","Add name",IF(AND(C132="",D132=""),"Add phone or email",IF(H132="","Set lead stage",IF(NOT(ISNUMBER(R132)),"Add date added",IF(AND(ISNUMBER(N132),ISNUMBER(O132),N132&gt;O132),"Check budget range",IF(AND(H132="Lost",Y132=""),"Add lost reason",""))))))))</x:f>
      </x:c>
      <x:c r="AB132" s="791"/>
      <x:c r="AC132" s="791"/>
      <x:c r="AD132" s="791"/>
      <x:c r="AE132" s="791"/>
      <x:c r="AF132" s="791"/>
      <x:c r="AG132" s="791"/>
      <x:c r="AH132" s="791"/>
      <x:c r="AI132" s="791"/>
      <x:c r="AJ132" s="791"/>
      <x:c r="AK132" s="791"/>
      <x:c r="AL132" s="793" t="str">
        <x:f>IF($A132="","",IF(OR($H132="Lost",$H132="Converted"),"",IF(OR($C132&lt;&gt;"",$D132&lt;&gt;""),10,0)+IF(AND(ISNUMBER($O132),$O132&gt;0),20,0)+IF($AE132="Yes",15,0)+IF($AF132="Yes",15,IF($AF132="Joint",10,0))+IF(OR($AG132="Immediate",$AG132="0-30 days"),20,IF($AG132="1-3 months",10,0))+IF(OR($AC132="Cash",$AD132="Pre-approved",$AD132="Approved"),10,0)+IF(ISNUMBER($V132),10,0)))</x:f>
      </x:c>
      <x:c r="AM132" s="793" t="str">
        <x:f>IF($A132="","",IF($H132="Lost","Lost",IF($H132="Converted","Converted",IF(NOT(ISNUMBER($AL132)),"",IF($AL132&gt;=75,"Hot",IF($AL132&gt;=45,"Warm","Nurture"))))))</x:f>
      </x:c>
      <x:c r="AN132" s="794"/>
      <x:c r="AO132" s="791"/>
      <x:c r="AP132" s="791"/>
      <x:c r="AQ132" s="794"/>
      <x:c r="AR132" s="794"/>
      <x:c r="AS132" s="791"/>
    </x:row>
    <x:row r="133" ht="26" customHeight="1">
      <x:c r="A133" s="319"/>
      <x:c r="B133" s="320"/>
      <x:c r="C133" s="331"/>
      <x:c r="D133" s="274"/>
      <x:c r="E133" s="274"/>
      <x:c r="F133" s="274"/>
      <x:c r="G133" s="274"/>
      <x:c r="H133" s="274"/>
      <x:c r="I133" s="274"/>
      <x:c r="J133" s="274"/>
      <x:c r="K133" s="274"/>
      <x:c r="L133" s="274"/>
      <x:c r="M133" s="377"/>
      <x:c r="N133" s="302"/>
      <x:c r="O133" s="302"/>
      <x:c r="P133" s="274"/>
      <x:c r="Q133" s="304"/>
      <x:c r="R133" s="304"/>
      <x:c r="S133" s="274"/>
      <x:c r="T133" s="315" t="str">
        <x:f>IF(A133="","",IF(OR(AND(C133&lt;&gt;"",COUNTIFS($C$6:$C$205,C133)&gt;1),AND(D133&lt;&gt;"",COUNTIFS($D$6:$D$205,D133)&gt;1)),"Check duplicate",""))</x:f>
      </x:c>
      <x:c r="U133" s="374" t="str">
        <x:f>IF(A133="","",IF(COUNTIFS('Follow-ups'!$B$6:$B$205,A133,'Follow-ups'!$D$6:$D$205,"&gt;0",'Follow-ups'!$D$6:$D$205,"&lt;="&amp;TODAY())=0,"",_xlfn.MAXIFS('Follow-ups'!$D$6:$D$205,'Follow-ups'!$B$6:$B$205,A133,'Follow-ups'!$D$6:$D$205,"&lt;="&amp;TODAY())))</x:f>
      </x:c>
      <x:c r="V133" s="374" t="str">
        <x:f>IF(A133="","",IF(COUNTIFS('Follow-ups'!$B$6:$B$205,A133,'Follow-ups'!$I$6:$I$205,"Open",'Follow-ups'!$H$6:$H$205,"&gt;0")=0,"",_xlfn.MINIFS('Follow-ups'!$H$6:$H$205,'Follow-ups'!$B$6:$B$205,A133,'Follow-ups'!$I$6:$I$205,"Open",'Follow-ups'!$H$6:$H$205,"&gt;0")))</x:f>
      </x:c>
      <x:c r="W133" s="265" t="str">
        <x:f>IF(A133="","",IF(OR(H133="Converted",H133="Lost"),"Closed lead",IF(H133="On Hold","On hold",IF(ISNUMBER(V133),IF(V133&lt;TODAY(),"Overdue",IF(V133=TODAY(),"Due today","Scheduled")),IF(COUNTIFS('Follow-ups'!$B$6:$B$205,A133,'Follow-ups'!$I$6:$I$205,"Open")&gt;0,"Set task due date","No open task")))))</x:f>
      </x:c>
      <x:c r="X133" s="274"/>
      <x:c r="Y133" s="274"/>
      <x:c r="Z133" s="274"/>
      <x:c r="AA133" s="315" t="str">
        <x:f>IF(A133="","",IF(COUNTIFS($A$6:$A$205,A133)&gt;1,"Duplicate ID",IF(B133="","Add name",IF(AND(C133="",D133=""),"Add phone or email",IF(H133="","Set lead stage",IF(NOT(ISNUMBER(R133)),"Add date added",IF(AND(ISNUMBER(N133),ISNUMBER(O133),N133&gt;O133),"Check budget range",IF(AND(H133="Lost",Y133=""),"Add lost reason",""))))))))</x:f>
      </x:c>
      <x:c r="AB133" s="791"/>
      <x:c r="AC133" s="791"/>
      <x:c r="AD133" s="791"/>
      <x:c r="AE133" s="791"/>
      <x:c r="AF133" s="791"/>
      <x:c r="AG133" s="791"/>
      <x:c r="AH133" s="791"/>
      <x:c r="AI133" s="791"/>
      <x:c r="AJ133" s="791"/>
      <x:c r="AK133" s="791"/>
      <x:c r="AL133" s="793" t="str">
        <x:f>IF($A133="","",IF(OR($H133="Lost",$H133="Converted"),"",IF(OR($C133&lt;&gt;"",$D133&lt;&gt;""),10,0)+IF(AND(ISNUMBER($O133),$O133&gt;0),20,0)+IF($AE133="Yes",15,0)+IF($AF133="Yes",15,IF($AF133="Joint",10,0))+IF(OR($AG133="Immediate",$AG133="0-30 days"),20,IF($AG133="1-3 months",10,0))+IF(OR($AC133="Cash",$AD133="Pre-approved",$AD133="Approved"),10,0)+IF(ISNUMBER($V133),10,0)))</x:f>
      </x:c>
      <x:c r="AM133" s="793" t="str">
        <x:f>IF($A133="","",IF($H133="Lost","Lost",IF($H133="Converted","Converted",IF(NOT(ISNUMBER($AL133)),"",IF($AL133&gt;=75,"Hot",IF($AL133&gt;=45,"Warm","Nurture"))))))</x:f>
      </x:c>
      <x:c r="AN133" s="794"/>
      <x:c r="AO133" s="791"/>
      <x:c r="AP133" s="791"/>
      <x:c r="AQ133" s="794"/>
      <x:c r="AR133" s="794"/>
      <x:c r="AS133" s="791"/>
    </x:row>
    <x:row r="134" ht="26" customHeight="1">
      <x:c r="A134" s="317"/>
      <x:c r="B134" s="318"/>
      <x:c r="C134" s="327"/>
      <x:c r="D134" s="235"/>
      <x:c r="E134" s="235"/>
      <x:c r="F134" s="235"/>
      <x:c r="G134" s="235"/>
      <x:c r="H134" s="235"/>
      <x:c r="I134" s="235"/>
      <x:c r="J134" s="235"/>
      <x:c r="K134" s="235"/>
      <x:c r="L134" s="235"/>
      <x:c r="M134" s="376"/>
      <x:c r="N134" s="236"/>
      <x:c r="O134" s="236"/>
      <x:c r="P134" s="235"/>
      <x:c r="Q134" s="238"/>
      <x:c r="R134" s="238"/>
      <x:c r="S134" s="235"/>
      <x:c r="T134" s="315" t="str">
        <x:f>IF(A134="","",IF(OR(AND(C134&lt;&gt;"",COUNTIFS($C$6:$C$205,C134)&gt;1),AND(D134&lt;&gt;"",COUNTIFS($D$6:$D$205,D134)&gt;1)),"Check duplicate",""))</x:f>
      </x:c>
      <x:c r="U134" s="374" t="str">
        <x:f>IF(A134="","",IF(COUNTIFS('Follow-ups'!$B$6:$B$205,A134,'Follow-ups'!$D$6:$D$205,"&gt;0",'Follow-ups'!$D$6:$D$205,"&lt;="&amp;TODAY())=0,"",_xlfn.MAXIFS('Follow-ups'!$D$6:$D$205,'Follow-ups'!$B$6:$B$205,A134,'Follow-ups'!$D$6:$D$205,"&lt;="&amp;TODAY())))</x:f>
      </x:c>
      <x:c r="V134" s="374" t="str">
        <x:f>IF(A134="","",IF(COUNTIFS('Follow-ups'!$B$6:$B$205,A134,'Follow-ups'!$I$6:$I$205,"Open",'Follow-ups'!$H$6:$H$205,"&gt;0")=0,"",_xlfn.MINIFS('Follow-ups'!$H$6:$H$205,'Follow-ups'!$B$6:$B$205,A134,'Follow-ups'!$I$6:$I$205,"Open",'Follow-ups'!$H$6:$H$205,"&gt;0")))</x:f>
      </x:c>
      <x:c r="W134" s="265" t="str">
        <x:f>IF(A134="","",IF(OR(H134="Converted",H134="Lost"),"Closed lead",IF(H134="On Hold","On hold",IF(ISNUMBER(V134),IF(V134&lt;TODAY(),"Overdue",IF(V134=TODAY(),"Due today","Scheduled")),IF(COUNTIFS('Follow-ups'!$B$6:$B$205,A134,'Follow-ups'!$I$6:$I$205,"Open")&gt;0,"Set task due date","No open task")))))</x:f>
      </x:c>
      <x:c r="X134" s="235"/>
      <x:c r="Y134" s="235"/>
      <x:c r="Z134" s="235"/>
      <x:c r="AA134" s="315" t="str">
        <x:f>IF(A134="","",IF(COUNTIFS($A$6:$A$205,A134)&gt;1,"Duplicate ID",IF(B134="","Add name",IF(AND(C134="",D134=""),"Add phone or email",IF(H134="","Set lead stage",IF(NOT(ISNUMBER(R134)),"Add date added",IF(AND(ISNUMBER(N134),ISNUMBER(O134),N134&gt;O134),"Check budget range",IF(AND(H134="Lost",Y134=""),"Add lost reason",""))))))))</x:f>
      </x:c>
      <x:c r="AB134" s="791"/>
      <x:c r="AC134" s="791"/>
      <x:c r="AD134" s="791"/>
      <x:c r="AE134" s="791"/>
      <x:c r="AF134" s="791"/>
      <x:c r="AG134" s="791"/>
      <x:c r="AH134" s="791"/>
      <x:c r="AI134" s="791"/>
      <x:c r="AJ134" s="791"/>
      <x:c r="AK134" s="791"/>
      <x:c r="AL134" s="793" t="str">
        <x:f>IF($A134="","",IF(OR($H134="Lost",$H134="Converted"),"",IF(OR($C134&lt;&gt;"",$D134&lt;&gt;""),10,0)+IF(AND(ISNUMBER($O134),$O134&gt;0),20,0)+IF($AE134="Yes",15,0)+IF($AF134="Yes",15,IF($AF134="Joint",10,0))+IF(OR($AG134="Immediate",$AG134="0-30 days"),20,IF($AG134="1-3 months",10,0))+IF(OR($AC134="Cash",$AD134="Pre-approved",$AD134="Approved"),10,0)+IF(ISNUMBER($V134),10,0)))</x:f>
      </x:c>
      <x:c r="AM134" s="793" t="str">
        <x:f>IF($A134="","",IF($H134="Lost","Lost",IF($H134="Converted","Converted",IF(NOT(ISNUMBER($AL134)),"",IF($AL134&gt;=75,"Hot",IF($AL134&gt;=45,"Warm","Nurture"))))))</x:f>
      </x:c>
      <x:c r="AN134" s="794"/>
      <x:c r="AO134" s="791"/>
      <x:c r="AP134" s="791"/>
      <x:c r="AQ134" s="794"/>
      <x:c r="AR134" s="794"/>
      <x:c r="AS134" s="791"/>
    </x:row>
    <x:row r="135" ht="26" customHeight="1">
      <x:c r="A135" s="319"/>
      <x:c r="B135" s="320"/>
      <x:c r="C135" s="331"/>
      <x:c r="D135" s="274"/>
      <x:c r="E135" s="274"/>
      <x:c r="F135" s="274"/>
      <x:c r="G135" s="274"/>
      <x:c r="H135" s="274"/>
      <x:c r="I135" s="274"/>
      <x:c r="J135" s="274"/>
      <x:c r="K135" s="274"/>
      <x:c r="L135" s="274"/>
      <x:c r="M135" s="377"/>
      <x:c r="N135" s="302"/>
      <x:c r="O135" s="302"/>
      <x:c r="P135" s="274"/>
      <x:c r="Q135" s="304"/>
      <x:c r="R135" s="304"/>
      <x:c r="S135" s="274"/>
      <x:c r="T135" s="315" t="str">
        <x:f>IF(A135="","",IF(OR(AND(C135&lt;&gt;"",COUNTIFS($C$6:$C$205,C135)&gt;1),AND(D135&lt;&gt;"",COUNTIFS($D$6:$D$205,D135)&gt;1)),"Check duplicate",""))</x:f>
      </x:c>
      <x:c r="U135" s="374" t="str">
        <x:f>IF(A135="","",IF(COUNTIFS('Follow-ups'!$B$6:$B$205,A135,'Follow-ups'!$D$6:$D$205,"&gt;0",'Follow-ups'!$D$6:$D$205,"&lt;="&amp;TODAY())=0,"",_xlfn.MAXIFS('Follow-ups'!$D$6:$D$205,'Follow-ups'!$B$6:$B$205,A135,'Follow-ups'!$D$6:$D$205,"&lt;="&amp;TODAY())))</x:f>
      </x:c>
      <x:c r="V135" s="374" t="str">
        <x:f>IF(A135="","",IF(COUNTIFS('Follow-ups'!$B$6:$B$205,A135,'Follow-ups'!$I$6:$I$205,"Open",'Follow-ups'!$H$6:$H$205,"&gt;0")=0,"",_xlfn.MINIFS('Follow-ups'!$H$6:$H$205,'Follow-ups'!$B$6:$B$205,A135,'Follow-ups'!$I$6:$I$205,"Open",'Follow-ups'!$H$6:$H$205,"&gt;0")))</x:f>
      </x:c>
      <x:c r="W135" s="265" t="str">
        <x:f>IF(A135="","",IF(OR(H135="Converted",H135="Lost"),"Closed lead",IF(H135="On Hold","On hold",IF(ISNUMBER(V135),IF(V135&lt;TODAY(),"Overdue",IF(V135=TODAY(),"Due today","Scheduled")),IF(COUNTIFS('Follow-ups'!$B$6:$B$205,A135,'Follow-ups'!$I$6:$I$205,"Open")&gt;0,"Set task due date","No open task")))))</x:f>
      </x:c>
      <x:c r="X135" s="274"/>
      <x:c r="Y135" s="274"/>
      <x:c r="Z135" s="274"/>
      <x:c r="AA135" s="315" t="str">
        <x:f>IF(A135="","",IF(COUNTIFS($A$6:$A$205,A135)&gt;1,"Duplicate ID",IF(B135="","Add name",IF(AND(C135="",D135=""),"Add phone or email",IF(H135="","Set lead stage",IF(NOT(ISNUMBER(R135)),"Add date added",IF(AND(ISNUMBER(N135),ISNUMBER(O135),N135&gt;O135),"Check budget range",IF(AND(H135="Lost",Y135=""),"Add lost reason",""))))))))</x:f>
      </x:c>
      <x:c r="AB135" s="791"/>
      <x:c r="AC135" s="791"/>
      <x:c r="AD135" s="791"/>
      <x:c r="AE135" s="791"/>
      <x:c r="AF135" s="791"/>
      <x:c r="AG135" s="791"/>
      <x:c r="AH135" s="791"/>
      <x:c r="AI135" s="791"/>
      <x:c r="AJ135" s="791"/>
      <x:c r="AK135" s="791"/>
      <x:c r="AL135" s="793" t="str">
        <x:f>IF($A135="","",IF(OR($H135="Lost",$H135="Converted"),"",IF(OR($C135&lt;&gt;"",$D135&lt;&gt;""),10,0)+IF(AND(ISNUMBER($O135),$O135&gt;0),20,0)+IF($AE135="Yes",15,0)+IF($AF135="Yes",15,IF($AF135="Joint",10,0))+IF(OR($AG135="Immediate",$AG135="0-30 days"),20,IF($AG135="1-3 months",10,0))+IF(OR($AC135="Cash",$AD135="Pre-approved",$AD135="Approved"),10,0)+IF(ISNUMBER($V135),10,0)))</x:f>
      </x:c>
      <x:c r="AM135" s="793" t="str">
        <x:f>IF($A135="","",IF($H135="Lost","Lost",IF($H135="Converted","Converted",IF(NOT(ISNUMBER($AL135)),"",IF($AL135&gt;=75,"Hot",IF($AL135&gt;=45,"Warm","Nurture"))))))</x:f>
      </x:c>
      <x:c r="AN135" s="794"/>
      <x:c r="AO135" s="791"/>
      <x:c r="AP135" s="791"/>
      <x:c r="AQ135" s="794"/>
      <x:c r="AR135" s="794"/>
      <x:c r="AS135" s="791"/>
    </x:row>
    <x:row r="136" ht="26" customHeight="1">
      <x:c r="A136" s="317"/>
      <x:c r="B136" s="318"/>
      <x:c r="C136" s="327"/>
      <x:c r="D136" s="235"/>
      <x:c r="E136" s="235"/>
      <x:c r="F136" s="235"/>
      <x:c r="G136" s="235"/>
      <x:c r="H136" s="235"/>
      <x:c r="I136" s="235"/>
      <x:c r="J136" s="235"/>
      <x:c r="K136" s="235"/>
      <x:c r="L136" s="235"/>
      <x:c r="M136" s="376"/>
      <x:c r="N136" s="236"/>
      <x:c r="O136" s="236"/>
      <x:c r="P136" s="235"/>
      <x:c r="Q136" s="238"/>
      <x:c r="R136" s="238"/>
      <x:c r="S136" s="235"/>
      <x:c r="T136" s="315" t="str">
        <x:f>IF(A136="","",IF(OR(AND(C136&lt;&gt;"",COUNTIFS($C$6:$C$205,C136)&gt;1),AND(D136&lt;&gt;"",COUNTIFS($D$6:$D$205,D136)&gt;1)),"Check duplicate",""))</x:f>
      </x:c>
      <x:c r="U136" s="374" t="str">
        <x:f>IF(A136="","",IF(COUNTIFS('Follow-ups'!$B$6:$B$205,A136,'Follow-ups'!$D$6:$D$205,"&gt;0",'Follow-ups'!$D$6:$D$205,"&lt;="&amp;TODAY())=0,"",_xlfn.MAXIFS('Follow-ups'!$D$6:$D$205,'Follow-ups'!$B$6:$B$205,A136,'Follow-ups'!$D$6:$D$205,"&lt;="&amp;TODAY())))</x:f>
      </x:c>
      <x:c r="V136" s="374" t="str">
        <x:f>IF(A136="","",IF(COUNTIFS('Follow-ups'!$B$6:$B$205,A136,'Follow-ups'!$I$6:$I$205,"Open",'Follow-ups'!$H$6:$H$205,"&gt;0")=0,"",_xlfn.MINIFS('Follow-ups'!$H$6:$H$205,'Follow-ups'!$B$6:$B$205,A136,'Follow-ups'!$I$6:$I$205,"Open",'Follow-ups'!$H$6:$H$205,"&gt;0")))</x:f>
      </x:c>
      <x:c r="W136" s="265" t="str">
        <x:f>IF(A136="","",IF(OR(H136="Converted",H136="Lost"),"Closed lead",IF(H136="On Hold","On hold",IF(ISNUMBER(V136),IF(V136&lt;TODAY(),"Overdue",IF(V136=TODAY(),"Due today","Scheduled")),IF(COUNTIFS('Follow-ups'!$B$6:$B$205,A136,'Follow-ups'!$I$6:$I$205,"Open")&gt;0,"Set task due date","No open task")))))</x:f>
      </x:c>
      <x:c r="X136" s="235"/>
      <x:c r="Y136" s="235"/>
      <x:c r="Z136" s="235"/>
      <x:c r="AA136" s="315" t="str">
        <x:f>IF(A136="","",IF(COUNTIFS($A$6:$A$205,A136)&gt;1,"Duplicate ID",IF(B136="","Add name",IF(AND(C136="",D136=""),"Add phone or email",IF(H136="","Set lead stage",IF(NOT(ISNUMBER(R136)),"Add date added",IF(AND(ISNUMBER(N136),ISNUMBER(O136),N136&gt;O136),"Check budget range",IF(AND(H136="Lost",Y136=""),"Add lost reason",""))))))))</x:f>
      </x:c>
      <x:c r="AB136" s="791"/>
      <x:c r="AC136" s="791"/>
      <x:c r="AD136" s="791"/>
      <x:c r="AE136" s="791"/>
      <x:c r="AF136" s="791"/>
      <x:c r="AG136" s="791"/>
      <x:c r="AH136" s="791"/>
      <x:c r="AI136" s="791"/>
      <x:c r="AJ136" s="791"/>
      <x:c r="AK136" s="791"/>
      <x:c r="AL136" s="793" t="str">
        <x:f>IF($A136="","",IF(OR($H136="Lost",$H136="Converted"),"",IF(OR($C136&lt;&gt;"",$D136&lt;&gt;""),10,0)+IF(AND(ISNUMBER($O136),$O136&gt;0),20,0)+IF($AE136="Yes",15,0)+IF($AF136="Yes",15,IF($AF136="Joint",10,0))+IF(OR($AG136="Immediate",$AG136="0-30 days"),20,IF($AG136="1-3 months",10,0))+IF(OR($AC136="Cash",$AD136="Pre-approved",$AD136="Approved"),10,0)+IF(ISNUMBER($V136),10,0)))</x:f>
      </x:c>
      <x:c r="AM136" s="793" t="str">
        <x:f>IF($A136="","",IF($H136="Lost","Lost",IF($H136="Converted","Converted",IF(NOT(ISNUMBER($AL136)),"",IF($AL136&gt;=75,"Hot",IF($AL136&gt;=45,"Warm","Nurture"))))))</x:f>
      </x:c>
      <x:c r="AN136" s="794"/>
      <x:c r="AO136" s="791"/>
      <x:c r="AP136" s="791"/>
      <x:c r="AQ136" s="794"/>
      <x:c r="AR136" s="794"/>
      <x:c r="AS136" s="791"/>
    </x:row>
    <x:row r="137" ht="26" customHeight="1">
      <x:c r="A137" s="319"/>
      <x:c r="B137" s="320"/>
      <x:c r="C137" s="331"/>
      <x:c r="D137" s="274"/>
      <x:c r="E137" s="274"/>
      <x:c r="F137" s="274"/>
      <x:c r="G137" s="274"/>
      <x:c r="H137" s="274"/>
      <x:c r="I137" s="274"/>
      <x:c r="J137" s="274"/>
      <x:c r="K137" s="274"/>
      <x:c r="L137" s="274"/>
      <x:c r="M137" s="377"/>
      <x:c r="N137" s="302"/>
      <x:c r="O137" s="302"/>
      <x:c r="P137" s="274"/>
      <x:c r="Q137" s="304"/>
      <x:c r="R137" s="304"/>
      <x:c r="S137" s="274"/>
      <x:c r="T137" s="315" t="str">
        <x:f>IF(A137="","",IF(OR(AND(C137&lt;&gt;"",COUNTIFS($C$6:$C$205,C137)&gt;1),AND(D137&lt;&gt;"",COUNTIFS($D$6:$D$205,D137)&gt;1)),"Check duplicate",""))</x:f>
      </x:c>
      <x:c r="U137" s="374" t="str">
        <x:f>IF(A137="","",IF(COUNTIFS('Follow-ups'!$B$6:$B$205,A137,'Follow-ups'!$D$6:$D$205,"&gt;0",'Follow-ups'!$D$6:$D$205,"&lt;="&amp;TODAY())=0,"",_xlfn.MAXIFS('Follow-ups'!$D$6:$D$205,'Follow-ups'!$B$6:$B$205,A137,'Follow-ups'!$D$6:$D$205,"&lt;="&amp;TODAY())))</x:f>
      </x:c>
      <x:c r="V137" s="374" t="str">
        <x:f>IF(A137="","",IF(COUNTIFS('Follow-ups'!$B$6:$B$205,A137,'Follow-ups'!$I$6:$I$205,"Open",'Follow-ups'!$H$6:$H$205,"&gt;0")=0,"",_xlfn.MINIFS('Follow-ups'!$H$6:$H$205,'Follow-ups'!$B$6:$B$205,A137,'Follow-ups'!$I$6:$I$205,"Open",'Follow-ups'!$H$6:$H$205,"&gt;0")))</x:f>
      </x:c>
      <x:c r="W137" s="265" t="str">
        <x:f>IF(A137="","",IF(OR(H137="Converted",H137="Lost"),"Closed lead",IF(H137="On Hold","On hold",IF(ISNUMBER(V137),IF(V137&lt;TODAY(),"Overdue",IF(V137=TODAY(),"Due today","Scheduled")),IF(COUNTIFS('Follow-ups'!$B$6:$B$205,A137,'Follow-ups'!$I$6:$I$205,"Open")&gt;0,"Set task due date","No open task")))))</x:f>
      </x:c>
      <x:c r="X137" s="274"/>
      <x:c r="Y137" s="274"/>
      <x:c r="Z137" s="274"/>
      <x:c r="AA137" s="315" t="str">
        <x:f>IF(A137="","",IF(COUNTIFS($A$6:$A$205,A137)&gt;1,"Duplicate ID",IF(B137="","Add name",IF(AND(C137="",D137=""),"Add phone or email",IF(H137="","Set lead stage",IF(NOT(ISNUMBER(R137)),"Add date added",IF(AND(ISNUMBER(N137),ISNUMBER(O137),N137&gt;O137),"Check budget range",IF(AND(H137="Lost",Y137=""),"Add lost reason",""))))))))</x:f>
      </x:c>
      <x:c r="AB137" s="791"/>
      <x:c r="AC137" s="791"/>
      <x:c r="AD137" s="791"/>
      <x:c r="AE137" s="791"/>
      <x:c r="AF137" s="791"/>
      <x:c r="AG137" s="791"/>
      <x:c r="AH137" s="791"/>
      <x:c r="AI137" s="791"/>
      <x:c r="AJ137" s="791"/>
      <x:c r="AK137" s="791"/>
      <x:c r="AL137" s="793" t="str">
        <x:f>IF($A137="","",IF(OR($H137="Lost",$H137="Converted"),"",IF(OR($C137&lt;&gt;"",$D137&lt;&gt;""),10,0)+IF(AND(ISNUMBER($O137),$O137&gt;0),20,0)+IF($AE137="Yes",15,0)+IF($AF137="Yes",15,IF($AF137="Joint",10,0))+IF(OR($AG137="Immediate",$AG137="0-30 days"),20,IF($AG137="1-3 months",10,0))+IF(OR($AC137="Cash",$AD137="Pre-approved",$AD137="Approved"),10,0)+IF(ISNUMBER($V137),10,0)))</x:f>
      </x:c>
      <x:c r="AM137" s="793" t="str">
        <x:f>IF($A137="","",IF($H137="Lost","Lost",IF($H137="Converted","Converted",IF(NOT(ISNUMBER($AL137)),"",IF($AL137&gt;=75,"Hot",IF($AL137&gt;=45,"Warm","Nurture"))))))</x:f>
      </x:c>
      <x:c r="AN137" s="794"/>
      <x:c r="AO137" s="791"/>
      <x:c r="AP137" s="791"/>
      <x:c r="AQ137" s="794"/>
      <x:c r="AR137" s="794"/>
      <x:c r="AS137" s="791"/>
    </x:row>
    <x:row r="138" ht="26" customHeight="1">
      <x:c r="A138" s="317"/>
      <x:c r="B138" s="318"/>
      <x:c r="C138" s="327"/>
      <x:c r="D138" s="235"/>
      <x:c r="E138" s="235"/>
      <x:c r="F138" s="235"/>
      <x:c r="G138" s="235"/>
      <x:c r="H138" s="235"/>
      <x:c r="I138" s="235"/>
      <x:c r="J138" s="235"/>
      <x:c r="K138" s="235"/>
      <x:c r="L138" s="235"/>
      <x:c r="M138" s="376"/>
      <x:c r="N138" s="236"/>
      <x:c r="O138" s="236"/>
      <x:c r="P138" s="235"/>
      <x:c r="Q138" s="238"/>
      <x:c r="R138" s="238"/>
      <x:c r="S138" s="235"/>
      <x:c r="T138" s="315" t="str">
        <x:f>IF(A138="","",IF(OR(AND(C138&lt;&gt;"",COUNTIFS($C$6:$C$205,C138)&gt;1),AND(D138&lt;&gt;"",COUNTIFS($D$6:$D$205,D138)&gt;1)),"Check duplicate",""))</x:f>
      </x:c>
      <x:c r="U138" s="374" t="str">
        <x:f>IF(A138="","",IF(COUNTIFS('Follow-ups'!$B$6:$B$205,A138,'Follow-ups'!$D$6:$D$205,"&gt;0",'Follow-ups'!$D$6:$D$205,"&lt;="&amp;TODAY())=0,"",_xlfn.MAXIFS('Follow-ups'!$D$6:$D$205,'Follow-ups'!$B$6:$B$205,A138,'Follow-ups'!$D$6:$D$205,"&lt;="&amp;TODAY())))</x:f>
      </x:c>
      <x:c r="V138" s="374" t="str">
        <x:f>IF(A138="","",IF(COUNTIFS('Follow-ups'!$B$6:$B$205,A138,'Follow-ups'!$I$6:$I$205,"Open",'Follow-ups'!$H$6:$H$205,"&gt;0")=0,"",_xlfn.MINIFS('Follow-ups'!$H$6:$H$205,'Follow-ups'!$B$6:$B$205,A138,'Follow-ups'!$I$6:$I$205,"Open",'Follow-ups'!$H$6:$H$205,"&gt;0")))</x:f>
      </x:c>
      <x:c r="W138" s="265" t="str">
        <x:f>IF(A138="","",IF(OR(H138="Converted",H138="Lost"),"Closed lead",IF(H138="On Hold","On hold",IF(ISNUMBER(V138),IF(V138&lt;TODAY(),"Overdue",IF(V138=TODAY(),"Due today","Scheduled")),IF(COUNTIFS('Follow-ups'!$B$6:$B$205,A138,'Follow-ups'!$I$6:$I$205,"Open")&gt;0,"Set task due date","No open task")))))</x:f>
      </x:c>
      <x:c r="X138" s="235"/>
      <x:c r="Y138" s="235"/>
      <x:c r="Z138" s="235"/>
      <x:c r="AA138" s="315" t="str">
        <x:f>IF(A138="","",IF(COUNTIFS($A$6:$A$205,A138)&gt;1,"Duplicate ID",IF(B138="","Add name",IF(AND(C138="",D138=""),"Add phone or email",IF(H138="","Set lead stage",IF(NOT(ISNUMBER(R138)),"Add date added",IF(AND(ISNUMBER(N138),ISNUMBER(O138),N138&gt;O138),"Check budget range",IF(AND(H138="Lost",Y138=""),"Add lost reason",""))))))))</x:f>
      </x:c>
      <x:c r="AB138" s="791"/>
      <x:c r="AC138" s="791"/>
      <x:c r="AD138" s="791"/>
      <x:c r="AE138" s="791"/>
      <x:c r="AF138" s="791"/>
      <x:c r="AG138" s="791"/>
      <x:c r="AH138" s="791"/>
      <x:c r="AI138" s="791"/>
      <x:c r="AJ138" s="791"/>
      <x:c r="AK138" s="791"/>
      <x:c r="AL138" s="793" t="str">
        <x:f>IF($A138="","",IF(OR($H138="Lost",$H138="Converted"),"",IF(OR($C138&lt;&gt;"",$D138&lt;&gt;""),10,0)+IF(AND(ISNUMBER($O138),$O138&gt;0),20,0)+IF($AE138="Yes",15,0)+IF($AF138="Yes",15,IF($AF138="Joint",10,0))+IF(OR($AG138="Immediate",$AG138="0-30 days"),20,IF($AG138="1-3 months",10,0))+IF(OR($AC138="Cash",$AD138="Pre-approved",$AD138="Approved"),10,0)+IF(ISNUMBER($V138),10,0)))</x:f>
      </x:c>
      <x:c r="AM138" s="793" t="str">
        <x:f>IF($A138="","",IF($H138="Lost","Lost",IF($H138="Converted","Converted",IF(NOT(ISNUMBER($AL138)),"",IF($AL138&gt;=75,"Hot",IF($AL138&gt;=45,"Warm","Nurture"))))))</x:f>
      </x:c>
      <x:c r="AN138" s="794"/>
      <x:c r="AO138" s="791"/>
      <x:c r="AP138" s="791"/>
      <x:c r="AQ138" s="794"/>
      <x:c r="AR138" s="794"/>
      <x:c r="AS138" s="791"/>
    </x:row>
    <x:row r="139" ht="26" customHeight="1">
      <x:c r="A139" s="319"/>
      <x:c r="B139" s="320"/>
      <x:c r="C139" s="331"/>
      <x:c r="D139" s="274"/>
      <x:c r="E139" s="274"/>
      <x:c r="F139" s="274"/>
      <x:c r="G139" s="274"/>
      <x:c r="H139" s="274"/>
      <x:c r="I139" s="274"/>
      <x:c r="J139" s="274"/>
      <x:c r="K139" s="274"/>
      <x:c r="L139" s="274"/>
      <x:c r="M139" s="377"/>
      <x:c r="N139" s="302"/>
      <x:c r="O139" s="302"/>
      <x:c r="P139" s="274"/>
      <x:c r="Q139" s="304"/>
      <x:c r="R139" s="304"/>
      <x:c r="S139" s="274"/>
      <x:c r="T139" s="315" t="str">
        <x:f>IF(A139="","",IF(OR(AND(C139&lt;&gt;"",COUNTIFS($C$6:$C$205,C139)&gt;1),AND(D139&lt;&gt;"",COUNTIFS($D$6:$D$205,D139)&gt;1)),"Check duplicate",""))</x:f>
      </x:c>
      <x:c r="U139" s="374" t="str">
        <x:f>IF(A139="","",IF(COUNTIFS('Follow-ups'!$B$6:$B$205,A139,'Follow-ups'!$D$6:$D$205,"&gt;0",'Follow-ups'!$D$6:$D$205,"&lt;="&amp;TODAY())=0,"",_xlfn.MAXIFS('Follow-ups'!$D$6:$D$205,'Follow-ups'!$B$6:$B$205,A139,'Follow-ups'!$D$6:$D$205,"&lt;="&amp;TODAY())))</x:f>
      </x:c>
      <x:c r="V139" s="374" t="str">
        <x:f>IF(A139="","",IF(COUNTIFS('Follow-ups'!$B$6:$B$205,A139,'Follow-ups'!$I$6:$I$205,"Open",'Follow-ups'!$H$6:$H$205,"&gt;0")=0,"",_xlfn.MINIFS('Follow-ups'!$H$6:$H$205,'Follow-ups'!$B$6:$B$205,A139,'Follow-ups'!$I$6:$I$205,"Open",'Follow-ups'!$H$6:$H$205,"&gt;0")))</x:f>
      </x:c>
      <x:c r="W139" s="265" t="str">
        <x:f>IF(A139="","",IF(OR(H139="Converted",H139="Lost"),"Closed lead",IF(H139="On Hold","On hold",IF(ISNUMBER(V139),IF(V139&lt;TODAY(),"Overdue",IF(V139=TODAY(),"Due today","Scheduled")),IF(COUNTIFS('Follow-ups'!$B$6:$B$205,A139,'Follow-ups'!$I$6:$I$205,"Open")&gt;0,"Set task due date","No open task")))))</x:f>
      </x:c>
      <x:c r="X139" s="274"/>
      <x:c r="Y139" s="274"/>
      <x:c r="Z139" s="274"/>
      <x:c r="AA139" s="315" t="str">
        <x:f>IF(A139="","",IF(COUNTIFS($A$6:$A$205,A139)&gt;1,"Duplicate ID",IF(B139="","Add name",IF(AND(C139="",D139=""),"Add phone or email",IF(H139="","Set lead stage",IF(NOT(ISNUMBER(R139)),"Add date added",IF(AND(ISNUMBER(N139),ISNUMBER(O139),N139&gt;O139),"Check budget range",IF(AND(H139="Lost",Y139=""),"Add lost reason",""))))))))</x:f>
      </x:c>
      <x:c r="AB139" s="791"/>
      <x:c r="AC139" s="791"/>
      <x:c r="AD139" s="791"/>
      <x:c r="AE139" s="791"/>
      <x:c r="AF139" s="791"/>
      <x:c r="AG139" s="791"/>
      <x:c r="AH139" s="791"/>
      <x:c r="AI139" s="791"/>
      <x:c r="AJ139" s="791"/>
      <x:c r="AK139" s="791"/>
      <x:c r="AL139" s="793" t="str">
        <x:f>IF($A139="","",IF(OR($H139="Lost",$H139="Converted"),"",IF(OR($C139&lt;&gt;"",$D139&lt;&gt;""),10,0)+IF(AND(ISNUMBER($O139),$O139&gt;0),20,0)+IF($AE139="Yes",15,0)+IF($AF139="Yes",15,IF($AF139="Joint",10,0))+IF(OR($AG139="Immediate",$AG139="0-30 days"),20,IF($AG139="1-3 months",10,0))+IF(OR($AC139="Cash",$AD139="Pre-approved",$AD139="Approved"),10,0)+IF(ISNUMBER($V139),10,0)))</x:f>
      </x:c>
      <x:c r="AM139" s="793" t="str">
        <x:f>IF($A139="","",IF($H139="Lost","Lost",IF($H139="Converted","Converted",IF(NOT(ISNUMBER($AL139)),"",IF($AL139&gt;=75,"Hot",IF($AL139&gt;=45,"Warm","Nurture"))))))</x:f>
      </x:c>
      <x:c r="AN139" s="794"/>
      <x:c r="AO139" s="791"/>
      <x:c r="AP139" s="791"/>
      <x:c r="AQ139" s="794"/>
      <x:c r="AR139" s="794"/>
      <x:c r="AS139" s="791"/>
    </x:row>
    <x:row r="140" ht="26" customHeight="1">
      <x:c r="A140" s="317"/>
      <x:c r="B140" s="318"/>
      <x:c r="C140" s="327"/>
      <x:c r="D140" s="235"/>
      <x:c r="E140" s="235"/>
      <x:c r="F140" s="235"/>
      <x:c r="G140" s="235"/>
      <x:c r="H140" s="235"/>
      <x:c r="I140" s="235"/>
      <x:c r="J140" s="235"/>
      <x:c r="K140" s="235"/>
      <x:c r="L140" s="235"/>
      <x:c r="M140" s="376"/>
      <x:c r="N140" s="236"/>
      <x:c r="O140" s="236"/>
      <x:c r="P140" s="235"/>
      <x:c r="Q140" s="238"/>
      <x:c r="R140" s="238"/>
      <x:c r="S140" s="235"/>
      <x:c r="T140" s="315" t="str">
        <x:f>IF(A140="","",IF(OR(AND(C140&lt;&gt;"",COUNTIFS($C$6:$C$205,C140)&gt;1),AND(D140&lt;&gt;"",COUNTIFS($D$6:$D$205,D140)&gt;1)),"Check duplicate",""))</x:f>
      </x:c>
      <x:c r="U140" s="374" t="str">
        <x:f>IF(A140="","",IF(COUNTIFS('Follow-ups'!$B$6:$B$205,A140,'Follow-ups'!$D$6:$D$205,"&gt;0",'Follow-ups'!$D$6:$D$205,"&lt;="&amp;TODAY())=0,"",_xlfn.MAXIFS('Follow-ups'!$D$6:$D$205,'Follow-ups'!$B$6:$B$205,A140,'Follow-ups'!$D$6:$D$205,"&lt;="&amp;TODAY())))</x:f>
      </x:c>
      <x:c r="V140" s="374" t="str">
        <x:f>IF(A140="","",IF(COUNTIFS('Follow-ups'!$B$6:$B$205,A140,'Follow-ups'!$I$6:$I$205,"Open",'Follow-ups'!$H$6:$H$205,"&gt;0")=0,"",_xlfn.MINIFS('Follow-ups'!$H$6:$H$205,'Follow-ups'!$B$6:$B$205,A140,'Follow-ups'!$I$6:$I$205,"Open",'Follow-ups'!$H$6:$H$205,"&gt;0")))</x:f>
      </x:c>
      <x:c r="W140" s="265" t="str">
        <x:f>IF(A140="","",IF(OR(H140="Converted",H140="Lost"),"Closed lead",IF(H140="On Hold","On hold",IF(ISNUMBER(V140),IF(V140&lt;TODAY(),"Overdue",IF(V140=TODAY(),"Due today","Scheduled")),IF(COUNTIFS('Follow-ups'!$B$6:$B$205,A140,'Follow-ups'!$I$6:$I$205,"Open")&gt;0,"Set task due date","No open task")))))</x:f>
      </x:c>
      <x:c r="X140" s="235"/>
      <x:c r="Y140" s="235"/>
      <x:c r="Z140" s="235"/>
      <x:c r="AA140" s="315" t="str">
        <x:f>IF(A140="","",IF(COUNTIFS($A$6:$A$205,A140)&gt;1,"Duplicate ID",IF(B140="","Add name",IF(AND(C140="",D140=""),"Add phone or email",IF(H140="","Set lead stage",IF(NOT(ISNUMBER(R140)),"Add date added",IF(AND(ISNUMBER(N140),ISNUMBER(O140),N140&gt;O140),"Check budget range",IF(AND(H140="Lost",Y140=""),"Add lost reason",""))))))))</x:f>
      </x:c>
      <x:c r="AB140" s="791"/>
      <x:c r="AC140" s="791"/>
      <x:c r="AD140" s="791"/>
      <x:c r="AE140" s="791"/>
      <x:c r="AF140" s="791"/>
      <x:c r="AG140" s="791"/>
      <x:c r="AH140" s="791"/>
      <x:c r="AI140" s="791"/>
      <x:c r="AJ140" s="791"/>
      <x:c r="AK140" s="791"/>
      <x:c r="AL140" s="793" t="str">
        <x:f>IF($A140="","",IF(OR($H140="Lost",$H140="Converted"),"",IF(OR($C140&lt;&gt;"",$D140&lt;&gt;""),10,0)+IF(AND(ISNUMBER($O140),$O140&gt;0),20,0)+IF($AE140="Yes",15,0)+IF($AF140="Yes",15,IF($AF140="Joint",10,0))+IF(OR($AG140="Immediate",$AG140="0-30 days"),20,IF($AG140="1-3 months",10,0))+IF(OR($AC140="Cash",$AD140="Pre-approved",$AD140="Approved"),10,0)+IF(ISNUMBER($V140),10,0)))</x:f>
      </x:c>
      <x:c r="AM140" s="793" t="str">
        <x:f>IF($A140="","",IF($H140="Lost","Lost",IF($H140="Converted","Converted",IF(NOT(ISNUMBER($AL140)),"",IF($AL140&gt;=75,"Hot",IF($AL140&gt;=45,"Warm","Nurture"))))))</x:f>
      </x:c>
      <x:c r="AN140" s="794"/>
      <x:c r="AO140" s="791"/>
      <x:c r="AP140" s="791"/>
      <x:c r="AQ140" s="794"/>
      <x:c r="AR140" s="794"/>
      <x:c r="AS140" s="791"/>
    </x:row>
    <x:row r="141" ht="26" customHeight="1">
      <x:c r="A141" s="319"/>
      <x:c r="B141" s="320"/>
      <x:c r="C141" s="331"/>
      <x:c r="D141" s="274"/>
      <x:c r="E141" s="274"/>
      <x:c r="F141" s="274"/>
      <x:c r="G141" s="274"/>
      <x:c r="H141" s="274"/>
      <x:c r="I141" s="274"/>
      <x:c r="J141" s="274"/>
      <x:c r="K141" s="274"/>
      <x:c r="L141" s="274"/>
      <x:c r="M141" s="377"/>
      <x:c r="N141" s="302"/>
      <x:c r="O141" s="302"/>
      <x:c r="P141" s="274"/>
      <x:c r="Q141" s="304"/>
      <x:c r="R141" s="304"/>
      <x:c r="S141" s="274"/>
      <x:c r="T141" s="315" t="str">
        <x:f>IF(A141="","",IF(OR(AND(C141&lt;&gt;"",COUNTIFS($C$6:$C$205,C141)&gt;1),AND(D141&lt;&gt;"",COUNTIFS($D$6:$D$205,D141)&gt;1)),"Check duplicate",""))</x:f>
      </x:c>
      <x:c r="U141" s="374" t="str">
        <x:f>IF(A141="","",IF(COUNTIFS('Follow-ups'!$B$6:$B$205,A141,'Follow-ups'!$D$6:$D$205,"&gt;0",'Follow-ups'!$D$6:$D$205,"&lt;="&amp;TODAY())=0,"",_xlfn.MAXIFS('Follow-ups'!$D$6:$D$205,'Follow-ups'!$B$6:$B$205,A141,'Follow-ups'!$D$6:$D$205,"&lt;="&amp;TODAY())))</x:f>
      </x:c>
      <x:c r="V141" s="374" t="str">
        <x:f>IF(A141="","",IF(COUNTIFS('Follow-ups'!$B$6:$B$205,A141,'Follow-ups'!$I$6:$I$205,"Open",'Follow-ups'!$H$6:$H$205,"&gt;0")=0,"",_xlfn.MINIFS('Follow-ups'!$H$6:$H$205,'Follow-ups'!$B$6:$B$205,A141,'Follow-ups'!$I$6:$I$205,"Open",'Follow-ups'!$H$6:$H$205,"&gt;0")))</x:f>
      </x:c>
      <x:c r="W141" s="265" t="str">
        <x:f>IF(A141="","",IF(OR(H141="Converted",H141="Lost"),"Closed lead",IF(H141="On Hold","On hold",IF(ISNUMBER(V141),IF(V141&lt;TODAY(),"Overdue",IF(V141=TODAY(),"Due today","Scheduled")),IF(COUNTIFS('Follow-ups'!$B$6:$B$205,A141,'Follow-ups'!$I$6:$I$205,"Open")&gt;0,"Set task due date","No open task")))))</x:f>
      </x:c>
      <x:c r="X141" s="274"/>
      <x:c r="Y141" s="274"/>
      <x:c r="Z141" s="274"/>
      <x:c r="AA141" s="315" t="str">
        <x:f>IF(A141="","",IF(COUNTIFS($A$6:$A$205,A141)&gt;1,"Duplicate ID",IF(B141="","Add name",IF(AND(C141="",D141=""),"Add phone or email",IF(H141="","Set lead stage",IF(NOT(ISNUMBER(R141)),"Add date added",IF(AND(ISNUMBER(N141),ISNUMBER(O141),N141&gt;O141),"Check budget range",IF(AND(H141="Lost",Y141=""),"Add lost reason",""))))))))</x:f>
      </x:c>
      <x:c r="AB141" s="791"/>
      <x:c r="AC141" s="791"/>
      <x:c r="AD141" s="791"/>
      <x:c r="AE141" s="791"/>
      <x:c r="AF141" s="791"/>
      <x:c r="AG141" s="791"/>
      <x:c r="AH141" s="791"/>
      <x:c r="AI141" s="791"/>
      <x:c r="AJ141" s="791"/>
      <x:c r="AK141" s="791"/>
      <x:c r="AL141" s="793" t="str">
        <x:f>IF($A141="","",IF(OR($H141="Lost",$H141="Converted"),"",IF(OR($C141&lt;&gt;"",$D141&lt;&gt;""),10,0)+IF(AND(ISNUMBER($O141),$O141&gt;0),20,0)+IF($AE141="Yes",15,0)+IF($AF141="Yes",15,IF($AF141="Joint",10,0))+IF(OR($AG141="Immediate",$AG141="0-30 days"),20,IF($AG141="1-3 months",10,0))+IF(OR($AC141="Cash",$AD141="Pre-approved",$AD141="Approved"),10,0)+IF(ISNUMBER($V141),10,0)))</x:f>
      </x:c>
      <x:c r="AM141" s="793" t="str">
        <x:f>IF($A141="","",IF($H141="Lost","Lost",IF($H141="Converted","Converted",IF(NOT(ISNUMBER($AL141)),"",IF($AL141&gt;=75,"Hot",IF($AL141&gt;=45,"Warm","Nurture"))))))</x:f>
      </x:c>
      <x:c r="AN141" s="794"/>
      <x:c r="AO141" s="791"/>
      <x:c r="AP141" s="791"/>
      <x:c r="AQ141" s="794"/>
      <x:c r="AR141" s="794"/>
      <x:c r="AS141" s="791"/>
    </x:row>
    <x:row r="142" ht="26" customHeight="1">
      <x:c r="A142" s="317"/>
      <x:c r="B142" s="318"/>
      <x:c r="C142" s="327"/>
      <x:c r="D142" s="235"/>
      <x:c r="E142" s="235"/>
      <x:c r="F142" s="235"/>
      <x:c r="G142" s="235"/>
      <x:c r="H142" s="235"/>
      <x:c r="I142" s="235"/>
      <x:c r="J142" s="235"/>
      <x:c r="K142" s="235"/>
      <x:c r="L142" s="235"/>
      <x:c r="M142" s="376"/>
      <x:c r="N142" s="236"/>
      <x:c r="O142" s="236"/>
      <x:c r="P142" s="235"/>
      <x:c r="Q142" s="238"/>
      <x:c r="R142" s="238"/>
      <x:c r="S142" s="235"/>
      <x:c r="T142" s="315" t="str">
        <x:f>IF(A142="","",IF(OR(AND(C142&lt;&gt;"",COUNTIFS($C$6:$C$205,C142)&gt;1),AND(D142&lt;&gt;"",COUNTIFS($D$6:$D$205,D142)&gt;1)),"Check duplicate",""))</x:f>
      </x:c>
      <x:c r="U142" s="374" t="str">
        <x:f>IF(A142="","",IF(COUNTIFS('Follow-ups'!$B$6:$B$205,A142,'Follow-ups'!$D$6:$D$205,"&gt;0",'Follow-ups'!$D$6:$D$205,"&lt;="&amp;TODAY())=0,"",_xlfn.MAXIFS('Follow-ups'!$D$6:$D$205,'Follow-ups'!$B$6:$B$205,A142,'Follow-ups'!$D$6:$D$205,"&lt;="&amp;TODAY())))</x:f>
      </x:c>
      <x:c r="V142" s="374" t="str">
        <x:f>IF(A142="","",IF(COUNTIFS('Follow-ups'!$B$6:$B$205,A142,'Follow-ups'!$I$6:$I$205,"Open",'Follow-ups'!$H$6:$H$205,"&gt;0")=0,"",_xlfn.MINIFS('Follow-ups'!$H$6:$H$205,'Follow-ups'!$B$6:$B$205,A142,'Follow-ups'!$I$6:$I$205,"Open",'Follow-ups'!$H$6:$H$205,"&gt;0")))</x:f>
      </x:c>
      <x:c r="W142" s="265" t="str">
        <x:f>IF(A142="","",IF(OR(H142="Converted",H142="Lost"),"Closed lead",IF(H142="On Hold","On hold",IF(ISNUMBER(V142),IF(V142&lt;TODAY(),"Overdue",IF(V142=TODAY(),"Due today","Scheduled")),IF(COUNTIFS('Follow-ups'!$B$6:$B$205,A142,'Follow-ups'!$I$6:$I$205,"Open")&gt;0,"Set task due date","No open task")))))</x:f>
      </x:c>
      <x:c r="X142" s="235"/>
      <x:c r="Y142" s="235"/>
      <x:c r="Z142" s="235"/>
      <x:c r="AA142" s="315" t="str">
        <x:f>IF(A142="","",IF(COUNTIFS($A$6:$A$205,A142)&gt;1,"Duplicate ID",IF(B142="","Add name",IF(AND(C142="",D142=""),"Add phone or email",IF(H142="","Set lead stage",IF(NOT(ISNUMBER(R142)),"Add date added",IF(AND(ISNUMBER(N142),ISNUMBER(O142),N142&gt;O142),"Check budget range",IF(AND(H142="Lost",Y142=""),"Add lost reason",""))))))))</x:f>
      </x:c>
      <x:c r="AB142" s="791"/>
      <x:c r="AC142" s="791"/>
      <x:c r="AD142" s="791"/>
      <x:c r="AE142" s="791"/>
      <x:c r="AF142" s="791"/>
      <x:c r="AG142" s="791"/>
      <x:c r="AH142" s="791"/>
      <x:c r="AI142" s="791"/>
      <x:c r="AJ142" s="791"/>
      <x:c r="AK142" s="791"/>
      <x:c r="AL142" s="793" t="str">
        <x:f>IF($A142="","",IF(OR($H142="Lost",$H142="Converted"),"",IF(OR($C142&lt;&gt;"",$D142&lt;&gt;""),10,0)+IF(AND(ISNUMBER($O142),$O142&gt;0),20,0)+IF($AE142="Yes",15,0)+IF($AF142="Yes",15,IF($AF142="Joint",10,0))+IF(OR($AG142="Immediate",$AG142="0-30 days"),20,IF($AG142="1-3 months",10,0))+IF(OR($AC142="Cash",$AD142="Pre-approved",$AD142="Approved"),10,0)+IF(ISNUMBER($V142),10,0)))</x:f>
      </x:c>
      <x:c r="AM142" s="793" t="str">
        <x:f>IF($A142="","",IF($H142="Lost","Lost",IF($H142="Converted","Converted",IF(NOT(ISNUMBER($AL142)),"",IF($AL142&gt;=75,"Hot",IF($AL142&gt;=45,"Warm","Nurture"))))))</x:f>
      </x:c>
      <x:c r="AN142" s="794"/>
      <x:c r="AO142" s="791"/>
      <x:c r="AP142" s="791"/>
      <x:c r="AQ142" s="794"/>
      <x:c r="AR142" s="794"/>
      <x:c r="AS142" s="791"/>
    </x:row>
    <x:row r="143" ht="26" customHeight="1">
      <x:c r="A143" s="319"/>
      <x:c r="B143" s="320"/>
      <x:c r="C143" s="331"/>
      <x:c r="D143" s="274"/>
      <x:c r="E143" s="274"/>
      <x:c r="F143" s="274"/>
      <x:c r="G143" s="274"/>
      <x:c r="H143" s="274"/>
      <x:c r="I143" s="274"/>
      <x:c r="J143" s="274"/>
      <x:c r="K143" s="274"/>
      <x:c r="L143" s="274"/>
      <x:c r="M143" s="377"/>
      <x:c r="N143" s="302"/>
      <x:c r="O143" s="302"/>
      <x:c r="P143" s="274"/>
      <x:c r="Q143" s="304"/>
      <x:c r="R143" s="304"/>
      <x:c r="S143" s="274"/>
      <x:c r="T143" s="315" t="str">
        <x:f>IF(A143="","",IF(OR(AND(C143&lt;&gt;"",COUNTIFS($C$6:$C$205,C143)&gt;1),AND(D143&lt;&gt;"",COUNTIFS($D$6:$D$205,D143)&gt;1)),"Check duplicate",""))</x:f>
      </x:c>
      <x:c r="U143" s="374" t="str">
        <x:f>IF(A143="","",IF(COUNTIFS('Follow-ups'!$B$6:$B$205,A143,'Follow-ups'!$D$6:$D$205,"&gt;0",'Follow-ups'!$D$6:$D$205,"&lt;="&amp;TODAY())=0,"",_xlfn.MAXIFS('Follow-ups'!$D$6:$D$205,'Follow-ups'!$B$6:$B$205,A143,'Follow-ups'!$D$6:$D$205,"&lt;="&amp;TODAY())))</x:f>
      </x:c>
      <x:c r="V143" s="374" t="str">
        <x:f>IF(A143="","",IF(COUNTIFS('Follow-ups'!$B$6:$B$205,A143,'Follow-ups'!$I$6:$I$205,"Open",'Follow-ups'!$H$6:$H$205,"&gt;0")=0,"",_xlfn.MINIFS('Follow-ups'!$H$6:$H$205,'Follow-ups'!$B$6:$B$205,A143,'Follow-ups'!$I$6:$I$205,"Open",'Follow-ups'!$H$6:$H$205,"&gt;0")))</x:f>
      </x:c>
      <x:c r="W143" s="265" t="str">
        <x:f>IF(A143="","",IF(OR(H143="Converted",H143="Lost"),"Closed lead",IF(H143="On Hold","On hold",IF(ISNUMBER(V143),IF(V143&lt;TODAY(),"Overdue",IF(V143=TODAY(),"Due today","Scheduled")),IF(COUNTIFS('Follow-ups'!$B$6:$B$205,A143,'Follow-ups'!$I$6:$I$205,"Open")&gt;0,"Set task due date","No open task")))))</x:f>
      </x:c>
      <x:c r="X143" s="274"/>
      <x:c r="Y143" s="274"/>
      <x:c r="Z143" s="274"/>
      <x:c r="AA143" s="315" t="str">
        <x:f>IF(A143="","",IF(COUNTIFS($A$6:$A$205,A143)&gt;1,"Duplicate ID",IF(B143="","Add name",IF(AND(C143="",D143=""),"Add phone or email",IF(H143="","Set lead stage",IF(NOT(ISNUMBER(R143)),"Add date added",IF(AND(ISNUMBER(N143),ISNUMBER(O143),N143&gt;O143),"Check budget range",IF(AND(H143="Lost",Y143=""),"Add lost reason",""))))))))</x:f>
      </x:c>
      <x:c r="AB143" s="791"/>
      <x:c r="AC143" s="791"/>
      <x:c r="AD143" s="791"/>
      <x:c r="AE143" s="791"/>
      <x:c r="AF143" s="791"/>
      <x:c r="AG143" s="791"/>
      <x:c r="AH143" s="791"/>
      <x:c r="AI143" s="791"/>
      <x:c r="AJ143" s="791"/>
      <x:c r="AK143" s="791"/>
      <x:c r="AL143" s="793" t="str">
        <x:f>IF($A143="","",IF(OR($H143="Lost",$H143="Converted"),"",IF(OR($C143&lt;&gt;"",$D143&lt;&gt;""),10,0)+IF(AND(ISNUMBER($O143),$O143&gt;0),20,0)+IF($AE143="Yes",15,0)+IF($AF143="Yes",15,IF($AF143="Joint",10,0))+IF(OR($AG143="Immediate",$AG143="0-30 days"),20,IF($AG143="1-3 months",10,0))+IF(OR($AC143="Cash",$AD143="Pre-approved",$AD143="Approved"),10,0)+IF(ISNUMBER($V143),10,0)))</x:f>
      </x:c>
      <x:c r="AM143" s="793" t="str">
        <x:f>IF($A143="","",IF($H143="Lost","Lost",IF($H143="Converted","Converted",IF(NOT(ISNUMBER($AL143)),"",IF($AL143&gt;=75,"Hot",IF($AL143&gt;=45,"Warm","Nurture"))))))</x:f>
      </x:c>
      <x:c r="AN143" s="794"/>
      <x:c r="AO143" s="791"/>
      <x:c r="AP143" s="791"/>
      <x:c r="AQ143" s="794"/>
      <x:c r="AR143" s="794"/>
      <x:c r="AS143" s="791"/>
    </x:row>
    <x:row r="144" ht="26" customHeight="1">
      <x:c r="A144" s="317"/>
      <x:c r="B144" s="318"/>
      <x:c r="C144" s="327"/>
      <x:c r="D144" s="235"/>
      <x:c r="E144" s="235"/>
      <x:c r="F144" s="235"/>
      <x:c r="G144" s="235"/>
      <x:c r="H144" s="235"/>
      <x:c r="I144" s="235"/>
      <x:c r="J144" s="235"/>
      <x:c r="K144" s="235"/>
      <x:c r="L144" s="235"/>
      <x:c r="M144" s="376"/>
      <x:c r="N144" s="236"/>
      <x:c r="O144" s="236"/>
      <x:c r="P144" s="235"/>
      <x:c r="Q144" s="238"/>
      <x:c r="R144" s="238"/>
      <x:c r="S144" s="235"/>
      <x:c r="T144" s="315" t="str">
        <x:f>IF(A144="","",IF(OR(AND(C144&lt;&gt;"",COUNTIFS($C$6:$C$205,C144)&gt;1),AND(D144&lt;&gt;"",COUNTIFS($D$6:$D$205,D144)&gt;1)),"Check duplicate",""))</x:f>
      </x:c>
      <x:c r="U144" s="374" t="str">
        <x:f>IF(A144="","",IF(COUNTIFS('Follow-ups'!$B$6:$B$205,A144,'Follow-ups'!$D$6:$D$205,"&gt;0",'Follow-ups'!$D$6:$D$205,"&lt;="&amp;TODAY())=0,"",_xlfn.MAXIFS('Follow-ups'!$D$6:$D$205,'Follow-ups'!$B$6:$B$205,A144,'Follow-ups'!$D$6:$D$205,"&lt;="&amp;TODAY())))</x:f>
      </x:c>
      <x:c r="V144" s="374" t="str">
        <x:f>IF(A144="","",IF(COUNTIFS('Follow-ups'!$B$6:$B$205,A144,'Follow-ups'!$I$6:$I$205,"Open",'Follow-ups'!$H$6:$H$205,"&gt;0")=0,"",_xlfn.MINIFS('Follow-ups'!$H$6:$H$205,'Follow-ups'!$B$6:$B$205,A144,'Follow-ups'!$I$6:$I$205,"Open",'Follow-ups'!$H$6:$H$205,"&gt;0")))</x:f>
      </x:c>
      <x:c r="W144" s="265" t="str">
        <x:f>IF(A144="","",IF(OR(H144="Converted",H144="Lost"),"Closed lead",IF(H144="On Hold","On hold",IF(ISNUMBER(V144),IF(V144&lt;TODAY(),"Overdue",IF(V144=TODAY(),"Due today","Scheduled")),IF(COUNTIFS('Follow-ups'!$B$6:$B$205,A144,'Follow-ups'!$I$6:$I$205,"Open")&gt;0,"Set task due date","No open task")))))</x:f>
      </x:c>
      <x:c r="X144" s="235"/>
      <x:c r="Y144" s="235"/>
      <x:c r="Z144" s="235"/>
      <x:c r="AA144" s="315" t="str">
        <x:f>IF(A144="","",IF(COUNTIFS($A$6:$A$205,A144)&gt;1,"Duplicate ID",IF(B144="","Add name",IF(AND(C144="",D144=""),"Add phone or email",IF(H144="","Set lead stage",IF(NOT(ISNUMBER(R144)),"Add date added",IF(AND(ISNUMBER(N144),ISNUMBER(O144),N144&gt;O144),"Check budget range",IF(AND(H144="Lost",Y144=""),"Add lost reason",""))))))))</x:f>
      </x:c>
      <x:c r="AB144" s="791"/>
      <x:c r="AC144" s="791"/>
      <x:c r="AD144" s="791"/>
      <x:c r="AE144" s="791"/>
      <x:c r="AF144" s="791"/>
      <x:c r="AG144" s="791"/>
      <x:c r="AH144" s="791"/>
      <x:c r="AI144" s="791"/>
      <x:c r="AJ144" s="791"/>
      <x:c r="AK144" s="791"/>
      <x:c r="AL144" s="793" t="str">
        <x:f>IF($A144="","",IF(OR($H144="Lost",$H144="Converted"),"",IF(OR($C144&lt;&gt;"",$D144&lt;&gt;""),10,0)+IF(AND(ISNUMBER($O144),$O144&gt;0),20,0)+IF($AE144="Yes",15,0)+IF($AF144="Yes",15,IF($AF144="Joint",10,0))+IF(OR($AG144="Immediate",$AG144="0-30 days"),20,IF($AG144="1-3 months",10,0))+IF(OR($AC144="Cash",$AD144="Pre-approved",$AD144="Approved"),10,0)+IF(ISNUMBER($V144),10,0)))</x:f>
      </x:c>
      <x:c r="AM144" s="793" t="str">
        <x:f>IF($A144="","",IF($H144="Lost","Lost",IF($H144="Converted","Converted",IF(NOT(ISNUMBER($AL144)),"",IF($AL144&gt;=75,"Hot",IF($AL144&gt;=45,"Warm","Nurture"))))))</x:f>
      </x:c>
      <x:c r="AN144" s="794"/>
      <x:c r="AO144" s="791"/>
      <x:c r="AP144" s="791"/>
      <x:c r="AQ144" s="794"/>
      <x:c r="AR144" s="794"/>
      <x:c r="AS144" s="791"/>
    </x:row>
    <x:row r="145" ht="26" customHeight="1">
      <x:c r="A145" s="319"/>
      <x:c r="B145" s="320"/>
      <x:c r="C145" s="331"/>
      <x:c r="D145" s="274"/>
      <x:c r="E145" s="274"/>
      <x:c r="F145" s="274"/>
      <x:c r="G145" s="274"/>
      <x:c r="H145" s="274"/>
      <x:c r="I145" s="274"/>
      <x:c r="J145" s="274"/>
      <x:c r="K145" s="274"/>
      <x:c r="L145" s="274"/>
      <x:c r="M145" s="377"/>
      <x:c r="N145" s="302"/>
      <x:c r="O145" s="302"/>
      <x:c r="P145" s="274"/>
      <x:c r="Q145" s="304"/>
      <x:c r="R145" s="304"/>
      <x:c r="S145" s="274"/>
      <x:c r="T145" s="315" t="str">
        <x:f>IF(A145="","",IF(OR(AND(C145&lt;&gt;"",COUNTIFS($C$6:$C$205,C145)&gt;1),AND(D145&lt;&gt;"",COUNTIFS($D$6:$D$205,D145)&gt;1)),"Check duplicate",""))</x:f>
      </x:c>
      <x:c r="U145" s="374" t="str">
        <x:f>IF(A145="","",IF(COUNTIFS('Follow-ups'!$B$6:$B$205,A145,'Follow-ups'!$D$6:$D$205,"&gt;0",'Follow-ups'!$D$6:$D$205,"&lt;="&amp;TODAY())=0,"",_xlfn.MAXIFS('Follow-ups'!$D$6:$D$205,'Follow-ups'!$B$6:$B$205,A145,'Follow-ups'!$D$6:$D$205,"&lt;="&amp;TODAY())))</x:f>
      </x:c>
      <x:c r="V145" s="374" t="str">
        <x:f>IF(A145="","",IF(COUNTIFS('Follow-ups'!$B$6:$B$205,A145,'Follow-ups'!$I$6:$I$205,"Open",'Follow-ups'!$H$6:$H$205,"&gt;0")=0,"",_xlfn.MINIFS('Follow-ups'!$H$6:$H$205,'Follow-ups'!$B$6:$B$205,A145,'Follow-ups'!$I$6:$I$205,"Open",'Follow-ups'!$H$6:$H$205,"&gt;0")))</x:f>
      </x:c>
      <x:c r="W145" s="265" t="str">
        <x:f>IF(A145="","",IF(OR(H145="Converted",H145="Lost"),"Closed lead",IF(H145="On Hold","On hold",IF(ISNUMBER(V145),IF(V145&lt;TODAY(),"Overdue",IF(V145=TODAY(),"Due today","Scheduled")),IF(COUNTIFS('Follow-ups'!$B$6:$B$205,A145,'Follow-ups'!$I$6:$I$205,"Open")&gt;0,"Set task due date","No open task")))))</x:f>
      </x:c>
      <x:c r="X145" s="274"/>
      <x:c r="Y145" s="274"/>
      <x:c r="Z145" s="274"/>
      <x:c r="AA145" s="315" t="str">
        <x:f>IF(A145="","",IF(COUNTIFS($A$6:$A$205,A145)&gt;1,"Duplicate ID",IF(B145="","Add name",IF(AND(C145="",D145=""),"Add phone or email",IF(H145="","Set lead stage",IF(NOT(ISNUMBER(R145)),"Add date added",IF(AND(ISNUMBER(N145),ISNUMBER(O145),N145&gt;O145),"Check budget range",IF(AND(H145="Lost",Y145=""),"Add lost reason",""))))))))</x:f>
      </x:c>
      <x:c r="AB145" s="791"/>
      <x:c r="AC145" s="791"/>
      <x:c r="AD145" s="791"/>
      <x:c r="AE145" s="791"/>
      <x:c r="AF145" s="791"/>
      <x:c r="AG145" s="791"/>
      <x:c r="AH145" s="791"/>
      <x:c r="AI145" s="791"/>
      <x:c r="AJ145" s="791"/>
      <x:c r="AK145" s="791"/>
      <x:c r="AL145" s="793" t="str">
        <x:f>IF($A145="","",IF(OR($H145="Lost",$H145="Converted"),"",IF(OR($C145&lt;&gt;"",$D145&lt;&gt;""),10,0)+IF(AND(ISNUMBER($O145),$O145&gt;0),20,0)+IF($AE145="Yes",15,0)+IF($AF145="Yes",15,IF($AF145="Joint",10,0))+IF(OR($AG145="Immediate",$AG145="0-30 days"),20,IF($AG145="1-3 months",10,0))+IF(OR($AC145="Cash",$AD145="Pre-approved",$AD145="Approved"),10,0)+IF(ISNUMBER($V145),10,0)))</x:f>
      </x:c>
      <x:c r="AM145" s="793" t="str">
        <x:f>IF($A145="","",IF($H145="Lost","Lost",IF($H145="Converted","Converted",IF(NOT(ISNUMBER($AL145)),"",IF($AL145&gt;=75,"Hot",IF($AL145&gt;=45,"Warm","Nurture"))))))</x:f>
      </x:c>
      <x:c r="AN145" s="794"/>
      <x:c r="AO145" s="791"/>
      <x:c r="AP145" s="791"/>
      <x:c r="AQ145" s="794"/>
      <x:c r="AR145" s="794"/>
      <x:c r="AS145" s="791"/>
    </x:row>
    <x:row r="146" ht="26" customHeight="1">
      <x:c r="A146" s="317"/>
      <x:c r="B146" s="318"/>
      <x:c r="C146" s="327"/>
      <x:c r="D146" s="235"/>
      <x:c r="E146" s="235"/>
      <x:c r="F146" s="235"/>
      <x:c r="G146" s="235"/>
      <x:c r="H146" s="235"/>
      <x:c r="I146" s="235"/>
      <x:c r="J146" s="235"/>
      <x:c r="K146" s="235"/>
      <x:c r="L146" s="235"/>
      <x:c r="M146" s="376"/>
      <x:c r="N146" s="236"/>
      <x:c r="O146" s="236"/>
      <x:c r="P146" s="235"/>
      <x:c r="Q146" s="238"/>
      <x:c r="R146" s="238"/>
      <x:c r="S146" s="235"/>
      <x:c r="T146" s="315" t="str">
        <x:f>IF(A146="","",IF(OR(AND(C146&lt;&gt;"",COUNTIFS($C$6:$C$205,C146)&gt;1),AND(D146&lt;&gt;"",COUNTIFS($D$6:$D$205,D146)&gt;1)),"Check duplicate",""))</x:f>
      </x:c>
      <x:c r="U146" s="374" t="str">
        <x:f>IF(A146="","",IF(COUNTIFS('Follow-ups'!$B$6:$B$205,A146,'Follow-ups'!$D$6:$D$205,"&gt;0",'Follow-ups'!$D$6:$D$205,"&lt;="&amp;TODAY())=0,"",_xlfn.MAXIFS('Follow-ups'!$D$6:$D$205,'Follow-ups'!$B$6:$B$205,A146,'Follow-ups'!$D$6:$D$205,"&lt;="&amp;TODAY())))</x:f>
      </x:c>
      <x:c r="V146" s="374" t="str">
        <x:f>IF(A146="","",IF(COUNTIFS('Follow-ups'!$B$6:$B$205,A146,'Follow-ups'!$I$6:$I$205,"Open",'Follow-ups'!$H$6:$H$205,"&gt;0")=0,"",_xlfn.MINIFS('Follow-ups'!$H$6:$H$205,'Follow-ups'!$B$6:$B$205,A146,'Follow-ups'!$I$6:$I$205,"Open",'Follow-ups'!$H$6:$H$205,"&gt;0")))</x:f>
      </x:c>
      <x:c r="W146" s="265" t="str">
        <x:f>IF(A146="","",IF(OR(H146="Converted",H146="Lost"),"Closed lead",IF(H146="On Hold","On hold",IF(ISNUMBER(V146),IF(V146&lt;TODAY(),"Overdue",IF(V146=TODAY(),"Due today","Scheduled")),IF(COUNTIFS('Follow-ups'!$B$6:$B$205,A146,'Follow-ups'!$I$6:$I$205,"Open")&gt;0,"Set task due date","No open task")))))</x:f>
      </x:c>
      <x:c r="X146" s="235"/>
      <x:c r="Y146" s="235"/>
      <x:c r="Z146" s="235"/>
      <x:c r="AA146" s="315" t="str">
        <x:f>IF(A146="","",IF(COUNTIFS($A$6:$A$205,A146)&gt;1,"Duplicate ID",IF(B146="","Add name",IF(AND(C146="",D146=""),"Add phone or email",IF(H146="","Set lead stage",IF(NOT(ISNUMBER(R146)),"Add date added",IF(AND(ISNUMBER(N146),ISNUMBER(O146),N146&gt;O146),"Check budget range",IF(AND(H146="Lost",Y146=""),"Add lost reason",""))))))))</x:f>
      </x:c>
      <x:c r="AB146" s="791"/>
      <x:c r="AC146" s="791"/>
      <x:c r="AD146" s="791"/>
      <x:c r="AE146" s="791"/>
      <x:c r="AF146" s="791"/>
      <x:c r="AG146" s="791"/>
      <x:c r="AH146" s="791"/>
      <x:c r="AI146" s="791"/>
      <x:c r="AJ146" s="791"/>
      <x:c r="AK146" s="791"/>
      <x:c r="AL146" s="793" t="str">
        <x:f>IF($A146="","",IF(OR($H146="Lost",$H146="Converted"),"",IF(OR($C146&lt;&gt;"",$D146&lt;&gt;""),10,0)+IF(AND(ISNUMBER($O146),$O146&gt;0),20,0)+IF($AE146="Yes",15,0)+IF($AF146="Yes",15,IF($AF146="Joint",10,0))+IF(OR($AG146="Immediate",$AG146="0-30 days"),20,IF($AG146="1-3 months",10,0))+IF(OR($AC146="Cash",$AD146="Pre-approved",$AD146="Approved"),10,0)+IF(ISNUMBER($V146),10,0)))</x:f>
      </x:c>
      <x:c r="AM146" s="793" t="str">
        <x:f>IF($A146="","",IF($H146="Lost","Lost",IF($H146="Converted","Converted",IF(NOT(ISNUMBER($AL146)),"",IF($AL146&gt;=75,"Hot",IF($AL146&gt;=45,"Warm","Nurture"))))))</x:f>
      </x:c>
      <x:c r="AN146" s="794"/>
      <x:c r="AO146" s="791"/>
      <x:c r="AP146" s="791"/>
      <x:c r="AQ146" s="794"/>
      <x:c r="AR146" s="794"/>
      <x:c r="AS146" s="791"/>
    </x:row>
    <x:row r="147" ht="26" customHeight="1">
      <x:c r="A147" s="319"/>
      <x:c r="B147" s="320"/>
      <x:c r="C147" s="331"/>
      <x:c r="D147" s="274"/>
      <x:c r="E147" s="274"/>
      <x:c r="F147" s="274"/>
      <x:c r="G147" s="274"/>
      <x:c r="H147" s="274"/>
      <x:c r="I147" s="274"/>
      <x:c r="J147" s="274"/>
      <x:c r="K147" s="274"/>
      <x:c r="L147" s="274"/>
      <x:c r="M147" s="377"/>
      <x:c r="N147" s="302"/>
      <x:c r="O147" s="302"/>
      <x:c r="P147" s="274"/>
      <x:c r="Q147" s="304"/>
      <x:c r="R147" s="304"/>
      <x:c r="S147" s="274"/>
      <x:c r="T147" s="315" t="str">
        <x:f>IF(A147="","",IF(OR(AND(C147&lt;&gt;"",COUNTIFS($C$6:$C$205,C147)&gt;1),AND(D147&lt;&gt;"",COUNTIFS($D$6:$D$205,D147)&gt;1)),"Check duplicate",""))</x:f>
      </x:c>
      <x:c r="U147" s="374" t="str">
        <x:f>IF(A147="","",IF(COUNTIFS('Follow-ups'!$B$6:$B$205,A147,'Follow-ups'!$D$6:$D$205,"&gt;0",'Follow-ups'!$D$6:$D$205,"&lt;="&amp;TODAY())=0,"",_xlfn.MAXIFS('Follow-ups'!$D$6:$D$205,'Follow-ups'!$B$6:$B$205,A147,'Follow-ups'!$D$6:$D$205,"&lt;="&amp;TODAY())))</x:f>
      </x:c>
      <x:c r="V147" s="374" t="str">
        <x:f>IF(A147="","",IF(COUNTIFS('Follow-ups'!$B$6:$B$205,A147,'Follow-ups'!$I$6:$I$205,"Open",'Follow-ups'!$H$6:$H$205,"&gt;0")=0,"",_xlfn.MINIFS('Follow-ups'!$H$6:$H$205,'Follow-ups'!$B$6:$B$205,A147,'Follow-ups'!$I$6:$I$205,"Open",'Follow-ups'!$H$6:$H$205,"&gt;0")))</x:f>
      </x:c>
      <x:c r="W147" s="265" t="str">
        <x:f>IF(A147="","",IF(OR(H147="Converted",H147="Lost"),"Closed lead",IF(H147="On Hold","On hold",IF(ISNUMBER(V147),IF(V147&lt;TODAY(),"Overdue",IF(V147=TODAY(),"Due today","Scheduled")),IF(COUNTIFS('Follow-ups'!$B$6:$B$205,A147,'Follow-ups'!$I$6:$I$205,"Open")&gt;0,"Set task due date","No open task")))))</x:f>
      </x:c>
      <x:c r="X147" s="274"/>
      <x:c r="Y147" s="274"/>
      <x:c r="Z147" s="274"/>
      <x:c r="AA147" s="315" t="str">
        <x:f>IF(A147="","",IF(COUNTIFS($A$6:$A$205,A147)&gt;1,"Duplicate ID",IF(B147="","Add name",IF(AND(C147="",D147=""),"Add phone or email",IF(H147="","Set lead stage",IF(NOT(ISNUMBER(R147)),"Add date added",IF(AND(ISNUMBER(N147),ISNUMBER(O147),N147&gt;O147),"Check budget range",IF(AND(H147="Lost",Y147=""),"Add lost reason",""))))))))</x:f>
      </x:c>
      <x:c r="AB147" s="791"/>
      <x:c r="AC147" s="791"/>
      <x:c r="AD147" s="791"/>
      <x:c r="AE147" s="791"/>
      <x:c r="AF147" s="791"/>
      <x:c r="AG147" s="791"/>
      <x:c r="AH147" s="791"/>
      <x:c r="AI147" s="791"/>
      <x:c r="AJ147" s="791"/>
      <x:c r="AK147" s="791"/>
      <x:c r="AL147" s="793" t="str">
        <x:f>IF($A147="","",IF(OR($H147="Lost",$H147="Converted"),"",IF(OR($C147&lt;&gt;"",$D147&lt;&gt;""),10,0)+IF(AND(ISNUMBER($O147),$O147&gt;0),20,0)+IF($AE147="Yes",15,0)+IF($AF147="Yes",15,IF($AF147="Joint",10,0))+IF(OR($AG147="Immediate",$AG147="0-30 days"),20,IF($AG147="1-3 months",10,0))+IF(OR($AC147="Cash",$AD147="Pre-approved",$AD147="Approved"),10,0)+IF(ISNUMBER($V147),10,0)))</x:f>
      </x:c>
      <x:c r="AM147" s="793" t="str">
        <x:f>IF($A147="","",IF($H147="Lost","Lost",IF($H147="Converted","Converted",IF(NOT(ISNUMBER($AL147)),"",IF($AL147&gt;=75,"Hot",IF($AL147&gt;=45,"Warm","Nurture"))))))</x:f>
      </x:c>
      <x:c r="AN147" s="794"/>
      <x:c r="AO147" s="791"/>
      <x:c r="AP147" s="791"/>
      <x:c r="AQ147" s="794"/>
      <x:c r="AR147" s="794"/>
      <x:c r="AS147" s="791"/>
    </x:row>
    <x:row r="148" ht="26" customHeight="1">
      <x:c r="A148" s="317"/>
      <x:c r="B148" s="318"/>
      <x:c r="C148" s="327"/>
      <x:c r="D148" s="235"/>
      <x:c r="E148" s="235"/>
      <x:c r="F148" s="235"/>
      <x:c r="G148" s="235"/>
      <x:c r="H148" s="235"/>
      <x:c r="I148" s="235"/>
      <x:c r="J148" s="235"/>
      <x:c r="K148" s="235"/>
      <x:c r="L148" s="235"/>
      <x:c r="M148" s="376"/>
      <x:c r="N148" s="236"/>
      <x:c r="O148" s="236"/>
      <x:c r="P148" s="235"/>
      <x:c r="Q148" s="238"/>
      <x:c r="R148" s="238"/>
      <x:c r="S148" s="235"/>
      <x:c r="T148" s="315" t="str">
        <x:f>IF(A148="","",IF(OR(AND(C148&lt;&gt;"",COUNTIFS($C$6:$C$205,C148)&gt;1),AND(D148&lt;&gt;"",COUNTIFS($D$6:$D$205,D148)&gt;1)),"Check duplicate",""))</x:f>
      </x:c>
      <x:c r="U148" s="374" t="str">
        <x:f>IF(A148="","",IF(COUNTIFS('Follow-ups'!$B$6:$B$205,A148,'Follow-ups'!$D$6:$D$205,"&gt;0",'Follow-ups'!$D$6:$D$205,"&lt;="&amp;TODAY())=0,"",_xlfn.MAXIFS('Follow-ups'!$D$6:$D$205,'Follow-ups'!$B$6:$B$205,A148,'Follow-ups'!$D$6:$D$205,"&lt;="&amp;TODAY())))</x:f>
      </x:c>
      <x:c r="V148" s="374" t="str">
        <x:f>IF(A148="","",IF(COUNTIFS('Follow-ups'!$B$6:$B$205,A148,'Follow-ups'!$I$6:$I$205,"Open",'Follow-ups'!$H$6:$H$205,"&gt;0")=0,"",_xlfn.MINIFS('Follow-ups'!$H$6:$H$205,'Follow-ups'!$B$6:$B$205,A148,'Follow-ups'!$I$6:$I$205,"Open",'Follow-ups'!$H$6:$H$205,"&gt;0")))</x:f>
      </x:c>
      <x:c r="W148" s="265" t="str">
        <x:f>IF(A148="","",IF(OR(H148="Converted",H148="Lost"),"Closed lead",IF(H148="On Hold","On hold",IF(ISNUMBER(V148),IF(V148&lt;TODAY(),"Overdue",IF(V148=TODAY(),"Due today","Scheduled")),IF(COUNTIFS('Follow-ups'!$B$6:$B$205,A148,'Follow-ups'!$I$6:$I$205,"Open")&gt;0,"Set task due date","No open task")))))</x:f>
      </x:c>
      <x:c r="X148" s="235"/>
      <x:c r="Y148" s="235"/>
      <x:c r="Z148" s="235"/>
      <x:c r="AA148" s="315" t="str">
        <x:f>IF(A148="","",IF(COUNTIFS($A$6:$A$205,A148)&gt;1,"Duplicate ID",IF(B148="","Add name",IF(AND(C148="",D148=""),"Add phone or email",IF(H148="","Set lead stage",IF(NOT(ISNUMBER(R148)),"Add date added",IF(AND(ISNUMBER(N148),ISNUMBER(O148),N148&gt;O148),"Check budget range",IF(AND(H148="Lost",Y148=""),"Add lost reason",""))))))))</x:f>
      </x:c>
      <x:c r="AB148" s="791"/>
      <x:c r="AC148" s="791"/>
      <x:c r="AD148" s="791"/>
      <x:c r="AE148" s="791"/>
      <x:c r="AF148" s="791"/>
      <x:c r="AG148" s="791"/>
      <x:c r="AH148" s="791"/>
      <x:c r="AI148" s="791"/>
      <x:c r="AJ148" s="791"/>
      <x:c r="AK148" s="791"/>
      <x:c r="AL148" s="793" t="str">
        <x:f>IF($A148="","",IF(OR($H148="Lost",$H148="Converted"),"",IF(OR($C148&lt;&gt;"",$D148&lt;&gt;""),10,0)+IF(AND(ISNUMBER($O148),$O148&gt;0),20,0)+IF($AE148="Yes",15,0)+IF($AF148="Yes",15,IF($AF148="Joint",10,0))+IF(OR($AG148="Immediate",$AG148="0-30 days"),20,IF($AG148="1-3 months",10,0))+IF(OR($AC148="Cash",$AD148="Pre-approved",$AD148="Approved"),10,0)+IF(ISNUMBER($V148),10,0)))</x:f>
      </x:c>
      <x:c r="AM148" s="793" t="str">
        <x:f>IF($A148="","",IF($H148="Lost","Lost",IF($H148="Converted","Converted",IF(NOT(ISNUMBER($AL148)),"",IF($AL148&gt;=75,"Hot",IF($AL148&gt;=45,"Warm","Nurture"))))))</x:f>
      </x:c>
      <x:c r="AN148" s="794"/>
      <x:c r="AO148" s="791"/>
      <x:c r="AP148" s="791"/>
      <x:c r="AQ148" s="794"/>
      <x:c r="AR148" s="794"/>
      <x:c r="AS148" s="791"/>
    </x:row>
    <x:row r="149" ht="26" customHeight="1">
      <x:c r="A149" s="319"/>
      <x:c r="B149" s="320"/>
      <x:c r="C149" s="331"/>
      <x:c r="D149" s="274"/>
      <x:c r="E149" s="274"/>
      <x:c r="F149" s="274"/>
      <x:c r="G149" s="274"/>
      <x:c r="H149" s="274"/>
      <x:c r="I149" s="274"/>
      <x:c r="J149" s="274"/>
      <x:c r="K149" s="274"/>
      <x:c r="L149" s="274"/>
      <x:c r="M149" s="377"/>
      <x:c r="N149" s="302"/>
      <x:c r="O149" s="302"/>
      <x:c r="P149" s="274"/>
      <x:c r="Q149" s="304"/>
      <x:c r="R149" s="304"/>
      <x:c r="S149" s="274"/>
      <x:c r="T149" s="315" t="str">
        <x:f>IF(A149="","",IF(OR(AND(C149&lt;&gt;"",COUNTIFS($C$6:$C$205,C149)&gt;1),AND(D149&lt;&gt;"",COUNTIFS($D$6:$D$205,D149)&gt;1)),"Check duplicate",""))</x:f>
      </x:c>
      <x:c r="U149" s="374" t="str">
        <x:f>IF(A149="","",IF(COUNTIFS('Follow-ups'!$B$6:$B$205,A149,'Follow-ups'!$D$6:$D$205,"&gt;0",'Follow-ups'!$D$6:$D$205,"&lt;="&amp;TODAY())=0,"",_xlfn.MAXIFS('Follow-ups'!$D$6:$D$205,'Follow-ups'!$B$6:$B$205,A149,'Follow-ups'!$D$6:$D$205,"&lt;="&amp;TODAY())))</x:f>
      </x:c>
      <x:c r="V149" s="374" t="str">
        <x:f>IF(A149="","",IF(COUNTIFS('Follow-ups'!$B$6:$B$205,A149,'Follow-ups'!$I$6:$I$205,"Open",'Follow-ups'!$H$6:$H$205,"&gt;0")=0,"",_xlfn.MINIFS('Follow-ups'!$H$6:$H$205,'Follow-ups'!$B$6:$B$205,A149,'Follow-ups'!$I$6:$I$205,"Open",'Follow-ups'!$H$6:$H$205,"&gt;0")))</x:f>
      </x:c>
      <x:c r="W149" s="265" t="str">
        <x:f>IF(A149="","",IF(OR(H149="Converted",H149="Lost"),"Closed lead",IF(H149="On Hold","On hold",IF(ISNUMBER(V149),IF(V149&lt;TODAY(),"Overdue",IF(V149=TODAY(),"Due today","Scheduled")),IF(COUNTIFS('Follow-ups'!$B$6:$B$205,A149,'Follow-ups'!$I$6:$I$205,"Open")&gt;0,"Set task due date","No open task")))))</x:f>
      </x:c>
      <x:c r="X149" s="274"/>
      <x:c r="Y149" s="274"/>
      <x:c r="Z149" s="274"/>
      <x:c r="AA149" s="315" t="str">
        <x:f>IF(A149="","",IF(COUNTIFS($A$6:$A$205,A149)&gt;1,"Duplicate ID",IF(B149="","Add name",IF(AND(C149="",D149=""),"Add phone or email",IF(H149="","Set lead stage",IF(NOT(ISNUMBER(R149)),"Add date added",IF(AND(ISNUMBER(N149),ISNUMBER(O149),N149&gt;O149),"Check budget range",IF(AND(H149="Lost",Y149=""),"Add lost reason",""))))))))</x:f>
      </x:c>
      <x:c r="AB149" s="791"/>
      <x:c r="AC149" s="791"/>
      <x:c r="AD149" s="791"/>
      <x:c r="AE149" s="791"/>
      <x:c r="AF149" s="791"/>
      <x:c r="AG149" s="791"/>
      <x:c r="AH149" s="791"/>
      <x:c r="AI149" s="791"/>
      <x:c r="AJ149" s="791"/>
      <x:c r="AK149" s="791"/>
      <x:c r="AL149" s="793" t="str">
        <x:f>IF($A149="","",IF(OR($H149="Lost",$H149="Converted"),"",IF(OR($C149&lt;&gt;"",$D149&lt;&gt;""),10,0)+IF(AND(ISNUMBER($O149),$O149&gt;0),20,0)+IF($AE149="Yes",15,0)+IF($AF149="Yes",15,IF($AF149="Joint",10,0))+IF(OR($AG149="Immediate",$AG149="0-30 days"),20,IF($AG149="1-3 months",10,0))+IF(OR($AC149="Cash",$AD149="Pre-approved",$AD149="Approved"),10,0)+IF(ISNUMBER($V149),10,0)))</x:f>
      </x:c>
      <x:c r="AM149" s="793" t="str">
        <x:f>IF($A149="","",IF($H149="Lost","Lost",IF($H149="Converted","Converted",IF(NOT(ISNUMBER($AL149)),"",IF($AL149&gt;=75,"Hot",IF($AL149&gt;=45,"Warm","Nurture"))))))</x:f>
      </x:c>
      <x:c r="AN149" s="794"/>
      <x:c r="AO149" s="791"/>
      <x:c r="AP149" s="791"/>
      <x:c r="AQ149" s="794"/>
      <x:c r="AR149" s="794"/>
      <x:c r="AS149" s="791"/>
    </x:row>
    <x:row r="150" ht="26" customHeight="1">
      <x:c r="A150" s="317"/>
      <x:c r="B150" s="318"/>
      <x:c r="C150" s="327"/>
      <x:c r="D150" s="235"/>
      <x:c r="E150" s="235"/>
      <x:c r="F150" s="235"/>
      <x:c r="G150" s="235"/>
      <x:c r="H150" s="235"/>
      <x:c r="I150" s="235"/>
      <x:c r="J150" s="235"/>
      <x:c r="K150" s="235"/>
      <x:c r="L150" s="235"/>
      <x:c r="M150" s="376"/>
      <x:c r="N150" s="236"/>
      <x:c r="O150" s="236"/>
      <x:c r="P150" s="235"/>
      <x:c r="Q150" s="238"/>
      <x:c r="R150" s="238"/>
      <x:c r="S150" s="235"/>
      <x:c r="T150" s="315" t="str">
        <x:f>IF(A150="","",IF(OR(AND(C150&lt;&gt;"",COUNTIFS($C$6:$C$205,C150)&gt;1),AND(D150&lt;&gt;"",COUNTIFS($D$6:$D$205,D150)&gt;1)),"Check duplicate",""))</x:f>
      </x:c>
      <x:c r="U150" s="374" t="str">
        <x:f>IF(A150="","",IF(COUNTIFS('Follow-ups'!$B$6:$B$205,A150,'Follow-ups'!$D$6:$D$205,"&gt;0",'Follow-ups'!$D$6:$D$205,"&lt;="&amp;TODAY())=0,"",_xlfn.MAXIFS('Follow-ups'!$D$6:$D$205,'Follow-ups'!$B$6:$B$205,A150,'Follow-ups'!$D$6:$D$205,"&lt;="&amp;TODAY())))</x:f>
      </x:c>
      <x:c r="V150" s="374" t="str">
        <x:f>IF(A150="","",IF(COUNTIFS('Follow-ups'!$B$6:$B$205,A150,'Follow-ups'!$I$6:$I$205,"Open",'Follow-ups'!$H$6:$H$205,"&gt;0")=0,"",_xlfn.MINIFS('Follow-ups'!$H$6:$H$205,'Follow-ups'!$B$6:$B$205,A150,'Follow-ups'!$I$6:$I$205,"Open",'Follow-ups'!$H$6:$H$205,"&gt;0")))</x:f>
      </x:c>
      <x:c r="W150" s="265" t="str">
        <x:f>IF(A150="","",IF(OR(H150="Converted",H150="Lost"),"Closed lead",IF(H150="On Hold","On hold",IF(ISNUMBER(V150),IF(V150&lt;TODAY(),"Overdue",IF(V150=TODAY(),"Due today","Scheduled")),IF(COUNTIFS('Follow-ups'!$B$6:$B$205,A150,'Follow-ups'!$I$6:$I$205,"Open")&gt;0,"Set task due date","No open task")))))</x:f>
      </x:c>
      <x:c r="X150" s="235"/>
      <x:c r="Y150" s="235"/>
      <x:c r="Z150" s="235"/>
      <x:c r="AA150" s="315" t="str">
        <x:f>IF(A150="","",IF(COUNTIFS($A$6:$A$205,A150)&gt;1,"Duplicate ID",IF(B150="","Add name",IF(AND(C150="",D150=""),"Add phone or email",IF(H150="","Set lead stage",IF(NOT(ISNUMBER(R150)),"Add date added",IF(AND(ISNUMBER(N150),ISNUMBER(O150),N150&gt;O150),"Check budget range",IF(AND(H150="Lost",Y150=""),"Add lost reason",""))))))))</x:f>
      </x:c>
      <x:c r="AB150" s="791"/>
      <x:c r="AC150" s="791"/>
      <x:c r="AD150" s="791"/>
      <x:c r="AE150" s="791"/>
      <x:c r="AF150" s="791"/>
      <x:c r="AG150" s="791"/>
      <x:c r="AH150" s="791"/>
      <x:c r="AI150" s="791"/>
      <x:c r="AJ150" s="791"/>
      <x:c r="AK150" s="791"/>
      <x:c r="AL150" s="793" t="str">
        <x:f>IF($A150="","",IF(OR($H150="Lost",$H150="Converted"),"",IF(OR($C150&lt;&gt;"",$D150&lt;&gt;""),10,0)+IF(AND(ISNUMBER($O150),$O150&gt;0),20,0)+IF($AE150="Yes",15,0)+IF($AF150="Yes",15,IF($AF150="Joint",10,0))+IF(OR($AG150="Immediate",$AG150="0-30 days"),20,IF($AG150="1-3 months",10,0))+IF(OR($AC150="Cash",$AD150="Pre-approved",$AD150="Approved"),10,0)+IF(ISNUMBER($V150),10,0)))</x:f>
      </x:c>
      <x:c r="AM150" s="793" t="str">
        <x:f>IF($A150="","",IF($H150="Lost","Lost",IF($H150="Converted","Converted",IF(NOT(ISNUMBER($AL150)),"",IF($AL150&gt;=75,"Hot",IF($AL150&gt;=45,"Warm","Nurture"))))))</x:f>
      </x:c>
      <x:c r="AN150" s="794"/>
      <x:c r="AO150" s="791"/>
      <x:c r="AP150" s="791"/>
      <x:c r="AQ150" s="794"/>
      <x:c r="AR150" s="794"/>
      <x:c r="AS150" s="791"/>
    </x:row>
    <x:row r="151" ht="26" customHeight="1">
      <x:c r="A151" s="319"/>
      <x:c r="B151" s="320"/>
      <x:c r="C151" s="331"/>
      <x:c r="D151" s="274"/>
      <x:c r="E151" s="274"/>
      <x:c r="F151" s="274"/>
      <x:c r="G151" s="274"/>
      <x:c r="H151" s="274"/>
      <x:c r="I151" s="274"/>
      <x:c r="J151" s="274"/>
      <x:c r="K151" s="274"/>
      <x:c r="L151" s="274"/>
      <x:c r="M151" s="377"/>
      <x:c r="N151" s="302"/>
      <x:c r="O151" s="302"/>
      <x:c r="P151" s="274"/>
      <x:c r="Q151" s="304"/>
      <x:c r="R151" s="304"/>
      <x:c r="S151" s="274"/>
      <x:c r="T151" s="315" t="str">
        <x:f>IF(A151="","",IF(OR(AND(C151&lt;&gt;"",COUNTIFS($C$6:$C$205,C151)&gt;1),AND(D151&lt;&gt;"",COUNTIFS($D$6:$D$205,D151)&gt;1)),"Check duplicate",""))</x:f>
      </x:c>
      <x:c r="U151" s="374" t="str">
        <x:f>IF(A151="","",IF(COUNTIFS('Follow-ups'!$B$6:$B$205,A151,'Follow-ups'!$D$6:$D$205,"&gt;0",'Follow-ups'!$D$6:$D$205,"&lt;="&amp;TODAY())=0,"",_xlfn.MAXIFS('Follow-ups'!$D$6:$D$205,'Follow-ups'!$B$6:$B$205,A151,'Follow-ups'!$D$6:$D$205,"&lt;="&amp;TODAY())))</x:f>
      </x:c>
      <x:c r="V151" s="374" t="str">
        <x:f>IF(A151="","",IF(COUNTIFS('Follow-ups'!$B$6:$B$205,A151,'Follow-ups'!$I$6:$I$205,"Open",'Follow-ups'!$H$6:$H$205,"&gt;0")=0,"",_xlfn.MINIFS('Follow-ups'!$H$6:$H$205,'Follow-ups'!$B$6:$B$205,A151,'Follow-ups'!$I$6:$I$205,"Open",'Follow-ups'!$H$6:$H$205,"&gt;0")))</x:f>
      </x:c>
      <x:c r="W151" s="265" t="str">
        <x:f>IF(A151="","",IF(OR(H151="Converted",H151="Lost"),"Closed lead",IF(H151="On Hold","On hold",IF(ISNUMBER(V151),IF(V151&lt;TODAY(),"Overdue",IF(V151=TODAY(),"Due today","Scheduled")),IF(COUNTIFS('Follow-ups'!$B$6:$B$205,A151,'Follow-ups'!$I$6:$I$205,"Open")&gt;0,"Set task due date","No open task")))))</x:f>
      </x:c>
      <x:c r="X151" s="274"/>
      <x:c r="Y151" s="274"/>
      <x:c r="Z151" s="274"/>
      <x:c r="AA151" s="315" t="str">
        <x:f>IF(A151="","",IF(COUNTIFS($A$6:$A$205,A151)&gt;1,"Duplicate ID",IF(B151="","Add name",IF(AND(C151="",D151=""),"Add phone or email",IF(H151="","Set lead stage",IF(NOT(ISNUMBER(R151)),"Add date added",IF(AND(ISNUMBER(N151),ISNUMBER(O151),N151&gt;O151),"Check budget range",IF(AND(H151="Lost",Y151=""),"Add lost reason",""))))))))</x:f>
      </x:c>
      <x:c r="AB151" s="791"/>
      <x:c r="AC151" s="791"/>
      <x:c r="AD151" s="791"/>
      <x:c r="AE151" s="791"/>
      <x:c r="AF151" s="791"/>
      <x:c r="AG151" s="791"/>
      <x:c r="AH151" s="791"/>
      <x:c r="AI151" s="791"/>
      <x:c r="AJ151" s="791"/>
      <x:c r="AK151" s="791"/>
      <x:c r="AL151" s="793" t="str">
        <x:f>IF($A151="","",IF(OR($H151="Lost",$H151="Converted"),"",IF(OR($C151&lt;&gt;"",$D151&lt;&gt;""),10,0)+IF(AND(ISNUMBER($O151),$O151&gt;0),20,0)+IF($AE151="Yes",15,0)+IF($AF151="Yes",15,IF($AF151="Joint",10,0))+IF(OR($AG151="Immediate",$AG151="0-30 days"),20,IF($AG151="1-3 months",10,0))+IF(OR($AC151="Cash",$AD151="Pre-approved",$AD151="Approved"),10,0)+IF(ISNUMBER($V151),10,0)))</x:f>
      </x:c>
      <x:c r="AM151" s="793" t="str">
        <x:f>IF($A151="","",IF($H151="Lost","Lost",IF($H151="Converted","Converted",IF(NOT(ISNUMBER($AL151)),"",IF($AL151&gt;=75,"Hot",IF($AL151&gt;=45,"Warm","Nurture"))))))</x:f>
      </x:c>
      <x:c r="AN151" s="794"/>
      <x:c r="AO151" s="791"/>
      <x:c r="AP151" s="791"/>
      <x:c r="AQ151" s="794"/>
      <x:c r="AR151" s="794"/>
      <x:c r="AS151" s="791"/>
    </x:row>
    <x:row r="152" ht="26" customHeight="1">
      <x:c r="A152" s="317"/>
      <x:c r="B152" s="318"/>
      <x:c r="C152" s="327"/>
      <x:c r="D152" s="235"/>
      <x:c r="E152" s="235"/>
      <x:c r="F152" s="235"/>
      <x:c r="G152" s="235"/>
      <x:c r="H152" s="235"/>
      <x:c r="I152" s="235"/>
      <x:c r="J152" s="235"/>
      <x:c r="K152" s="235"/>
      <x:c r="L152" s="235"/>
      <x:c r="M152" s="376"/>
      <x:c r="N152" s="236"/>
      <x:c r="O152" s="236"/>
      <x:c r="P152" s="235"/>
      <x:c r="Q152" s="238"/>
      <x:c r="R152" s="238"/>
      <x:c r="S152" s="235"/>
      <x:c r="T152" s="315" t="str">
        <x:f>IF(A152="","",IF(OR(AND(C152&lt;&gt;"",COUNTIFS($C$6:$C$205,C152)&gt;1),AND(D152&lt;&gt;"",COUNTIFS($D$6:$D$205,D152)&gt;1)),"Check duplicate",""))</x:f>
      </x:c>
      <x:c r="U152" s="374" t="str">
        <x:f>IF(A152="","",IF(COUNTIFS('Follow-ups'!$B$6:$B$205,A152,'Follow-ups'!$D$6:$D$205,"&gt;0",'Follow-ups'!$D$6:$D$205,"&lt;="&amp;TODAY())=0,"",_xlfn.MAXIFS('Follow-ups'!$D$6:$D$205,'Follow-ups'!$B$6:$B$205,A152,'Follow-ups'!$D$6:$D$205,"&lt;="&amp;TODAY())))</x:f>
      </x:c>
      <x:c r="V152" s="374" t="str">
        <x:f>IF(A152="","",IF(COUNTIFS('Follow-ups'!$B$6:$B$205,A152,'Follow-ups'!$I$6:$I$205,"Open",'Follow-ups'!$H$6:$H$205,"&gt;0")=0,"",_xlfn.MINIFS('Follow-ups'!$H$6:$H$205,'Follow-ups'!$B$6:$B$205,A152,'Follow-ups'!$I$6:$I$205,"Open",'Follow-ups'!$H$6:$H$205,"&gt;0")))</x:f>
      </x:c>
      <x:c r="W152" s="265" t="str">
        <x:f>IF(A152="","",IF(OR(H152="Converted",H152="Lost"),"Closed lead",IF(H152="On Hold","On hold",IF(ISNUMBER(V152),IF(V152&lt;TODAY(),"Overdue",IF(V152=TODAY(),"Due today","Scheduled")),IF(COUNTIFS('Follow-ups'!$B$6:$B$205,A152,'Follow-ups'!$I$6:$I$205,"Open")&gt;0,"Set task due date","No open task")))))</x:f>
      </x:c>
      <x:c r="X152" s="235"/>
      <x:c r="Y152" s="235"/>
      <x:c r="Z152" s="235"/>
      <x:c r="AA152" s="315" t="str">
        <x:f>IF(A152="","",IF(COUNTIFS($A$6:$A$205,A152)&gt;1,"Duplicate ID",IF(B152="","Add name",IF(AND(C152="",D152=""),"Add phone or email",IF(H152="","Set lead stage",IF(NOT(ISNUMBER(R152)),"Add date added",IF(AND(ISNUMBER(N152),ISNUMBER(O152),N152&gt;O152),"Check budget range",IF(AND(H152="Lost",Y152=""),"Add lost reason",""))))))))</x:f>
      </x:c>
      <x:c r="AB152" s="791"/>
      <x:c r="AC152" s="791"/>
      <x:c r="AD152" s="791"/>
      <x:c r="AE152" s="791"/>
      <x:c r="AF152" s="791"/>
      <x:c r="AG152" s="791"/>
      <x:c r="AH152" s="791"/>
      <x:c r="AI152" s="791"/>
      <x:c r="AJ152" s="791"/>
      <x:c r="AK152" s="791"/>
      <x:c r="AL152" s="793" t="str">
        <x:f>IF($A152="","",IF(OR($H152="Lost",$H152="Converted"),"",IF(OR($C152&lt;&gt;"",$D152&lt;&gt;""),10,0)+IF(AND(ISNUMBER($O152),$O152&gt;0),20,0)+IF($AE152="Yes",15,0)+IF($AF152="Yes",15,IF($AF152="Joint",10,0))+IF(OR($AG152="Immediate",$AG152="0-30 days"),20,IF($AG152="1-3 months",10,0))+IF(OR($AC152="Cash",$AD152="Pre-approved",$AD152="Approved"),10,0)+IF(ISNUMBER($V152),10,0)))</x:f>
      </x:c>
      <x:c r="AM152" s="793" t="str">
        <x:f>IF($A152="","",IF($H152="Lost","Lost",IF($H152="Converted","Converted",IF(NOT(ISNUMBER($AL152)),"",IF($AL152&gt;=75,"Hot",IF($AL152&gt;=45,"Warm","Nurture"))))))</x:f>
      </x:c>
      <x:c r="AN152" s="794"/>
      <x:c r="AO152" s="791"/>
      <x:c r="AP152" s="791"/>
      <x:c r="AQ152" s="794"/>
      <x:c r="AR152" s="794"/>
      <x:c r="AS152" s="791"/>
    </x:row>
    <x:row r="153" ht="26" customHeight="1">
      <x:c r="A153" s="319"/>
      <x:c r="B153" s="320"/>
      <x:c r="C153" s="331"/>
      <x:c r="D153" s="274"/>
      <x:c r="E153" s="274"/>
      <x:c r="F153" s="274"/>
      <x:c r="G153" s="274"/>
      <x:c r="H153" s="274"/>
      <x:c r="I153" s="274"/>
      <x:c r="J153" s="274"/>
      <x:c r="K153" s="274"/>
      <x:c r="L153" s="274"/>
      <x:c r="M153" s="377"/>
      <x:c r="N153" s="302"/>
      <x:c r="O153" s="302"/>
      <x:c r="P153" s="274"/>
      <x:c r="Q153" s="304"/>
      <x:c r="R153" s="304"/>
      <x:c r="S153" s="274"/>
      <x:c r="T153" s="315" t="str">
        <x:f>IF(A153="","",IF(OR(AND(C153&lt;&gt;"",COUNTIFS($C$6:$C$205,C153)&gt;1),AND(D153&lt;&gt;"",COUNTIFS($D$6:$D$205,D153)&gt;1)),"Check duplicate",""))</x:f>
      </x:c>
      <x:c r="U153" s="374" t="str">
        <x:f>IF(A153="","",IF(COUNTIFS('Follow-ups'!$B$6:$B$205,A153,'Follow-ups'!$D$6:$D$205,"&gt;0",'Follow-ups'!$D$6:$D$205,"&lt;="&amp;TODAY())=0,"",_xlfn.MAXIFS('Follow-ups'!$D$6:$D$205,'Follow-ups'!$B$6:$B$205,A153,'Follow-ups'!$D$6:$D$205,"&lt;="&amp;TODAY())))</x:f>
      </x:c>
      <x:c r="V153" s="374" t="str">
        <x:f>IF(A153="","",IF(COUNTIFS('Follow-ups'!$B$6:$B$205,A153,'Follow-ups'!$I$6:$I$205,"Open",'Follow-ups'!$H$6:$H$205,"&gt;0")=0,"",_xlfn.MINIFS('Follow-ups'!$H$6:$H$205,'Follow-ups'!$B$6:$B$205,A153,'Follow-ups'!$I$6:$I$205,"Open",'Follow-ups'!$H$6:$H$205,"&gt;0")))</x:f>
      </x:c>
      <x:c r="W153" s="265" t="str">
        <x:f>IF(A153="","",IF(OR(H153="Converted",H153="Lost"),"Closed lead",IF(H153="On Hold","On hold",IF(ISNUMBER(V153),IF(V153&lt;TODAY(),"Overdue",IF(V153=TODAY(),"Due today","Scheduled")),IF(COUNTIFS('Follow-ups'!$B$6:$B$205,A153,'Follow-ups'!$I$6:$I$205,"Open")&gt;0,"Set task due date","No open task")))))</x:f>
      </x:c>
      <x:c r="X153" s="274"/>
      <x:c r="Y153" s="274"/>
      <x:c r="Z153" s="274"/>
      <x:c r="AA153" s="315" t="str">
        <x:f>IF(A153="","",IF(COUNTIFS($A$6:$A$205,A153)&gt;1,"Duplicate ID",IF(B153="","Add name",IF(AND(C153="",D153=""),"Add phone or email",IF(H153="","Set lead stage",IF(NOT(ISNUMBER(R153)),"Add date added",IF(AND(ISNUMBER(N153),ISNUMBER(O153),N153&gt;O153),"Check budget range",IF(AND(H153="Lost",Y153=""),"Add lost reason",""))))))))</x:f>
      </x:c>
      <x:c r="AB153" s="791"/>
      <x:c r="AC153" s="791"/>
      <x:c r="AD153" s="791"/>
      <x:c r="AE153" s="791"/>
      <x:c r="AF153" s="791"/>
      <x:c r="AG153" s="791"/>
      <x:c r="AH153" s="791"/>
      <x:c r="AI153" s="791"/>
      <x:c r="AJ153" s="791"/>
      <x:c r="AK153" s="791"/>
      <x:c r="AL153" s="793" t="str">
        <x:f>IF($A153="","",IF(OR($H153="Lost",$H153="Converted"),"",IF(OR($C153&lt;&gt;"",$D153&lt;&gt;""),10,0)+IF(AND(ISNUMBER($O153),$O153&gt;0),20,0)+IF($AE153="Yes",15,0)+IF($AF153="Yes",15,IF($AF153="Joint",10,0))+IF(OR($AG153="Immediate",$AG153="0-30 days"),20,IF($AG153="1-3 months",10,0))+IF(OR($AC153="Cash",$AD153="Pre-approved",$AD153="Approved"),10,0)+IF(ISNUMBER($V153),10,0)))</x:f>
      </x:c>
      <x:c r="AM153" s="793" t="str">
        <x:f>IF($A153="","",IF($H153="Lost","Lost",IF($H153="Converted","Converted",IF(NOT(ISNUMBER($AL153)),"",IF($AL153&gt;=75,"Hot",IF($AL153&gt;=45,"Warm","Nurture"))))))</x:f>
      </x:c>
      <x:c r="AN153" s="794"/>
      <x:c r="AO153" s="791"/>
      <x:c r="AP153" s="791"/>
      <x:c r="AQ153" s="794"/>
      <x:c r="AR153" s="794"/>
      <x:c r="AS153" s="791"/>
    </x:row>
    <x:row r="154" ht="26" customHeight="1">
      <x:c r="A154" s="317"/>
      <x:c r="B154" s="318"/>
      <x:c r="C154" s="327"/>
      <x:c r="D154" s="235"/>
      <x:c r="E154" s="235"/>
      <x:c r="F154" s="235"/>
      <x:c r="G154" s="235"/>
      <x:c r="H154" s="235"/>
      <x:c r="I154" s="235"/>
      <x:c r="J154" s="235"/>
      <x:c r="K154" s="235"/>
      <x:c r="L154" s="235"/>
      <x:c r="M154" s="376"/>
      <x:c r="N154" s="236"/>
      <x:c r="O154" s="236"/>
      <x:c r="P154" s="235"/>
      <x:c r="Q154" s="238"/>
      <x:c r="R154" s="238"/>
      <x:c r="S154" s="235"/>
      <x:c r="T154" s="315" t="str">
        <x:f>IF(A154="","",IF(OR(AND(C154&lt;&gt;"",COUNTIFS($C$6:$C$205,C154)&gt;1),AND(D154&lt;&gt;"",COUNTIFS($D$6:$D$205,D154)&gt;1)),"Check duplicate",""))</x:f>
      </x:c>
      <x:c r="U154" s="374" t="str">
        <x:f>IF(A154="","",IF(COUNTIFS('Follow-ups'!$B$6:$B$205,A154,'Follow-ups'!$D$6:$D$205,"&gt;0",'Follow-ups'!$D$6:$D$205,"&lt;="&amp;TODAY())=0,"",_xlfn.MAXIFS('Follow-ups'!$D$6:$D$205,'Follow-ups'!$B$6:$B$205,A154,'Follow-ups'!$D$6:$D$205,"&lt;="&amp;TODAY())))</x:f>
      </x:c>
      <x:c r="V154" s="374" t="str">
        <x:f>IF(A154="","",IF(COUNTIFS('Follow-ups'!$B$6:$B$205,A154,'Follow-ups'!$I$6:$I$205,"Open",'Follow-ups'!$H$6:$H$205,"&gt;0")=0,"",_xlfn.MINIFS('Follow-ups'!$H$6:$H$205,'Follow-ups'!$B$6:$B$205,A154,'Follow-ups'!$I$6:$I$205,"Open",'Follow-ups'!$H$6:$H$205,"&gt;0")))</x:f>
      </x:c>
      <x:c r="W154" s="265" t="str">
        <x:f>IF(A154="","",IF(OR(H154="Converted",H154="Lost"),"Closed lead",IF(H154="On Hold","On hold",IF(ISNUMBER(V154),IF(V154&lt;TODAY(),"Overdue",IF(V154=TODAY(),"Due today","Scheduled")),IF(COUNTIFS('Follow-ups'!$B$6:$B$205,A154,'Follow-ups'!$I$6:$I$205,"Open")&gt;0,"Set task due date","No open task")))))</x:f>
      </x:c>
      <x:c r="X154" s="235"/>
      <x:c r="Y154" s="235"/>
      <x:c r="Z154" s="235"/>
      <x:c r="AA154" s="315" t="str">
        <x:f>IF(A154="","",IF(COUNTIFS($A$6:$A$205,A154)&gt;1,"Duplicate ID",IF(B154="","Add name",IF(AND(C154="",D154=""),"Add phone or email",IF(H154="","Set lead stage",IF(NOT(ISNUMBER(R154)),"Add date added",IF(AND(ISNUMBER(N154),ISNUMBER(O154),N154&gt;O154),"Check budget range",IF(AND(H154="Lost",Y154=""),"Add lost reason",""))))))))</x:f>
      </x:c>
      <x:c r="AB154" s="791"/>
      <x:c r="AC154" s="791"/>
      <x:c r="AD154" s="791"/>
      <x:c r="AE154" s="791"/>
      <x:c r="AF154" s="791"/>
      <x:c r="AG154" s="791"/>
      <x:c r="AH154" s="791"/>
      <x:c r="AI154" s="791"/>
      <x:c r="AJ154" s="791"/>
      <x:c r="AK154" s="791"/>
      <x:c r="AL154" s="793" t="str">
        <x:f>IF($A154="","",IF(OR($H154="Lost",$H154="Converted"),"",IF(OR($C154&lt;&gt;"",$D154&lt;&gt;""),10,0)+IF(AND(ISNUMBER($O154),$O154&gt;0),20,0)+IF($AE154="Yes",15,0)+IF($AF154="Yes",15,IF($AF154="Joint",10,0))+IF(OR($AG154="Immediate",$AG154="0-30 days"),20,IF($AG154="1-3 months",10,0))+IF(OR($AC154="Cash",$AD154="Pre-approved",$AD154="Approved"),10,0)+IF(ISNUMBER($V154),10,0)))</x:f>
      </x:c>
      <x:c r="AM154" s="793" t="str">
        <x:f>IF($A154="","",IF($H154="Lost","Lost",IF($H154="Converted","Converted",IF(NOT(ISNUMBER($AL154)),"",IF($AL154&gt;=75,"Hot",IF($AL154&gt;=45,"Warm","Nurture"))))))</x:f>
      </x:c>
      <x:c r="AN154" s="794"/>
      <x:c r="AO154" s="791"/>
      <x:c r="AP154" s="791"/>
      <x:c r="AQ154" s="794"/>
      <x:c r="AR154" s="794"/>
      <x:c r="AS154" s="791"/>
    </x:row>
    <x:row r="155" ht="26" customHeight="1">
      <x:c r="A155" s="319"/>
      <x:c r="B155" s="320"/>
      <x:c r="C155" s="331"/>
      <x:c r="D155" s="274"/>
      <x:c r="E155" s="274"/>
      <x:c r="F155" s="274"/>
      <x:c r="G155" s="274"/>
      <x:c r="H155" s="274"/>
      <x:c r="I155" s="274"/>
      <x:c r="J155" s="274"/>
      <x:c r="K155" s="274"/>
      <x:c r="L155" s="274"/>
      <x:c r="M155" s="377"/>
      <x:c r="N155" s="302"/>
      <x:c r="O155" s="302"/>
      <x:c r="P155" s="274"/>
      <x:c r="Q155" s="304"/>
      <x:c r="R155" s="304"/>
      <x:c r="S155" s="274"/>
      <x:c r="T155" s="315" t="str">
        <x:f>IF(A155="","",IF(OR(AND(C155&lt;&gt;"",COUNTIFS($C$6:$C$205,C155)&gt;1),AND(D155&lt;&gt;"",COUNTIFS($D$6:$D$205,D155)&gt;1)),"Check duplicate",""))</x:f>
      </x:c>
      <x:c r="U155" s="374" t="str">
        <x:f>IF(A155="","",IF(COUNTIFS('Follow-ups'!$B$6:$B$205,A155,'Follow-ups'!$D$6:$D$205,"&gt;0",'Follow-ups'!$D$6:$D$205,"&lt;="&amp;TODAY())=0,"",_xlfn.MAXIFS('Follow-ups'!$D$6:$D$205,'Follow-ups'!$B$6:$B$205,A155,'Follow-ups'!$D$6:$D$205,"&lt;="&amp;TODAY())))</x:f>
      </x:c>
      <x:c r="V155" s="374" t="str">
        <x:f>IF(A155="","",IF(COUNTIFS('Follow-ups'!$B$6:$B$205,A155,'Follow-ups'!$I$6:$I$205,"Open",'Follow-ups'!$H$6:$H$205,"&gt;0")=0,"",_xlfn.MINIFS('Follow-ups'!$H$6:$H$205,'Follow-ups'!$B$6:$B$205,A155,'Follow-ups'!$I$6:$I$205,"Open",'Follow-ups'!$H$6:$H$205,"&gt;0")))</x:f>
      </x:c>
      <x:c r="W155" s="265" t="str">
        <x:f>IF(A155="","",IF(OR(H155="Converted",H155="Lost"),"Closed lead",IF(H155="On Hold","On hold",IF(ISNUMBER(V155),IF(V155&lt;TODAY(),"Overdue",IF(V155=TODAY(),"Due today","Scheduled")),IF(COUNTIFS('Follow-ups'!$B$6:$B$205,A155,'Follow-ups'!$I$6:$I$205,"Open")&gt;0,"Set task due date","No open task")))))</x:f>
      </x:c>
      <x:c r="X155" s="274"/>
      <x:c r="Y155" s="274"/>
      <x:c r="Z155" s="274"/>
      <x:c r="AA155" s="315" t="str">
        <x:f>IF(A155="","",IF(COUNTIFS($A$6:$A$205,A155)&gt;1,"Duplicate ID",IF(B155="","Add name",IF(AND(C155="",D155=""),"Add phone or email",IF(H155="","Set lead stage",IF(NOT(ISNUMBER(R155)),"Add date added",IF(AND(ISNUMBER(N155),ISNUMBER(O155),N155&gt;O155),"Check budget range",IF(AND(H155="Lost",Y155=""),"Add lost reason",""))))))))</x:f>
      </x:c>
      <x:c r="AB155" s="791"/>
      <x:c r="AC155" s="791"/>
      <x:c r="AD155" s="791"/>
      <x:c r="AE155" s="791"/>
      <x:c r="AF155" s="791"/>
      <x:c r="AG155" s="791"/>
      <x:c r="AH155" s="791"/>
      <x:c r="AI155" s="791"/>
      <x:c r="AJ155" s="791"/>
      <x:c r="AK155" s="791"/>
      <x:c r="AL155" s="793" t="str">
        <x:f>IF($A155="","",IF(OR($H155="Lost",$H155="Converted"),"",IF(OR($C155&lt;&gt;"",$D155&lt;&gt;""),10,0)+IF(AND(ISNUMBER($O155),$O155&gt;0),20,0)+IF($AE155="Yes",15,0)+IF($AF155="Yes",15,IF($AF155="Joint",10,0))+IF(OR($AG155="Immediate",$AG155="0-30 days"),20,IF($AG155="1-3 months",10,0))+IF(OR($AC155="Cash",$AD155="Pre-approved",$AD155="Approved"),10,0)+IF(ISNUMBER($V155),10,0)))</x:f>
      </x:c>
      <x:c r="AM155" s="793" t="str">
        <x:f>IF($A155="","",IF($H155="Lost","Lost",IF($H155="Converted","Converted",IF(NOT(ISNUMBER($AL155)),"",IF($AL155&gt;=75,"Hot",IF($AL155&gt;=45,"Warm","Nurture"))))))</x:f>
      </x:c>
      <x:c r="AN155" s="794"/>
      <x:c r="AO155" s="791"/>
      <x:c r="AP155" s="791"/>
      <x:c r="AQ155" s="794"/>
      <x:c r="AR155" s="794"/>
      <x:c r="AS155" s="791"/>
    </x:row>
    <x:row r="156" ht="26" customHeight="1">
      <x:c r="A156" s="317"/>
      <x:c r="B156" s="318"/>
      <x:c r="C156" s="327"/>
      <x:c r="D156" s="235"/>
      <x:c r="E156" s="235"/>
      <x:c r="F156" s="235"/>
      <x:c r="G156" s="235"/>
      <x:c r="H156" s="235"/>
      <x:c r="I156" s="235"/>
      <x:c r="J156" s="235"/>
      <x:c r="K156" s="235"/>
      <x:c r="L156" s="235"/>
      <x:c r="M156" s="376"/>
      <x:c r="N156" s="236"/>
      <x:c r="O156" s="236"/>
      <x:c r="P156" s="235"/>
      <x:c r="Q156" s="238"/>
      <x:c r="R156" s="238"/>
      <x:c r="S156" s="235"/>
      <x:c r="T156" s="315" t="str">
        <x:f>IF(A156="","",IF(OR(AND(C156&lt;&gt;"",COUNTIFS($C$6:$C$205,C156)&gt;1),AND(D156&lt;&gt;"",COUNTIFS($D$6:$D$205,D156)&gt;1)),"Check duplicate",""))</x:f>
      </x:c>
      <x:c r="U156" s="374" t="str">
        <x:f>IF(A156="","",IF(COUNTIFS('Follow-ups'!$B$6:$B$205,A156,'Follow-ups'!$D$6:$D$205,"&gt;0",'Follow-ups'!$D$6:$D$205,"&lt;="&amp;TODAY())=0,"",_xlfn.MAXIFS('Follow-ups'!$D$6:$D$205,'Follow-ups'!$B$6:$B$205,A156,'Follow-ups'!$D$6:$D$205,"&lt;="&amp;TODAY())))</x:f>
      </x:c>
      <x:c r="V156" s="374" t="str">
        <x:f>IF(A156="","",IF(COUNTIFS('Follow-ups'!$B$6:$B$205,A156,'Follow-ups'!$I$6:$I$205,"Open",'Follow-ups'!$H$6:$H$205,"&gt;0")=0,"",_xlfn.MINIFS('Follow-ups'!$H$6:$H$205,'Follow-ups'!$B$6:$B$205,A156,'Follow-ups'!$I$6:$I$205,"Open",'Follow-ups'!$H$6:$H$205,"&gt;0")))</x:f>
      </x:c>
      <x:c r="W156" s="265" t="str">
        <x:f>IF(A156="","",IF(OR(H156="Converted",H156="Lost"),"Closed lead",IF(H156="On Hold","On hold",IF(ISNUMBER(V156),IF(V156&lt;TODAY(),"Overdue",IF(V156=TODAY(),"Due today","Scheduled")),IF(COUNTIFS('Follow-ups'!$B$6:$B$205,A156,'Follow-ups'!$I$6:$I$205,"Open")&gt;0,"Set task due date","No open task")))))</x:f>
      </x:c>
      <x:c r="X156" s="235"/>
      <x:c r="Y156" s="235"/>
      <x:c r="Z156" s="235"/>
      <x:c r="AA156" s="315" t="str">
        <x:f>IF(A156="","",IF(COUNTIFS($A$6:$A$205,A156)&gt;1,"Duplicate ID",IF(B156="","Add name",IF(AND(C156="",D156=""),"Add phone or email",IF(H156="","Set lead stage",IF(NOT(ISNUMBER(R156)),"Add date added",IF(AND(ISNUMBER(N156),ISNUMBER(O156),N156&gt;O156),"Check budget range",IF(AND(H156="Lost",Y156=""),"Add lost reason",""))))))))</x:f>
      </x:c>
      <x:c r="AB156" s="791"/>
      <x:c r="AC156" s="791"/>
      <x:c r="AD156" s="791"/>
      <x:c r="AE156" s="791"/>
      <x:c r="AF156" s="791"/>
      <x:c r="AG156" s="791"/>
      <x:c r="AH156" s="791"/>
      <x:c r="AI156" s="791"/>
      <x:c r="AJ156" s="791"/>
      <x:c r="AK156" s="791"/>
      <x:c r="AL156" s="793" t="str">
        <x:f>IF($A156="","",IF(OR($H156="Lost",$H156="Converted"),"",IF(OR($C156&lt;&gt;"",$D156&lt;&gt;""),10,0)+IF(AND(ISNUMBER($O156),$O156&gt;0),20,0)+IF($AE156="Yes",15,0)+IF($AF156="Yes",15,IF($AF156="Joint",10,0))+IF(OR($AG156="Immediate",$AG156="0-30 days"),20,IF($AG156="1-3 months",10,0))+IF(OR($AC156="Cash",$AD156="Pre-approved",$AD156="Approved"),10,0)+IF(ISNUMBER($V156),10,0)))</x:f>
      </x:c>
      <x:c r="AM156" s="793" t="str">
        <x:f>IF($A156="","",IF($H156="Lost","Lost",IF($H156="Converted","Converted",IF(NOT(ISNUMBER($AL156)),"",IF($AL156&gt;=75,"Hot",IF($AL156&gt;=45,"Warm","Nurture"))))))</x:f>
      </x:c>
      <x:c r="AN156" s="794"/>
      <x:c r="AO156" s="791"/>
      <x:c r="AP156" s="791"/>
      <x:c r="AQ156" s="794"/>
      <x:c r="AR156" s="794"/>
      <x:c r="AS156" s="791"/>
    </x:row>
    <x:row r="157" ht="26" customHeight="1">
      <x:c r="A157" s="319"/>
      <x:c r="B157" s="320"/>
      <x:c r="C157" s="331"/>
      <x:c r="D157" s="274"/>
      <x:c r="E157" s="274"/>
      <x:c r="F157" s="274"/>
      <x:c r="G157" s="274"/>
      <x:c r="H157" s="274"/>
      <x:c r="I157" s="274"/>
      <x:c r="J157" s="274"/>
      <x:c r="K157" s="274"/>
      <x:c r="L157" s="274"/>
      <x:c r="M157" s="377"/>
      <x:c r="N157" s="302"/>
      <x:c r="O157" s="302"/>
      <x:c r="P157" s="274"/>
      <x:c r="Q157" s="304"/>
      <x:c r="R157" s="304"/>
      <x:c r="S157" s="274"/>
      <x:c r="T157" s="315" t="str">
        <x:f>IF(A157="","",IF(OR(AND(C157&lt;&gt;"",COUNTIFS($C$6:$C$205,C157)&gt;1),AND(D157&lt;&gt;"",COUNTIFS($D$6:$D$205,D157)&gt;1)),"Check duplicate",""))</x:f>
      </x:c>
      <x:c r="U157" s="374" t="str">
        <x:f>IF(A157="","",IF(COUNTIFS('Follow-ups'!$B$6:$B$205,A157,'Follow-ups'!$D$6:$D$205,"&gt;0",'Follow-ups'!$D$6:$D$205,"&lt;="&amp;TODAY())=0,"",_xlfn.MAXIFS('Follow-ups'!$D$6:$D$205,'Follow-ups'!$B$6:$B$205,A157,'Follow-ups'!$D$6:$D$205,"&lt;="&amp;TODAY())))</x:f>
      </x:c>
      <x:c r="V157" s="374" t="str">
        <x:f>IF(A157="","",IF(COUNTIFS('Follow-ups'!$B$6:$B$205,A157,'Follow-ups'!$I$6:$I$205,"Open",'Follow-ups'!$H$6:$H$205,"&gt;0")=0,"",_xlfn.MINIFS('Follow-ups'!$H$6:$H$205,'Follow-ups'!$B$6:$B$205,A157,'Follow-ups'!$I$6:$I$205,"Open",'Follow-ups'!$H$6:$H$205,"&gt;0")))</x:f>
      </x:c>
      <x:c r="W157" s="265" t="str">
        <x:f>IF(A157="","",IF(OR(H157="Converted",H157="Lost"),"Closed lead",IF(H157="On Hold","On hold",IF(ISNUMBER(V157),IF(V157&lt;TODAY(),"Overdue",IF(V157=TODAY(),"Due today","Scheduled")),IF(COUNTIFS('Follow-ups'!$B$6:$B$205,A157,'Follow-ups'!$I$6:$I$205,"Open")&gt;0,"Set task due date","No open task")))))</x:f>
      </x:c>
      <x:c r="X157" s="274"/>
      <x:c r="Y157" s="274"/>
      <x:c r="Z157" s="274"/>
      <x:c r="AA157" s="315" t="str">
        <x:f>IF(A157="","",IF(COUNTIFS($A$6:$A$205,A157)&gt;1,"Duplicate ID",IF(B157="","Add name",IF(AND(C157="",D157=""),"Add phone or email",IF(H157="","Set lead stage",IF(NOT(ISNUMBER(R157)),"Add date added",IF(AND(ISNUMBER(N157),ISNUMBER(O157),N157&gt;O157),"Check budget range",IF(AND(H157="Lost",Y157=""),"Add lost reason",""))))))))</x:f>
      </x:c>
      <x:c r="AB157" s="791"/>
      <x:c r="AC157" s="791"/>
      <x:c r="AD157" s="791"/>
      <x:c r="AE157" s="791"/>
      <x:c r="AF157" s="791"/>
      <x:c r="AG157" s="791"/>
      <x:c r="AH157" s="791"/>
      <x:c r="AI157" s="791"/>
      <x:c r="AJ157" s="791"/>
      <x:c r="AK157" s="791"/>
      <x:c r="AL157" s="793" t="str">
        <x:f>IF($A157="","",IF(OR($H157="Lost",$H157="Converted"),"",IF(OR($C157&lt;&gt;"",$D157&lt;&gt;""),10,0)+IF(AND(ISNUMBER($O157),$O157&gt;0),20,0)+IF($AE157="Yes",15,0)+IF($AF157="Yes",15,IF($AF157="Joint",10,0))+IF(OR($AG157="Immediate",$AG157="0-30 days"),20,IF($AG157="1-3 months",10,0))+IF(OR($AC157="Cash",$AD157="Pre-approved",$AD157="Approved"),10,0)+IF(ISNUMBER($V157),10,0)))</x:f>
      </x:c>
      <x:c r="AM157" s="793" t="str">
        <x:f>IF($A157="","",IF($H157="Lost","Lost",IF($H157="Converted","Converted",IF(NOT(ISNUMBER($AL157)),"",IF($AL157&gt;=75,"Hot",IF($AL157&gt;=45,"Warm","Nurture"))))))</x:f>
      </x:c>
      <x:c r="AN157" s="794"/>
      <x:c r="AO157" s="791"/>
      <x:c r="AP157" s="791"/>
      <x:c r="AQ157" s="794"/>
      <x:c r="AR157" s="794"/>
      <x:c r="AS157" s="791"/>
    </x:row>
    <x:row r="158" ht="26" customHeight="1">
      <x:c r="A158" s="317"/>
      <x:c r="B158" s="318"/>
      <x:c r="C158" s="327"/>
      <x:c r="D158" s="235"/>
      <x:c r="E158" s="235"/>
      <x:c r="F158" s="235"/>
      <x:c r="G158" s="235"/>
      <x:c r="H158" s="235"/>
      <x:c r="I158" s="235"/>
      <x:c r="J158" s="235"/>
      <x:c r="K158" s="235"/>
      <x:c r="L158" s="235"/>
      <x:c r="M158" s="376"/>
      <x:c r="N158" s="236"/>
      <x:c r="O158" s="236"/>
      <x:c r="P158" s="235"/>
      <x:c r="Q158" s="238"/>
      <x:c r="R158" s="238"/>
      <x:c r="S158" s="235"/>
      <x:c r="T158" s="315" t="str">
        <x:f>IF(A158="","",IF(OR(AND(C158&lt;&gt;"",COUNTIFS($C$6:$C$205,C158)&gt;1),AND(D158&lt;&gt;"",COUNTIFS($D$6:$D$205,D158)&gt;1)),"Check duplicate",""))</x:f>
      </x:c>
      <x:c r="U158" s="374" t="str">
        <x:f>IF(A158="","",IF(COUNTIFS('Follow-ups'!$B$6:$B$205,A158,'Follow-ups'!$D$6:$D$205,"&gt;0",'Follow-ups'!$D$6:$D$205,"&lt;="&amp;TODAY())=0,"",_xlfn.MAXIFS('Follow-ups'!$D$6:$D$205,'Follow-ups'!$B$6:$B$205,A158,'Follow-ups'!$D$6:$D$205,"&lt;="&amp;TODAY())))</x:f>
      </x:c>
      <x:c r="V158" s="374" t="str">
        <x:f>IF(A158="","",IF(COUNTIFS('Follow-ups'!$B$6:$B$205,A158,'Follow-ups'!$I$6:$I$205,"Open",'Follow-ups'!$H$6:$H$205,"&gt;0")=0,"",_xlfn.MINIFS('Follow-ups'!$H$6:$H$205,'Follow-ups'!$B$6:$B$205,A158,'Follow-ups'!$I$6:$I$205,"Open",'Follow-ups'!$H$6:$H$205,"&gt;0")))</x:f>
      </x:c>
      <x:c r="W158" s="265" t="str">
        <x:f>IF(A158="","",IF(OR(H158="Converted",H158="Lost"),"Closed lead",IF(H158="On Hold","On hold",IF(ISNUMBER(V158),IF(V158&lt;TODAY(),"Overdue",IF(V158=TODAY(),"Due today","Scheduled")),IF(COUNTIFS('Follow-ups'!$B$6:$B$205,A158,'Follow-ups'!$I$6:$I$205,"Open")&gt;0,"Set task due date","No open task")))))</x:f>
      </x:c>
      <x:c r="X158" s="235"/>
      <x:c r="Y158" s="235"/>
      <x:c r="Z158" s="235"/>
      <x:c r="AA158" s="315" t="str">
        <x:f>IF(A158="","",IF(COUNTIFS($A$6:$A$205,A158)&gt;1,"Duplicate ID",IF(B158="","Add name",IF(AND(C158="",D158=""),"Add phone or email",IF(H158="","Set lead stage",IF(NOT(ISNUMBER(R158)),"Add date added",IF(AND(ISNUMBER(N158),ISNUMBER(O158),N158&gt;O158),"Check budget range",IF(AND(H158="Lost",Y158=""),"Add lost reason",""))))))))</x:f>
      </x:c>
      <x:c r="AB158" s="791"/>
      <x:c r="AC158" s="791"/>
      <x:c r="AD158" s="791"/>
      <x:c r="AE158" s="791"/>
      <x:c r="AF158" s="791"/>
      <x:c r="AG158" s="791"/>
      <x:c r="AH158" s="791"/>
      <x:c r="AI158" s="791"/>
      <x:c r="AJ158" s="791"/>
      <x:c r="AK158" s="791"/>
      <x:c r="AL158" s="793" t="str">
        <x:f>IF($A158="","",IF(OR($H158="Lost",$H158="Converted"),"",IF(OR($C158&lt;&gt;"",$D158&lt;&gt;""),10,0)+IF(AND(ISNUMBER($O158),$O158&gt;0),20,0)+IF($AE158="Yes",15,0)+IF($AF158="Yes",15,IF($AF158="Joint",10,0))+IF(OR($AG158="Immediate",$AG158="0-30 days"),20,IF($AG158="1-3 months",10,0))+IF(OR($AC158="Cash",$AD158="Pre-approved",$AD158="Approved"),10,0)+IF(ISNUMBER($V158),10,0)))</x:f>
      </x:c>
      <x:c r="AM158" s="793" t="str">
        <x:f>IF($A158="","",IF($H158="Lost","Lost",IF($H158="Converted","Converted",IF(NOT(ISNUMBER($AL158)),"",IF($AL158&gt;=75,"Hot",IF($AL158&gt;=45,"Warm","Nurture"))))))</x:f>
      </x:c>
      <x:c r="AN158" s="794"/>
      <x:c r="AO158" s="791"/>
      <x:c r="AP158" s="791"/>
      <x:c r="AQ158" s="794"/>
      <x:c r="AR158" s="794"/>
      <x:c r="AS158" s="791"/>
    </x:row>
    <x:row r="159" ht="26" customHeight="1">
      <x:c r="A159" s="319"/>
      <x:c r="B159" s="320"/>
      <x:c r="C159" s="331"/>
      <x:c r="D159" s="274"/>
      <x:c r="E159" s="274"/>
      <x:c r="F159" s="274"/>
      <x:c r="G159" s="274"/>
      <x:c r="H159" s="274"/>
      <x:c r="I159" s="274"/>
      <x:c r="J159" s="274"/>
      <x:c r="K159" s="274"/>
      <x:c r="L159" s="274"/>
      <x:c r="M159" s="377"/>
      <x:c r="N159" s="302"/>
      <x:c r="O159" s="302"/>
      <x:c r="P159" s="274"/>
      <x:c r="Q159" s="304"/>
      <x:c r="R159" s="304"/>
      <x:c r="S159" s="274"/>
      <x:c r="T159" s="315" t="str">
        <x:f>IF(A159="","",IF(OR(AND(C159&lt;&gt;"",COUNTIFS($C$6:$C$205,C159)&gt;1),AND(D159&lt;&gt;"",COUNTIFS($D$6:$D$205,D159)&gt;1)),"Check duplicate",""))</x:f>
      </x:c>
      <x:c r="U159" s="374" t="str">
        <x:f>IF(A159="","",IF(COUNTIFS('Follow-ups'!$B$6:$B$205,A159,'Follow-ups'!$D$6:$D$205,"&gt;0",'Follow-ups'!$D$6:$D$205,"&lt;="&amp;TODAY())=0,"",_xlfn.MAXIFS('Follow-ups'!$D$6:$D$205,'Follow-ups'!$B$6:$B$205,A159,'Follow-ups'!$D$6:$D$205,"&lt;="&amp;TODAY())))</x:f>
      </x:c>
      <x:c r="V159" s="374" t="str">
        <x:f>IF(A159="","",IF(COUNTIFS('Follow-ups'!$B$6:$B$205,A159,'Follow-ups'!$I$6:$I$205,"Open",'Follow-ups'!$H$6:$H$205,"&gt;0")=0,"",_xlfn.MINIFS('Follow-ups'!$H$6:$H$205,'Follow-ups'!$B$6:$B$205,A159,'Follow-ups'!$I$6:$I$205,"Open",'Follow-ups'!$H$6:$H$205,"&gt;0")))</x:f>
      </x:c>
      <x:c r="W159" s="265" t="str">
        <x:f>IF(A159="","",IF(OR(H159="Converted",H159="Lost"),"Closed lead",IF(H159="On Hold","On hold",IF(ISNUMBER(V159),IF(V159&lt;TODAY(),"Overdue",IF(V159=TODAY(),"Due today","Scheduled")),IF(COUNTIFS('Follow-ups'!$B$6:$B$205,A159,'Follow-ups'!$I$6:$I$205,"Open")&gt;0,"Set task due date","No open task")))))</x:f>
      </x:c>
      <x:c r="X159" s="274"/>
      <x:c r="Y159" s="274"/>
      <x:c r="Z159" s="274"/>
      <x:c r="AA159" s="315" t="str">
        <x:f>IF(A159="","",IF(COUNTIFS($A$6:$A$205,A159)&gt;1,"Duplicate ID",IF(B159="","Add name",IF(AND(C159="",D159=""),"Add phone or email",IF(H159="","Set lead stage",IF(NOT(ISNUMBER(R159)),"Add date added",IF(AND(ISNUMBER(N159),ISNUMBER(O159),N159&gt;O159),"Check budget range",IF(AND(H159="Lost",Y159=""),"Add lost reason",""))))))))</x:f>
      </x:c>
      <x:c r="AB159" s="791"/>
      <x:c r="AC159" s="791"/>
      <x:c r="AD159" s="791"/>
      <x:c r="AE159" s="791"/>
      <x:c r="AF159" s="791"/>
      <x:c r="AG159" s="791"/>
      <x:c r="AH159" s="791"/>
      <x:c r="AI159" s="791"/>
      <x:c r="AJ159" s="791"/>
      <x:c r="AK159" s="791"/>
      <x:c r="AL159" s="793" t="str">
        <x:f>IF($A159="","",IF(OR($H159="Lost",$H159="Converted"),"",IF(OR($C159&lt;&gt;"",$D159&lt;&gt;""),10,0)+IF(AND(ISNUMBER($O159),$O159&gt;0),20,0)+IF($AE159="Yes",15,0)+IF($AF159="Yes",15,IF($AF159="Joint",10,0))+IF(OR($AG159="Immediate",$AG159="0-30 days"),20,IF($AG159="1-3 months",10,0))+IF(OR($AC159="Cash",$AD159="Pre-approved",$AD159="Approved"),10,0)+IF(ISNUMBER($V159),10,0)))</x:f>
      </x:c>
      <x:c r="AM159" s="793" t="str">
        <x:f>IF($A159="","",IF($H159="Lost","Lost",IF($H159="Converted","Converted",IF(NOT(ISNUMBER($AL159)),"",IF($AL159&gt;=75,"Hot",IF($AL159&gt;=45,"Warm","Nurture"))))))</x:f>
      </x:c>
      <x:c r="AN159" s="794"/>
      <x:c r="AO159" s="791"/>
      <x:c r="AP159" s="791"/>
      <x:c r="AQ159" s="794"/>
      <x:c r="AR159" s="794"/>
      <x:c r="AS159" s="791"/>
    </x:row>
    <x:row r="160" ht="26" customHeight="1">
      <x:c r="A160" s="317"/>
      <x:c r="B160" s="318"/>
      <x:c r="C160" s="327"/>
      <x:c r="D160" s="235"/>
      <x:c r="E160" s="235"/>
      <x:c r="F160" s="235"/>
      <x:c r="G160" s="235"/>
      <x:c r="H160" s="235"/>
      <x:c r="I160" s="235"/>
      <x:c r="J160" s="235"/>
      <x:c r="K160" s="235"/>
      <x:c r="L160" s="235"/>
      <x:c r="M160" s="376"/>
      <x:c r="N160" s="236"/>
      <x:c r="O160" s="236"/>
      <x:c r="P160" s="235"/>
      <x:c r="Q160" s="238"/>
      <x:c r="R160" s="238"/>
      <x:c r="S160" s="235"/>
      <x:c r="T160" s="315" t="str">
        <x:f>IF(A160="","",IF(OR(AND(C160&lt;&gt;"",COUNTIFS($C$6:$C$205,C160)&gt;1),AND(D160&lt;&gt;"",COUNTIFS($D$6:$D$205,D160)&gt;1)),"Check duplicate",""))</x:f>
      </x:c>
      <x:c r="U160" s="374" t="str">
        <x:f>IF(A160="","",IF(COUNTIFS('Follow-ups'!$B$6:$B$205,A160,'Follow-ups'!$D$6:$D$205,"&gt;0",'Follow-ups'!$D$6:$D$205,"&lt;="&amp;TODAY())=0,"",_xlfn.MAXIFS('Follow-ups'!$D$6:$D$205,'Follow-ups'!$B$6:$B$205,A160,'Follow-ups'!$D$6:$D$205,"&lt;="&amp;TODAY())))</x:f>
      </x:c>
      <x:c r="V160" s="374" t="str">
        <x:f>IF(A160="","",IF(COUNTIFS('Follow-ups'!$B$6:$B$205,A160,'Follow-ups'!$I$6:$I$205,"Open",'Follow-ups'!$H$6:$H$205,"&gt;0")=0,"",_xlfn.MINIFS('Follow-ups'!$H$6:$H$205,'Follow-ups'!$B$6:$B$205,A160,'Follow-ups'!$I$6:$I$205,"Open",'Follow-ups'!$H$6:$H$205,"&gt;0")))</x:f>
      </x:c>
      <x:c r="W160" s="265" t="str">
        <x:f>IF(A160="","",IF(OR(H160="Converted",H160="Lost"),"Closed lead",IF(H160="On Hold","On hold",IF(ISNUMBER(V160),IF(V160&lt;TODAY(),"Overdue",IF(V160=TODAY(),"Due today","Scheduled")),IF(COUNTIFS('Follow-ups'!$B$6:$B$205,A160,'Follow-ups'!$I$6:$I$205,"Open")&gt;0,"Set task due date","No open task")))))</x:f>
      </x:c>
      <x:c r="X160" s="235"/>
      <x:c r="Y160" s="235"/>
      <x:c r="Z160" s="235"/>
      <x:c r="AA160" s="315" t="str">
        <x:f>IF(A160="","",IF(COUNTIFS($A$6:$A$205,A160)&gt;1,"Duplicate ID",IF(B160="","Add name",IF(AND(C160="",D160=""),"Add phone or email",IF(H160="","Set lead stage",IF(NOT(ISNUMBER(R160)),"Add date added",IF(AND(ISNUMBER(N160),ISNUMBER(O160),N160&gt;O160),"Check budget range",IF(AND(H160="Lost",Y160=""),"Add lost reason",""))))))))</x:f>
      </x:c>
      <x:c r="AB160" s="791"/>
      <x:c r="AC160" s="791"/>
      <x:c r="AD160" s="791"/>
      <x:c r="AE160" s="791"/>
      <x:c r="AF160" s="791"/>
      <x:c r="AG160" s="791"/>
      <x:c r="AH160" s="791"/>
      <x:c r="AI160" s="791"/>
      <x:c r="AJ160" s="791"/>
      <x:c r="AK160" s="791"/>
      <x:c r="AL160" s="793" t="str">
        <x:f>IF($A160="","",IF(OR($H160="Lost",$H160="Converted"),"",IF(OR($C160&lt;&gt;"",$D160&lt;&gt;""),10,0)+IF(AND(ISNUMBER($O160),$O160&gt;0),20,0)+IF($AE160="Yes",15,0)+IF($AF160="Yes",15,IF($AF160="Joint",10,0))+IF(OR($AG160="Immediate",$AG160="0-30 days"),20,IF($AG160="1-3 months",10,0))+IF(OR($AC160="Cash",$AD160="Pre-approved",$AD160="Approved"),10,0)+IF(ISNUMBER($V160),10,0)))</x:f>
      </x:c>
      <x:c r="AM160" s="793" t="str">
        <x:f>IF($A160="","",IF($H160="Lost","Lost",IF($H160="Converted","Converted",IF(NOT(ISNUMBER($AL160)),"",IF($AL160&gt;=75,"Hot",IF($AL160&gt;=45,"Warm","Nurture"))))))</x:f>
      </x:c>
      <x:c r="AN160" s="794"/>
      <x:c r="AO160" s="791"/>
      <x:c r="AP160" s="791"/>
      <x:c r="AQ160" s="794"/>
      <x:c r="AR160" s="794"/>
      <x:c r="AS160" s="791"/>
    </x:row>
    <x:row r="161" ht="26" customHeight="1">
      <x:c r="A161" s="319"/>
      <x:c r="B161" s="320"/>
      <x:c r="C161" s="331"/>
      <x:c r="D161" s="274"/>
      <x:c r="E161" s="274"/>
      <x:c r="F161" s="274"/>
      <x:c r="G161" s="274"/>
      <x:c r="H161" s="274"/>
      <x:c r="I161" s="274"/>
      <x:c r="J161" s="274"/>
      <x:c r="K161" s="274"/>
      <x:c r="L161" s="274"/>
      <x:c r="M161" s="377"/>
      <x:c r="N161" s="302"/>
      <x:c r="O161" s="302"/>
      <x:c r="P161" s="274"/>
      <x:c r="Q161" s="304"/>
      <x:c r="R161" s="304"/>
      <x:c r="S161" s="274"/>
      <x:c r="T161" s="315" t="str">
        <x:f>IF(A161="","",IF(OR(AND(C161&lt;&gt;"",COUNTIFS($C$6:$C$205,C161)&gt;1),AND(D161&lt;&gt;"",COUNTIFS($D$6:$D$205,D161)&gt;1)),"Check duplicate",""))</x:f>
      </x:c>
      <x:c r="U161" s="374" t="str">
        <x:f>IF(A161="","",IF(COUNTIFS('Follow-ups'!$B$6:$B$205,A161,'Follow-ups'!$D$6:$D$205,"&gt;0",'Follow-ups'!$D$6:$D$205,"&lt;="&amp;TODAY())=0,"",_xlfn.MAXIFS('Follow-ups'!$D$6:$D$205,'Follow-ups'!$B$6:$B$205,A161,'Follow-ups'!$D$6:$D$205,"&lt;="&amp;TODAY())))</x:f>
      </x:c>
      <x:c r="V161" s="374" t="str">
        <x:f>IF(A161="","",IF(COUNTIFS('Follow-ups'!$B$6:$B$205,A161,'Follow-ups'!$I$6:$I$205,"Open",'Follow-ups'!$H$6:$H$205,"&gt;0")=0,"",_xlfn.MINIFS('Follow-ups'!$H$6:$H$205,'Follow-ups'!$B$6:$B$205,A161,'Follow-ups'!$I$6:$I$205,"Open",'Follow-ups'!$H$6:$H$205,"&gt;0")))</x:f>
      </x:c>
      <x:c r="W161" s="265" t="str">
        <x:f>IF(A161="","",IF(OR(H161="Converted",H161="Lost"),"Closed lead",IF(H161="On Hold","On hold",IF(ISNUMBER(V161),IF(V161&lt;TODAY(),"Overdue",IF(V161=TODAY(),"Due today","Scheduled")),IF(COUNTIFS('Follow-ups'!$B$6:$B$205,A161,'Follow-ups'!$I$6:$I$205,"Open")&gt;0,"Set task due date","No open task")))))</x:f>
      </x:c>
      <x:c r="X161" s="274"/>
      <x:c r="Y161" s="274"/>
      <x:c r="Z161" s="274"/>
      <x:c r="AA161" s="315" t="str">
        <x:f>IF(A161="","",IF(COUNTIFS($A$6:$A$205,A161)&gt;1,"Duplicate ID",IF(B161="","Add name",IF(AND(C161="",D161=""),"Add phone or email",IF(H161="","Set lead stage",IF(NOT(ISNUMBER(R161)),"Add date added",IF(AND(ISNUMBER(N161),ISNUMBER(O161),N161&gt;O161),"Check budget range",IF(AND(H161="Lost",Y161=""),"Add lost reason",""))))))))</x:f>
      </x:c>
      <x:c r="AB161" s="791"/>
      <x:c r="AC161" s="791"/>
      <x:c r="AD161" s="791"/>
      <x:c r="AE161" s="791"/>
      <x:c r="AF161" s="791"/>
      <x:c r="AG161" s="791"/>
      <x:c r="AH161" s="791"/>
      <x:c r="AI161" s="791"/>
      <x:c r="AJ161" s="791"/>
      <x:c r="AK161" s="791"/>
      <x:c r="AL161" s="793" t="str">
        <x:f>IF($A161="","",IF(OR($H161="Lost",$H161="Converted"),"",IF(OR($C161&lt;&gt;"",$D161&lt;&gt;""),10,0)+IF(AND(ISNUMBER($O161),$O161&gt;0),20,0)+IF($AE161="Yes",15,0)+IF($AF161="Yes",15,IF($AF161="Joint",10,0))+IF(OR($AG161="Immediate",$AG161="0-30 days"),20,IF($AG161="1-3 months",10,0))+IF(OR($AC161="Cash",$AD161="Pre-approved",$AD161="Approved"),10,0)+IF(ISNUMBER($V161),10,0)))</x:f>
      </x:c>
      <x:c r="AM161" s="793" t="str">
        <x:f>IF($A161="","",IF($H161="Lost","Lost",IF($H161="Converted","Converted",IF(NOT(ISNUMBER($AL161)),"",IF($AL161&gt;=75,"Hot",IF($AL161&gt;=45,"Warm","Nurture"))))))</x:f>
      </x:c>
      <x:c r="AN161" s="794"/>
      <x:c r="AO161" s="791"/>
      <x:c r="AP161" s="791"/>
      <x:c r="AQ161" s="794"/>
      <x:c r="AR161" s="794"/>
      <x:c r="AS161" s="791"/>
    </x:row>
    <x:row r="162" ht="26" customHeight="1">
      <x:c r="A162" s="317"/>
      <x:c r="B162" s="318"/>
      <x:c r="C162" s="327"/>
      <x:c r="D162" s="235"/>
      <x:c r="E162" s="235"/>
      <x:c r="F162" s="235"/>
      <x:c r="G162" s="235"/>
      <x:c r="H162" s="235"/>
      <x:c r="I162" s="235"/>
      <x:c r="J162" s="235"/>
      <x:c r="K162" s="235"/>
      <x:c r="L162" s="235"/>
      <x:c r="M162" s="376"/>
      <x:c r="N162" s="236"/>
      <x:c r="O162" s="236"/>
      <x:c r="P162" s="235"/>
      <x:c r="Q162" s="238"/>
      <x:c r="R162" s="238"/>
      <x:c r="S162" s="235"/>
      <x:c r="T162" s="315" t="str">
        <x:f>IF(A162="","",IF(OR(AND(C162&lt;&gt;"",COUNTIFS($C$6:$C$205,C162)&gt;1),AND(D162&lt;&gt;"",COUNTIFS($D$6:$D$205,D162)&gt;1)),"Check duplicate",""))</x:f>
      </x:c>
      <x:c r="U162" s="374" t="str">
        <x:f>IF(A162="","",IF(COUNTIFS('Follow-ups'!$B$6:$B$205,A162,'Follow-ups'!$D$6:$D$205,"&gt;0",'Follow-ups'!$D$6:$D$205,"&lt;="&amp;TODAY())=0,"",_xlfn.MAXIFS('Follow-ups'!$D$6:$D$205,'Follow-ups'!$B$6:$B$205,A162,'Follow-ups'!$D$6:$D$205,"&lt;="&amp;TODAY())))</x:f>
      </x:c>
      <x:c r="V162" s="374" t="str">
        <x:f>IF(A162="","",IF(COUNTIFS('Follow-ups'!$B$6:$B$205,A162,'Follow-ups'!$I$6:$I$205,"Open",'Follow-ups'!$H$6:$H$205,"&gt;0")=0,"",_xlfn.MINIFS('Follow-ups'!$H$6:$H$205,'Follow-ups'!$B$6:$B$205,A162,'Follow-ups'!$I$6:$I$205,"Open",'Follow-ups'!$H$6:$H$205,"&gt;0")))</x:f>
      </x:c>
      <x:c r="W162" s="265" t="str">
        <x:f>IF(A162="","",IF(OR(H162="Converted",H162="Lost"),"Closed lead",IF(H162="On Hold","On hold",IF(ISNUMBER(V162),IF(V162&lt;TODAY(),"Overdue",IF(V162=TODAY(),"Due today","Scheduled")),IF(COUNTIFS('Follow-ups'!$B$6:$B$205,A162,'Follow-ups'!$I$6:$I$205,"Open")&gt;0,"Set task due date","No open task")))))</x:f>
      </x:c>
      <x:c r="X162" s="235"/>
      <x:c r="Y162" s="235"/>
      <x:c r="Z162" s="235"/>
      <x:c r="AA162" s="315" t="str">
        <x:f>IF(A162="","",IF(COUNTIFS($A$6:$A$205,A162)&gt;1,"Duplicate ID",IF(B162="","Add name",IF(AND(C162="",D162=""),"Add phone or email",IF(H162="","Set lead stage",IF(NOT(ISNUMBER(R162)),"Add date added",IF(AND(ISNUMBER(N162),ISNUMBER(O162),N162&gt;O162),"Check budget range",IF(AND(H162="Lost",Y162=""),"Add lost reason",""))))))))</x:f>
      </x:c>
      <x:c r="AB162" s="791"/>
      <x:c r="AC162" s="791"/>
      <x:c r="AD162" s="791"/>
      <x:c r="AE162" s="791"/>
      <x:c r="AF162" s="791"/>
      <x:c r="AG162" s="791"/>
      <x:c r="AH162" s="791"/>
      <x:c r="AI162" s="791"/>
      <x:c r="AJ162" s="791"/>
      <x:c r="AK162" s="791"/>
      <x:c r="AL162" s="793" t="str">
        <x:f>IF($A162="","",IF(OR($H162="Lost",$H162="Converted"),"",IF(OR($C162&lt;&gt;"",$D162&lt;&gt;""),10,0)+IF(AND(ISNUMBER($O162),$O162&gt;0),20,0)+IF($AE162="Yes",15,0)+IF($AF162="Yes",15,IF($AF162="Joint",10,0))+IF(OR($AG162="Immediate",$AG162="0-30 days"),20,IF($AG162="1-3 months",10,0))+IF(OR($AC162="Cash",$AD162="Pre-approved",$AD162="Approved"),10,0)+IF(ISNUMBER($V162),10,0)))</x:f>
      </x:c>
      <x:c r="AM162" s="793" t="str">
        <x:f>IF($A162="","",IF($H162="Lost","Lost",IF($H162="Converted","Converted",IF(NOT(ISNUMBER($AL162)),"",IF($AL162&gt;=75,"Hot",IF($AL162&gt;=45,"Warm","Nurture"))))))</x:f>
      </x:c>
      <x:c r="AN162" s="794"/>
      <x:c r="AO162" s="791"/>
      <x:c r="AP162" s="791"/>
      <x:c r="AQ162" s="794"/>
      <x:c r="AR162" s="794"/>
      <x:c r="AS162" s="791"/>
    </x:row>
    <x:row r="163" ht="26" customHeight="1">
      <x:c r="A163" s="319"/>
      <x:c r="B163" s="320"/>
      <x:c r="C163" s="331"/>
      <x:c r="D163" s="274"/>
      <x:c r="E163" s="274"/>
      <x:c r="F163" s="274"/>
      <x:c r="G163" s="274"/>
      <x:c r="H163" s="274"/>
      <x:c r="I163" s="274"/>
      <x:c r="J163" s="274"/>
      <x:c r="K163" s="274"/>
      <x:c r="L163" s="274"/>
      <x:c r="M163" s="377"/>
      <x:c r="N163" s="302"/>
      <x:c r="O163" s="302"/>
      <x:c r="P163" s="274"/>
      <x:c r="Q163" s="304"/>
      <x:c r="R163" s="304"/>
      <x:c r="S163" s="274"/>
      <x:c r="T163" s="315" t="str">
        <x:f>IF(A163="","",IF(OR(AND(C163&lt;&gt;"",COUNTIFS($C$6:$C$205,C163)&gt;1),AND(D163&lt;&gt;"",COUNTIFS($D$6:$D$205,D163)&gt;1)),"Check duplicate",""))</x:f>
      </x:c>
      <x:c r="U163" s="374" t="str">
        <x:f>IF(A163="","",IF(COUNTIFS('Follow-ups'!$B$6:$B$205,A163,'Follow-ups'!$D$6:$D$205,"&gt;0",'Follow-ups'!$D$6:$D$205,"&lt;="&amp;TODAY())=0,"",_xlfn.MAXIFS('Follow-ups'!$D$6:$D$205,'Follow-ups'!$B$6:$B$205,A163,'Follow-ups'!$D$6:$D$205,"&lt;="&amp;TODAY())))</x:f>
      </x:c>
      <x:c r="V163" s="374" t="str">
        <x:f>IF(A163="","",IF(COUNTIFS('Follow-ups'!$B$6:$B$205,A163,'Follow-ups'!$I$6:$I$205,"Open",'Follow-ups'!$H$6:$H$205,"&gt;0")=0,"",_xlfn.MINIFS('Follow-ups'!$H$6:$H$205,'Follow-ups'!$B$6:$B$205,A163,'Follow-ups'!$I$6:$I$205,"Open",'Follow-ups'!$H$6:$H$205,"&gt;0")))</x:f>
      </x:c>
      <x:c r="W163" s="265" t="str">
        <x:f>IF(A163="","",IF(OR(H163="Converted",H163="Lost"),"Closed lead",IF(H163="On Hold","On hold",IF(ISNUMBER(V163),IF(V163&lt;TODAY(),"Overdue",IF(V163=TODAY(),"Due today","Scheduled")),IF(COUNTIFS('Follow-ups'!$B$6:$B$205,A163,'Follow-ups'!$I$6:$I$205,"Open")&gt;0,"Set task due date","No open task")))))</x:f>
      </x:c>
      <x:c r="X163" s="274"/>
      <x:c r="Y163" s="274"/>
      <x:c r="Z163" s="274"/>
      <x:c r="AA163" s="315" t="str">
        <x:f>IF(A163="","",IF(COUNTIFS($A$6:$A$205,A163)&gt;1,"Duplicate ID",IF(B163="","Add name",IF(AND(C163="",D163=""),"Add phone or email",IF(H163="","Set lead stage",IF(NOT(ISNUMBER(R163)),"Add date added",IF(AND(ISNUMBER(N163),ISNUMBER(O163),N163&gt;O163),"Check budget range",IF(AND(H163="Lost",Y163=""),"Add lost reason",""))))))))</x:f>
      </x:c>
      <x:c r="AB163" s="791"/>
      <x:c r="AC163" s="791"/>
      <x:c r="AD163" s="791"/>
      <x:c r="AE163" s="791"/>
      <x:c r="AF163" s="791"/>
      <x:c r="AG163" s="791"/>
      <x:c r="AH163" s="791"/>
      <x:c r="AI163" s="791"/>
      <x:c r="AJ163" s="791"/>
      <x:c r="AK163" s="791"/>
      <x:c r="AL163" s="793" t="str">
        <x:f>IF($A163="","",IF(OR($H163="Lost",$H163="Converted"),"",IF(OR($C163&lt;&gt;"",$D163&lt;&gt;""),10,0)+IF(AND(ISNUMBER($O163),$O163&gt;0),20,0)+IF($AE163="Yes",15,0)+IF($AF163="Yes",15,IF($AF163="Joint",10,0))+IF(OR($AG163="Immediate",$AG163="0-30 days"),20,IF($AG163="1-3 months",10,0))+IF(OR($AC163="Cash",$AD163="Pre-approved",$AD163="Approved"),10,0)+IF(ISNUMBER($V163),10,0)))</x:f>
      </x:c>
      <x:c r="AM163" s="793" t="str">
        <x:f>IF($A163="","",IF($H163="Lost","Lost",IF($H163="Converted","Converted",IF(NOT(ISNUMBER($AL163)),"",IF($AL163&gt;=75,"Hot",IF($AL163&gt;=45,"Warm","Nurture"))))))</x:f>
      </x:c>
      <x:c r="AN163" s="794"/>
      <x:c r="AO163" s="791"/>
      <x:c r="AP163" s="791"/>
      <x:c r="AQ163" s="794"/>
      <x:c r="AR163" s="794"/>
      <x:c r="AS163" s="791"/>
    </x:row>
    <x:row r="164" ht="26" customHeight="1">
      <x:c r="A164" s="317"/>
      <x:c r="B164" s="318"/>
      <x:c r="C164" s="327"/>
      <x:c r="D164" s="235"/>
      <x:c r="E164" s="235"/>
      <x:c r="F164" s="235"/>
      <x:c r="G164" s="235"/>
      <x:c r="H164" s="235"/>
      <x:c r="I164" s="235"/>
      <x:c r="J164" s="235"/>
      <x:c r="K164" s="235"/>
      <x:c r="L164" s="235"/>
      <x:c r="M164" s="376"/>
      <x:c r="N164" s="236"/>
      <x:c r="O164" s="236"/>
      <x:c r="P164" s="235"/>
      <x:c r="Q164" s="238"/>
      <x:c r="R164" s="238"/>
      <x:c r="S164" s="235"/>
      <x:c r="T164" s="315" t="str">
        <x:f>IF(A164="","",IF(OR(AND(C164&lt;&gt;"",COUNTIFS($C$6:$C$205,C164)&gt;1),AND(D164&lt;&gt;"",COUNTIFS($D$6:$D$205,D164)&gt;1)),"Check duplicate",""))</x:f>
      </x:c>
      <x:c r="U164" s="374" t="str">
        <x:f>IF(A164="","",IF(COUNTIFS('Follow-ups'!$B$6:$B$205,A164,'Follow-ups'!$D$6:$D$205,"&gt;0",'Follow-ups'!$D$6:$D$205,"&lt;="&amp;TODAY())=0,"",_xlfn.MAXIFS('Follow-ups'!$D$6:$D$205,'Follow-ups'!$B$6:$B$205,A164,'Follow-ups'!$D$6:$D$205,"&lt;="&amp;TODAY())))</x:f>
      </x:c>
      <x:c r="V164" s="374" t="str">
        <x:f>IF(A164="","",IF(COUNTIFS('Follow-ups'!$B$6:$B$205,A164,'Follow-ups'!$I$6:$I$205,"Open",'Follow-ups'!$H$6:$H$205,"&gt;0")=0,"",_xlfn.MINIFS('Follow-ups'!$H$6:$H$205,'Follow-ups'!$B$6:$B$205,A164,'Follow-ups'!$I$6:$I$205,"Open",'Follow-ups'!$H$6:$H$205,"&gt;0")))</x:f>
      </x:c>
      <x:c r="W164" s="265" t="str">
        <x:f>IF(A164="","",IF(OR(H164="Converted",H164="Lost"),"Closed lead",IF(H164="On Hold","On hold",IF(ISNUMBER(V164),IF(V164&lt;TODAY(),"Overdue",IF(V164=TODAY(),"Due today","Scheduled")),IF(COUNTIFS('Follow-ups'!$B$6:$B$205,A164,'Follow-ups'!$I$6:$I$205,"Open")&gt;0,"Set task due date","No open task")))))</x:f>
      </x:c>
      <x:c r="X164" s="235"/>
      <x:c r="Y164" s="235"/>
      <x:c r="Z164" s="235"/>
      <x:c r="AA164" s="315" t="str">
        <x:f>IF(A164="","",IF(COUNTIFS($A$6:$A$205,A164)&gt;1,"Duplicate ID",IF(B164="","Add name",IF(AND(C164="",D164=""),"Add phone or email",IF(H164="","Set lead stage",IF(NOT(ISNUMBER(R164)),"Add date added",IF(AND(ISNUMBER(N164),ISNUMBER(O164),N164&gt;O164),"Check budget range",IF(AND(H164="Lost",Y164=""),"Add lost reason",""))))))))</x:f>
      </x:c>
      <x:c r="AB164" s="791"/>
      <x:c r="AC164" s="791"/>
      <x:c r="AD164" s="791"/>
      <x:c r="AE164" s="791"/>
      <x:c r="AF164" s="791"/>
      <x:c r="AG164" s="791"/>
      <x:c r="AH164" s="791"/>
      <x:c r="AI164" s="791"/>
      <x:c r="AJ164" s="791"/>
      <x:c r="AK164" s="791"/>
      <x:c r="AL164" s="793" t="str">
        <x:f>IF($A164="","",IF(OR($H164="Lost",$H164="Converted"),"",IF(OR($C164&lt;&gt;"",$D164&lt;&gt;""),10,0)+IF(AND(ISNUMBER($O164),$O164&gt;0),20,0)+IF($AE164="Yes",15,0)+IF($AF164="Yes",15,IF($AF164="Joint",10,0))+IF(OR($AG164="Immediate",$AG164="0-30 days"),20,IF($AG164="1-3 months",10,0))+IF(OR($AC164="Cash",$AD164="Pre-approved",$AD164="Approved"),10,0)+IF(ISNUMBER($V164),10,0)))</x:f>
      </x:c>
      <x:c r="AM164" s="793" t="str">
        <x:f>IF($A164="","",IF($H164="Lost","Lost",IF($H164="Converted","Converted",IF(NOT(ISNUMBER($AL164)),"",IF($AL164&gt;=75,"Hot",IF($AL164&gt;=45,"Warm","Nurture"))))))</x:f>
      </x:c>
      <x:c r="AN164" s="794"/>
      <x:c r="AO164" s="791"/>
      <x:c r="AP164" s="791"/>
      <x:c r="AQ164" s="794"/>
      <x:c r="AR164" s="794"/>
      <x:c r="AS164" s="791"/>
    </x:row>
    <x:row r="165" ht="26" customHeight="1">
      <x:c r="A165" s="319"/>
      <x:c r="B165" s="320"/>
      <x:c r="C165" s="331"/>
      <x:c r="D165" s="274"/>
      <x:c r="E165" s="274"/>
      <x:c r="F165" s="274"/>
      <x:c r="G165" s="274"/>
      <x:c r="H165" s="274"/>
      <x:c r="I165" s="274"/>
      <x:c r="J165" s="274"/>
      <x:c r="K165" s="274"/>
      <x:c r="L165" s="274"/>
      <x:c r="M165" s="377"/>
      <x:c r="N165" s="302"/>
      <x:c r="O165" s="302"/>
      <x:c r="P165" s="274"/>
      <x:c r="Q165" s="304"/>
      <x:c r="R165" s="304"/>
      <x:c r="S165" s="274"/>
      <x:c r="T165" s="315" t="str">
        <x:f>IF(A165="","",IF(OR(AND(C165&lt;&gt;"",COUNTIFS($C$6:$C$205,C165)&gt;1),AND(D165&lt;&gt;"",COUNTIFS($D$6:$D$205,D165)&gt;1)),"Check duplicate",""))</x:f>
      </x:c>
      <x:c r="U165" s="374" t="str">
        <x:f>IF(A165="","",IF(COUNTIFS('Follow-ups'!$B$6:$B$205,A165,'Follow-ups'!$D$6:$D$205,"&gt;0",'Follow-ups'!$D$6:$D$205,"&lt;="&amp;TODAY())=0,"",_xlfn.MAXIFS('Follow-ups'!$D$6:$D$205,'Follow-ups'!$B$6:$B$205,A165,'Follow-ups'!$D$6:$D$205,"&lt;="&amp;TODAY())))</x:f>
      </x:c>
      <x:c r="V165" s="374" t="str">
        <x:f>IF(A165="","",IF(COUNTIFS('Follow-ups'!$B$6:$B$205,A165,'Follow-ups'!$I$6:$I$205,"Open",'Follow-ups'!$H$6:$H$205,"&gt;0")=0,"",_xlfn.MINIFS('Follow-ups'!$H$6:$H$205,'Follow-ups'!$B$6:$B$205,A165,'Follow-ups'!$I$6:$I$205,"Open",'Follow-ups'!$H$6:$H$205,"&gt;0")))</x:f>
      </x:c>
      <x:c r="W165" s="265" t="str">
        <x:f>IF(A165="","",IF(OR(H165="Converted",H165="Lost"),"Closed lead",IF(H165="On Hold","On hold",IF(ISNUMBER(V165),IF(V165&lt;TODAY(),"Overdue",IF(V165=TODAY(),"Due today","Scheduled")),IF(COUNTIFS('Follow-ups'!$B$6:$B$205,A165,'Follow-ups'!$I$6:$I$205,"Open")&gt;0,"Set task due date","No open task")))))</x:f>
      </x:c>
      <x:c r="X165" s="274"/>
      <x:c r="Y165" s="274"/>
      <x:c r="Z165" s="274"/>
      <x:c r="AA165" s="315" t="str">
        <x:f>IF(A165="","",IF(COUNTIFS($A$6:$A$205,A165)&gt;1,"Duplicate ID",IF(B165="","Add name",IF(AND(C165="",D165=""),"Add phone or email",IF(H165="","Set lead stage",IF(NOT(ISNUMBER(R165)),"Add date added",IF(AND(ISNUMBER(N165),ISNUMBER(O165),N165&gt;O165),"Check budget range",IF(AND(H165="Lost",Y165=""),"Add lost reason",""))))))))</x:f>
      </x:c>
      <x:c r="AB165" s="791"/>
      <x:c r="AC165" s="791"/>
      <x:c r="AD165" s="791"/>
      <x:c r="AE165" s="791"/>
      <x:c r="AF165" s="791"/>
      <x:c r="AG165" s="791"/>
      <x:c r="AH165" s="791"/>
      <x:c r="AI165" s="791"/>
      <x:c r="AJ165" s="791"/>
      <x:c r="AK165" s="791"/>
      <x:c r="AL165" s="793" t="str">
        <x:f>IF($A165="","",IF(OR($H165="Lost",$H165="Converted"),"",IF(OR($C165&lt;&gt;"",$D165&lt;&gt;""),10,0)+IF(AND(ISNUMBER($O165),$O165&gt;0),20,0)+IF($AE165="Yes",15,0)+IF($AF165="Yes",15,IF($AF165="Joint",10,0))+IF(OR($AG165="Immediate",$AG165="0-30 days"),20,IF($AG165="1-3 months",10,0))+IF(OR($AC165="Cash",$AD165="Pre-approved",$AD165="Approved"),10,0)+IF(ISNUMBER($V165),10,0)))</x:f>
      </x:c>
      <x:c r="AM165" s="793" t="str">
        <x:f>IF($A165="","",IF($H165="Lost","Lost",IF($H165="Converted","Converted",IF(NOT(ISNUMBER($AL165)),"",IF($AL165&gt;=75,"Hot",IF($AL165&gt;=45,"Warm","Nurture"))))))</x:f>
      </x:c>
      <x:c r="AN165" s="794"/>
      <x:c r="AO165" s="791"/>
      <x:c r="AP165" s="791"/>
      <x:c r="AQ165" s="794"/>
      <x:c r="AR165" s="794"/>
      <x:c r="AS165" s="791"/>
    </x:row>
    <x:row r="166" ht="26" customHeight="1">
      <x:c r="A166" s="317"/>
      <x:c r="B166" s="318"/>
      <x:c r="C166" s="327"/>
      <x:c r="D166" s="235"/>
      <x:c r="E166" s="235"/>
      <x:c r="F166" s="235"/>
      <x:c r="G166" s="235"/>
      <x:c r="H166" s="235"/>
      <x:c r="I166" s="235"/>
      <x:c r="J166" s="235"/>
      <x:c r="K166" s="235"/>
      <x:c r="L166" s="235"/>
      <x:c r="M166" s="376"/>
      <x:c r="N166" s="236"/>
      <x:c r="O166" s="236"/>
      <x:c r="P166" s="235"/>
      <x:c r="Q166" s="238"/>
      <x:c r="R166" s="238"/>
      <x:c r="S166" s="235"/>
      <x:c r="T166" s="315" t="str">
        <x:f>IF(A166="","",IF(OR(AND(C166&lt;&gt;"",COUNTIFS($C$6:$C$205,C166)&gt;1),AND(D166&lt;&gt;"",COUNTIFS($D$6:$D$205,D166)&gt;1)),"Check duplicate",""))</x:f>
      </x:c>
      <x:c r="U166" s="374" t="str">
        <x:f>IF(A166="","",IF(COUNTIFS('Follow-ups'!$B$6:$B$205,A166,'Follow-ups'!$D$6:$D$205,"&gt;0",'Follow-ups'!$D$6:$D$205,"&lt;="&amp;TODAY())=0,"",_xlfn.MAXIFS('Follow-ups'!$D$6:$D$205,'Follow-ups'!$B$6:$B$205,A166,'Follow-ups'!$D$6:$D$205,"&lt;="&amp;TODAY())))</x:f>
      </x:c>
      <x:c r="V166" s="374" t="str">
        <x:f>IF(A166="","",IF(COUNTIFS('Follow-ups'!$B$6:$B$205,A166,'Follow-ups'!$I$6:$I$205,"Open",'Follow-ups'!$H$6:$H$205,"&gt;0")=0,"",_xlfn.MINIFS('Follow-ups'!$H$6:$H$205,'Follow-ups'!$B$6:$B$205,A166,'Follow-ups'!$I$6:$I$205,"Open",'Follow-ups'!$H$6:$H$205,"&gt;0")))</x:f>
      </x:c>
      <x:c r="W166" s="265" t="str">
        <x:f>IF(A166="","",IF(OR(H166="Converted",H166="Lost"),"Closed lead",IF(H166="On Hold","On hold",IF(ISNUMBER(V166),IF(V166&lt;TODAY(),"Overdue",IF(V166=TODAY(),"Due today","Scheduled")),IF(COUNTIFS('Follow-ups'!$B$6:$B$205,A166,'Follow-ups'!$I$6:$I$205,"Open")&gt;0,"Set task due date","No open task")))))</x:f>
      </x:c>
      <x:c r="X166" s="235"/>
      <x:c r="Y166" s="235"/>
      <x:c r="Z166" s="235"/>
      <x:c r="AA166" s="315" t="str">
        <x:f>IF(A166="","",IF(COUNTIFS($A$6:$A$205,A166)&gt;1,"Duplicate ID",IF(B166="","Add name",IF(AND(C166="",D166=""),"Add phone or email",IF(H166="","Set lead stage",IF(NOT(ISNUMBER(R166)),"Add date added",IF(AND(ISNUMBER(N166),ISNUMBER(O166),N166&gt;O166),"Check budget range",IF(AND(H166="Lost",Y166=""),"Add lost reason",""))))))))</x:f>
      </x:c>
      <x:c r="AB166" s="791"/>
      <x:c r="AC166" s="791"/>
      <x:c r="AD166" s="791"/>
      <x:c r="AE166" s="791"/>
      <x:c r="AF166" s="791"/>
      <x:c r="AG166" s="791"/>
      <x:c r="AH166" s="791"/>
      <x:c r="AI166" s="791"/>
      <x:c r="AJ166" s="791"/>
      <x:c r="AK166" s="791"/>
      <x:c r="AL166" s="793" t="str">
        <x:f>IF($A166="","",IF(OR($H166="Lost",$H166="Converted"),"",IF(OR($C166&lt;&gt;"",$D166&lt;&gt;""),10,0)+IF(AND(ISNUMBER($O166),$O166&gt;0),20,0)+IF($AE166="Yes",15,0)+IF($AF166="Yes",15,IF($AF166="Joint",10,0))+IF(OR($AG166="Immediate",$AG166="0-30 days"),20,IF($AG166="1-3 months",10,0))+IF(OR($AC166="Cash",$AD166="Pre-approved",$AD166="Approved"),10,0)+IF(ISNUMBER($V166),10,0)))</x:f>
      </x:c>
      <x:c r="AM166" s="793" t="str">
        <x:f>IF($A166="","",IF($H166="Lost","Lost",IF($H166="Converted","Converted",IF(NOT(ISNUMBER($AL166)),"",IF($AL166&gt;=75,"Hot",IF($AL166&gt;=45,"Warm","Nurture"))))))</x:f>
      </x:c>
      <x:c r="AN166" s="794"/>
      <x:c r="AO166" s="791"/>
      <x:c r="AP166" s="791"/>
      <x:c r="AQ166" s="794"/>
      <x:c r="AR166" s="794"/>
      <x:c r="AS166" s="791"/>
    </x:row>
    <x:row r="167" ht="26" customHeight="1">
      <x:c r="A167" s="319"/>
      <x:c r="B167" s="320"/>
      <x:c r="C167" s="331"/>
      <x:c r="D167" s="274"/>
      <x:c r="E167" s="274"/>
      <x:c r="F167" s="274"/>
      <x:c r="G167" s="274"/>
      <x:c r="H167" s="274"/>
      <x:c r="I167" s="274"/>
      <x:c r="J167" s="274"/>
      <x:c r="K167" s="274"/>
      <x:c r="L167" s="274"/>
      <x:c r="M167" s="377"/>
      <x:c r="N167" s="302"/>
      <x:c r="O167" s="302"/>
      <x:c r="P167" s="274"/>
      <x:c r="Q167" s="304"/>
      <x:c r="R167" s="304"/>
      <x:c r="S167" s="274"/>
      <x:c r="T167" s="315" t="str">
        <x:f>IF(A167="","",IF(OR(AND(C167&lt;&gt;"",COUNTIFS($C$6:$C$205,C167)&gt;1),AND(D167&lt;&gt;"",COUNTIFS($D$6:$D$205,D167)&gt;1)),"Check duplicate",""))</x:f>
      </x:c>
      <x:c r="U167" s="374" t="str">
        <x:f>IF(A167="","",IF(COUNTIFS('Follow-ups'!$B$6:$B$205,A167,'Follow-ups'!$D$6:$D$205,"&gt;0",'Follow-ups'!$D$6:$D$205,"&lt;="&amp;TODAY())=0,"",_xlfn.MAXIFS('Follow-ups'!$D$6:$D$205,'Follow-ups'!$B$6:$B$205,A167,'Follow-ups'!$D$6:$D$205,"&lt;="&amp;TODAY())))</x:f>
      </x:c>
      <x:c r="V167" s="374" t="str">
        <x:f>IF(A167="","",IF(COUNTIFS('Follow-ups'!$B$6:$B$205,A167,'Follow-ups'!$I$6:$I$205,"Open",'Follow-ups'!$H$6:$H$205,"&gt;0")=0,"",_xlfn.MINIFS('Follow-ups'!$H$6:$H$205,'Follow-ups'!$B$6:$B$205,A167,'Follow-ups'!$I$6:$I$205,"Open",'Follow-ups'!$H$6:$H$205,"&gt;0")))</x:f>
      </x:c>
      <x:c r="W167" s="265" t="str">
        <x:f>IF(A167="","",IF(OR(H167="Converted",H167="Lost"),"Closed lead",IF(H167="On Hold","On hold",IF(ISNUMBER(V167),IF(V167&lt;TODAY(),"Overdue",IF(V167=TODAY(),"Due today","Scheduled")),IF(COUNTIFS('Follow-ups'!$B$6:$B$205,A167,'Follow-ups'!$I$6:$I$205,"Open")&gt;0,"Set task due date","No open task")))))</x:f>
      </x:c>
      <x:c r="X167" s="274"/>
      <x:c r="Y167" s="274"/>
      <x:c r="Z167" s="274"/>
      <x:c r="AA167" s="315" t="str">
        <x:f>IF(A167="","",IF(COUNTIFS($A$6:$A$205,A167)&gt;1,"Duplicate ID",IF(B167="","Add name",IF(AND(C167="",D167=""),"Add phone or email",IF(H167="","Set lead stage",IF(NOT(ISNUMBER(R167)),"Add date added",IF(AND(ISNUMBER(N167),ISNUMBER(O167),N167&gt;O167),"Check budget range",IF(AND(H167="Lost",Y167=""),"Add lost reason",""))))))))</x:f>
      </x:c>
      <x:c r="AB167" s="791"/>
      <x:c r="AC167" s="791"/>
      <x:c r="AD167" s="791"/>
      <x:c r="AE167" s="791"/>
      <x:c r="AF167" s="791"/>
      <x:c r="AG167" s="791"/>
      <x:c r="AH167" s="791"/>
      <x:c r="AI167" s="791"/>
      <x:c r="AJ167" s="791"/>
      <x:c r="AK167" s="791"/>
      <x:c r="AL167" s="793" t="str">
        <x:f>IF($A167="","",IF(OR($H167="Lost",$H167="Converted"),"",IF(OR($C167&lt;&gt;"",$D167&lt;&gt;""),10,0)+IF(AND(ISNUMBER($O167),$O167&gt;0),20,0)+IF($AE167="Yes",15,0)+IF($AF167="Yes",15,IF($AF167="Joint",10,0))+IF(OR($AG167="Immediate",$AG167="0-30 days"),20,IF($AG167="1-3 months",10,0))+IF(OR($AC167="Cash",$AD167="Pre-approved",$AD167="Approved"),10,0)+IF(ISNUMBER($V167),10,0)))</x:f>
      </x:c>
      <x:c r="AM167" s="793" t="str">
        <x:f>IF($A167="","",IF($H167="Lost","Lost",IF($H167="Converted","Converted",IF(NOT(ISNUMBER($AL167)),"",IF($AL167&gt;=75,"Hot",IF($AL167&gt;=45,"Warm","Nurture"))))))</x:f>
      </x:c>
      <x:c r="AN167" s="794"/>
      <x:c r="AO167" s="791"/>
      <x:c r="AP167" s="791"/>
      <x:c r="AQ167" s="794"/>
      <x:c r="AR167" s="794"/>
      <x:c r="AS167" s="791"/>
    </x:row>
    <x:row r="168" ht="26" customHeight="1">
      <x:c r="A168" s="317"/>
      <x:c r="B168" s="318"/>
      <x:c r="C168" s="327"/>
      <x:c r="D168" s="235"/>
      <x:c r="E168" s="235"/>
      <x:c r="F168" s="235"/>
      <x:c r="G168" s="235"/>
      <x:c r="H168" s="235"/>
      <x:c r="I168" s="235"/>
      <x:c r="J168" s="235"/>
      <x:c r="K168" s="235"/>
      <x:c r="L168" s="235"/>
      <x:c r="M168" s="376"/>
      <x:c r="N168" s="236"/>
      <x:c r="O168" s="236"/>
      <x:c r="P168" s="235"/>
      <x:c r="Q168" s="238"/>
      <x:c r="R168" s="238"/>
      <x:c r="S168" s="235"/>
      <x:c r="T168" s="315" t="str">
        <x:f>IF(A168="","",IF(OR(AND(C168&lt;&gt;"",COUNTIFS($C$6:$C$205,C168)&gt;1),AND(D168&lt;&gt;"",COUNTIFS($D$6:$D$205,D168)&gt;1)),"Check duplicate",""))</x:f>
      </x:c>
      <x:c r="U168" s="374" t="str">
        <x:f>IF(A168="","",IF(COUNTIFS('Follow-ups'!$B$6:$B$205,A168,'Follow-ups'!$D$6:$D$205,"&gt;0",'Follow-ups'!$D$6:$D$205,"&lt;="&amp;TODAY())=0,"",_xlfn.MAXIFS('Follow-ups'!$D$6:$D$205,'Follow-ups'!$B$6:$B$205,A168,'Follow-ups'!$D$6:$D$205,"&lt;="&amp;TODAY())))</x:f>
      </x:c>
      <x:c r="V168" s="374" t="str">
        <x:f>IF(A168="","",IF(COUNTIFS('Follow-ups'!$B$6:$B$205,A168,'Follow-ups'!$I$6:$I$205,"Open",'Follow-ups'!$H$6:$H$205,"&gt;0")=0,"",_xlfn.MINIFS('Follow-ups'!$H$6:$H$205,'Follow-ups'!$B$6:$B$205,A168,'Follow-ups'!$I$6:$I$205,"Open",'Follow-ups'!$H$6:$H$205,"&gt;0")))</x:f>
      </x:c>
      <x:c r="W168" s="265" t="str">
        <x:f>IF(A168="","",IF(OR(H168="Converted",H168="Lost"),"Closed lead",IF(H168="On Hold","On hold",IF(ISNUMBER(V168),IF(V168&lt;TODAY(),"Overdue",IF(V168=TODAY(),"Due today","Scheduled")),IF(COUNTIFS('Follow-ups'!$B$6:$B$205,A168,'Follow-ups'!$I$6:$I$205,"Open")&gt;0,"Set task due date","No open task")))))</x:f>
      </x:c>
      <x:c r="X168" s="235"/>
      <x:c r="Y168" s="235"/>
      <x:c r="Z168" s="235"/>
      <x:c r="AA168" s="315" t="str">
        <x:f>IF(A168="","",IF(COUNTIFS($A$6:$A$205,A168)&gt;1,"Duplicate ID",IF(B168="","Add name",IF(AND(C168="",D168=""),"Add phone or email",IF(H168="","Set lead stage",IF(NOT(ISNUMBER(R168)),"Add date added",IF(AND(ISNUMBER(N168),ISNUMBER(O168),N168&gt;O168),"Check budget range",IF(AND(H168="Lost",Y168=""),"Add lost reason",""))))))))</x:f>
      </x:c>
      <x:c r="AB168" s="791"/>
      <x:c r="AC168" s="791"/>
      <x:c r="AD168" s="791"/>
      <x:c r="AE168" s="791"/>
      <x:c r="AF168" s="791"/>
      <x:c r="AG168" s="791"/>
      <x:c r="AH168" s="791"/>
      <x:c r="AI168" s="791"/>
      <x:c r="AJ168" s="791"/>
      <x:c r="AK168" s="791"/>
      <x:c r="AL168" s="793" t="str">
        <x:f>IF($A168="","",IF(OR($H168="Lost",$H168="Converted"),"",IF(OR($C168&lt;&gt;"",$D168&lt;&gt;""),10,0)+IF(AND(ISNUMBER($O168),$O168&gt;0),20,0)+IF($AE168="Yes",15,0)+IF($AF168="Yes",15,IF($AF168="Joint",10,0))+IF(OR($AG168="Immediate",$AG168="0-30 days"),20,IF($AG168="1-3 months",10,0))+IF(OR($AC168="Cash",$AD168="Pre-approved",$AD168="Approved"),10,0)+IF(ISNUMBER($V168),10,0)))</x:f>
      </x:c>
      <x:c r="AM168" s="793" t="str">
        <x:f>IF($A168="","",IF($H168="Lost","Lost",IF($H168="Converted","Converted",IF(NOT(ISNUMBER($AL168)),"",IF($AL168&gt;=75,"Hot",IF($AL168&gt;=45,"Warm","Nurture"))))))</x:f>
      </x:c>
      <x:c r="AN168" s="794"/>
      <x:c r="AO168" s="791"/>
      <x:c r="AP168" s="791"/>
      <x:c r="AQ168" s="794"/>
      <x:c r="AR168" s="794"/>
      <x:c r="AS168" s="791"/>
    </x:row>
    <x:row r="169" ht="26" customHeight="1">
      <x:c r="A169" s="319"/>
      <x:c r="B169" s="320"/>
      <x:c r="C169" s="331"/>
      <x:c r="D169" s="274"/>
      <x:c r="E169" s="274"/>
      <x:c r="F169" s="274"/>
      <x:c r="G169" s="274"/>
      <x:c r="H169" s="274"/>
      <x:c r="I169" s="274"/>
      <x:c r="J169" s="274"/>
      <x:c r="K169" s="274"/>
      <x:c r="L169" s="274"/>
      <x:c r="M169" s="377"/>
      <x:c r="N169" s="302"/>
      <x:c r="O169" s="302"/>
      <x:c r="P169" s="274"/>
      <x:c r="Q169" s="304"/>
      <x:c r="R169" s="304"/>
      <x:c r="S169" s="274"/>
      <x:c r="T169" s="315" t="str">
        <x:f>IF(A169="","",IF(OR(AND(C169&lt;&gt;"",COUNTIFS($C$6:$C$205,C169)&gt;1),AND(D169&lt;&gt;"",COUNTIFS($D$6:$D$205,D169)&gt;1)),"Check duplicate",""))</x:f>
      </x:c>
      <x:c r="U169" s="374" t="str">
        <x:f>IF(A169="","",IF(COUNTIFS('Follow-ups'!$B$6:$B$205,A169,'Follow-ups'!$D$6:$D$205,"&gt;0",'Follow-ups'!$D$6:$D$205,"&lt;="&amp;TODAY())=0,"",_xlfn.MAXIFS('Follow-ups'!$D$6:$D$205,'Follow-ups'!$B$6:$B$205,A169,'Follow-ups'!$D$6:$D$205,"&lt;="&amp;TODAY())))</x:f>
      </x:c>
      <x:c r="V169" s="374" t="str">
        <x:f>IF(A169="","",IF(COUNTIFS('Follow-ups'!$B$6:$B$205,A169,'Follow-ups'!$I$6:$I$205,"Open",'Follow-ups'!$H$6:$H$205,"&gt;0")=0,"",_xlfn.MINIFS('Follow-ups'!$H$6:$H$205,'Follow-ups'!$B$6:$B$205,A169,'Follow-ups'!$I$6:$I$205,"Open",'Follow-ups'!$H$6:$H$205,"&gt;0")))</x:f>
      </x:c>
      <x:c r="W169" s="265" t="str">
        <x:f>IF(A169="","",IF(OR(H169="Converted",H169="Lost"),"Closed lead",IF(H169="On Hold","On hold",IF(ISNUMBER(V169),IF(V169&lt;TODAY(),"Overdue",IF(V169=TODAY(),"Due today","Scheduled")),IF(COUNTIFS('Follow-ups'!$B$6:$B$205,A169,'Follow-ups'!$I$6:$I$205,"Open")&gt;0,"Set task due date","No open task")))))</x:f>
      </x:c>
      <x:c r="X169" s="274"/>
      <x:c r="Y169" s="274"/>
      <x:c r="Z169" s="274"/>
      <x:c r="AA169" s="315" t="str">
        <x:f>IF(A169="","",IF(COUNTIFS($A$6:$A$205,A169)&gt;1,"Duplicate ID",IF(B169="","Add name",IF(AND(C169="",D169=""),"Add phone or email",IF(H169="","Set lead stage",IF(NOT(ISNUMBER(R169)),"Add date added",IF(AND(ISNUMBER(N169),ISNUMBER(O169),N169&gt;O169),"Check budget range",IF(AND(H169="Lost",Y169=""),"Add lost reason",""))))))))</x:f>
      </x:c>
      <x:c r="AB169" s="791"/>
      <x:c r="AC169" s="791"/>
      <x:c r="AD169" s="791"/>
      <x:c r="AE169" s="791"/>
      <x:c r="AF169" s="791"/>
      <x:c r="AG169" s="791"/>
      <x:c r="AH169" s="791"/>
      <x:c r="AI169" s="791"/>
      <x:c r="AJ169" s="791"/>
      <x:c r="AK169" s="791"/>
      <x:c r="AL169" s="793" t="str">
        <x:f>IF($A169="","",IF(OR($H169="Lost",$H169="Converted"),"",IF(OR($C169&lt;&gt;"",$D169&lt;&gt;""),10,0)+IF(AND(ISNUMBER($O169),$O169&gt;0),20,0)+IF($AE169="Yes",15,0)+IF($AF169="Yes",15,IF($AF169="Joint",10,0))+IF(OR($AG169="Immediate",$AG169="0-30 days"),20,IF($AG169="1-3 months",10,0))+IF(OR($AC169="Cash",$AD169="Pre-approved",$AD169="Approved"),10,0)+IF(ISNUMBER($V169),10,0)))</x:f>
      </x:c>
      <x:c r="AM169" s="793" t="str">
        <x:f>IF($A169="","",IF($H169="Lost","Lost",IF($H169="Converted","Converted",IF(NOT(ISNUMBER($AL169)),"",IF($AL169&gt;=75,"Hot",IF($AL169&gt;=45,"Warm","Nurture"))))))</x:f>
      </x:c>
      <x:c r="AN169" s="794"/>
      <x:c r="AO169" s="791"/>
      <x:c r="AP169" s="791"/>
      <x:c r="AQ169" s="794"/>
      <x:c r="AR169" s="794"/>
      <x:c r="AS169" s="791"/>
    </x:row>
    <x:row r="170" ht="26" customHeight="1">
      <x:c r="A170" s="317"/>
      <x:c r="B170" s="318"/>
      <x:c r="C170" s="327"/>
      <x:c r="D170" s="235"/>
      <x:c r="E170" s="235"/>
      <x:c r="F170" s="235"/>
      <x:c r="G170" s="235"/>
      <x:c r="H170" s="235"/>
      <x:c r="I170" s="235"/>
      <x:c r="J170" s="235"/>
      <x:c r="K170" s="235"/>
      <x:c r="L170" s="235"/>
      <x:c r="M170" s="376"/>
      <x:c r="N170" s="236"/>
      <x:c r="O170" s="236"/>
      <x:c r="P170" s="235"/>
      <x:c r="Q170" s="238"/>
      <x:c r="R170" s="238"/>
      <x:c r="S170" s="235"/>
      <x:c r="T170" s="315" t="str">
        <x:f>IF(A170="","",IF(OR(AND(C170&lt;&gt;"",COUNTIFS($C$6:$C$205,C170)&gt;1),AND(D170&lt;&gt;"",COUNTIFS($D$6:$D$205,D170)&gt;1)),"Check duplicate",""))</x:f>
      </x:c>
      <x:c r="U170" s="374" t="str">
        <x:f>IF(A170="","",IF(COUNTIFS('Follow-ups'!$B$6:$B$205,A170,'Follow-ups'!$D$6:$D$205,"&gt;0",'Follow-ups'!$D$6:$D$205,"&lt;="&amp;TODAY())=0,"",_xlfn.MAXIFS('Follow-ups'!$D$6:$D$205,'Follow-ups'!$B$6:$B$205,A170,'Follow-ups'!$D$6:$D$205,"&lt;="&amp;TODAY())))</x:f>
      </x:c>
      <x:c r="V170" s="374" t="str">
        <x:f>IF(A170="","",IF(COUNTIFS('Follow-ups'!$B$6:$B$205,A170,'Follow-ups'!$I$6:$I$205,"Open",'Follow-ups'!$H$6:$H$205,"&gt;0")=0,"",_xlfn.MINIFS('Follow-ups'!$H$6:$H$205,'Follow-ups'!$B$6:$B$205,A170,'Follow-ups'!$I$6:$I$205,"Open",'Follow-ups'!$H$6:$H$205,"&gt;0")))</x:f>
      </x:c>
      <x:c r="W170" s="265" t="str">
        <x:f>IF(A170="","",IF(OR(H170="Converted",H170="Lost"),"Closed lead",IF(H170="On Hold","On hold",IF(ISNUMBER(V170),IF(V170&lt;TODAY(),"Overdue",IF(V170=TODAY(),"Due today","Scheduled")),IF(COUNTIFS('Follow-ups'!$B$6:$B$205,A170,'Follow-ups'!$I$6:$I$205,"Open")&gt;0,"Set task due date","No open task")))))</x:f>
      </x:c>
      <x:c r="X170" s="235"/>
      <x:c r="Y170" s="235"/>
      <x:c r="Z170" s="235"/>
      <x:c r="AA170" s="315" t="str">
        <x:f>IF(A170="","",IF(COUNTIFS($A$6:$A$205,A170)&gt;1,"Duplicate ID",IF(B170="","Add name",IF(AND(C170="",D170=""),"Add phone or email",IF(H170="","Set lead stage",IF(NOT(ISNUMBER(R170)),"Add date added",IF(AND(ISNUMBER(N170),ISNUMBER(O170),N170&gt;O170),"Check budget range",IF(AND(H170="Lost",Y170=""),"Add lost reason",""))))))))</x:f>
      </x:c>
      <x:c r="AB170" s="791"/>
      <x:c r="AC170" s="791"/>
      <x:c r="AD170" s="791"/>
      <x:c r="AE170" s="791"/>
      <x:c r="AF170" s="791"/>
      <x:c r="AG170" s="791"/>
      <x:c r="AH170" s="791"/>
      <x:c r="AI170" s="791"/>
      <x:c r="AJ170" s="791"/>
      <x:c r="AK170" s="791"/>
      <x:c r="AL170" s="793" t="str">
        <x:f>IF($A170="","",IF(OR($H170="Lost",$H170="Converted"),"",IF(OR($C170&lt;&gt;"",$D170&lt;&gt;""),10,0)+IF(AND(ISNUMBER($O170),$O170&gt;0),20,0)+IF($AE170="Yes",15,0)+IF($AF170="Yes",15,IF($AF170="Joint",10,0))+IF(OR($AG170="Immediate",$AG170="0-30 days"),20,IF($AG170="1-3 months",10,0))+IF(OR($AC170="Cash",$AD170="Pre-approved",$AD170="Approved"),10,0)+IF(ISNUMBER($V170),10,0)))</x:f>
      </x:c>
      <x:c r="AM170" s="793" t="str">
        <x:f>IF($A170="","",IF($H170="Lost","Lost",IF($H170="Converted","Converted",IF(NOT(ISNUMBER($AL170)),"",IF($AL170&gt;=75,"Hot",IF($AL170&gt;=45,"Warm","Nurture"))))))</x:f>
      </x:c>
      <x:c r="AN170" s="794"/>
      <x:c r="AO170" s="791"/>
      <x:c r="AP170" s="791"/>
      <x:c r="AQ170" s="794"/>
      <x:c r="AR170" s="794"/>
      <x:c r="AS170" s="791"/>
    </x:row>
    <x:row r="171" ht="26" customHeight="1">
      <x:c r="A171" s="319"/>
      <x:c r="B171" s="320"/>
      <x:c r="C171" s="331"/>
      <x:c r="D171" s="274"/>
      <x:c r="E171" s="274"/>
      <x:c r="F171" s="274"/>
      <x:c r="G171" s="274"/>
      <x:c r="H171" s="274"/>
      <x:c r="I171" s="274"/>
      <x:c r="J171" s="274"/>
      <x:c r="K171" s="274"/>
      <x:c r="L171" s="274"/>
      <x:c r="M171" s="377"/>
      <x:c r="N171" s="302"/>
      <x:c r="O171" s="302"/>
      <x:c r="P171" s="274"/>
      <x:c r="Q171" s="304"/>
      <x:c r="R171" s="304"/>
      <x:c r="S171" s="274"/>
      <x:c r="T171" s="315" t="str">
        <x:f>IF(A171="","",IF(OR(AND(C171&lt;&gt;"",COUNTIFS($C$6:$C$205,C171)&gt;1),AND(D171&lt;&gt;"",COUNTIFS($D$6:$D$205,D171)&gt;1)),"Check duplicate",""))</x:f>
      </x:c>
      <x:c r="U171" s="374" t="str">
        <x:f>IF(A171="","",IF(COUNTIFS('Follow-ups'!$B$6:$B$205,A171,'Follow-ups'!$D$6:$D$205,"&gt;0",'Follow-ups'!$D$6:$D$205,"&lt;="&amp;TODAY())=0,"",_xlfn.MAXIFS('Follow-ups'!$D$6:$D$205,'Follow-ups'!$B$6:$B$205,A171,'Follow-ups'!$D$6:$D$205,"&lt;="&amp;TODAY())))</x:f>
      </x:c>
      <x:c r="V171" s="374" t="str">
        <x:f>IF(A171="","",IF(COUNTIFS('Follow-ups'!$B$6:$B$205,A171,'Follow-ups'!$I$6:$I$205,"Open",'Follow-ups'!$H$6:$H$205,"&gt;0")=0,"",_xlfn.MINIFS('Follow-ups'!$H$6:$H$205,'Follow-ups'!$B$6:$B$205,A171,'Follow-ups'!$I$6:$I$205,"Open",'Follow-ups'!$H$6:$H$205,"&gt;0")))</x:f>
      </x:c>
      <x:c r="W171" s="265" t="str">
        <x:f>IF(A171="","",IF(OR(H171="Converted",H171="Lost"),"Closed lead",IF(H171="On Hold","On hold",IF(ISNUMBER(V171),IF(V171&lt;TODAY(),"Overdue",IF(V171=TODAY(),"Due today","Scheduled")),IF(COUNTIFS('Follow-ups'!$B$6:$B$205,A171,'Follow-ups'!$I$6:$I$205,"Open")&gt;0,"Set task due date","No open task")))))</x:f>
      </x:c>
      <x:c r="X171" s="274"/>
      <x:c r="Y171" s="274"/>
      <x:c r="Z171" s="274"/>
      <x:c r="AA171" s="315" t="str">
        <x:f>IF(A171="","",IF(COUNTIFS($A$6:$A$205,A171)&gt;1,"Duplicate ID",IF(B171="","Add name",IF(AND(C171="",D171=""),"Add phone or email",IF(H171="","Set lead stage",IF(NOT(ISNUMBER(R171)),"Add date added",IF(AND(ISNUMBER(N171),ISNUMBER(O171),N171&gt;O171),"Check budget range",IF(AND(H171="Lost",Y171=""),"Add lost reason",""))))))))</x:f>
      </x:c>
      <x:c r="AB171" s="791"/>
      <x:c r="AC171" s="791"/>
      <x:c r="AD171" s="791"/>
      <x:c r="AE171" s="791"/>
      <x:c r="AF171" s="791"/>
      <x:c r="AG171" s="791"/>
      <x:c r="AH171" s="791"/>
      <x:c r="AI171" s="791"/>
      <x:c r="AJ171" s="791"/>
      <x:c r="AK171" s="791"/>
      <x:c r="AL171" s="793" t="str">
        <x:f>IF($A171="","",IF(OR($H171="Lost",$H171="Converted"),"",IF(OR($C171&lt;&gt;"",$D171&lt;&gt;""),10,0)+IF(AND(ISNUMBER($O171),$O171&gt;0),20,0)+IF($AE171="Yes",15,0)+IF($AF171="Yes",15,IF($AF171="Joint",10,0))+IF(OR($AG171="Immediate",$AG171="0-30 days"),20,IF($AG171="1-3 months",10,0))+IF(OR($AC171="Cash",$AD171="Pre-approved",$AD171="Approved"),10,0)+IF(ISNUMBER($V171),10,0)))</x:f>
      </x:c>
      <x:c r="AM171" s="793" t="str">
        <x:f>IF($A171="","",IF($H171="Lost","Lost",IF($H171="Converted","Converted",IF(NOT(ISNUMBER($AL171)),"",IF($AL171&gt;=75,"Hot",IF($AL171&gt;=45,"Warm","Nurture"))))))</x:f>
      </x:c>
      <x:c r="AN171" s="794"/>
      <x:c r="AO171" s="791"/>
      <x:c r="AP171" s="791"/>
      <x:c r="AQ171" s="794"/>
      <x:c r="AR171" s="794"/>
      <x:c r="AS171" s="791"/>
    </x:row>
    <x:row r="172" ht="26" customHeight="1">
      <x:c r="A172" s="317"/>
      <x:c r="B172" s="318"/>
      <x:c r="C172" s="327"/>
      <x:c r="D172" s="235"/>
      <x:c r="E172" s="235"/>
      <x:c r="F172" s="235"/>
      <x:c r="G172" s="235"/>
      <x:c r="H172" s="235"/>
      <x:c r="I172" s="235"/>
      <x:c r="J172" s="235"/>
      <x:c r="K172" s="235"/>
      <x:c r="L172" s="235"/>
      <x:c r="M172" s="376"/>
      <x:c r="N172" s="236"/>
      <x:c r="O172" s="236"/>
      <x:c r="P172" s="235"/>
      <x:c r="Q172" s="238"/>
      <x:c r="R172" s="238"/>
      <x:c r="S172" s="235"/>
      <x:c r="T172" s="315" t="str">
        <x:f>IF(A172="","",IF(OR(AND(C172&lt;&gt;"",COUNTIFS($C$6:$C$205,C172)&gt;1),AND(D172&lt;&gt;"",COUNTIFS($D$6:$D$205,D172)&gt;1)),"Check duplicate",""))</x:f>
      </x:c>
      <x:c r="U172" s="374" t="str">
        <x:f>IF(A172="","",IF(COUNTIFS('Follow-ups'!$B$6:$B$205,A172,'Follow-ups'!$D$6:$D$205,"&gt;0",'Follow-ups'!$D$6:$D$205,"&lt;="&amp;TODAY())=0,"",_xlfn.MAXIFS('Follow-ups'!$D$6:$D$205,'Follow-ups'!$B$6:$B$205,A172,'Follow-ups'!$D$6:$D$205,"&lt;="&amp;TODAY())))</x:f>
      </x:c>
      <x:c r="V172" s="374" t="str">
        <x:f>IF(A172="","",IF(COUNTIFS('Follow-ups'!$B$6:$B$205,A172,'Follow-ups'!$I$6:$I$205,"Open",'Follow-ups'!$H$6:$H$205,"&gt;0")=0,"",_xlfn.MINIFS('Follow-ups'!$H$6:$H$205,'Follow-ups'!$B$6:$B$205,A172,'Follow-ups'!$I$6:$I$205,"Open",'Follow-ups'!$H$6:$H$205,"&gt;0")))</x:f>
      </x:c>
      <x:c r="W172" s="265" t="str">
        <x:f>IF(A172="","",IF(OR(H172="Converted",H172="Lost"),"Closed lead",IF(H172="On Hold","On hold",IF(ISNUMBER(V172),IF(V172&lt;TODAY(),"Overdue",IF(V172=TODAY(),"Due today","Scheduled")),IF(COUNTIFS('Follow-ups'!$B$6:$B$205,A172,'Follow-ups'!$I$6:$I$205,"Open")&gt;0,"Set task due date","No open task")))))</x:f>
      </x:c>
      <x:c r="X172" s="235"/>
      <x:c r="Y172" s="235"/>
      <x:c r="Z172" s="235"/>
      <x:c r="AA172" s="315" t="str">
        <x:f>IF(A172="","",IF(COUNTIFS($A$6:$A$205,A172)&gt;1,"Duplicate ID",IF(B172="","Add name",IF(AND(C172="",D172=""),"Add phone or email",IF(H172="","Set lead stage",IF(NOT(ISNUMBER(R172)),"Add date added",IF(AND(ISNUMBER(N172),ISNUMBER(O172),N172&gt;O172),"Check budget range",IF(AND(H172="Lost",Y172=""),"Add lost reason",""))))))))</x:f>
      </x:c>
      <x:c r="AB172" s="791"/>
      <x:c r="AC172" s="791"/>
      <x:c r="AD172" s="791"/>
      <x:c r="AE172" s="791"/>
      <x:c r="AF172" s="791"/>
      <x:c r="AG172" s="791"/>
      <x:c r="AH172" s="791"/>
      <x:c r="AI172" s="791"/>
      <x:c r="AJ172" s="791"/>
      <x:c r="AK172" s="791"/>
      <x:c r="AL172" s="793" t="str">
        <x:f>IF($A172="","",IF(OR($H172="Lost",$H172="Converted"),"",IF(OR($C172&lt;&gt;"",$D172&lt;&gt;""),10,0)+IF(AND(ISNUMBER($O172),$O172&gt;0),20,0)+IF($AE172="Yes",15,0)+IF($AF172="Yes",15,IF($AF172="Joint",10,0))+IF(OR($AG172="Immediate",$AG172="0-30 days"),20,IF($AG172="1-3 months",10,0))+IF(OR($AC172="Cash",$AD172="Pre-approved",$AD172="Approved"),10,0)+IF(ISNUMBER($V172),10,0)))</x:f>
      </x:c>
      <x:c r="AM172" s="793" t="str">
        <x:f>IF($A172="","",IF($H172="Lost","Lost",IF($H172="Converted","Converted",IF(NOT(ISNUMBER($AL172)),"",IF($AL172&gt;=75,"Hot",IF($AL172&gt;=45,"Warm","Nurture"))))))</x:f>
      </x:c>
      <x:c r="AN172" s="794"/>
      <x:c r="AO172" s="791"/>
      <x:c r="AP172" s="791"/>
      <x:c r="AQ172" s="794"/>
      <x:c r="AR172" s="794"/>
      <x:c r="AS172" s="791"/>
    </x:row>
    <x:row r="173" ht="26" customHeight="1">
      <x:c r="A173" s="319"/>
      <x:c r="B173" s="320"/>
      <x:c r="C173" s="331"/>
      <x:c r="D173" s="274"/>
      <x:c r="E173" s="274"/>
      <x:c r="F173" s="274"/>
      <x:c r="G173" s="274"/>
      <x:c r="H173" s="274"/>
      <x:c r="I173" s="274"/>
      <x:c r="J173" s="274"/>
      <x:c r="K173" s="274"/>
      <x:c r="L173" s="274"/>
      <x:c r="M173" s="377"/>
      <x:c r="N173" s="302"/>
      <x:c r="O173" s="302"/>
      <x:c r="P173" s="274"/>
      <x:c r="Q173" s="304"/>
      <x:c r="R173" s="304"/>
      <x:c r="S173" s="274"/>
      <x:c r="T173" s="315" t="str">
        <x:f>IF(A173="","",IF(OR(AND(C173&lt;&gt;"",COUNTIFS($C$6:$C$205,C173)&gt;1),AND(D173&lt;&gt;"",COUNTIFS($D$6:$D$205,D173)&gt;1)),"Check duplicate",""))</x:f>
      </x:c>
      <x:c r="U173" s="374" t="str">
        <x:f>IF(A173="","",IF(COUNTIFS('Follow-ups'!$B$6:$B$205,A173,'Follow-ups'!$D$6:$D$205,"&gt;0",'Follow-ups'!$D$6:$D$205,"&lt;="&amp;TODAY())=0,"",_xlfn.MAXIFS('Follow-ups'!$D$6:$D$205,'Follow-ups'!$B$6:$B$205,A173,'Follow-ups'!$D$6:$D$205,"&lt;="&amp;TODAY())))</x:f>
      </x:c>
      <x:c r="V173" s="374" t="str">
        <x:f>IF(A173="","",IF(COUNTIFS('Follow-ups'!$B$6:$B$205,A173,'Follow-ups'!$I$6:$I$205,"Open",'Follow-ups'!$H$6:$H$205,"&gt;0")=0,"",_xlfn.MINIFS('Follow-ups'!$H$6:$H$205,'Follow-ups'!$B$6:$B$205,A173,'Follow-ups'!$I$6:$I$205,"Open",'Follow-ups'!$H$6:$H$205,"&gt;0")))</x:f>
      </x:c>
      <x:c r="W173" s="265" t="str">
        <x:f>IF(A173="","",IF(OR(H173="Converted",H173="Lost"),"Closed lead",IF(H173="On Hold","On hold",IF(ISNUMBER(V173),IF(V173&lt;TODAY(),"Overdue",IF(V173=TODAY(),"Due today","Scheduled")),IF(COUNTIFS('Follow-ups'!$B$6:$B$205,A173,'Follow-ups'!$I$6:$I$205,"Open")&gt;0,"Set task due date","No open task")))))</x:f>
      </x:c>
      <x:c r="X173" s="274"/>
      <x:c r="Y173" s="274"/>
      <x:c r="Z173" s="274"/>
      <x:c r="AA173" s="315" t="str">
        <x:f>IF(A173="","",IF(COUNTIFS($A$6:$A$205,A173)&gt;1,"Duplicate ID",IF(B173="","Add name",IF(AND(C173="",D173=""),"Add phone or email",IF(H173="","Set lead stage",IF(NOT(ISNUMBER(R173)),"Add date added",IF(AND(ISNUMBER(N173),ISNUMBER(O173),N173&gt;O173),"Check budget range",IF(AND(H173="Lost",Y173=""),"Add lost reason",""))))))))</x:f>
      </x:c>
      <x:c r="AB173" s="791"/>
      <x:c r="AC173" s="791"/>
      <x:c r="AD173" s="791"/>
      <x:c r="AE173" s="791"/>
      <x:c r="AF173" s="791"/>
      <x:c r="AG173" s="791"/>
      <x:c r="AH173" s="791"/>
      <x:c r="AI173" s="791"/>
      <x:c r="AJ173" s="791"/>
      <x:c r="AK173" s="791"/>
      <x:c r="AL173" s="793" t="str">
        <x:f>IF($A173="","",IF(OR($H173="Lost",$H173="Converted"),"",IF(OR($C173&lt;&gt;"",$D173&lt;&gt;""),10,0)+IF(AND(ISNUMBER($O173),$O173&gt;0),20,0)+IF($AE173="Yes",15,0)+IF($AF173="Yes",15,IF($AF173="Joint",10,0))+IF(OR($AG173="Immediate",$AG173="0-30 days"),20,IF($AG173="1-3 months",10,0))+IF(OR($AC173="Cash",$AD173="Pre-approved",$AD173="Approved"),10,0)+IF(ISNUMBER($V173),10,0)))</x:f>
      </x:c>
      <x:c r="AM173" s="793" t="str">
        <x:f>IF($A173="","",IF($H173="Lost","Lost",IF($H173="Converted","Converted",IF(NOT(ISNUMBER($AL173)),"",IF($AL173&gt;=75,"Hot",IF($AL173&gt;=45,"Warm","Nurture"))))))</x:f>
      </x:c>
      <x:c r="AN173" s="794"/>
      <x:c r="AO173" s="791"/>
      <x:c r="AP173" s="791"/>
      <x:c r="AQ173" s="794"/>
      <x:c r="AR173" s="794"/>
      <x:c r="AS173" s="791"/>
    </x:row>
    <x:row r="174" ht="26" customHeight="1">
      <x:c r="A174" s="317"/>
      <x:c r="B174" s="318"/>
      <x:c r="C174" s="327"/>
      <x:c r="D174" s="235"/>
      <x:c r="E174" s="235"/>
      <x:c r="F174" s="235"/>
      <x:c r="G174" s="235"/>
      <x:c r="H174" s="235"/>
      <x:c r="I174" s="235"/>
      <x:c r="J174" s="235"/>
      <x:c r="K174" s="235"/>
      <x:c r="L174" s="235"/>
      <x:c r="M174" s="376"/>
      <x:c r="N174" s="236"/>
      <x:c r="O174" s="236"/>
      <x:c r="P174" s="235"/>
      <x:c r="Q174" s="238"/>
      <x:c r="R174" s="238"/>
      <x:c r="S174" s="235"/>
      <x:c r="T174" s="315" t="str">
        <x:f>IF(A174="","",IF(OR(AND(C174&lt;&gt;"",COUNTIFS($C$6:$C$205,C174)&gt;1),AND(D174&lt;&gt;"",COUNTIFS($D$6:$D$205,D174)&gt;1)),"Check duplicate",""))</x:f>
      </x:c>
      <x:c r="U174" s="374" t="str">
        <x:f>IF(A174="","",IF(COUNTIFS('Follow-ups'!$B$6:$B$205,A174,'Follow-ups'!$D$6:$D$205,"&gt;0",'Follow-ups'!$D$6:$D$205,"&lt;="&amp;TODAY())=0,"",_xlfn.MAXIFS('Follow-ups'!$D$6:$D$205,'Follow-ups'!$B$6:$B$205,A174,'Follow-ups'!$D$6:$D$205,"&lt;="&amp;TODAY())))</x:f>
      </x:c>
      <x:c r="V174" s="374" t="str">
        <x:f>IF(A174="","",IF(COUNTIFS('Follow-ups'!$B$6:$B$205,A174,'Follow-ups'!$I$6:$I$205,"Open",'Follow-ups'!$H$6:$H$205,"&gt;0")=0,"",_xlfn.MINIFS('Follow-ups'!$H$6:$H$205,'Follow-ups'!$B$6:$B$205,A174,'Follow-ups'!$I$6:$I$205,"Open",'Follow-ups'!$H$6:$H$205,"&gt;0")))</x:f>
      </x:c>
      <x:c r="W174" s="265" t="str">
        <x:f>IF(A174="","",IF(OR(H174="Converted",H174="Lost"),"Closed lead",IF(H174="On Hold","On hold",IF(ISNUMBER(V174),IF(V174&lt;TODAY(),"Overdue",IF(V174=TODAY(),"Due today","Scheduled")),IF(COUNTIFS('Follow-ups'!$B$6:$B$205,A174,'Follow-ups'!$I$6:$I$205,"Open")&gt;0,"Set task due date","No open task")))))</x:f>
      </x:c>
      <x:c r="X174" s="235"/>
      <x:c r="Y174" s="235"/>
      <x:c r="Z174" s="235"/>
      <x:c r="AA174" s="315" t="str">
        <x:f>IF(A174="","",IF(COUNTIFS($A$6:$A$205,A174)&gt;1,"Duplicate ID",IF(B174="","Add name",IF(AND(C174="",D174=""),"Add phone or email",IF(H174="","Set lead stage",IF(NOT(ISNUMBER(R174)),"Add date added",IF(AND(ISNUMBER(N174),ISNUMBER(O174),N174&gt;O174),"Check budget range",IF(AND(H174="Lost",Y174=""),"Add lost reason",""))))))))</x:f>
      </x:c>
      <x:c r="AB174" s="791"/>
      <x:c r="AC174" s="791"/>
      <x:c r="AD174" s="791"/>
      <x:c r="AE174" s="791"/>
      <x:c r="AF174" s="791"/>
      <x:c r="AG174" s="791"/>
      <x:c r="AH174" s="791"/>
      <x:c r="AI174" s="791"/>
      <x:c r="AJ174" s="791"/>
      <x:c r="AK174" s="791"/>
      <x:c r="AL174" s="793" t="str">
        <x:f>IF($A174="","",IF(OR($H174="Lost",$H174="Converted"),"",IF(OR($C174&lt;&gt;"",$D174&lt;&gt;""),10,0)+IF(AND(ISNUMBER($O174),$O174&gt;0),20,0)+IF($AE174="Yes",15,0)+IF($AF174="Yes",15,IF($AF174="Joint",10,0))+IF(OR($AG174="Immediate",$AG174="0-30 days"),20,IF($AG174="1-3 months",10,0))+IF(OR($AC174="Cash",$AD174="Pre-approved",$AD174="Approved"),10,0)+IF(ISNUMBER($V174),10,0)))</x:f>
      </x:c>
      <x:c r="AM174" s="793" t="str">
        <x:f>IF($A174="","",IF($H174="Lost","Lost",IF($H174="Converted","Converted",IF(NOT(ISNUMBER($AL174)),"",IF($AL174&gt;=75,"Hot",IF($AL174&gt;=45,"Warm","Nurture"))))))</x:f>
      </x:c>
      <x:c r="AN174" s="794"/>
      <x:c r="AO174" s="791"/>
      <x:c r="AP174" s="791"/>
      <x:c r="AQ174" s="794"/>
      <x:c r="AR174" s="794"/>
      <x:c r="AS174" s="791"/>
    </x:row>
    <x:row r="175" ht="26" customHeight="1">
      <x:c r="A175" s="319"/>
      <x:c r="B175" s="320"/>
      <x:c r="C175" s="331"/>
      <x:c r="D175" s="274"/>
      <x:c r="E175" s="274"/>
      <x:c r="F175" s="274"/>
      <x:c r="G175" s="274"/>
      <x:c r="H175" s="274"/>
      <x:c r="I175" s="274"/>
      <x:c r="J175" s="274"/>
      <x:c r="K175" s="274"/>
      <x:c r="L175" s="274"/>
      <x:c r="M175" s="377"/>
      <x:c r="N175" s="302"/>
      <x:c r="O175" s="302"/>
      <x:c r="P175" s="274"/>
      <x:c r="Q175" s="304"/>
      <x:c r="R175" s="304"/>
      <x:c r="S175" s="274"/>
      <x:c r="T175" s="315" t="str">
        <x:f>IF(A175="","",IF(OR(AND(C175&lt;&gt;"",COUNTIFS($C$6:$C$205,C175)&gt;1),AND(D175&lt;&gt;"",COUNTIFS($D$6:$D$205,D175)&gt;1)),"Check duplicate",""))</x:f>
      </x:c>
      <x:c r="U175" s="374" t="str">
        <x:f>IF(A175="","",IF(COUNTIFS('Follow-ups'!$B$6:$B$205,A175,'Follow-ups'!$D$6:$D$205,"&gt;0",'Follow-ups'!$D$6:$D$205,"&lt;="&amp;TODAY())=0,"",_xlfn.MAXIFS('Follow-ups'!$D$6:$D$205,'Follow-ups'!$B$6:$B$205,A175,'Follow-ups'!$D$6:$D$205,"&lt;="&amp;TODAY())))</x:f>
      </x:c>
      <x:c r="V175" s="374" t="str">
        <x:f>IF(A175="","",IF(COUNTIFS('Follow-ups'!$B$6:$B$205,A175,'Follow-ups'!$I$6:$I$205,"Open",'Follow-ups'!$H$6:$H$205,"&gt;0")=0,"",_xlfn.MINIFS('Follow-ups'!$H$6:$H$205,'Follow-ups'!$B$6:$B$205,A175,'Follow-ups'!$I$6:$I$205,"Open",'Follow-ups'!$H$6:$H$205,"&gt;0")))</x:f>
      </x:c>
      <x:c r="W175" s="265" t="str">
        <x:f>IF(A175="","",IF(OR(H175="Converted",H175="Lost"),"Closed lead",IF(H175="On Hold","On hold",IF(ISNUMBER(V175),IF(V175&lt;TODAY(),"Overdue",IF(V175=TODAY(),"Due today","Scheduled")),IF(COUNTIFS('Follow-ups'!$B$6:$B$205,A175,'Follow-ups'!$I$6:$I$205,"Open")&gt;0,"Set task due date","No open task")))))</x:f>
      </x:c>
      <x:c r="X175" s="274"/>
      <x:c r="Y175" s="274"/>
      <x:c r="Z175" s="274"/>
      <x:c r="AA175" s="315" t="str">
        <x:f>IF(A175="","",IF(COUNTIFS($A$6:$A$205,A175)&gt;1,"Duplicate ID",IF(B175="","Add name",IF(AND(C175="",D175=""),"Add phone or email",IF(H175="","Set lead stage",IF(NOT(ISNUMBER(R175)),"Add date added",IF(AND(ISNUMBER(N175),ISNUMBER(O175),N175&gt;O175),"Check budget range",IF(AND(H175="Lost",Y175=""),"Add lost reason",""))))))))</x:f>
      </x:c>
      <x:c r="AB175" s="791"/>
      <x:c r="AC175" s="791"/>
      <x:c r="AD175" s="791"/>
      <x:c r="AE175" s="791"/>
      <x:c r="AF175" s="791"/>
      <x:c r="AG175" s="791"/>
      <x:c r="AH175" s="791"/>
      <x:c r="AI175" s="791"/>
      <x:c r="AJ175" s="791"/>
      <x:c r="AK175" s="791"/>
      <x:c r="AL175" s="793" t="str">
        <x:f>IF($A175="","",IF(OR($H175="Lost",$H175="Converted"),"",IF(OR($C175&lt;&gt;"",$D175&lt;&gt;""),10,0)+IF(AND(ISNUMBER($O175),$O175&gt;0),20,0)+IF($AE175="Yes",15,0)+IF($AF175="Yes",15,IF($AF175="Joint",10,0))+IF(OR($AG175="Immediate",$AG175="0-30 days"),20,IF($AG175="1-3 months",10,0))+IF(OR($AC175="Cash",$AD175="Pre-approved",$AD175="Approved"),10,0)+IF(ISNUMBER($V175),10,0)))</x:f>
      </x:c>
      <x:c r="AM175" s="793" t="str">
        <x:f>IF($A175="","",IF($H175="Lost","Lost",IF($H175="Converted","Converted",IF(NOT(ISNUMBER($AL175)),"",IF($AL175&gt;=75,"Hot",IF($AL175&gt;=45,"Warm","Nurture"))))))</x:f>
      </x:c>
      <x:c r="AN175" s="794"/>
      <x:c r="AO175" s="791"/>
      <x:c r="AP175" s="791"/>
      <x:c r="AQ175" s="794"/>
      <x:c r="AR175" s="794"/>
      <x:c r="AS175" s="791"/>
    </x:row>
    <x:row r="176" ht="26" customHeight="1">
      <x:c r="A176" s="317"/>
      <x:c r="B176" s="318"/>
      <x:c r="C176" s="327"/>
      <x:c r="D176" s="235"/>
      <x:c r="E176" s="235"/>
      <x:c r="F176" s="235"/>
      <x:c r="G176" s="235"/>
      <x:c r="H176" s="235"/>
      <x:c r="I176" s="235"/>
      <x:c r="J176" s="235"/>
      <x:c r="K176" s="235"/>
      <x:c r="L176" s="235"/>
      <x:c r="M176" s="376"/>
      <x:c r="N176" s="236"/>
      <x:c r="O176" s="236"/>
      <x:c r="P176" s="235"/>
      <x:c r="Q176" s="238"/>
      <x:c r="R176" s="238"/>
      <x:c r="S176" s="235"/>
      <x:c r="T176" s="315" t="str">
        <x:f>IF(A176="","",IF(OR(AND(C176&lt;&gt;"",COUNTIFS($C$6:$C$205,C176)&gt;1),AND(D176&lt;&gt;"",COUNTIFS($D$6:$D$205,D176)&gt;1)),"Check duplicate",""))</x:f>
      </x:c>
      <x:c r="U176" s="374" t="str">
        <x:f>IF(A176="","",IF(COUNTIFS('Follow-ups'!$B$6:$B$205,A176,'Follow-ups'!$D$6:$D$205,"&gt;0",'Follow-ups'!$D$6:$D$205,"&lt;="&amp;TODAY())=0,"",_xlfn.MAXIFS('Follow-ups'!$D$6:$D$205,'Follow-ups'!$B$6:$B$205,A176,'Follow-ups'!$D$6:$D$205,"&lt;="&amp;TODAY())))</x:f>
      </x:c>
      <x:c r="V176" s="374" t="str">
        <x:f>IF(A176="","",IF(COUNTIFS('Follow-ups'!$B$6:$B$205,A176,'Follow-ups'!$I$6:$I$205,"Open",'Follow-ups'!$H$6:$H$205,"&gt;0")=0,"",_xlfn.MINIFS('Follow-ups'!$H$6:$H$205,'Follow-ups'!$B$6:$B$205,A176,'Follow-ups'!$I$6:$I$205,"Open",'Follow-ups'!$H$6:$H$205,"&gt;0")))</x:f>
      </x:c>
      <x:c r="W176" s="265" t="str">
        <x:f>IF(A176="","",IF(OR(H176="Converted",H176="Lost"),"Closed lead",IF(H176="On Hold","On hold",IF(ISNUMBER(V176),IF(V176&lt;TODAY(),"Overdue",IF(V176=TODAY(),"Due today","Scheduled")),IF(COUNTIFS('Follow-ups'!$B$6:$B$205,A176,'Follow-ups'!$I$6:$I$205,"Open")&gt;0,"Set task due date","No open task")))))</x:f>
      </x:c>
      <x:c r="X176" s="235"/>
      <x:c r="Y176" s="235"/>
      <x:c r="Z176" s="235"/>
      <x:c r="AA176" s="315" t="str">
        <x:f>IF(A176="","",IF(COUNTIFS($A$6:$A$205,A176)&gt;1,"Duplicate ID",IF(B176="","Add name",IF(AND(C176="",D176=""),"Add phone or email",IF(H176="","Set lead stage",IF(NOT(ISNUMBER(R176)),"Add date added",IF(AND(ISNUMBER(N176),ISNUMBER(O176),N176&gt;O176),"Check budget range",IF(AND(H176="Lost",Y176=""),"Add lost reason",""))))))))</x:f>
      </x:c>
      <x:c r="AB176" s="791"/>
      <x:c r="AC176" s="791"/>
      <x:c r="AD176" s="791"/>
      <x:c r="AE176" s="791"/>
      <x:c r="AF176" s="791"/>
      <x:c r="AG176" s="791"/>
      <x:c r="AH176" s="791"/>
      <x:c r="AI176" s="791"/>
      <x:c r="AJ176" s="791"/>
      <x:c r="AK176" s="791"/>
      <x:c r="AL176" s="793" t="str">
        <x:f>IF($A176="","",IF(OR($H176="Lost",$H176="Converted"),"",IF(OR($C176&lt;&gt;"",$D176&lt;&gt;""),10,0)+IF(AND(ISNUMBER($O176),$O176&gt;0),20,0)+IF($AE176="Yes",15,0)+IF($AF176="Yes",15,IF($AF176="Joint",10,0))+IF(OR($AG176="Immediate",$AG176="0-30 days"),20,IF($AG176="1-3 months",10,0))+IF(OR($AC176="Cash",$AD176="Pre-approved",$AD176="Approved"),10,0)+IF(ISNUMBER($V176),10,0)))</x:f>
      </x:c>
      <x:c r="AM176" s="793" t="str">
        <x:f>IF($A176="","",IF($H176="Lost","Lost",IF($H176="Converted","Converted",IF(NOT(ISNUMBER($AL176)),"",IF($AL176&gt;=75,"Hot",IF($AL176&gt;=45,"Warm","Nurture"))))))</x:f>
      </x:c>
      <x:c r="AN176" s="794"/>
      <x:c r="AO176" s="791"/>
      <x:c r="AP176" s="791"/>
      <x:c r="AQ176" s="794"/>
      <x:c r="AR176" s="794"/>
      <x:c r="AS176" s="791"/>
    </x:row>
    <x:row r="177" ht="26" customHeight="1">
      <x:c r="A177" s="319"/>
      <x:c r="B177" s="320"/>
      <x:c r="C177" s="331"/>
      <x:c r="D177" s="274"/>
      <x:c r="E177" s="274"/>
      <x:c r="F177" s="274"/>
      <x:c r="G177" s="274"/>
      <x:c r="H177" s="274"/>
      <x:c r="I177" s="274"/>
      <x:c r="J177" s="274"/>
      <x:c r="K177" s="274"/>
      <x:c r="L177" s="274"/>
      <x:c r="M177" s="377"/>
      <x:c r="N177" s="302"/>
      <x:c r="O177" s="302"/>
      <x:c r="P177" s="274"/>
      <x:c r="Q177" s="304"/>
      <x:c r="R177" s="304"/>
      <x:c r="S177" s="274"/>
      <x:c r="T177" s="315" t="str">
        <x:f>IF(A177="","",IF(OR(AND(C177&lt;&gt;"",COUNTIFS($C$6:$C$205,C177)&gt;1),AND(D177&lt;&gt;"",COUNTIFS($D$6:$D$205,D177)&gt;1)),"Check duplicate",""))</x:f>
      </x:c>
      <x:c r="U177" s="374" t="str">
        <x:f>IF(A177="","",IF(COUNTIFS('Follow-ups'!$B$6:$B$205,A177,'Follow-ups'!$D$6:$D$205,"&gt;0",'Follow-ups'!$D$6:$D$205,"&lt;="&amp;TODAY())=0,"",_xlfn.MAXIFS('Follow-ups'!$D$6:$D$205,'Follow-ups'!$B$6:$B$205,A177,'Follow-ups'!$D$6:$D$205,"&lt;="&amp;TODAY())))</x:f>
      </x:c>
      <x:c r="V177" s="374" t="str">
        <x:f>IF(A177="","",IF(COUNTIFS('Follow-ups'!$B$6:$B$205,A177,'Follow-ups'!$I$6:$I$205,"Open",'Follow-ups'!$H$6:$H$205,"&gt;0")=0,"",_xlfn.MINIFS('Follow-ups'!$H$6:$H$205,'Follow-ups'!$B$6:$B$205,A177,'Follow-ups'!$I$6:$I$205,"Open",'Follow-ups'!$H$6:$H$205,"&gt;0")))</x:f>
      </x:c>
      <x:c r="W177" s="265" t="str">
        <x:f>IF(A177="","",IF(OR(H177="Converted",H177="Lost"),"Closed lead",IF(H177="On Hold","On hold",IF(ISNUMBER(V177),IF(V177&lt;TODAY(),"Overdue",IF(V177=TODAY(),"Due today","Scheduled")),IF(COUNTIFS('Follow-ups'!$B$6:$B$205,A177,'Follow-ups'!$I$6:$I$205,"Open")&gt;0,"Set task due date","No open task")))))</x:f>
      </x:c>
      <x:c r="X177" s="274"/>
      <x:c r="Y177" s="274"/>
      <x:c r="Z177" s="274"/>
      <x:c r="AA177" s="315" t="str">
        <x:f>IF(A177="","",IF(COUNTIFS($A$6:$A$205,A177)&gt;1,"Duplicate ID",IF(B177="","Add name",IF(AND(C177="",D177=""),"Add phone or email",IF(H177="","Set lead stage",IF(NOT(ISNUMBER(R177)),"Add date added",IF(AND(ISNUMBER(N177),ISNUMBER(O177),N177&gt;O177),"Check budget range",IF(AND(H177="Lost",Y177=""),"Add lost reason",""))))))))</x:f>
      </x:c>
      <x:c r="AB177" s="791"/>
      <x:c r="AC177" s="791"/>
      <x:c r="AD177" s="791"/>
      <x:c r="AE177" s="791"/>
      <x:c r="AF177" s="791"/>
      <x:c r="AG177" s="791"/>
      <x:c r="AH177" s="791"/>
      <x:c r="AI177" s="791"/>
      <x:c r="AJ177" s="791"/>
      <x:c r="AK177" s="791"/>
      <x:c r="AL177" s="793" t="str">
        <x:f>IF($A177="","",IF(OR($H177="Lost",$H177="Converted"),"",IF(OR($C177&lt;&gt;"",$D177&lt;&gt;""),10,0)+IF(AND(ISNUMBER($O177),$O177&gt;0),20,0)+IF($AE177="Yes",15,0)+IF($AF177="Yes",15,IF($AF177="Joint",10,0))+IF(OR($AG177="Immediate",$AG177="0-30 days"),20,IF($AG177="1-3 months",10,0))+IF(OR($AC177="Cash",$AD177="Pre-approved",$AD177="Approved"),10,0)+IF(ISNUMBER($V177),10,0)))</x:f>
      </x:c>
      <x:c r="AM177" s="793" t="str">
        <x:f>IF($A177="","",IF($H177="Lost","Lost",IF($H177="Converted","Converted",IF(NOT(ISNUMBER($AL177)),"",IF($AL177&gt;=75,"Hot",IF($AL177&gt;=45,"Warm","Nurture"))))))</x:f>
      </x:c>
      <x:c r="AN177" s="794"/>
      <x:c r="AO177" s="791"/>
      <x:c r="AP177" s="791"/>
      <x:c r="AQ177" s="794"/>
      <x:c r="AR177" s="794"/>
      <x:c r="AS177" s="791"/>
    </x:row>
    <x:row r="178" ht="26" customHeight="1">
      <x:c r="A178" s="317"/>
      <x:c r="B178" s="318"/>
      <x:c r="C178" s="327"/>
      <x:c r="D178" s="235"/>
      <x:c r="E178" s="235"/>
      <x:c r="F178" s="235"/>
      <x:c r="G178" s="235"/>
      <x:c r="H178" s="235"/>
      <x:c r="I178" s="235"/>
      <x:c r="J178" s="235"/>
      <x:c r="K178" s="235"/>
      <x:c r="L178" s="235"/>
      <x:c r="M178" s="376"/>
      <x:c r="N178" s="236"/>
      <x:c r="O178" s="236"/>
      <x:c r="P178" s="235"/>
      <x:c r="Q178" s="238"/>
      <x:c r="R178" s="238"/>
      <x:c r="S178" s="235"/>
      <x:c r="T178" s="315" t="str">
        <x:f>IF(A178="","",IF(OR(AND(C178&lt;&gt;"",COUNTIFS($C$6:$C$205,C178)&gt;1),AND(D178&lt;&gt;"",COUNTIFS($D$6:$D$205,D178)&gt;1)),"Check duplicate",""))</x:f>
      </x:c>
      <x:c r="U178" s="374" t="str">
        <x:f>IF(A178="","",IF(COUNTIFS('Follow-ups'!$B$6:$B$205,A178,'Follow-ups'!$D$6:$D$205,"&gt;0",'Follow-ups'!$D$6:$D$205,"&lt;="&amp;TODAY())=0,"",_xlfn.MAXIFS('Follow-ups'!$D$6:$D$205,'Follow-ups'!$B$6:$B$205,A178,'Follow-ups'!$D$6:$D$205,"&lt;="&amp;TODAY())))</x:f>
      </x:c>
      <x:c r="V178" s="374" t="str">
        <x:f>IF(A178="","",IF(COUNTIFS('Follow-ups'!$B$6:$B$205,A178,'Follow-ups'!$I$6:$I$205,"Open",'Follow-ups'!$H$6:$H$205,"&gt;0")=0,"",_xlfn.MINIFS('Follow-ups'!$H$6:$H$205,'Follow-ups'!$B$6:$B$205,A178,'Follow-ups'!$I$6:$I$205,"Open",'Follow-ups'!$H$6:$H$205,"&gt;0")))</x:f>
      </x:c>
      <x:c r="W178" s="265" t="str">
        <x:f>IF(A178="","",IF(OR(H178="Converted",H178="Lost"),"Closed lead",IF(H178="On Hold","On hold",IF(ISNUMBER(V178),IF(V178&lt;TODAY(),"Overdue",IF(V178=TODAY(),"Due today","Scheduled")),IF(COUNTIFS('Follow-ups'!$B$6:$B$205,A178,'Follow-ups'!$I$6:$I$205,"Open")&gt;0,"Set task due date","No open task")))))</x:f>
      </x:c>
      <x:c r="X178" s="235"/>
      <x:c r="Y178" s="235"/>
      <x:c r="Z178" s="235"/>
      <x:c r="AA178" s="315" t="str">
        <x:f>IF(A178="","",IF(COUNTIFS($A$6:$A$205,A178)&gt;1,"Duplicate ID",IF(B178="","Add name",IF(AND(C178="",D178=""),"Add phone or email",IF(H178="","Set lead stage",IF(NOT(ISNUMBER(R178)),"Add date added",IF(AND(ISNUMBER(N178),ISNUMBER(O178),N178&gt;O178),"Check budget range",IF(AND(H178="Lost",Y178=""),"Add lost reason",""))))))))</x:f>
      </x:c>
      <x:c r="AB178" s="791"/>
      <x:c r="AC178" s="791"/>
      <x:c r="AD178" s="791"/>
      <x:c r="AE178" s="791"/>
      <x:c r="AF178" s="791"/>
      <x:c r="AG178" s="791"/>
      <x:c r="AH178" s="791"/>
      <x:c r="AI178" s="791"/>
      <x:c r="AJ178" s="791"/>
      <x:c r="AK178" s="791"/>
      <x:c r="AL178" s="793" t="str">
        <x:f>IF($A178="","",IF(OR($H178="Lost",$H178="Converted"),"",IF(OR($C178&lt;&gt;"",$D178&lt;&gt;""),10,0)+IF(AND(ISNUMBER($O178),$O178&gt;0),20,0)+IF($AE178="Yes",15,0)+IF($AF178="Yes",15,IF($AF178="Joint",10,0))+IF(OR($AG178="Immediate",$AG178="0-30 days"),20,IF($AG178="1-3 months",10,0))+IF(OR($AC178="Cash",$AD178="Pre-approved",$AD178="Approved"),10,0)+IF(ISNUMBER($V178),10,0)))</x:f>
      </x:c>
      <x:c r="AM178" s="793" t="str">
        <x:f>IF($A178="","",IF($H178="Lost","Lost",IF($H178="Converted","Converted",IF(NOT(ISNUMBER($AL178)),"",IF($AL178&gt;=75,"Hot",IF($AL178&gt;=45,"Warm","Nurture"))))))</x:f>
      </x:c>
      <x:c r="AN178" s="794"/>
      <x:c r="AO178" s="791"/>
      <x:c r="AP178" s="791"/>
      <x:c r="AQ178" s="794"/>
      <x:c r="AR178" s="794"/>
      <x:c r="AS178" s="791"/>
    </x:row>
    <x:row r="179" ht="26" customHeight="1">
      <x:c r="A179" s="319"/>
      <x:c r="B179" s="320"/>
      <x:c r="C179" s="331"/>
      <x:c r="D179" s="274"/>
      <x:c r="E179" s="274"/>
      <x:c r="F179" s="274"/>
      <x:c r="G179" s="274"/>
      <x:c r="H179" s="274"/>
      <x:c r="I179" s="274"/>
      <x:c r="J179" s="274"/>
      <x:c r="K179" s="274"/>
      <x:c r="L179" s="274"/>
      <x:c r="M179" s="377"/>
      <x:c r="N179" s="302"/>
      <x:c r="O179" s="302"/>
      <x:c r="P179" s="274"/>
      <x:c r="Q179" s="304"/>
      <x:c r="R179" s="304"/>
      <x:c r="S179" s="274"/>
      <x:c r="T179" s="315" t="str">
        <x:f>IF(A179="","",IF(OR(AND(C179&lt;&gt;"",COUNTIFS($C$6:$C$205,C179)&gt;1),AND(D179&lt;&gt;"",COUNTIFS($D$6:$D$205,D179)&gt;1)),"Check duplicate",""))</x:f>
      </x:c>
      <x:c r="U179" s="374" t="str">
        <x:f>IF(A179="","",IF(COUNTIFS('Follow-ups'!$B$6:$B$205,A179,'Follow-ups'!$D$6:$D$205,"&gt;0",'Follow-ups'!$D$6:$D$205,"&lt;="&amp;TODAY())=0,"",_xlfn.MAXIFS('Follow-ups'!$D$6:$D$205,'Follow-ups'!$B$6:$B$205,A179,'Follow-ups'!$D$6:$D$205,"&lt;="&amp;TODAY())))</x:f>
      </x:c>
      <x:c r="V179" s="374" t="str">
        <x:f>IF(A179="","",IF(COUNTIFS('Follow-ups'!$B$6:$B$205,A179,'Follow-ups'!$I$6:$I$205,"Open",'Follow-ups'!$H$6:$H$205,"&gt;0")=0,"",_xlfn.MINIFS('Follow-ups'!$H$6:$H$205,'Follow-ups'!$B$6:$B$205,A179,'Follow-ups'!$I$6:$I$205,"Open",'Follow-ups'!$H$6:$H$205,"&gt;0")))</x:f>
      </x:c>
      <x:c r="W179" s="265" t="str">
        <x:f>IF(A179="","",IF(OR(H179="Converted",H179="Lost"),"Closed lead",IF(H179="On Hold","On hold",IF(ISNUMBER(V179),IF(V179&lt;TODAY(),"Overdue",IF(V179=TODAY(),"Due today","Scheduled")),IF(COUNTIFS('Follow-ups'!$B$6:$B$205,A179,'Follow-ups'!$I$6:$I$205,"Open")&gt;0,"Set task due date","No open task")))))</x:f>
      </x:c>
      <x:c r="X179" s="274"/>
      <x:c r="Y179" s="274"/>
      <x:c r="Z179" s="274"/>
      <x:c r="AA179" s="315" t="str">
        <x:f>IF(A179="","",IF(COUNTIFS($A$6:$A$205,A179)&gt;1,"Duplicate ID",IF(B179="","Add name",IF(AND(C179="",D179=""),"Add phone or email",IF(H179="","Set lead stage",IF(NOT(ISNUMBER(R179)),"Add date added",IF(AND(ISNUMBER(N179),ISNUMBER(O179),N179&gt;O179),"Check budget range",IF(AND(H179="Lost",Y179=""),"Add lost reason",""))))))))</x:f>
      </x:c>
      <x:c r="AB179" s="791"/>
      <x:c r="AC179" s="791"/>
      <x:c r="AD179" s="791"/>
      <x:c r="AE179" s="791"/>
      <x:c r="AF179" s="791"/>
      <x:c r="AG179" s="791"/>
      <x:c r="AH179" s="791"/>
      <x:c r="AI179" s="791"/>
      <x:c r="AJ179" s="791"/>
      <x:c r="AK179" s="791"/>
      <x:c r="AL179" s="793" t="str">
        <x:f>IF($A179="","",IF(OR($H179="Lost",$H179="Converted"),"",IF(OR($C179&lt;&gt;"",$D179&lt;&gt;""),10,0)+IF(AND(ISNUMBER($O179),$O179&gt;0),20,0)+IF($AE179="Yes",15,0)+IF($AF179="Yes",15,IF($AF179="Joint",10,0))+IF(OR($AG179="Immediate",$AG179="0-30 days"),20,IF($AG179="1-3 months",10,0))+IF(OR($AC179="Cash",$AD179="Pre-approved",$AD179="Approved"),10,0)+IF(ISNUMBER($V179),10,0)))</x:f>
      </x:c>
      <x:c r="AM179" s="793" t="str">
        <x:f>IF($A179="","",IF($H179="Lost","Lost",IF($H179="Converted","Converted",IF(NOT(ISNUMBER($AL179)),"",IF($AL179&gt;=75,"Hot",IF($AL179&gt;=45,"Warm","Nurture"))))))</x:f>
      </x:c>
      <x:c r="AN179" s="794"/>
      <x:c r="AO179" s="791"/>
      <x:c r="AP179" s="791"/>
      <x:c r="AQ179" s="794"/>
      <x:c r="AR179" s="794"/>
      <x:c r="AS179" s="791"/>
    </x:row>
    <x:row r="180" ht="26" customHeight="1">
      <x:c r="A180" s="317"/>
      <x:c r="B180" s="318"/>
      <x:c r="C180" s="327"/>
      <x:c r="D180" s="235"/>
      <x:c r="E180" s="235"/>
      <x:c r="F180" s="235"/>
      <x:c r="G180" s="235"/>
      <x:c r="H180" s="235"/>
      <x:c r="I180" s="235"/>
      <x:c r="J180" s="235"/>
      <x:c r="K180" s="235"/>
      <x:c r="L180" s="235"/>
      <x:c r="M180" s="376"/>
      <x:c r="N180" s="236"/>
      <x:c r="O180" s="236"/>
      <x:c r="P180" s="235"/>
      <x:c r="Q180" s="238"/>
      <x:c r="R180" s="238"/>
      <x:c r="S180" s="235"/>
      <x:c r="T180" s="315" t="str">
        <x:f>IF(A180="","",IF(OR(AND(C180&lt;&gt;"",COUNTIFS($C$6:$C$205,C180)&gt;1),AND(D180&lt;&gt;"",COUNTIFS($D$6:$D$205,D180)&gt;1)),"Check duplicate",""))</x:f>
      </x:c>
      <x:c r="U180" s="374" t="str">
        <x:f>IF(A180="","",IF(COUNTIFS('Follow-ups'!$B$6:$B$205,A180,'Follow-ups'!$D$6:$D$205,"&gt;0",'Follow-ups'!$D$6:$D$205,"&lt;="&amp;TODAY())=0,"",_xlfn.MAXIFS('Follow-ups'!$D$6:$D$205,'Follow-ups'!$B$6:$B$205,A180,'Follow-ups'!$D$6:$D$205,"&lt;="&amp;TODAY())))</x:f>
      </x:c>
      <x:c r="V180" s="374" t="str">
        <x:f>IF(A180="","",IF(COUNTIFS('Follow-ups'!$B$6:$B$205,A180,'Follow-ups'!$I$6:$I$205,"Open",'Follow-ups'!$H$6:$H$205,"&gt;0")=0,"",_xlfn.MINIFS('Follow-ups'!$H$6:$H$205,'Follow-ups'!$B$6:$B$205,A180,'Follow-ups'!$I$6:$I$205,"Open",'Follow-ups'!$H$6:$H$205,"&gt;0")))</x:f>
      </x:c>
      <x:c r="W180" s="265" t="str">
        <x:f>IF(A180="","",IF(OR(H180="Converted",H180="Lost"),"Closed lead",IF(H180="On Hold","On hold",IF(ISNUMBER(V180),IF(V180&lt;TODAY(),"Overdue",IF(V180=TODAY(),"Due today","Scheduled")),IF(COUNTIFS('Follow-ups'!$B$6:$B$205,A180,'Follow-ups'!$I$6:$I$205,"Open")&gt;0,"Set task due date","No open task")))))</x:f>
      </x:c>
      <x:c r="X180" s="235"/>
      <x:c r="Y180" s="235"/>
      <x:c r="Z180" s="235"/>
      <x:c r="AA180" s="315" t="str">
        <x:f>IF(A180="","",IF(COUNTIFS($A$6:$A$205,A180)&gt;1,"Duplicate ID",IF(B180="","Add name",IF(AND(C180="",D180=""),"Add phone or email",IF(H180="","Set lead stage",IF(NOT(ISNUMBER(R180)),"Add date added",IF(AND(ISNUMBER(N180),ISNUMBER(O180),N180&gt;O180),"Check budget range",IF(AND(H180="Lost",Y180=""),"Add lost reason",""))))))))</x:f>
      </x:c>
      <x:c r="AB180" s="791"/>
      <x:c r="AC180" s="791"/>
      <x:c r="AD180" s="791"/>
      <x:c r="AE180" s="791"/>
      <x:c r="AF180" s="791"/>
      <x:c r="AG180" s="791"/>
      <x:c r="AH180" s="791"/>
      <x:c r="AI180" s="791"/>
      <x:c r="AJ180" s="791"/>
      <x:c r="AK180" s="791"/>
      <x:c r="AL180" s="793" t="str">
        <x:f>IF($A180="","",IF(OR($H180="Lost",$H180="Converted"),"",IF(OR($C180&lt;&gt;"",$D180&lt;&gt;""),10,0)+IF(AND(ISNUMBER($O180),$O180&gt;0),20,0)+IF($AE180="Yes",15,0)+IF($AF180="Yes",15,IF($AF180="Joint",10,0))+IF(OR($AG180="Immediate",$AG180="0-30 days"),20,IF($AG180="1-3 months",10,0))+IF(OR($AC180="Cash",$AD180="Pre-approved",$AD180="Approved"),10,0)+IF(ISNUMBER($V180),10,0)))</x:f>
      </x:c>
      <x:c r="AM180" s="793" t="str">
        <x:f>IF($A180="","",IF($H180="Lost","Lost",IF($H180="Converted","Converted",IF(NOT(ISNUMBER($AL180)),"",IF($AL180&gt;=75,"Hot",IF($AL180&gt;=45,"Warm","Nurture"))))))</x:f>
      </x:c>
      <x:c r="AN180" s="794"/>
      <x:c r="AO180" s="791"/>
      <x:c r="AP180" s="791"/>
      <x:c r="AQ180" s="794"/>
      <x:c r="AR180" s="794"/>
      <x:c r="AS180" s="791"/>
    </x:row>
    <x:row r="181" ht="26" customHeight="1">
      <x:c r="A181" s="319"/>
      <x:c r="B181" s="320"/>
      <x:c r="C181" s="331"/>
      <x:c r="D181" s="274"/>
      <x:c r="E181" s="274"/>
      <x:c r="F181" s="274"/>
      <x:c r="G181" s="274"/>
      <x:c r="H181" s="274"/>
      <x:c r="I181" s="274"/>
      <x:c r="J181" s="274"/>
      <x:c r="K181" s="274"/>
      <x:c r="L181" s="274"/>
      <x:c r="M181" s="377"/>
      <x:c r="N181" s="302"/>
      <x:c r="O181" s="302"/>
      <x:c r="P181" s="274"/>
      <x:c r="Q181" s="304"/>
      <x:c r="R181" s="304"/>
      <x:c r="S181" s="274"/>
      <x:c r="T181" s="315" t="str">
        <x:f>IF(A181="","",IF(OR(AND(C181&lt;&gt;"",COUNTIFS($C$6:$C$205,C181)&gt;1),AND(D181&lt;&gt;"",COUNTIFS($D$6:$D$205,D181)&gt;1)),"Check duplicate",""))</x:f>
      </x:c>
      <x:c r="U181" s="374" t="str">
        <x:f>IF(A181="","",IF(COUNTIFS('Follow-ups'!$B$6:$B$205,A181,'Follow-ups'!$D$6:$D$205,"&gt;0",'Follow-ups'!$D$6:$D$205,"&lt;="&amp;TODAY())=0,"",_xlfn.MAXIFS('Follow-ups'!$D$6:$D$205,'Follow-ups'!$B$6:$B$205,A181,'Follow-ups'!$D$6:$D$205,"&lt;="&amp;TODAY())))</x:f>
      </x:c>
      <x:c r="V181" s="374" t="str">
        <x:f>IF(A181="","",IF(COUNTIFS('Follow-ups'!$B$6:$B$205,A181,'Follow-ups'!$I$6:$I$205,"Open",'Follow-ups'!$H$6:$H$205,"&gt;0")=0,"",_xlfn.MINIFS('Follow-ups'!$H$6:$H$205,'Follow-ups'!$B$6:$B$205,A181,'Follow-ups'!$I$6:$I$205,"Open",'Follow-ups'!$H$6:$H$205,"&gt;0")))</x:f>
      </x:c>
      <x:c r="W181" s="265" t="str">
        <x:f>IF(A181="","",IF(OR(H181="Converted",H181="Lost"),"Closed lead",IF(H181="On Hold","On hold",IF(ISNUMBER(V181),IF(V181&lt;TODAY(),"Overdue",IF(V181=TODAY(),"Due today","Scheduled")),IF(COUNTIFS('Follow-ups'!$B$6:$B$205,A181,'Follow-ups'!$I$6:$I$205,"Open")&gt;0,"Set task due date","No open task")))))</x:f>
      </x:c>
      <x:c r="X181" s="274"/>
      <x:c r="Y181" s="274"/>
      <x:c r="Z181" s="274"/>
      <x:c r="AA181" s="315" t="str">
        <x:f>IF(A181="","",IF(COUNTIFS($A$6:$A$205,A181)&gt;1,"Duplicate ID",IF(B181="","Add name",IF(AND(C181="",D181=""),"Add phone or email",IF(H181="","Set lead stage",IF(NOT(ISNUMBER(R181)),"Add date added",IF(AND(ISNUMBER(N181),ISNUMBER(O181),N181&gt;O181),"Check budget range",IF(AND(H181="Lost",Y181=""),"Add lost reason",""))))))))</x:f>
      </x:c>
      <x:c r="AB181" s="791"/>
      <x:c r="AC181" s="791"/>
      <x:c r="AD181" s="791"/>
      <x:c r="AE181" s="791"/>
      <x:c r="AF181" s="791"/>
      <x:c r="AG181" s="791"/>
      <x:c r="AH181" s="791"/>
      <x:c r="AI181" s="791"/>
      <x:c r="AJ181" s="791"/>
      <x:c r="AK181" s="791"/>
      <x:c r="AL181" s="793" t="str">
        <x:f>IF($A181="","",IF(OR($H181="Lost",$H181="Converted"),"",IF(OR($C181&lt;&gt;"",$D181&lt;&gt;""),10,0)+IF(AND(ISNUMBER($O181),$O181&gt;0),20,0)+IF($AE181="Yes",15,0)+IF($AF181="Yes",15,IF($AF181="Joint",10,0))+IF(OR($AG181="Immediate",$AG181="0-30 days"),20,IF($AG181="1-3 months",10,0))+IF(OR($AC181="Cash",$AD181="Pre-approved",$AD181="Approved"),10,0)+IF(ISNUMBER($V181),10,0)))</x:f>
      </x:c>
      <x:c r="AM181" s="793" t="str">
        <x:f>IF($A181="","",IF($H181="Lost","Lost",IF($H181="Converted","Converted",IF(NOT(ISNUMBER($AL181)),"",IF($AL181&gt;=75,"Hot",IF($AL181&gt;=45,"Warm","Nurture"))))))</x:f>
      </x:c>
      <x:c r="AN181" s="794"/>
      <x:c r="AO181" s="791"/>
      <x:c r="AP181" s="791"/>
      <x:c r="AQ181" s="794"/>
      <x:c r="AR181" s="794"/>
      <x:c r="AS181" s="791"/>
    </x:row>
    <x:row r="182" ht="26" customHeight="1">
      <x:c r="A182" s="317"/>
      <x:c r="B182" s="318"/>
      <x:c r="C182" s="327"/>
      <x:c r="D182" s="235"/>
      <x:c r="E182" s="235"/>
      <x:c r="F182" s="235"/>
      <x:c r="G182" s="235"/>
      <x:c r="H182" s="235"/>
      <x:c r="I182" s="235"/>
      <x:c r="J182" s="235"/>
      <x:c r="K182" s="235"/>
      <x:c r="L182" s="235"/>
      <x:c r="M182" s="376"/>
      <x:c r="N182" s="236"/>
      <x:c r="O182" s="236"/>
      <x:c r="P182" s="235"/>
      <x:c r="Q182" s="238"/>
      <x:c r="R182" s="238"/>
      <x:c r="S182" s="235"/>
      <x:c r="T182" s="315" t="str">
        <x:f>IF(A182="","",IF(OR(AND(C182&lt;&gt;"",COUNTIFS($C$6:$C$205,C182)&gt;1),AND(D182&lt;&gt;"",COUNTIFS($D$6:$D$205,D182)&gt;1)),"Check duplicate",""))</x:f>
      </x:c>
      <x:c r="U182" s="374" t="str">
        <x:f>IF(A182="","",IF(COUNTIFS('Follow-ups'!$B$6:$B$205,A182,'Follow-ups'!$D$6:$D$205,"&gt;0",'Follow-ups'!$D$6:$D$205,"&lt;="&amp;TODAY())=0,"",_xlfn.MAXIFS('Follow-ups'!$D$6:$D$205,'Follow-ups'!$B$6:$B$205,A182,'Follow-ups'!$D$6:$D$205,"&lt;="&amp;TODAY())))</x:f>
      </x:c>
      <x:c r="V182" s="374" t="str">
        <x:f>IF(A182="","",IF(COUNTIFS('Follow-ups'!$B$6:$B$205,A182,'Follow-ups'!$I$6:$I$205,"Open",'Follow-ups'!$H$6:$H$205,"&gt;0")=0,"",_xlfn.MINIFS('Follow-ups'!$H$6:$H$205,'Follow-ups'!$B$6:$B$205,A182,'Follow-ups'!$I$6:$I$205,"Open",'Follow-ups'!$H$6:$H$205,"&gt;0")))</x:f>
      </x:c>
      <x:c r="W182" s="265" t="str">
        <x:f>IF(A182="","",IF(OR(H182="Converted",H182="Lost"),"Closed lead",IF(H182="On Hold","On hold",IF(ISNUMBER(V182),IF(V182&lt;TODAY(),"Overdue",IF(V182=TODAY(),"Due today","Scheduled")),IF(COUNTIFS('Follow-ups'!$B$6:$B$205,A182,'Follow-ups'!$I$6:$I$205,"Open")&gt;0,"Set task due date","No open task")))))</x:f>
      </x:c>
      <x:c r="X182" s="235"/>
      <x:c r="Y182" s="235"/>
      <x:c r="Z182" s="235"/>
      <x:c r="AA182" s="315" t="str">
        <x:f>IF(A182="","",IF(COUNTIFS($A$6:$A$205,A182)&gt;1,"Duplicate ID",IF(B182="","Add name",IF(AND(C182="",D182=""),"Add phone or email",IF(H182="","Set lead stage",IF(NOT(ISNUMBER(R182)),"Add date added",IF(AND(ISNUMBER(N182),ISNUMBER(O182),N182&gt;O182),"Check budget range",IF(AND(H182="Lost",Y182=""),"Add lost reason",""))))))))</x:f>
      </x:c>
      <x:c r="AB182" s="791"/>
      <x:c r="AC182" s="791"/>
      <x:c r="AD182" s="791"/>
      <x:c r="AE182" s="791"/>
      <x:c r="AF182" s="791"/>
      <x:c r="AG182" s="791"/>
      <x:c r="AH182" s="791"/>
      <x:c r="AI182" s="791"/>
      <x:c r="AJ182" s="791"/>
      <x:c r="AK182" s="791"/>
      <x:c r="AL182" s="793" t="str">
        <x:f>IF($A182="","",IF(OR($H182="Lost",$H182="Converted"),"",IF(OR($C182&lt;&gt;"",$D182&lt;&gt;""),10,0)+IF(AND(ISNUMBER($O182),$O182&gt;0),20,0)+IF($AE182="Yes",15,0)+IF($AF182="Yes",15,IF($AF182="Joint",10,0))+IF(OR($AG182="Immediate",$AG182="0-30 days"),20,IF($AG182="1-3 months",10,0))+IF(OR($AC182="Cash",$AD182="Pre-approved",$AD182="Approved"),10,0)+IF(ISNUMBER($V182),10,0)))</x:f>
      </x:c>
      <x:c r="AM182" s="793" t="str">
        <x:f>IF($A182="","",IF($H182="Lost","Lost",IF($H182="Converted","Converted",IF(NOT(ISNUMBER($AL182)),"",IF($AL182&gt;=75,"Hot",IF($AL182&gt;=45,"Warm","Nurture"))))))</x:f>
      </x:c>
      <x:c r="AN182" s="794"/>
      <x:c r="AO182" s="791"/>
      <x:c r="AP182" s="791"/>
      <x:c r="AQ182" s="794"/>
      <x:c r="AR182" s="794"/>
      <x:c r="AS182" s="791"/>
    </x:row>
    <x:row r="183" ht="26" customHeight="1">
      <x:c r="A183" s="319"/>
      <x:c r="B183" s="320"/>
      <x:c r="C183" s="331"/>
      <x:c r="D183" s="274"/>
      <x:c r="E183" s="274"/>
      <x:c r="F183" s="274"/>
      <x:c r="G183" s="274"/>
      <x:c r="H183" s="274"/>
      <x:c r="I183" s="274"/>
      <x:c r="J183" s="274"/>
      <x:c r="K183" s="274"/>
      <x:c r="L183" s="274"/>
      <x:c r="M183" s="377"/>
      <x:c r="N183" s="302"/>
      <x:c r="O183" s="302"/>
      <x:c r="P183" s="274"/>
      <x:c r="Q183" s="304"/>
      <x:c r="R183" s="304"/>
      <x:c r="S183" s="274"/>
      <x:c r="T183" s="315" t="str">
        <x:f>IF(A183="","",IF(OR(AND(C183&lt;&gt;"",COUNTIFS($C$6:$C$205,C183)&gt;1),AND(D183&lt;&gt;"",COUNTIFS($D$6:$D$205,D183)&gt;1)),"Check duplicate",""))</x:f>
      </x:c>
      <x:c r="U183" s="374" t="str">
        <x:f>IF(A183="","",IF(COUNTIFS('Follow-ups'!$B$6:$B$205,A183,'Follow-ups'!$D$6:$D$205,"&gt;0",'Follow-ups'!$D$6:$D$205,"&lt;="&amp;TODAY())=0,"",_xlfn.MAXIFS('Follow-ups'!$D$6:$D$205,'Follow-ups'!$B$6:$B$205,A183,'Follow-ups'!$D$6:$D$205,"&lt;="&amp;TODAY())))</x:f>
      </x:c>
      <x:c r="V183" s="374" t="str">
        <x:f>IF(A183="","",IF(COUNTIFS('Follow-ups'!$B$6:$B$205,A183,'Follow-ups'!$I$6:$I$205,"Open",'Follow-ups'!$H$6:$H$205,"&gt;0")=0,"",_xlfn.MINIFS('Follow-ups'!$H$6:$H$205,'Follow-ups'!$B$6:$B$205,A183,'Follow-ups'!$I$6:$I$205,"Open",'Follow-ups'!$H$6:$H$205,"&gt;0")))</x:f>
      </x:c>
      <x:c r="W183" s="265" t="str">
        <x:f>IF(A183="","",IF(OR(H183="Converted",H183="Lost"),"Closed lead",IF(H183="On Hold","On hold",IF(ISNUMBER(V183),IF(V183&lt;TODAY(),"Overdue",IF(V183=TODAY(),"Due today","Scheduled")),IF(COUNTIFS('Follow-ups'!$B$6:$B$205,A183,'Follow-ups'!$I$6:$I$205,"Open")&gt;0,"Set task due date","No open task")))))</x:f>
      </x:c>
      <x:c r="X183" s="274"/>
      <x:c r="Y183" s="274"/>
      <x:c r="Z183" s="274"/>
      <x:c r="AA183" s="315" t="str">
        <x:f>IF(A183="","",IF(COUNTIFS($A$6:$A$205,A183)&gt;1,"Duplicate ID",IF(B183="","Add name",IF(AND(C183="",D183=""),"Add phone or email",IF(H183="","Set lead stage",IF(NOT(ISNUMBER(R183)),"Add date added",IF(AND(ISNUMBER(N183),ISNUMBER(O183),N183&gt;O183),"Check budget range",IF(AND(H183="Lost",Y183=""),"Add lost reason",""))))))))</x:f>
      </x:c>
      <x:c r="AB183" s="791"/>
      <x:c r="AC183" s="791"/>
      <x:c r="AD183" s="791"/>
      <x:c r="AE183" s="791"/>
      <x:c r="AF183" s="791"/>
      <x:c r="AG183" s="791"/>
      <x:c r="AH183" s="791"/>
      <x:c r="AI183" s="791"/>
      <x:c r="AJ183" s="791"/>
      <x:c r="AK183" s="791"/>
      <x:c r="AL183" s="793" t="str">
        <x:f>IF($A183="","",IF(OR($H183="Lost",$H183="Converted"),"",IF(OR($C183&lt;&gt;"",$D183&lt;&gt;""),10,0)+IF(AND(ISNUMBER($O183),$O183&gt;0),20,0)+IF($AE183="Yes",15,0)+IF($AF183="Yes",15,IF($AF183="Joint",10,0))+IF(OR($AG183="Immediate",$AG183="0-30 days"),20,IF($AG183="1-3 months",10,0))+IF(OR($AC183="Cash",$AD183="Pre-approved",$AD183="Approved"),10,0)+IF(ISNUMBER($V183),10,0)))</x:f>
      </x:c>
      <x:c r="AM183" s="793" t="str">
        <x:f>IF($A183="","",IF($H183="Lost","Lost",IF($H183="Converted","Converted",IF(NOT(ISNUMBER($AL183)),"",IF($AL183&gt;=75,"Hot",IF($AL183&gt;=45,"Warm","Nurture"))))))</x:f>
      </x:c>
      <x:c r="AN183" s="794"/>
      <x:c r="AO183" s="791"/>
      <x:c r="AP183" s="791"/>
      <x:c r="AQ183" s="794"/>
      <x:c r="AR183" s="794"/>
      <x:c r="AS183" s="791"/>
    </x:row>
    <x:row r="184" ht="26" customHeight="1">
      <x:c r="A184" s="317"/>
      <x:c r="B184" s="318"/>
      <x:c r="C184" s="327"/>
      <x:c r="D184" s="235"/>
      <x:c r="E184" s="235"/>
      <x:c r="F184" s="235"/>
      <x:c r="G184" s="235"/>
      <x:c r="H184" s="235"/>
      <x:c r="I184" s="235"/>
      <x:c r="J184" s="235"/>
      <x:c r="K184" s="235"/>
      <x:c r="L184" s="235"/>
      <x:c r="M184" s="376"/>
      <x:c r="N184" s="236"/>
      <x:c r="O184" s="236"/>
      <x:c r="P184" s="235"/>
      <x:c r="Q184" s="238"/>
      <x:c r="R184" s="238"/>
      <x:c r="S184" s="235"/>
      <x:c r="T184" s="315" t="str">
        <x:f>IF(A184="","",IF(OR(AND(C184&lt;&gt;"",COUNTIFS($C$6:$C$205,C184)&gt;1),AND(D184&lt;&gt;"",COUNTIFS($D$6:$D$205,D184)&gt;1)),"Check duplicate",""))</x:f>
      </x:c>
      <x:c r="U184" s="374" t="str">
        <x:f>IF(A184="","",IF(COUNTIFS('Follow-ups'!$B$6:$B$205,A184,'Follow-ups'!$D$6:$D$205,"&gt;0",'Follow-ups'!$D$6:$D$205,"&lt;="&amp;TODAY())=0,"",_xlfn.MAXIFS('Follow-ups'!$D$6:$D$205,'Follow-ups'!$B$6:$B$205,A184,'Follow-ups'!$D$6:$D$205,"&lt;="&amp;TODAY())))</x:f>
      </x:c>
      <x:c r="V184" s="374" t="str">
        <x:f>IF(A184="","",IF(COUNTIFS('Follow-ups'!$B$6:$B$205,A184,'Follow-ups'!$I$6:$I$205,"Open",'Follow-ups'!$H$6:$H$205,"&gt;0")=0,"",_xlfn.MINIFS('Follow-ups'!$H$6:$H$205,'Follow-ups'!$B$6:$B$205,A184,'Follow-ups'!$I$6:$I$205,"Open",'Follow-ups'!$H$6:$H$205,"&gt;0")))</x:f>
      </x:c>
      <x:c r="W184" s="265" t="str">
        <x:f>IF(A184="","",IF(OR(H184="Converted",H184="Lost"),"Closed lead",IF(H184="On Hold","On hold",IF(ISNUMBER(V184),IF(V184&lt;TODAY(),"Overdue",IF(V184=TODAY(),"Due today","Scheduled")),IF(COUNTIFS('Follow-ups'!$B$6:$B$205,A184,'Follow-ups'!$I$6:$I$205,"Open")&gt;0,"Set task due date","No open task")))))</x:f>
      </x:c>
      <x:c r="X184" s="235"/>
      <x:c r="Y184" s="235"/>
      <x:c r="Z184" s="235"/>
      <x:c r="AA184" s="315" t="str">
        <x:f>IF(A184="","",IF(COUNTIFS($A$6:$A$205,A184)&gt;1,"Duplicate ID",IF(B184="","Add name",IF(AND(C184="",D184=""),"Add phone or email",IF(H184="","Set lead stage",IF(NOT(ISNUMBER(R184)),"Add date added",IF(AND(ISNUMBER(N184),ISNUMBER(O184),N184&gt;O184),"Check budget range",IF(AND(H184="Lost",Y184=""),"Add lost reason",""))))))))</x:f>
      </x:c>
      <x:c r="AB184" s="791"/>
      <x:c r="AC184" s="791"/>
      <x:c r="AD184" s="791"/>
      <x:c r="AE184" s="791"/>
      <x:c r="AF184" s="791"/>
      <x:c r="AG184" s="791"/>
      <x:c r="AH184" s="791"/>
      <x:c r="AI184" s="791"/>
      <x:c r="AJ184" s="791"/>
      <x:c r="AK184" s="791"/>
      <x:c r="AL184" s="793" t="str">
        <x:f>IF($A184="","",IF(OR($H184="Lost",$H184="Converted"),"",IF(OR($C184&lt;&gt;"",$D184&lt;&gt;""),10,0)+IF(AND(ISNUMBER($O184),$O184&gt;0),20,0)+IF($AE184="Yes",15,0)+IF($AF184="Yes",15,IF($AF184="Joint",10,0))+IF(OR($AG184="Immediate",$AG184="0-30 days"),20,IF($AG184="1-3 months",10,0))+IF(OR($AC184="Cash",$AD184="Pre-approved",$AD184="Approved"),10,0)+IF(ISNUMBER($V184),10,0)))</x:f>
      </x:c>
      <x:c r="AM184" s="793" t="str">
        <x:f>IF($A184="","",IF($H184="Lost","Lost",IF($H184="Converted","Converted",IF(NOT(ISNUMBER($AL184)),"",IF($AL184&gt;=75,"Hot",IF($AL184&gt;=45,"Warm","Nurture"))))))</x:f>
      </x:c>
      <x:c r="AN184" s="794"/>
      <x:c r="AO184" s="791"/>
      <x:c r="AP184" s="791"/>
      <x:c r="AQ184" s="794"/>
      <x:c r="AR184" s="794"/>
      <x:c r="AS184" s="791"/>
    </x:row>
    <x:row r="185" ht="26" customHeight="1">
      <x:c r="A185" s="319"/>
      <x:c r="B185" s="320"/>
      <x:c r="C185" s="331"/>
      <x:c r="D185" s="274"/>
      <x:c r="E185" s="274"/>
      <x:c r="F185" s="274"/>
      <x:c r="G185" s="274"/>
      <x:c r="H185" s="274"/>
      <x:c r="I185" s="274"/>
      <x:c r="J185" s="274"/>
      <x:c r="K185" s="274"/>
      <x:c r="L185" s="274"/>
      <x:c r="M185" s="377"/>
      <x:c r="N185" s="302"/>
      <x:c r="O185" s="302"/>
      <x:c r="P185" s="274"/>
      <x:c r="Q185" s="304"/>
      <x:c r="R185" s="304"/>
      <x:c r="S185" s="274"/>
      <x:c r="T185" s="315" t="str">
        <x:f>IF(A185="","",IF(OR(AND(C185&lt;&gt;"",COUNTIFS($C$6:$C$205,C185)&gt;1),AND(D185&lt;&gt;"",COUNTIFS($D$6:$D$205,D185)&gt;1)),"Check duplicate",""))</x:f>
      </x:c>
      <x:c r="U185" s="374" t="str">
        <x:f>IF(A185="","",IF(COUNTIFS('Follow-ups'!$B$6:$B$205,A185,'Follow-ups'!$D$6:$D$205,"&gt;0",'Follow-ups'!$D$6:$D$205,"&lt;="&amp;TODAY())=0,"",_xlfn.MAXIFS('Follow-ups'!$D$6:$D$205,'Follow-ups'!$B$6:$B$205,A185,'Follow-ups'!$D$6:$D$205,"&lt;="&amp;TODAY())))</x:f>
      </x:c>
      <x:c r="V185" s="374" t="str">
        <x:f>IF(A185="","",IF(COUNTIFS('Follow-ups'!$B$6:$B$205,A185,'Follow-ups'!$I$6:$I$205,"Open",'Follow-ups'!$H$6:$H$205,"&gt;0")=0,"",_xlfn.MINIFS('Follow-ups'!$H$6:$H$205,'Follow-ups'!$B$6:$B$205,A185,'Follow-ups'!$I$6:$I$205,"Open",'Follow-ups'!$H$6:$H$205,"&gt;0")))</x:f>
      </x:c>
      <x:c r="W185" s="265" t="str">
        <x:f>IF(A185="","",IF(OR(H185="Converted",H185="Lost"),"Closed lead",IF(H185="On Hold","On hold",IF(ISNUMBER(V185),IF(V185&lt;TODAY(),"Overdue",IF(V185=TODAY(),"Due today","Scheduled")),IF(COUNTIFS('Follow-ups'!$B$6:$B$205,A185,'Follow-ups'!$I$6:$I$205,"Open")&gt;0,"Set task due date","No open task")))))</x:f>
      </x:c>
      <x:c r="X185" s="274"/>
      <x:c r="Y185" s="274"/>
      <x:c r="Z185" s="274"/>
      <x:c r="AA185" s="315" t="str">
        <x:f>IF(A185="","",IF(COUNTIFS($A$6:$A$205,A185)&gt;1,"Duplicate ID",IF(B185="","Add name",IF(AND(C185="",D185=""),"Add phone or email",IF(H185="","Set lead stage",IF(NOT(ISNUMBER(R185)),"Add date added",IF(AND(ISNUMBER(N185),ISNUMBER(O185),N185&gt;O185),"Check budget range",IF(AND(H185="Lost",Y185=""),"Add lost reason",""))))))))</x:f>
      </x:c>
      <x:c r="AB185" s="791"/>
      <x:c r="AC185" s="791"/>
      <x:c r="AD185" s="791"/>
      <x:c r="AE185" s="791"/>
      <x:c r="AF185" s="791"/>
      <x:c r="AG185" s="791"/>
      <x:c r="AH185" s="791"/>
      <x:c r="AI185" s="791"/>
      <x:c r="AJ185" s="791"/>
      <x:c r="AK185" s="791"/>
      <x:c r="AL185" s="793" t="str">
        <x:f>IF($A185="","",IF(OR($H185="Lost",$H185="Converted"),"",IF(OR($C185&lt;&gt;"",$D185&lt;&gt;""),10,0)+IF(AND(ISNUMBER($O185),$O185&gt;0),20,0)+IF($AE185="Yes",15,0)+IF($AF185="Yes",15,IF($AF185="Joint",10,0))+IF(OR($AG185="Immediate",$AG185="0-30 days"),20,IF($AG185="1-3 months",10,0))+IF(OR($AC185="Cash",$AD185="Pre-approved",$AD185="Approved"),10,0)+IF(ISNUMBER($V185),10,0)))</x:f>
      </x:c>
      <x:c r="AM185" s="793" t="str">
        <x:f>IF($A185="","",IF($H185="Lost","Lost",IF($H185="Converted","Converted",IF(NOT(ISNUMBER($AL185)),"",IF($AL185&gt;=75,"Hot",IF($AL185&gt;=45,"Warm","Nurture"))))))</x:f>
      </x:c>
      <x:c r="AN185" s="794"/>
      <x:c r="AO185" s="791"/>
      <x:c r="AP185" s="791"/>
      <x:c r="AQ185" s="794"/>
      <x:c r="AR185" s="794"/>
      <x:c r="AS185" s="791"/>
    </x:row>
    <x:row r="186" ht="26" customHeight="1">
      <x:c r="A186" s="317"/>
      <x:c r="B186" s="318"/>
      <x:c r="C186" s="327"/>
      <x:c r="D186" s="235"/>
      <x:c r="E186" s="235"/>
      <x:c r="F186" s="235"/>
      <x:c r="G186" s="235"/>
      <x:c r="H186" s="235"/>
      <x:c r="I186" s="235"/>
      <x:c r="J186" s="235"/>
      <x:c r="K186" s="235"/>
      <x:c r="L186" s="235"/>
      <x:c r="M186" s="376"/>
      <x:c r="N186" s="236"/>
      <x:c r="O186" s="236"/>
      <x:c r="P186" s="235"/>
      <x:c r="Q186" s="238"/>
      <x:c r="R186" s="238"/>
      <x:c r="S186" s="235"/>
      <x:c r="T186" s="315" t="str">
        <x:f>IF(A186="","",IF(OR(AND(C186&lt;&gt;"",COUNTIFS($C$6:$C$205,C186)&gt;1),AND(D186&lt;&gt;"",COUNTIFS($D$6:$D$205,D186)&gt;1)),"Check duplicate",""))</x:f>
      </x:c>
      <x:c r="U186" s="374" t="str">
        <x:f>IF(A186="","",IF(COUNTIFS('Follow-ups'!$B$6:$B$205,A186,'Follow-ups'!$D$6:$D$205,"&gt;0",'Follow-ups'!$D$6:$D$205,"&lt;="&amp;TODAY())=0,"",_xlfn.MAXIFS('Follow-ups'!$D$6:$D$205,'Follow-ups'!$B$6:$B$205,A186,'Follow-ups'!$D$6:$D$205,"&lt;="&amp;TODAY())))</x:f>
      </x:c>
      <x:c r="V186" s="374" t="str">
        <x:f>IF(A186="","",IF(COUNTIFS('Follow-ups'!$B$6:$B$205,A186,'Follow-ups'!$I$6:$I$205,"Open",'Follow-ups'!$H$6:$H$205,"&gt;0")=0,"",_xlfn.MINIFS('Follow-ups'!$H$6:$H$205,'Follow-ups'!$B$6:$B$205,A186,'Follow-ups'!$I$6:$I$205,"Open",'Follow-ups'!$H$6:$H$205,"&gt;0")))</x:f>
      </x:c>
      <x:c r="W186" s="265" t="str">
        <x:f>IF(A186="","",IF(OR(H186="Converted",H186="Lost"),"Closed lead",IF(H186="On Hold","On hold",IF(ISNUMBER(V186),IF(V186&lt;TODAY(),"Overdue",IF(V186=TODAY(),"Due today","Scheduled")),IF(COUNTIFS('Follow-ups'!$B$6:$B$205,A186,'Follow-ups'!$I$6:$I$205,"Open")&gt;0,"Set task due date","No open task")))))</x:f>
      </x:c>
      <x:c r="X186" s="235"/>
      <x:c r="Y186" s="235"/>
      <x:c r="Z186" s="235"/>
      <x:c r="AA186" s="315" t="str">
        <x:f>IF(A186="","",IF(COUNTIFS($A$6:$A$205,A186)&gt;1,"Duplicate ID",IF(B186="","Add name",IF(AND(C186="",D186=""),"Add phone or email",IF(H186="","Set lead stage",IF(NOT(ISNUMBER(R186)),"Add date added",IF(AND(ISNUMBER(N186),ISNUMBER(O186),N186&gt;O186),"Check budget range",IF(AND(H186="Lost",Y186=""),"Add lost reason",""))))))))</x:f>
      </x:c>
      <x:c r="AB186" s="791"/>
      <x:c r="AC186" s="791"/>
      <x:c r="AD186" s="791"/>
      <x:c r="AE186" s="791"/>
      <x:c r="AF186" s="791"/>
      <x:c r="AG186" s="791"/>
      <x:c r="AH186" s="791"/>
      <x:c r="AI186" s="791"/>
      <x:c r="AJ186" s="791"/>
      <x:c r="AK186" s="791"/>
      <x:c r="AL186" s="793" t="str">
        <x:f>IF($A186="","",IF(OR($H186="Lost",$H186="Converted"),"",IF(OR($C186&lt;&gt;"",$D186&lt;&gt;""),10,0)+IF(AND(ISNUMBER($O186),$O186&gt;0),20,0)+IF($AE186="Yes",15,0)+IF($AF186="Yes",15,IF($AF186="Joint",10,0))+IF(OR($AG186="Immediate",$AG186="0-30 days"),20,IF($AG186="1-3 months",10,0))+IF(OR($AC186="Cash",$AD186="Pre-approved",$AD186="Approved"),10,0)+IF(ISNUMBER($V186),10,0)))</x:f>
      </x:c>
      <x:c r="AM186" s="793" t="str">
        <x:f>IF($A186="","",IF($H186="Lost","Lost",IF($H186="Converted","Converted",IF(NOT(ISNUMBER($AL186)),"",IF($AL186&gt;=75,"Hot",IF($AL186&gt;=45,"Warm","Nurture"))))))</x:f>
      </x:c>
      <x:c r="AN186" s="794"/>
      <x:c r="AO186" s="791"/>
      <x:c r="AP186" s="791"/>
      <x:c r="AQ186" s="794"/>
      <x:c r="AR186" s="794"/>
      <x:c r="AS186" s="791"/>
    </x:row>
    <x:row r="187" ht="26" customHeight="1">
      <x:c r="A187" s="319"/>
      <x:c r="B187" s="320"/>
      <x:c r="C187" s="331"/>
      <x:c r="D187" s="274"/>
      <x:c r="E187" s="274"/>
      <x:c r="F187" s="274"/>
      <x:c r="G187" s="274"/>
      <x:c r="H187" s="274"/>
      <x:c r="I187" s="274"/>
      <x:c r="J187" s="274"/>
      <x:c r="K187" s="274"/>
      <x:c r="L187" s="274"/>
      <x:c r="M187" s="377"/>
      <x:c r="N187" s="302"/>
      <x:c r="O187" s="302"/>
      <x:c r="P187" s="274"/>
      <x:c r="Q187" s="304"/>
      <x:c r="R187" s="304"/>
      <x:c r="S187" s="274"/>
      <x:c r="T187" s="315" t="str">
        <x:f>IF(A187="","",IF(OR(AND(C187&lt;&gt;"",COUNTIFS($C$6:$C$205,C187)&gt;1),AND(D187&lt;&gt;"",COUNTIFS($D$6:$D$205,D187)&gt;1)),"Check duplicate",""))</x:f>
      </x:c>
      <x:c r="U187" s="374" t="str">
        <x:f>IF(A187="","",IF(COUNTIFS('Follow-ups'!$B$6:$B$205,A187,'Follow-ups'!$D$6:$D$205,"&gt;0",'Follow-ups'!$D$6:$D$205,"&lt;="&amp;TODAY())=0,"",_xlfn.MAXIFS('Follow-ups'!$D$6:$D$205,'Follow-ups'!$B$6:$B$205,A187,'Follow-ups'!$D$6:$D$205,"&lt;="&amp;TODAY())))</x:f>
      </x:c>
      <x:c r="V187" s="374" t="str">
        <x:f>IF(A187="","",IF(COUNTIFS('Follow-ups'!$B$6:$B$205,A187,'Follow-ups'!$I$6:$I$205,"Open",'Follow-ups'!$H$6:$H$205,"&gt;0")=0,"",_xlfn.MINIFS('Follow-ups'!$H$6:$H$205,'Follow-ups'!$B$6:$B$205,A187,'Follow-ups'!$I$6:$I$205,"Open",'Follow-ups'!$H$6:$H$205,"&gt;0")))</x:f>
      </x:c>
      <x:c r="W187" s="265" t="str">
        <x:f>IF(A187="","",IF(OR(H187="Converted",H187="Lost"),"Closed lead",IF(H187="On Hold","On hold",IF(ISNUMBER(V187),IF(V187&lt;TODAY(),"Overdue",IF(V187=TODAY(),"Due today","Scheduled")),IF(COUNTIFS('Follow-ups'!$B$6:$B$205,A187,'Follow-ups'!$I$6:$I$205,"Open")&gt;0,"Set task due date","No open task")))))</x:f>
      </x:c>
      <x:c r="X187" s="274"/>
      <x:c r="Y187" s="274"/>
      <x:c r="Z187" s="274"/>
      <x:c r="AA187" s="315" t="str">
        <x:f>IF(A187="","",IF(COUNTIFS($A$6:$A$205,A187)&gt;1,"Duplicate ID",IF(B187="","Add name",IF(AND(C187="",D187=""),"Add phone or email",IF(H187="","Set lead stage",IF(NOT(ISNUMBER(R187)),"Add date added",IF(AND(ISNUMBER(N187),ISNUMBER(O187),N187&gt;O187),"Check budget range",IF(AND(H187="Lost",Y187=""),"Add lost reason",""))))))))</x:f>
      </x:c>
      <x:c r="AB187" s="791"/>
      <x:c r="AC187" s="791"/>
      <x:c r="AD187" s="791"/>
      <x:c r="AE187" s="791"/>
      <x:c r="AF187" s="791"/>
      <x:c r="AG187" s="791"/>
      <x:c r="AH187" s="791"/>
      <x:c r="AI187" s="791"/>
      <x:c r="AJ187" s="791"/>
      <x:c r="AK187" s="791"/>
      <x:c r="AL187" s="793" t="str">
        <x:f>IF($A187="","",IF(OR($H187="Lost",$H187="Converted"),"",IF(OR($C187&lt;&gt;"",$D187&lt;&gt;""),10,0)+IF(AND(ISNUMBER($O187),$O187&gt;0),20,0)+IF($AE187="Yes",15,0)+IF($AF187="Yes",15,IF($AF187="Joint",10,0))+IF(OR($AG187="Immediate",$AG187="0-30 days"),20,IF($AG187="1-3 months",10,0))+IF(OR($AC187="Cash",$AD187="Pre-approved",$AD187="Approved"),10,0)+IF(ISNUMBER($V187),10,0)))</x:f>
      </x:c>
      <x:c r="AM187" s="793" t="str">
        <x:f>IF($A187="","",IF($H187="Lost","Lost",IF($H187="Converted","Converted",IF(NOT(ISNUMBER($AL187)),"",IF($AL187&gt;=75,"Hot",IF($AL187&gt;=45,"Warm","Nurture"))))))</x:f>
      </x:c>
      <x:c r="AN187" s="794"/>
      <x:c r="AO187" s="791"/>
      <x:c r="AP187" s="791"/>
      <x:c r="AQ187" s="794"/>
      <x:c r="AR187" s="794"/>
      <x:c r="AS187" s="791"/>
    </x:row>
    <x:row r="188" ht="26" customHeight="1">
      <x:c r="A188" s="317"/>
      <x:c r="B188" s="318"/>
      <x:c r="C188" s="327"/>
      <x:c r="D188" s="235"/>
      <x:c r="E188" s="235"/>
      <x:c r="F188" s="235"/>
      <x:c r="G188" s="235"/>
      <x:c r="H188" s="235"/>
      <x:c r="I188" s="235"/>
      <x:c r="J188" s="235"/>
      <x:c r="K188" s="235"/>
      <x:c r="L188" s="235"/>
      <x:c r="M188" s="376"/>
      <x:c r="N188" s="236"/>
      <x:c r="O188" s="236"/>
      <x:c r="P188" s="235"/>
      <x:c r="Q188" s="238"/>
      <x:c r="R188" s="238"/>
      <x:c r="S188" s="235"/>
      <x:c r="T188" s="315" t="str">
        <x:f>IF(A188="","",IF(OR(AND(C188&lt;&gt;"",COUNTIFS($C$6:$C$205,C188)&gt;1),AND(D188&lt;&gt;"",COUNTIFS($D$6:$D$205,D188)&gt;1)),"Check duplicate",""))</x:f>
      </x:c>
      <x:c r="U188" s="374" t="str">
        <x:f>IF(A188="","",IF(COUNTIFS('Follow-ups'!$B$6:$B$205,A188,'Follow-ups'!$D$6:$D$205,"&gt;0",'Follow-ups'!$D$6:$D$205,"&lt;="&amp;TODAY())=0,"",_xlfn.MAXIFS('Follow-ups'!$D$6:$D$205,'Follow-ups'!$B$6:$B$205,A188,'Follow-ups'!$D$6:$D$205,"&lt;="&amp;TODAY())))</x:f>
      </x:c>
      <x:c r="V188" s="374" t="str">
        <x:f>IF(A188="","",IF(COUNTIFS('Follow-ups'!$B$6:$B$205,A188,'Follow-ups'!$I$6:$I$205,"Open",'Follow-ups'!$H$6:$H$205,"&gt;0")=0,"",_xlfn.MINIFS('Follow-ups'!$H$6:$H$205,'Follow-ups'!$B$6:$B$205,A188,'Follow-ups'!$I$6:$I$205,"Open",'Follow-ups'!$H$6:$H$205,"&gt;0")))</x:f>
      </x:c>
      <x:c r="W188" s="265" t="str">
        <x:f>IF(A188="","",IF(OR(H188="Converted",H188="Lost"),"Closed lead",IF(H188="On Hold","On hold",IF(ISNUMBER(V188),IF(V188&lt;TODAY(),"Overdue",IF(V188=TODAY(),"Due today","Scheduled")),IF(COUNTIFS('Follow-ups'!$B$6:$B$205,A188,'Follow-ups'!$I$6:$I$205,"Open")&gt;0,"Set task due date","No open task")))))</x:f>
      </x:c>
      <x:c r="X188" s="235"/>
      <x:c r="Y188" s="235"/>
      <x:c r="Z188" s="235"/>
      <x:c r="AA188" s="315" t="str">
        <x:f>IF(A188="","",IF(COUNTIFS($A$6:$A$205,A188)&gt;1,"Duplicate ID",IF(B188="","Add name",IF(AND(C188="",D188=""),"Add phone or email",IF(H188="","Set lead stage",IF(NOT(ISNUMBER(R188)),"Add date added",IF(AND(ISNUMBER(N188),ISNUMBER(O188),N188&gt;O188),"Check budget range",IF(AND(H188="Lost",Y188=""),"Add lost reason",""))))))))</x:f>
      </x:c>
      <x:c r="AB188" s="791"/>
      <x:c r="AC188" s="791"/>
      <x:c r="AD188" s="791"/>
      <x:c r="AE188" s="791"/>
      <x:c r="AF188" s="791"/>
      <x:c r="AG188" s="791"/>
      <x:c r="AH188" s="791"/>
      <x:c r="AI188" s="791"/>
      <x:c r="AJ188" s="791"/>
      <x:c r="AK188" s="791"/>
      <x:c r="AL188" s="793" t="str">
        <x:f>IF($A188="","",IF(OR($H188="Lost",$H188="Converted"),"",IF(OR($C188&lt;&gt;"",$D188&lt;&gt;""),10,0)+IF(AND(ISNUMBER($O188),$O188&gt;0),20,0)+IF($AE188="Yes",15,0)+IF($AF188="Yes",15,IF($AF188="Joint",10,0))+IF(OR($AG188="Immediate",$AG188="0-30 days"),20,IF($AG188="1-3 months",10,0))+IF(OR($AC188="Cash",$AD188="Pre-approved",$AD188="Approved"),10,0)+IF(ISNUMBER($V188),10,0)))</x:f>
      </x:c>
      <x:c r="AM188" s="793" t="str">
        <x:f>IF($A188="","",IF($H188="Lost","Lost",IF($H188="Converted","Converted",IF(NOT(ISNUMBER($AL188)),"",IF($AL188&gt;=75,"Hot",IF($AL188&gt;=45,"Warm","Nurture"))))))</x:f>
      </x:c>
      <x:c r="AN188" s="794"/>
      <x:c r="AO188" s="791"/>
      <x:c r="AP188" s="791"/>
      <x:c r="AQ188" s="794"/>
      <x:c r="AR188" s="794"/>
      <x:c r="AS188" s="791"/>
    </x:row>
    <x:row r="189" ht="26" customHeight="1">
      <x:c r="A189" s="319"/>
      <x:c r="B189" s="320"/>
      <x:c r="C189" s="331"/>
      <x:c r="D189" s="274"/>
      <x:c r="E189" s="274"/>
      <x:c r="F189" s="274"/>
      <x:c r="G189" s="274"/>
      <x:c r="H189" s="274"/>
      <x:c r="I189" s="274"/>
      <x:c r="J189" s="274"/>
      <x:c r="K189" s="274"/>
      <x:c r="L189" s="274"/>
      <x:c r="M189" s="377"/>
      <x:c r="N189" s="302"/>
      <x:c r="O189" s="302"/>
      <x:c r="P189" s="274"/>
      <x:c r="Q189" s="304"/>
      <x:c r="R189" s="304"/>
      <x:c r="S189" s="274"/>
      <x:c r="T189" s="315" t="str">
        <x:f>IF(A189="","",IF(OR(AND(C189&lt;&gt;"",COUNTIFS($C$6:$C$205,C189)&gt;1),AND(D189&lt;&gt;"",COUNTIFS($D$6:$D$205,D189)&gt;1)),"Check duplicate",""))</x:f>
      </x:c>
      <x:c r="U189" s="374" t="str">
        <x:f>IF(A189="","",IF(COUNTIFS('Follow-ups'!$B$6:$B$205,A189,'Follow-ups'!$D$6:$D$205,"&gt;0",'Follow-ups'!$D$6:$D$205,"&lt;="&amp;TODAY())=0,"",_xlfn.MAXIFS('Follow-ups'!$D$6:$D$205,'Follow-ups'!$B$6:$B$205,A189,'Follow-ups'!$D$6:$D$205,"&lt;="&amp;TODAY())))</x:f>
      </x:c>
      <x:c r="V189" s="374" t="str">
        <x:f>IF(A189="","",IF(COUNTIFS('Follow-ups'!$B$6:$B$205,A189,'Follow-ups'!$I$6:$I$205,"Open",'Follow-ups'!$H$6:$H$205,"&gt;0")=0,"",_xlfn.MINIFS('Follow-ups'!$H$6:$H$205,'Follow-ups'!$B$6:$B$205,A189,'Follow-ups'!$I$6:$I$205,"Open",'Follow-ups'!$H$6:$H$205,"&gt;0")))</x:f>
      </x:c>
      <x:c r="W189" s="265" t="str">
        <x:f>IF(A189="","",IF(OR(H189="Converted",H189="Lost"),"Closed lead",IF(H189="On Hold","On hold",IF(ISNUMBER(V189),IF(V189&lt;TODAY(),"Overdue",IF(V189=TODAY(),"Due today","Scheduled")),IF(COUNTIFS('Follow-ups'!$B$6:$B$205,A189,'Follow-ups'!$I$6:$I$205,"Open")&gt;0,"Set task due date","No open task")))))</x:f>
      </x:c>
      <x:c r="X189" s="274"/>
      <x:c r="Y189" s="274"/>
      <x:c r="Z189" s="274"/>
      <x:c r="AA189" s="315" t="str">
        <x:f>IF(A189="","",IF(COUNTIFS($A$6:$A$205,A189)&gt;1,"Duplicate ID",IF(B189="","Add name",IF(AND(C189="",D189=""),"Add phone or email",IF(H189="","Set lead stage",IF(NOT(ISNUMBER(R189)),"Add date added",IF(AND(ISNUMBER(N189),ISNUMBER(O189),N189&gt;O189),"Check budget range",IF(AND(H189="Lost",Y189=""),"Add lost reason",""))))))))</x:f>
      </x:c>
      <x:c r="AB189" s="791"/>
      <x:c r="AC189" s="791"/>
      <x:c r="AD189" s="791"/>
      <x:c r="AE189" s="791"/>
      <x:c r="AF189" s="791"/>
      <x:c r="AG189" s="791"/>
      <x:c r="AH189" s="791"/>
      <x:c r="AI189" s="791"/>
      <x:c r="AJ189" s="791"/>
      <x:c r="AK189" s="791"/>
      <x:c r="AL189" s="793" t="str">
        <x:f>IF($A189="","",IF(OR($H189="Lost",$H189="Converted"),"",IF(OR($C189&lt;&gt;"",$D189&lt;&gt;""),10,0)+IF(AND(ISNUMBER($O189),$O189&gt;0),20,0)+IF($AE189="Yes",15,0)+IF($AF189="Yes",15,IF($AF189="Joint",10,0))+IF(OR($AG189="Immediate",$AG189="0-30 days"),20,IF($AG189="1-3 months",10,0))+IF(OR($AC189="Cash",$AD189="Pre-approved",$AD189="Approved"),10,0)+IF(ISNUMBER($V189),10,0)))</x:f>
      </x:c>
      <x:c r="AM189" s="793" t="str">
        <x:f>IF($A189="","",IF($H189="Lost","Lost",IF($H189="Converted","Converted",IF(NOT(ISNUMBER($AL189)),"",IF($AL189&gt;=75,"Hot",IF($AL189&gt;=45,"Warm","Nurture"))))))</x:f>
      </x:c>
      <x:c r="AN189" s="794"/>
      <x:c r="AO189" s="791"/>
      <x:c r="AP189" s="791"/>
      <x:c r="AQ189" s="794"/>
      <x:c r="AR189" s="794"/>
      <x:c r="AS189" s="791"/>
    </x:row>
    <x:row r="190" ht="26" customHeight="1">
      <x:c r="A190" s="317"/>
      <x:c r="B190" s="318"/>
      <x:c r="C190" s="327"/>
      <x:c r="D190" s="235"/>
      <x:c r="E190" s="235"/>
      <x:c r="F190" s="235"/>
      <x:c r="G190" s="235"/>
      <x:c r="H190" s="235"/>
      <x:c r="I190" s="235"/>
      <x:c r="J190" s="235"/>
      <x:c r="K190" s="235"/>
      <x:c r="L190" s="235"/>
      <x:c r="M190" s="376"/>
      <x:c r="N190" s="236"/>
      <x:c r="O190" s="236"/>
      <x:c r="P190" s="235"/>
      <x:c r="Q190" s="238"/>
      <x:c r="R190" s="238"/>
      <x:c r="S190" s="235"/>
      <x:c r="T190" s="315" t="str">
        <x:f>IF(A190="","",IF(OR(AND(C190&lt;&gt;"",COUNTIFS($C$6:$C$205,C190)&gt;1),AND(D190&lt;&gt;"",COUNTIFS($D$6:$D$205,D190)&gt;1)),"Check duplicate",""))</x:f>
      </x:c>
      <x:c r="U190" s="374" t="str">
        <x:f>IF(A190="","",IF(COUNTIFS('Follow-ups'!$B$6:$B$205,A190,'Follow-ups'!$D$6:$D$205,"&gt;0",'Follow-ups'!$D$6:$D$205,"&lt;="&amp;TODAY())=0,"",_xlfn.MAXIFS('Follow-ups'!$D$6:$D$205,'Follow-ups'!$B$6:$B$205,A190,'Follow-ups'!$D$6:$D$205,"&lt;="&amp;TODAY())))</x:f>
      </x:c>
      <x:c r="V190" s="374" t="str">
        <x:f>IF(A190="","",IF(COUNTIFS('Follow-ups'!$B$6:$B$205,A190,'Follow-ups'!$I$6:$I$205,"Open",'Follow-ups'!$H$6:$H$205,"&gt;0")=0,"",_xlfn.MINIFS('Follow-ups'!$H$6:$H$205,'Follow-ups'!$B$6:$B$205,A190,'Follow-ups'!$I$6:$I$205,"Open",'Follow-ups'!$H$6:$H$205,"&gt;0")))</x:f>
      </x:c>
      <x:c r="W190" s="265" t="str">
        <x:f>IF(A190="","",IF(OR(H190="Converted",H190="Lost"),"Closed lead",IF(H190="On Hold","On hold",IF(ISNUMBER(V190),IF(V190&lt;TODAY(),"Overdue",IF(V190=TODAY(),"Due today","Scheduled")),IF(COUNTIFS('Follow-ups'!$B$6:$B$205,A190,'Follow-ups'!$I$6:$I$205,"Open")&gt;0,"Set task due date","No open task")))))</x:f>
      </x:c>
      <x:c r="X190" s="235"/>
      <x:c r="Y190" s="235"/>
      <x:c r="Z190" s="235"/>
      <x:c r="AA190" s="315" t="str">
        <x:f>IF(A190="","",IF(COUNTIFS($A$6:$A$205,A190)&gt;1,"Duplicate ID",IF(B190="","Add name",IF(AND(C190="",D190=""),"Add phone or email",IF(H190="","Set lead stage",IF(NOT(ISNUMBER(R190)),"Add date added",IF(AND(ISNUMBER(N190),ISNUMBER(O190),N190&gt;O190),"Check budget range",IF(AND(H190="Lost",Y190=""),"Add lost reason",""))))))))</x:f>
      </x:c>
      <x:c r="AB190" s="791"/>
      <x:c r="AC190" s="791"/>
      <x:c r="AD190" s="791"/>
      <x:c r="AE190" s="791"/>
      <x:c r="AF190" s="791"/>
      <x:c r="AG190" s="791"/>
      <x:c r="AH190" s="791"/>
      <x:c r="AI190" s="791"/>
      <x:c r="AJ190" s="791"/>
      <x:c r="AK190" s="791"/>
      <x:c r="AL190" s="793" t="str">
        <x:f>IF($A190="","",IF(OR($H190="Lost",$H190="Converted"),"",IF(OR($C190&lt;&gt;"",$D190&lt;&gt;""),10,0)+IF(AND(ISNUMBER($O190),$O190&gt;0),20,0)+IF($AE190="Yes",15,0)+IF($AF190="Yes",15,IF($AF190="Joint",10,0))+IF(OR($AG190="Immediate",$AG190="0-30 days"),20,IF($AG190="1-3 months",10,0))+IF(OR($AC190="Cash",$AD190="Pre-approved",$AD190="Approved"),10,0)+IF(ISNUMBER($V190),10,0)))</x:f>
      </x:c>
      <x:c r="AM190" s="793" t="str">
        <x:f>IF($A190="","",IF($H190="Lost","Lost",IF($H190="Converted","Converted",IF(NOT(ISNUMBER($AL190)),"",IF($AL190&gt;=75,"Hot",IF($AL190&gt;=45,"Warm","Nurture"))))))</x:f>
      </x:c>
      <x:c r="AN190" s="794"/>
      <x:c r="AO190" s="791"/>
      <x:c r="AP190" s="791"/>
      <x:c r="AQ190" s="794"/>
      <x:c r="AR190" s="794"/>
      <x:c r="AS190" s="791"/>
    </x:row>
    <x:row r="191" ht="26" customHeight="1">
      <x:c r="A191" s="319"/>
      <x:c r="B191" s="320"/>
      <x:c r="C191" s="331"/>
      <x:c r="D191" s="274"/>
      <x:c r="E191" s="274"/>
      <x:c r="F191" s="274"/>
      <x:c r="G191" s="274"/>
      <x:c r="H191" s="274"/>
      <x:c r="I191" s="274"/>
      <x:c r="J191" s="274"/>
      <x:c r="K191" s="274"/>
      <x:c r="L191" s="274"/>
      <x:c r="M191" s="377"/>
      <x:c r="N191" s="302"/>
      <x:c r="O191" s="302"/>
      <x:c r="P191" s="274"/>
      <x:c r="Q191" s="304"/>
      <x:c r="R191" s="304"/>
      <x:c r="S191" s="274"/>
      <x:c r="T191" s="315" t="str">
        <x:f>IF(A191="","",IF(OR(AND(C191&lt;&gt;"",COUNTIFS($C$6:$C$205,C191)&gt;1),AND(D191&lt;&gt;"",COUNTIFS($D$6:$D$205,D191)&gt;1)),"Check duplicate",""))</x:f>
      </x:c>
      <x:c r="U191" s="374" t="str">
        <x:f>IF(A191="","",IF(COUNTIFS('Follow-ups'!$B$6:$B$205,A191,'Follow-ups'!$D$6:$D$205,"&gt;0",'Follow-ups'!$D$6:$D$205,"&lt;="&amp;TODAY())=0,"",_xlfn.MAXIFS('Follow-ups'!$D$6:$D$205,'Follow-ups'!$B$6:$B$205,A191,'Follow-ups'!$D$6:$D$205,"&lt;="&amp;TODAY())))</x:f>
      </x:c>
      <x:c r="V191" s="374" t="str">
        <x:f>IF(A191="","",IF(COUNTIFS('Follow-ups'!$B$6:$B$205,A191,'Follow-ups'!$I$6:$I$205,"Open",'Follow-ups'!$H$6:$H$205,"&gt;0")=0,"",_xlfn.MINIFS('Follow-ups'!$H$6:$H$205,'Follow-ups'!$B$6:$B$205,A191,'Follow-ups'!$I$6:$I$205,"Open",'Follow-ups'!$H$6:$H$205,"&gt;0")))</x:f>
      </x:c>
      <x:c r="W191" s="265" t="str">
        <x:f>IF(A191="","",IF(OR(H191="Converted",H191="Lost"),"Closed lead",IF(H191="On Hold","On hold",IF(ISNUMBER(V191),IF(V191&lt;TODAY(),"Overdue",IF(V191=TODAY(),"Due today","Scheduled")),IF(COUNTIFS('Follow-ups'!$B$6:$B$205,A191,'Follow-ups'!$I$6:$I$205,"Open")&gt;0,"Set task due date","No open task")))))</x:f>
      </x:c>
      <x:c r="X191" s="274"/>
      <x:c r="Y191" s="274"/>
      <x:c r="Z191" s="274"/>
      <x:c r="AA191" s="315" t="str">
        <x:f>IF(A191="","",IF(COUNTIFS($A$6:$A$205,A191)&gt;1,"Duplicate ID",IF(B191="","Add name",IF(AND(C191="",D191=""),"Add phone or email",IF(H191="","Set lead stage",IF(NOT(ISNUMBER(R191)),"Add date added",IF(AND(ISNUMBER(N191),ISNUMBER(O191),N191&gt;O191),"Check budget range",IF(AND(H191="Lost",Y191=""),"Add lost reason",""))))))))</x:f>
      </x:c>
      <x:c r="AB191" s="791"/>
      <x:c r="AC191" s="791"/>
      <x:c r="AD191" s="791"/>
      <x:c r="AE191" s="791"/>
      <x:c r="AF191" s="791"/>
      <x:c r="AG191" s="791"/>
      <x:c r="AH191" s="791"/>
      <x:c r="AI191" s="791"/>
      <x:c r="AJ191" s="791"/>
      <x:c r="AK191" s="791"/>
      <x:c r="AL191" s="793" t="str">
        <x:f>IF($A191="","",IF(OR($H191="Lost",$H191="Converted"),"",IF(OR($C191&lt;&gt;"",$D191&lt;&gt;""),10,0)+IF(AND(ISNUMBER($O191),$O191&gt;0),20,0)+IF($AE191="Yes",15,0)+IF($AF191="Yes",15,IF($AF191="Joint",10,0))+IF(OR($AG191="Immediate",$AG191="0-30 days"),20,IF($AG191="1-3 months",10,0))+IF(OR($AC191="Cash",$AD191="Pre-approved",$AD191="Approved"),10,0)+IF(ISNUMBER($V191),10,0)))</x:f>
      </x:c>
      <x:c r="AM191" s="793" t="str">
        <x:f>IF($A191="","",IF($H191="Lost","Lost",IF($H191="Converted","Converted",IF(NOT(ISNUMBER($AL191)),"",IF($AL191&gt;=75,"Hot",IF($AL191&gt;=45,"Warm","Nurture"))))))</x:f>
      </x:c>
      <x:c r="AN191" s="794"/>
      <x:c r="AO191" s="791"/>
      <x:c r="AP191" s="791"/>
      <x:c r="AQ191" s="794"/>
      <x:c r="AR191" s="794"/>
      <x:c r="AS191" s="791"/>
    </x:row>
    <x:row r="192" ht="26" customHeight="1">
      <x:c r="A192" s="317"/>
      <x:c r="B192" s="318"/>
      <x:c r="C192" s="327"/>
      <x:c r="D192" s="235"/>
      <x:c r="E192" s="235"/>
      <x:c r="F192" s="235"/>
      <x:c r="G192" s="235"/>
      <x:c r="H192" s="235"/>
      <x:c r="I192" s="235"/>
      <x:c r="J192" s="235"/>
      <x:c r="K192" s="235"/>
      <x:c r="L192" s="235"/>
      <x:c r="M192" s="376"/>
      <x:c r="N192" s="236"/>
      <x:c r="O192" s="236"/>
      <x:c r="P192" s="235"/>
      <x:c r="Q192" s="238"/>
      <x:c r="R192" s="238"/>
      <x:c r="S192" s="235"/>
      <x:c r="T192" s="315" t="str">
        <x:f>IF(A192="","",IF(OR(AND(C192&lt;&gt;"",COUNTIFS($C$6:$C$205,C192)&gt;1),AND(D192&lt;&gt;"",COUNTIFS($D$6:$D$205,D192)&gt;1)),"Check duplicate",""))</x:f>
      </x:c>
      <x:c r="U192" s="374" t="str">
        <x:f>IF(A192="","",IF(COUNTIFS('Follow-ups'!$B$6:$B$205,A192,'Follow-ups'!$D$6:$D$205,"&gt;0",'Follow-ups'!$D$6:$D$205,"&lt;="&amp;TODAY())=0,"",_xlfn.MAXIFS('Follow-ups'!$D$6:$D$205,'Follow-ups'!$B$6:$B$205,A192,'Follow-ups'!$D$6:$D$205,"&lt;="&amp;TODAY())))</x:f>
      </x:c>
      <x:c r="V192" s="374" t="str">
        <x:f>IF(A192="","",IF(COUNTIFS('Follow-ups'!$B$6:$B$205,A192,'Follow-ups'!$I$6:$I$205,"Open",'Follow-ups'!$H$6:$H$205,"&gt;0")=0,"",_xlfn.MINIFS('Follow-ups'!$H$6:$H$205,'Follow-ups'!$B$6:$B$205,A192,'Follow-ups'!$I$6:$I$205,"Open",'Follow-ups'!$H$6:$H$205,"&gt;0")))</x:f>
      </x:c>
      <x:c r="W192" s="265" t="str">
        <x:f>IF(A192="","",IF(OR(H192="Converted",H192="Lost"),"Closed lead",IF(H192="On Hold","On hold",IF(ISNUMBER(V192),IF(V192&lt;TODAY(),"Overdue",IF(V192=TODAY(),"Due today","Scheduled")),IF(COUNTIFS('Follow-ups'!$B$6:$B$205,A192,'Follow-ups'!$I$6:$I$205,"Open")&gt;0,"Set task due date","No open task")))))</x:f>
      </x:c>
      <x:c r="X192" s="235"/>
      <x:c r="Y192" s="235"/>
      <x:c r="Z192" s="235"/>
      <x:c r="AA192" s="315" t="str">
        <x:f>IF(A192="","",IF(COUNTIFS($A$6:$A$205,A192)&gt;1,"Duplicate ID",IF(B192="","Add name",IF(AND(C192="",D192=""),"Add phone or email",IF(H192="","Set lead stage",IF(NOT(ISNUMBER(R192)),"Add date added",IF(AND(ISNUMBER(N192),ISNUMBER(O192),N192&gt;O192),"Check budget range",IF(AND(H192="Lost",Y192=""),"Add lost reason",""))))))))</x:f>
      </x:c>
      <x:c r="AB192" s="791"/>
      <x:c r="AC192" s="791"/>
      <x:c r="AD192" s="791"/>
      <x:c r="AE192" s="791"/>
      <x:c r="AF192" s="791"/>
      <x:c r="AG192" s="791"/>
      <x:c r="AH192" s="791"/>
      <x:c r="AI192" s="791"/>
      <x:c r="AJ192" s="791"/>
      <x:c r="AK192" s="791"/>
      <x:c r="AL192" s="793" t="str">
        <x:f>IF($A192="","",IF(OR($H192="Lost",$H192="Converted"),"",IF(OR($C192&lt;&gt;"",$D192&lt;&gt;""),10,0)+IF(AND(ISNUMBER($O192),$O192&gt;0),20,0)+IF($AE192="Yes",15,0)+IF($AF192="Yes",15,IF($AF192="Joint",10,0))+IF(OR($AG192="Immediate",$AG192="0-30 days"),20,IF($AG192="1-3 months",10,0))+IF(OR($AC192="Cash",$AD192="Pre-approved",$AD192="Approved"),10,0)+IF(ISNUMBER($V192),10,0)))</x:f>
      </x:c>
      <x:c r="AM192" s="793" t="str">
        <x:f>IF($A192="","",IF($H192="Lost","Lost",IF($H192="Converted","Converted",IF(NOT(ISNUMBER($AL192)),"",IF($AL192&gt;=75,"Hot",IF($AL192&gt;=45,"Warm","Nurture"))))))</x:f>
      </x:c>
      <x:c r="AN192" s="794"/>
      <x:c r="AO192" s="791"/>
      <x:c r="AP192" s="791"/>
      <x:c r="AQ192" s="794"/>
      <x:c r="AR192" s="794"/>
      <x:c r="AS192" s="791"/>
    </x:row>
    <x:row r="193" ht="26" customHeight="1">
      <x:c r="A193" s="319"/>
      <x:c r="B193" s="320"/>
      <x:c r="C193" s="331"/>
      <x:c r="D193" s="274"/>
      <x:c r="E193" s="274"/>
      <x:c r="F193" s="274"/>
      <x:c r="G193" s="274"/>
      <x:c r="H193" s="274"/>
      <x:c r="I193" s="274"/>
      <x:c r="J193" s="274"/>
      <x:c r="K193" s="274"/>
      <x:c r="L193" s="274"/>
      <x:c r="M193" s="377"/>
      <x:c r="N193" s="302"/>
      <x:c r="O193" s="302"/>
      <x:c r="P193" s="274"/>
      <x:c r="Q193" s="304"/>
      <x:c r="R193" s="304"/>
      <x:c r="S193" s="274"/>
      <x:c r="T193" s="315" t="str">
        <x:f>IF(A193="","",IF(OR(AND(C193&lt;&gt;"",COUNTIFS($C$6:$C$205,C193)&gt;1),AND(D193&lt;&gt;"",COUNTIFS($D$6:$D$205,D193)&gt;1)),"Check duplicate",""))</x:f>
      </x:c>
      <x:c r="U193" s="374" t="str">
        <x:f>IF(A193="","",IF(COUNTIFS('Follow-ups'!$B$6:$B$205,A193,'Follow-ups'!$D$6:$D$205,"&gt;0",'Follow-ups'!$D$6:$D$205,"&lt;="&amp;TODAY())=0,"",_xlfn.MAXIFS('Follow-ups'!$D$6:$D$205,'Follow-ups'!$B$6:$B$205,A193,'Follow-ups'!$D$6:$D$205,"&lt;="&amp;TODAY())))</x:f>
      </x:c>
      <x:c r="V193" s="374" t="str">
        <x:f>IF(A193="","",IF(COUNTIFS('Follow-ups'!$B$6:$B$205,A193,'Follow-ups'!$I$6:$I$205,"Open",'Follow-ups'!$H$6:$H$205,"&gt;0")=0,"",_xlfn.MINIFS('Follow-ups'!$H$6:$H$205,'Follow-ups'!$B$6:$B$205,A193,'Follow-ups'!$I$6:$I$205,"Open",'Follow-ups'!$H$6:$H$205,"&gt;0")))</x:f>
      </x:c>
      <x:c r="W193" s="265" t="str">
        <x:f>IF(A193="","",IF(OR(H193="Converted",H193="Lost"),"Closed lead",IF(H193="On Hold","On hold",IF(ISNUMBER(V193),IF(V193&lt;TODAY(),"Overdue",IF(V193=TODAY(),"Due today","Scheduled")),IF(COUNTIFS('Follow-ups'!$B$6:$B$205,A193,'Follow-ups'!$I$6:$I$205,"Open")&gt;0,"Set task due date","No open task")))))</x:f>
      </x:c>
      <x:c r="X193" s="274"/>
      <x:c r="Y193" s="274"/>
      <x:c r="Z193" s="274"/>
      <x:c r="AA193" s="315" t="str">
        <x:f>IF(A193="","",IF(COUNTIFS($A$6:$A$205,A193)&gt;1,"Duplicate ID",IF(B193="","Add name",IF(AND(C193="",D193=""),"Add phone or email",IF(H193="","Set lead stage",IF(NOT(ISNUMBER(R193)),"Add date added",IF(AND(ISNUMBER(N193),ISNUMBER(O193),N193&gt;O193),"Check budget range",IF(AND(H193="Lost",Y193=""),"Add lost reason",""))))))))</x:f>
      </x:c>
      <x:c r="AB193" s="791"/>
      <x:c r="AC193" s="791"/>
      <x:c r="AD193" s="791"/>
      <x:c r="AE193" s="791"/>
      <x:c r="AF193" s="791"/>
      <x:c r="AG193" s="791"/>
      <x:c r="AH193" s="791"/>
      <x:c r="AI193" s="791"/>
      <x:c r="AJ193" s="791"/>
      <x:c r="AK193" s="791"/>
      <x:c r="AL193" s="793" t="str">
        <x:f>IF($A193="","",IF(OR($H193="Lost",$H193="Converted"),"",IF(OR($C193&lt;&gt;"",$D193&lt;&gt;""),10,0)+IF(AND(ISNUMBER($O193),$O193&gt;0),20,0)+IF($AE193="Yes",15,0)+IF($AF193="Yes",15,IF($AF193="Joint",10,0))+IF(OR($AG193="Immediate",$AG193="0-30 days"),20,IF($AG193="1-3 months",10,0))+IF(OR($AC193="Cash",$AD193="Pre-approved",$AD193="Approved"),10,0)+IF(ISNUMBER($V193),10,0)))</x:f>
      </x:c>
      <x:c r="AM193" s="793" t="str">
        <x:f>IF($A193="","",IF($H193="Lost","Lost",IF($H193="Converted","Converted",IF(NOT(ISNUMBER($AL193)),"",IF($AL193&gt;=75,"Hot",IF($AL193&gt;=45,"Warm","Nurture"))))))</x:f>
      </x:c>
      <x:c r="AN193" s="794"/>
      <x:c r="AO193" s="791"/>
      <x:c r="AP193" s="791"/>
      <x:c r="AQ193" s="794"/>
      <x:c r="AR193" s="794"/>
      <x:c r="AS193" s="791"/>
    </x:row>
    <x:row r="194" ht="26" customHeight="1">
      <x:c r="A194" s="317"/>
      <x:c r="B194" s="318"/>
      <x:c r="C194" s="327"/>
      <x:c r="D194" s="235"/>
      <x:c r="E194" s="235"/>
      <x:c r="F194" s="235"/>
      <x:c r="G194" s="235"/>
      <x:c r="H194" s="235"/>
      <x:c r="I194" s="235"/>
      <x:c r="J194" s="235"/>
      <x:c r="K194" s="235"/>
      <x:c r="L194" s="235"/>
      <x:c r="M194" s="376"/>
      <x:c r="N194" s="236"/>
      <x:c r="O194" s="236"/>
      <x:c r="P194" s="235"/>
      <x:c r="Q194" s="238"/>
      <x:c r="R194" s="238"/>
      <x:c r="S194" s="235"/>
      <x:c r="T194" s="315" t="str">
        <x:f>IF(A194="","",IF(OR(AND(C194&lt;&gt;"",COUNTIFS($C$6:$C$205,C194)&gt;1),AND(D194&lt;&gt;"",COUNTIFS($D$6:$D$205,D194)&gt;1)),"Check duplicate",""))</x:f>
      </x:c>
      <x:c r="U194" s="374" t="str">
        <x:f>IF(A194="","",IF(COUNTIFS('Follow-ups'!$B$6:$B$205,A194,'Follow-ups'!$D$6:$D$205,"&gt;0",'Follow-ups'!$D$6:$D$205,"&lt;="&amp;TODAY())=0,"",_xlfn.MAXIFS('Follow-ups'!$D$6:$D$205,'Follow-ups'!$B$6:$B$205,A194,'Follow-ups'!$D$6:$D$205,"&lt;="&amp;TODAY())))</x:f>
      </x:c>
      <x:c r="V194" s="374" t="str">
        <x:f>IF(A194="","",IF(COUNTIFS('Follow-ups'!$B$6:$B$205,A194,'Follow-ups'!$I$6:$I$205,"Open",'Follow-ups'!$H$6:$H$205,"&gt;0")=0,"",_xlfn.MINIFS('Follow-ups'!$H$6:$H$205,'Follow-ups'!$B$6:$B$205,A194,'Follow-ups'!$I$6:$I$205,"Open",'Follow-ups'!$H$6:$H$205,"&gt;0")))</x:f>
      </x:c>
      <x:c r="W194" s="265" t="str">
        <x:f>IF(A194="","",IF(OR(H194="Converted",H194="Lost"),"Closed lead",IF(H194="On Hold","On hold",IF(ISNUMBER(V194),IF(V194&lt;TODAY(),"Overdue",IF(V194=TODAY(),"Due today","Scheduled")),IF(COUNTIFS('Follow-ups'!$B$6:$B$205,A194,'Follow-ups'!$I$6:$I$205,"Open")&gt;0,"Set task due date","No open task")))))</x:f>
      </x:c>
      <x:c r="X194" s="235"/>
      <x:c r="Y194" s="235"/>
      <x:c r="Z194" s="235"/>
      <x:c r="AA194" s="315" t="str">
        <x:f>IF(A194="","",IF(COUNTIFS($A$6:$A$205,A194)&gt;1,"Duplicate ID",IF(B194="","Add name",IF(AND(C194="",D194=""),"Add phone or email",IF(H194="","Set lead stage",IF(NOT(ISNUMBER(R194)),"Add date added",IF(AND(ISNUMBER(N194),ISNUMBER(O194),N194&gt;O194),"Check budget range",IF(AND(H194="Lost",Y194=""),"Add lost reason",""))))))))</x:f>
      </x:c>
      <x:c r="AB194" s="791"/>
      <x:c r="AC194" s="791"/>
      <x:c r="AD194" s="791"/>
      <x:c r="AE194" s="791"/>
      <x:c r="AF194" s="791"/>
      <x:c r="AG194" s="791"/>
      <x:c r="AH194" s="791"/>
      <x:c r="AI194" s="791"/>
      <x:c r="AJ194" s="791"/>
      <x:c r="AK194" s="791"/>
      <x:c r="AL194" s="793" t="str">
        <x:f>IF($A194="","",IF(OR($H194="Lost",$H194="Converted"),"",IF(OR($C194&lt;&gt;"",$D194&lt;&gt;""),10,0)+IF(AND(ISNUMBER($O194),$O194&gt;0),20,0)+IF($AE194="Yes",15,0)+IF($AF194="Yes",15,IF($AF194="Joint",10,0))+IF(OR($AG194="Immediate",$AG194="0-30 days"),20,IF($AG194="1-3 months",10,0))+IF(OR($AC194="Cash",$AD194="Pre-approved",$AD194="Approved"),10,0)+IF(ISNUMBER($V194),10,0)))</x:f>
      </x:c>
      <x:c r="AM194" s="793" t="str">
        <x:f>IF($A194="","",IF($H194="Lost","Lost",IF($H194="Converted","Converted",IF(NOT(ISNUMBER($AL194)),"",IF($AL194&gt;=75,"Hot",IF($AL194&gt;=45,"Warm","Nurture"))))))</x:f>
      </x:c>
      <x:c r="AN194" s="794"/>
      <x:c r="AO194" s="791"/>
      <x:c r="AP194" s="791"/>
      <x:c r="AQ194" s="794"/>
      <x:c r="AR194" s="794"/>
      <x:c r="AS194" s="791"/>
    </x:row>
    <x:row r="195" ht="26" customHeight="1">
      <x:c r="A195" s="319"/>
      <x:c r="B195" s="320"/>
      <x:c r="C195" s="331"/>
      <x:c r="D195" s="274"/>
      <x:c r="E195" s="274"/>
      <x:c r="F195" s="274"/>
      <x:c r="G195" s="274"/>
      <x:c r="H195" s="274"/>
      <x:c r="I195" s="274"/>
      <x:c r="J195" s="274"/>
      <x:c r="K195" s="274"/>
      <x:c r="L195" s="274"/>
      <x:c r="M195" s="377"/>
      <x:c r="N195" s="302"/>
      <x:c r="O195" s="302"/>
      <x:c r="P195" s="274"/>
      <x:c r="Q195" s="304"/>
      <x:c r="R195" s="304"/>
      <x:c r="S195" s="274"/>
      <x:c r="T195" s="315" t="str">
        <x:f>IF(A195="","",IF(OR(AND(C195&lt;&gt;"",COUNTIFS($C$6:$C$205,C195)&gt;1),AND(D195&lt;&gt;"",COUNTIFS($D$6:$D$205,D195)&gt;1)),"Check duplicate",""))</x:f>
      </x:c>
      <x:c r="U195" s="374" t="str">
        <x:f>IF(A195="","",IF(COUNTIFS('Follow-ups'!$B$6:$B$205,A195,'Follow-ups'!$D$6:$D$205,"&gt;0",'Follow-ups'!$D$6:$D$205,"&lt;="&amp;TODAY())=0,"",_xlfn.MAXIFS('Follow-ups'!$D$6:$D$205,'Follow-ups'!$B$6:$B$205,A195,'Follow-ups'!$D$6:$D$205,"&lt;="&amp;TODAY())))</x:f>
      </x:c>
      <x:c r="V195" s="374" t="str">
        <x:f>IF(A195="","",IF(COUNTIFS('Follow-ups'!$B$6:$B$205,A195,'Follow-ups'!$I$6:$I$205,"Open",'Follow-ups'!$H$6:$H$205,"&gt;0")=0,"",_xlfn.MINIFS('Follow-ups'!$H$6:$H$205,'Follow-ups'!$B$6:$B$205,A195,'Follow-ups'!$I$6:$I$205,"Open",'Follow-ups'!$H$6:$H$205,"&gt;0")))</x:f>
      </x:c>
      <x:c r="W195" s="265" t="str">
        <x:f>IF(A195="","",IF(OR(H195="Converted",H195="Lost"),"Closed lead",IF(H195="On Hold","On hold",IF(ISNUMBER(V195),IF(V195&lt;TODAY(),"Overdue",IF(V195=TODAY(),"Due today","Scheduled")),IF(COUNTIFS('Follow-ups'!$B$6:$B$205,A195,'Follow-ups'!$I$6:$I$205,"Open")&gt;0,"Set task due date","No open task")))))</x:f>
      </x:c>
      <x:c r="X195" s="274"/>
      <x:c r="Y195" s="274"/>
      <x:c r="Z195" s="274"/>
      <x:c r="AA195" s="315" t="str">
        <x:f>IF(A195="","",IF(COUNTIFS($A$6:$A$205,A195)&gt;1,"Duplicate ID",IF(B195="","Add name",IF(AND(C195="",D195=""),"Add phone or email",IF(H195="","Set lead stage",IF(NOT(ISNUMBER(R195)),"Add date added",IF(AND(ISNUMBER(N195),ISNUMBER(O195),N195&gt;O195),"Check budget range",IF(AND(H195="Lost",Y195=""),"Add lost reason",""))))))))</x:f>
      </x:c>
      <x:c r="AB195" s="791"/>
      <x:c r="AC195" s="791"/>
      <x:c r="AD195" s="791"/>
      <x:c r="AE195" s="791"/>
      <x:c r="AF195" s="791"/>
      <x:c r="AG195" s="791"/>
      <x:c r="AH195" s="791"/>
      <x:c r="AI195" s="791"/>
      <x:c r="AJ195" s="791"/>
      <x:c r="AK195" s="791"/>
      <x:c r="AL195" s="793" t="str">
        <x:f>IF($A195="","",IF(OR($H195="Lost",$H195="Converted"),"",IF(OR($C195&lt;&gt;"",$D195&lt;&gt;""),10,0)+IF(AND(ISNUMBER($O195),$O195&gt;0),20,0)+IF($AE195="Yes",15,0)+IF($AF195="Yes",15,IF($AF195="Joint",10,0))+IF(OR($AG195="Immediate",$AG195="0-30 days"),20,IF($AG195="1-3 months",10,0))+IF(OR($AC195="Cash",$AD195="Pre-approved",$AD195="Approved"),10,0)+IF(ISNUMBER($V195),10,0)))</x:f>
      </x:c>
      <x:c r="AM195" s="793" t="str">
        <x:f>IF($A195="","",IF($H195="Lost","Lost",IF($H195="Converted","Converted",IF(NOT(ISNUMBER($AL195)),"",IF($AL195&gt;=75,"Hot",IF($AL195&gt;=45,"Warm","Nurture"))))))</x:f>
      </x:c>
      <x:c r="AN195" s="794"/>
      <x:c r="AO195" s="791"/>
      <x:c r="AP195" s="791"/>
      <x:c r="AQ195" s="794"/>
      <x:c r="AR195" s="794"/>
      <x:c r="AS195" s="791"/>
    </x:row>
    <x:row r="196" ht="26" customHeight="1">
      <x:c r="A196" s="317"/>
      <x:c r="B196" s="318"/>
      <x:c r="C196" s="327"/>
      <x:c r="D196" s="235"/>
      <x:c r="E196" s="235"/>
      <x:c r="F196" s="235"/>
      <x:c r="G196" s="235"/>
      <x:c r="H196" s="235"/>
      <x:c r="I196" s="235"/>
      <x:c r="J196" s="235"/>
      <x:c r="K196" s="235"/>
      <x:c r="L196" s="235"/>
      <x:c r="M196" s="376"/>
      <x:c r="N196" s="236"/>
      <x:c r="O196" s="236"/>
      <x:c r="P196" s="235"/>
      <x:c r="Q196" s="238"/>
      <x:c r="R196" s="238"/>
      <x:c r="S196" s="235"/>
      <x:c r="T196" s="315" t="str">
        <x:f>IF(A196="","",IF(OR(AND(C196&lt;&gt;"",COUNTIFS($C$6:$C$205,C196)&gt;1),AND(D196&lt;&gt;"",COUNTIFS($D$6:$D$205,D196)&gt;1)),"Check duplicate",""))</x:f>
      </x:c>
      <x:c r="U196" s="374" t="str">
        <x:f>IF(A196="","",IF(COUNTIFS('Follow-ups'!$B$6:$B$205,A196,'Follow-ups'!$D$6:$D$205,"&gt;0",'Follow-ups'!$D$6:$D$205,"&lt;="&amp;TODAY())=0,"",_xlfn.MAXIFS('Follow-ups'!$D$6:$D$205,'Follow-ups'!$B$6:$B$205,A196,'Follow-ups'!$D$6:$D$205,"&lt;="&amp;TODAY())))</x:f>
      </x:c>
      <x:c r="V196" s="374" t="str">
        <x:f>IF(A196="","",IF(COUNTIFS('Follow-ups'!$B$6:$B$205,A196,'Follow-ups'!$I$6:$I$205,"Open",'Follow-ups'!$H$6:$H$205,"&gt;0")=0,"",_xlfn.MINIFS('Follow-ups'!$H$6:$H$205,'Follow-ups'!$B$6:$B$205,A196,'Follow-ups'!$I$6:$I$205,"Open",'Follow-ups'!$H$6:$H$205,"&gt;0")))</x:f>
      </x:c>
      <x:c r="W196" s="265" t="str">
        <x:f>IF(A196="","",IF(OR(H196="Converted",H196="Lost"),"Closed lead",IF(H196="On Hold","On hold",IF(ISNUMBER(V196),IF(V196&lt;TODAY(),"Overdue",IF(V196=TODAY(),"Due today","Scheduled")),IF(COUNTIFS('Follow-ups'!$B$6:$B$205,A196,'Follow-ups'!$I$6:$I$205,"Open")&gt;0,"Set task due date","No open task")))))</x:f>
      </x:c>
      <x:c r="X196" s="235"/>
      <x:c r="Y196" s="235"/>
      <x:c r="Z196" s="235"/>
      <x:c r="AA196" s="315" t="str">
        <x:f>IF(A196="","",IF(COUNTIFS($A$6:$A$205,A196)&gt;1,"Duplicate ID",IF(B196="","Add name",IF(AND(C196="",D196=""),"Add phone or email",IF(H196="","Set lead stage",IF(NOT(ISNUMBER(R196)),"Add date added",IF(AND(ISNUMBER(N196),ISNUMBER(O196),N196&gt;O196),"Check budget range",IF(AND(H196="Lost",Y196=""),"Add lost reason",""))))))))</x:f>
      </x:c>
      <x:c r="AB196" s="791"/>
      <x:c r="AC196" s="791"/>
      <x:c r="AD196" s="791"/>
      <x:c r="AE196" s="791"/>
      <x:c r="AF196" s="791"/>
      <x:c r="AG196" s="791"/>
      <x:c r="AH196" s="791"/>
      <x:c r="AI196" s="791"/>
      <x:c r="AJ196" s="791"/>
      <x:c r="AK196" s="791"/>
      <x:c r="AL196" s="793" t="str">
        <x:f>IF($A196="","",IF(OR($H196="Lost",$H196="Converted"),"",IF(OR($C196&lt;&gt;"",$D196&lt;&gt;""),10,0)+IF(AND(ISNUMBER($O196),$O196&gt;0),20,0)+IF($AE196="Yes",15,0)+IF($AF196="Yes",15,IF($AF196="Joint",10,0))+IF(OR($AG196="Immediate",$AG196="0-30 days"),20,IF($AG196="1-3 months",10,0))+IF(OR($AC196="Cash",$AD196="Pre-approved",$AD196="Approved"),10,0)+IF(ISNUMBER($V196),10,0)))</x:f>
      </x:c>
      <x:c r="AM196" s="793" t="str">
        <x:f>IF($A196="","",IF($H196="Lost","Lost",IF($H196="Converted","Converted",IF(NOT(ISNUMBER($AL196)),"",IF($AL196&gt;=75,"Hot",IF($AL196&gt;=45,"Warm","Nurture"))))))</x:f>
      </x:c>
      <x:c r="AN196" s="794"/>
      <x:c r="AO196" s="791"/>
      <x:c r="AP196" s="791"/>
      <x:c r="AQ196" s="794"/>
      <x:c r="AR196" s="794"/>
      <x:c r="AS196" s="791"/>
    </x:row>
    <x:row r="197" ht="26" customHeight="1">
      <x:c r="A197" s="319"/>
      <x:c r="B197" s="320"/>
      <x:c r="C197" s="331"/>
      <x:c r="D197" s="274"/>
      <x:c r="E197" s="274"/>
      <x:c r="F197" s="274"/>
      <x:c r="G197" s="274"/>
      <x:c r="H197" s="274"/>
      <x:c r="I197" s="274"/>
      <x:c r="J197" s="274"/>
      <x:c r="K197" s="274"/>
      <x:c r="L197" s="274"/>
      <x:c r="M197" s="377"/>
      <x:c r="N197" s="302"/>
      <x:c r="O197" s="302"/>
      <x:c r="P197" s="274"/>
      <x:c r="Q197" s="304"/>
      <x:c r="R197" s="304"/>
      <x:c r="S197" s="274"/>
      <x:c r="T197" s="315" t="str">
        <x:f>IF(A197="","",IF(OR(AND(C197&lt;&gt;"",COUNTIFS($C$6:$C$205,C197)&gt;1),AND(D197&lt;&gt;"",COUNTIFS($D$6:$D$205,D197)&gt;1)),"Check duplicate",""))</x:f>
      </x:c>
      <x:c r="U197" s="374" t="str">
        <x:f>IF(A197="","",IF(COUNTIFS('Follow-ups'!$B$6:$B$205,A197,'Follow-ups'!$D$6:$D$205,"&gt;0",'Follow-ups'!$D$6:$D$205,"&lt;="&amp;TODAY())=0,"",_xlfn.MAXIFS('Follow-ups'!$D$6:$D$205,'Follow-ups'!$B$6:$B$205,A197,'Follow-ups'!$D$6:$D$205,"&lt;="&amp;TODAY())))</x:f>
      </x:c>
      <x:c r="V197" s="374" t="str">
        <x:f>IF(A197="","",IF(COUNTIFS('Follow-ups'!$B$6:$B$205,A197,'Follow-ups'!$I$6:$I$205,"Open",'Follow-ups'!$H$6:$H$205,"&gt;0")=0,"",_xlfn.MINIFS('Follow-ups'!$H$6:$H$205,'Follow-ups'!$B$6:$B$205,A197,'Follow-ups'!$I$6:$I$205,"Open",'Follow-ups'!$H$6:$H$205,"&gt;0")))</x:f>
      </x:c>
      <x:c r="W197" s="265" t="str">
        <x:f>IF(A197="","",IF(OR(H197="Converted",H197="Lost"),"Closed lead",IF(H197="On Hold","On hold",IF(ISNUMBER(V197),IF(V197&lt;TODAY(),"Overdue",IF(V197=TODAY(),"Due today","Scheduled")),IF(COUNTIFS('Follow-ups'!$B$6:$B$205,A197,'Follow-ups'!$I$6:$I$205,"Open")&gt;0,"Set task due date","No open task")))))</x:f>
      </x:c>
      <x:c r="X197" s="274"/>
      <x:c r="Y197" s="274"/>
      <x:c r="Z197" s="274"/>
      <x:c r="AA197" s="315" t="str">
        <x:f>IF(A197="","",IF(COUNTIFS($A$6:$A$205,A197)&gt;1,"Duplicate ID",IF(B197="","Add name",IF(AND(C197="",D197=""),"Add phone or email",IF(H197="","Set lead stage",IF(NOT(ISNUMBER(R197)),"Add date added",IF(AND(ISNUMBER(N197),ISNUMBER(O197),N197&gt;O197),"Check budget range",IF(AND(H197="Lost",Y197=""),"Add lost reason",""))))))))</x:f>
      </x:c>
      <x:c r="AB197" s="791"/>
      <x:c r="AC197" s="791"/>
      <x:c r="AD197" s="791"/>
      <x:c r="AE197" s="791"/>
      <x:c r="AF197" s="791"/>
      <x:c r="AG197" s="791"/>
      <x:c r="AH197" s="791"/>
      <x:c r="AI197" s="791"/>
      <x:c r="AJ197" s="791"/>
      <x:c r="AK197" s="791"/>
      <x:c r="AL197" s="793" t="str">
        <x:f>IF($A197="","",IF(OR($H197="Lost",$H197="Converted"),"",IF(OR($C197&lt;&gt;"",$D197&lt;&gt;""),10,0)+IF(AND(ISNUMBER($O197),$O197&gt;0),20,0)+IF($AE197="Yes",15,0)+IF($AF197="Yes",15,IF($AF197="Joint",10,0))+IF(OR($AG197="Immediate",$AG197="0-30 days"),20,IF($AG197="1-3 months",10,0))+IF(OR($AC197="Cash",$AD197="Pre-approved",$AD197="Approved"),10,0)+IF(ISNUMBER($V197),10,0)))</x:f>
      </x:c>
      <x:c r="AM197" s="793" t="str">
        <x:f>IF($A197="","",IF($H197="Lost","Lost",IF($H197="Converted","Converted",IF(NOT(ISNUMBER($AL197)),"",IF($AL197&gt;=75,"Hot",IF($AL197&gt;=45,"Warm","Nurture"))))))</x:f>
      </x:c>
      <x:c r="AN197" s="794"/>
      <x:c r="AO197" s="791"/>
      <x:c r="AP197" s="791"/>
      <x:c r="AQ197" s="794"/>
      <x:c r="AR197" s="794"/>
      <x:c r="AS197" s="791"/>
    </x:row>
    <x:row r="198" ht="26" customHeight="1">
      <x:c r="A198" s="317"/>
      <x:c r="B198" s="318"/>
      <x:c r="C198" s="327"/>
      <x:c r="D198" s="235"/>
      <x:c r="E198" s="235"/>
      <x:c r="F198" s="235"/>
      <x:c r="G198" s="235"/>
      <x:c r="H198" s="235"/>
      <x:c r="I198" s="235"/>
      <x:c r="J198" s="235"/>
      <x:c r="K198" s="235"/>
      <x:c r="L198" s="235"/>
      <x:c r="M198" s="376"/>
      <x:c r="N198" s="236"/>
      <x:c r="O198" s="236"/>
      <x:c r="P198" s="235"/>
      <x:c r="Q198" s="238"/>
      <x:c r="R198" s="238"/>
      <x:c r="S198" s="235"/>
      <x:c r="T198" s="315" t="str">
        <x:f>IF(A198="","",IF(OR(AND(C198&lt;&gt;"",COUNTIFS($C$6:$C$205,C198)&gt;1),AND(D198&lt;&gt;"",COUNTIFS($D$6:$D$205,D198)&gt;1)),"Check duplicate",""))</x:f>
      </x:c>
      <x:c r="U198" s="374" t="str">
        <x:f>IF(A198="","",IF(COUNTIFS('Follow-ups'!$B$6:$B$205,A198,'Follow-ups'!$D$6:$D$205,"&gt;0",'Follow-ups'!$D$6:$D$205,"&lt;="&amp;TODAY())=0,"",_xlfn.MAXIFS('Follow-ups'!$D$6:$D$205,'Follow-ups'!$B$6:$B$205,A198,'Follow-ups'!$D$6:$D$205,"&lt;="&amp;TODAY())))</x:f>
      </x:c>
      <x:c r="V198" s="374" t="str">
        <x:f>IF(A198="","",IF(COUNTIFS('Follow-ups'!$B$6:$B$205,A198,'Follow-ups'!$I$6:$I$205,"Open",'Follow-ups'!$H$6:$H$205,"&gt;0")=0,"",_xlfn.MINIFS('Follow-ups'!$H$6:$H$205,'Follow-ups'!$B$6:$B$205,A198,'Follow-ups'!$I$6:$I$205,"Open",'Follow-ups'!$H$6:$H$205,"&gt;0")))</x:f>
      </x:c>
      <x:c r="W198" s="265" t="str">
        <x:f>IF(A198="","",IF(OR(H198="Converted",H198="Lost"),"Closed lead",IF(H198="On Hold","On hold",IF(ISNUMBER(V198),IF(V198&lt;TODAY(),"Overdue",IF(V198=TODAY(),"Due today","Scheduled")),IF(COUNTIFS('Follow-ups'!$B$6:$B$205,A198,'Follow-ups'!$I$6:$I$205,"Open")&gt;0,"Set task due date","No open task")))))</x:f>
      </x:c>
      <x:c r="X198" s="235"/>
      <x:c r="Y198" s="235"/>
      <x:c r="Z198" s="235"/>
      <x:c r="AA198" s="315" t="str">
        <x:f>IF(A198="","",IF(COUNTIFS($A$6:$A$205,A198)&gt;1,"Duplicate ID",IF(B198="","Add name",IF(AND(C198="",D198=""),"Add phone or email",IF(H198="","Set lead stage",IF(NOT(ISNUMBER(R198)),"Add date added",IF(AND(ISNUMBER(N198),ISNUMBER(O198),N198&gt;O198),"Check budget range",IF(AND(H198="Lost",Y198=""),"Add lost reason",""))))))))</x:f>
      </x:c>
      <x:c r="AB198" s="791"/>
      <x:c r="AC198" s="791"/>
      <x:c r="AD198" s="791"/>
      <x:c r="AE198" s="791"/>
      <x:c r="AF198" s="791"/>
      <x:c r="AG198" s="791"/>
      <x:c r="AH198" s="791"/>
      <x:c r="AI198" s="791"/>
      <x:c r="AJ198" s="791"/>
      <x:c r="AK198" s="791"/>
      <x:c r="AL198" s="793" t="str">
        <x:f>IF($A198="","",IF(OR($H198="Lost",$H198="Converted"),"",IF(OR($C198&lt;&gt;"",$D198&lt;&gt;""),10,0)+IF(AND(ISNUMBER($O198),$O198&gt;0),20,0)+IF($AE198="Yes",15,0)+IF($AF198="Yes",15,IF($AF198="Joint",10,0))+IF(OR($AG198="Immediate",$AG198="0-30 days"),20,IF($AG198="1-3 months",10,0))+IF(OR($AC198="Cash",$AD198="Pre-approved",$AD198="Approved"),10,0)+IF(ISNUMBER($V198),10,0)))</x:f>
      </x:c>
      <x:c r="AM198" s="793" t="str">
        <x:f>IF($A198="","",IF($H198="Lost","Lost",IF($H198="Converted","Converted",IF(NOT(ISNUMBER($AL198)),"",IF($AL198&gt;=75,"Hot",IF($AL198&gt;=45,"Warm","Nurture"))))))</x:f>
      </x:c>
      <x:c r="AN198" s="794"/>
      <x:c r="AO198" s="791"/>
      <x:c r="AP198" s="791"/>
      <x:c r="AQ198" s="794"/>
      <x:c r="AR198" s="794"/>
      <x:c r="AS198" s="791"/>
    </x:row>
    <x:row r="199" ht="26" customHeight="1">
      <x:c r="A199" s="319"/>
      <x:c r="B199" s="320"/>
      <x:c r="C199" s="331"/>
      <x:c r="D199" s="274"/>
      <x:c r="E199" s="274"/>
      <x:c r="F199" s="274"/>
      <x:c r="G199" s="274"/>
      <x:c r="H199" s="274"/>
      <x:c r="I199" s="274"/>
      <x:c r="J199" s="274"/>
      <x:c r="K199" s="274"/>
      <x:c r="L199" s="274"/>
      <x:c r="M199" s="377"/>
      <x:c r="N199" s="302"/>
      <x:c r="O199" s="302"/>
      <x:c r="P199" s="274"/>
      <x:c r="Q199" s="304"/>
      <x:c r="R199" s="304"/>
      <x:c r="S199" s="274"/>
      <x:c r="T199" s="315" t="str">
        <x:f>IF(A199="","",IF(OR(AND(C199&lt;&gt;"",COUNTIFS($C$6:$C$205,C199)&gt;1),AND(D199&lt;&gt;"",COUNTIFS($D$6:$D$205,D199)&gt;1)),"Check duplicate",""))</x:f>
      </x:c>
      <x:c r="U199" s="374" t="str">
        <x:f>IF(A199="","",IF(COUNTIFS('Follow-ups'!$B$6:$B$205,A199,'Follow-ups'!$D$6:$D$205,"&gt;0",'Follow-ups'!$D$6:$D$205,"&lt;="&amp;TODAY())=0,"",_xlfn.MAXIFS('Follow-ups'!$D$6:$D$205,'Follow-ups'!$B$6:$B$205,A199,'Follow-ups'!$D$6:$D$205,"&lt;="&amp;TODAY())))</x:f>
      </x:c>
      <x:c r="V199" s="374" t="str">
        <x:f>IF(A199="","",IF(COUNTIFS('Follow-ups'!$B$6:$B$205,A199,'Follow-ups'!$I$6:$I$205,"Open",'Follow-ups'!$H$6:$H$205,"&gt;0")=0,"",_xlfn.MINIFS('Follow-ups'!$H$6:$H$205,'Follow-ups'!$B$6:$B$205,A199,'Follow-ups'!$I$6:$I$205,"Open",'Follow-ups'!$H$6:$H$205,"&gt;0")))</x:f>
      </x:c>
      <x:c r="W199" s="265" t="str">
        <x:f>IF(A199="","",IF(OR(H199="Converted",H199="Lost"),"Closed lead",IF(H199="On Hold","On hold",IF(ISNUMBER(V199),IF(V199&lt;TODAY(),"Overdue",IF(V199=TODAY(),"Due today","Scheduled")),IF(COUNTIFS('Follow-ups'!$B$6:$B$205,A199,'Follow-ups'!$I$6:$I$205,"Open")&gt;0,"Set task due date","No open task")))))</x:f>
      </x:c>
      <x:c r="X199" s="274"/>
      <x:c r="Y199" s="274"/>
      <x:c r="Z199" s="274"/>
      <x:c r="AA199" s="315" t="str">
        <x:f>IF(A199="","",IF(COUNTIFS($A$6:$A$205,A199)&gt;1,"Duplicate ID",IF(B199="","Add name",IF(AND(C199="",D199=""),"Add phone or email",IF(H199="","Set lead stage",IF(NOT(ISNUMBER(R199)),"Add date added",IF(AND(ISNUMBER(N199),ISNUMBER(O199),N199&gt;O199),"Check budget range",IF(AND(H199="Lost",Y199=""),"Add lost reason",""))))))))</x:f>
      </x:c>
      <x:c r="AB199" s="791"/>
      <x:c r="AC199" s="791"/>
      <x:c r="AD199" s="791"/>
      <x:c r="AE199" s="791"/>
      <x:c r="AF199" s="791"/>
      <x:c r="AG199" s="791"/>
      <x:c r="AH199" s="791"/>
      <x:c r="AI199" s="791"/>
      <x:c r="AJ199" s="791"/>
      <x:c r="AK199" s="791"/>
      <x:c r="AL199" s="793" t="str">
        <x:f>IF($A199="","",IF(OR($H199="Lost",$H199="Converted"),"",IF(OR($C199&lt;&gt;"",$D199&lt;&gt;""),10,0)+IF(AND(ISNUMBER($O199),$O199&gt;0),20,0)+IF($AE199="Yes",15,0)+IF($AF199="Yes",15,IF($AF199="Joint",10,0))+IF(OR($AG199="Immediate",$AG199="0-30 days"),20,IF($AG199="1-3 months",10,0))+IF(OR($AC199="Cash",$AD199="Pre-approved",$AD199="Approved"),10,0)+IF(ISNUMBER($V199),10,0)))</x:f>
      </x:c>
      <x:c r="AM199" s="793" t="str">
        <x:f>IF($A199="","",IF($H199="Lost","Lost",IF($H199="Converted","Converted",IF(NOT(ISNUMBER($AL199)),"",IF($AL199&gt;=75,"Hot",IF($AL199&gt;=45,"Warm","Nurture"))))))</x:f>
      </x:c>
      <x:c r="AN199" s="794"/>
      <x:c r="AO199" s="791"/>
      <x:c r="AP199" s="791"/>
      <x:c r="AQ199" s="794"/>
      <x:c r="AR199" s="794"/>
      <x:c r="AS199" s="791"/>
    </x:row>
    <x:row r="200" ht="26" customHeight="1">
      <x:c r="A200" s="317"/>
      <x:c r="B200" s="318"/>
      <x:c r="C200" s="327"/>
      <x:c r="D200" s="235"/>
      <x:c r="E200" s="235"/>
      <x:c r="F200" s="235"/>
      <x:c r="G200" s="235"/>
      <x:c r="H200" s="235"/>
      <x:c r="I200" s="235"/>
      <x:c r="J200" s="235"/>
      <x:c r="K200" s="235"/>
      <x:c r="L200" s="235"/>
      <x:c r="M200" s="376"/>
      <x:c r="N200" s="236"/>
      <x:c r="O200" s="236"/>
      <x:c r="P200" s="235"/>
      <x:c r="Q200" s="238"/>
      <x:c r="R200" s="238"/>
      <x:c r="S200" s="235"/>
      <x:c r="T200" s="315" t="str">
        <x:f>IF(A200="","",IF(OR(AND(C200&lt;&gt;"",COUNTIFS($C$6:$C$205,C200)&gt;1),AND(D200&lt;&gt;"",COUNTIFS($D$6:$D$205,D200)&gt;1)),"Check duplicate",""))</x:f>
      </x:c>
      <x:c r="U200" s="374" t="str">
        <x:f>IF(A200="","",IF(COUNTIFS('Follow-ups'!$B$6:$B$205,A200,'Follow-ups'!$D$6:$D$205,"&gt;0",'Follow-ups'!$D$6:$D$205,"&lt;="&amp;TODAY())=0,"",_xlfn.MAXIFS('Follow-ups'!$D$6:$D$205,'Follow-ups'!$B$6:$B$205,A200,'Follow-ups'!$D$6:$D$205,"&lt;="&amp;TODAY())))</x:f>
      </x:c>
      <x:c r="V200" s="374" t="str">
        <x:f>IF(A200="","",IF(COUNTIFS('Follow-ups'!$B$6:$B$205,A200,'Follow-ups'!$I$6:$I$205,"Open",'Follow-ups'!$H$6:$H$205,"&gt;0")=0,"",_xlfn.MINIFS('Follow-ups'!$H$6:$H$205,'Follow-ups'!$B$6:$B$205,A200,'Follow-ups'!$I$6:$I$205,"Open",'Follow-ups'!$H$6:$H$205,"&gt;0")))</x:f>
      </x:c>
      <x:c r="W200" s="265" t="str">
        <x:f>IF(A200="","",IF(OR(H200="Converted",H200="Lost"),"Closed lead",IF(H200="On Hold","On hold",IF(ISNUMBER(V200),IF(V200&lt;TODAY(),"Overdue",IF(V200=TODAY(),"Due today","Scheduled")),IF(COUNTIFS('Follow-ups'!$B$6:$B$205,A200,'Follow-ups'!$I$6:$I$205,"Open")&gt;0,"Set task due date","No open task")))))</x:f>
      </x:c>
      <x:c r="X200" s="235"/>
      <x:c r="Y200" s="235"/>
      <x:c r="Z200" s="235"/>
      <x:c r="AA200" s="315" t="str">
        <x:f>IF(A200="","",IF(COUNTIFS($A$6:$A$205,A200)&gt;1,"Duplicate ID",IF(B200="","Add name",IF(AND(C200="",D200=""),"Add phone or email",IF(H200="","Set lead stage",IF(NOT(ISNUMBER(R200)),"Add date added",IF(AND(ISNUMBER(N200),ISNUMBER(O200),N200&gt;O200),"Check budget range",IF(AND(H200="Lost",Y200=""),"Add lost reason",""))))))))</x:f>
      </x:c>
      <x:c r="AB200" s="791"/>
      <x:c r="AC200" s="791"/>
      <x:c r="AD200" s="791"/>
      <x:c r="AE200" s="791"/>
      <x:c r="AF200" s="791"/>
      <x:c r="AG200" s="791"/>
      <x:c r="AH200" s="791"/>
      <x:c r="AI200" s="791"/>
      <x:c r="AJ200" s="791"/>
      <x:c r="AK200" s="791"/>
      <x:c r="AL200" s="793" t="str">
        <x:f>IF($A200="","",IF(OR($H200="Lost",$H200="Converted"),"",IF(OR($C200&lt;&gt;"",$D200&lt;&gt;""),10,0)+IF(AND(ISNUMBER($O200),$O200&gt;0),20,0)+IF($AE200="Yes",15,0)+IF($AF200="Yes",15,IF($AF200="Joint",10,0))+IF(OR($AG200="Immediate",$AG200="0-30 days"),20,IF($AG200="1-3 months",10,0))+IF(OR($AC200="Cash",$AD200="Pre-approved",$AD200="Approved"),10,0)+IF(ISNUMBER($V200),10,0)))</x:f>
      </x:c>
      <x:c r="AM200" s="793" t="str">
        <x:f>IF($A200="","",IF($H200="Lost","Lost",IF($H200="Converted","Converted",IF(NOT(ISNUMBER($AL200)),"",IF($AL200&gt;=75,"Hot",IF($AL200&gt;=45,"Warm","Nurture"))))))</x:f>
      </x:c>
      <x:c r="AN200" s="794"/>
      <x:c r="AO200" s="791"/>
      <x:c r="AP200" s="791"/>
      <x:c r="AQ200" s="794"/>
      <x:c r="AR200" s="794"/>
      <x:c r="AS200" s="791"/>
    </x:row>
    <x:row r="201" ht="26" customHeight="1">
      <x:c r="A201" s="319"/>
      <x:c r="B201" s="320"/>
      <x:c r="C201" s="331"/>
      <x:c r="D201" s="274"/>
      <x:c r="E201" s="274"/>
      <x:c r="F201" s="274"/>
      <x:c r="G201" s="274"/>
      <x:c r="H201" s="274"/>
      <x:c r="I201" s="274"/>
      <x:c r="J201" s="274"/>
      <x:c r="K201" s="274"/>
      <x:c r="L201" s="274"/>
      <x:c r="M201" s="377"/>
      <x:c r="N201" s="302"/>
      <x:c r="O201" s="302"/>
      <x:c r="P201" s="274"/>
      <x:c r="Q201" s="304"/>
      <x:c r="R201" s="304"/>
      <x:c r="S201" s="274"/>
      <x:c r="T201" s="315" t="str">
        <x:f>IF(A201="","",IF(OR(AND(C201&lt;&gt;"",COUNTIFS($C$6:$C$205,C201)&gt;1),AND(D201&lt;&gt;"",COUNTIFS($D$6:$D$205,D201)&gt;1)),"Check duplicate",""))</x:f>
      </x:c>
      <x:c r="U201" s="374" t="str">
        <x:f>IF(A201="","",IF(COUNTIFS('Follow-ups'!$B$6:$B$205,A201,'Follow-ups'!$D$6:$D$205,"&gt;0",'Follow-ups'!$D$6:$D$205,"&lt;="&amp;TODAY())=0,"",_xlfn.MAXIFS('Follow-ups'!$D$6:$D$205,'Follow-ups'!$B$6:$B$205,A201,'Follow-ups'!$D$6:$D$205,"&lt;="&amp;TODAY())))</x:f>
      </x:c>
      <x:c r="V201" s="374" t="str">
        <x:f>IF(A201="","",IF(COUNTIFS('Follow-ups'!$B$6:$B$205,A201,'Follow-ups'!$I$6:$I$205,"Open",'Follow-ups'!$H$6:$H$205,"&gt;0")=0,"",_xlfn.MINIFS('Follow-ups'!$H$6:$H$205,'Follow-ups'!$B$6:$B$205,A201,'Follow-ups'!$I$6:$I$205,"Open",'Follow-ups'!$H$6:$H$205,"&gt;0")))</x:f>
      </x:c>
      <x:c r="W201" s="265" t="str">
        <x:f>IF(A201="","",IF(OR(H201="Converted",H201="Lost"),"Closed lead",IF(H201="On Hold","On hold",IF(ISNUMBER(V201),IF(V201&lt;TODAY(),"Overdue",IF(V201=TODAY(),"Due today","Scheduled")),IF(COUNTIFS('Follow-ups'!$B$6:$B$205,A201,'Follow-ups'!$I$6:$I$205,"Open")&gt;0,"Set task due date","No open task")))))</x:f>
      </x:c>
      <x:c r="X201" s="274"/>
      <x:c r="Y201" s="274"/>
      <x:c r="Z201" s="274"/>
      <x:c r="AA201" s="315" t="str">
        <x:f>IF(A201="","",IF(COUNTIFS($A$6:$A$205,A201)&gt;1,"Duplicate ID",IF(B201="","Add name",IF(AND(C201="",D201=""),"Add phone or email",IF(H201="","Set lead stage",IF(NOT(ISNUMBER(R201)),"Add date added",IF(AND(ISNUMBER(N201),ISNUMBER(O201),N201&gt;O201),"Check budget range",IF(AND(H201="Lost",Y201=""),"Add lost reason",""))))))))</x:f>
      </x:c>
      <x:c r="AB201" s="791"/>
      <x:c r="AC201" s="791"/>
      <x:c r="AD201" s="791"/>
      <x:c r="AE201" s="791"/>
      <x:c r="AF201" s="791"/>
      <x:c r="AG201" s="791"/>
      <x:c r="AH201" s="791"/>
      <x:c r="AI201" s="791"/>
      <x:c r="AJ201" s="791"/>
      <x:c r="AK201" s="791"/>
      <x:c r="AL201" s="793" t="str">
        <x:f>IF($A201="","",IF(OR($H201="Lost",$H201="Converted"),"",IF(OR($C201&lt;&gt;"",$D201&lt;&gt;""),10,0)+IF(AND(ISNUMBER($O201),$O201&gt;0),20,0)+IF($AE201="Yes",15,0)+IF($AF201="Yes",15,IF($AF201="Joint",10,0))+IF(OR($AG201="Immediate",$AG201="0-30 days"),20,IF($AG201="1-3 months",10,0))+IF(OR($AC201="Cash",$AD201="Pre-approved",$AD201="Approved"),10,0)+IF(ISNUMBER($V201),10,0)))</x:f>
      </x:c>
      <x:c r="AM201" s="793" t="str">
        <x:f>IF($A201="","",IF($H201="Lost","Lost",IF($H201="Converted","Converted",IF(NOT(ISNUMBER($AL201)),"",IF($AL201&gt;=75,"Hot",IF($AL201&gt;=45,"Warm","Nurture"))))))</x:f>
      </x:c>
      <x:c r="AN201" s="794"/>
      <x:c r="AO201" s="791"/>
      <x:c r="AP201" s="791"/>
      <x:c r="AQ201" s="794"/>
      <x:c r="AR201" s="794"/>
      <x:c r="AS201" s="791"/>
    </x:row>
    <x:row r="202" ht="26" customHeight="1">
      <x:c r="A202" s="317"/>
      <x:c r="B202" s="318"/>
      <x:c r="C202" s="327"/>
      <x:c r="D202" s="235"/>
      <x:c r="E202" s="235"/>
      <x:c r="F202" s="235"/>
      <x:c r="G202" s="235"/>
      <x:c r="H202" s="235"/>
      <x:c r="I202" s="235"/>
      <x:c r="J202" s="235"/>
      <x:c r="K202" s="235"/>
      <x:c r="L202" s="235"/>
      <x:c r="M202" s="376"/>
      <x:c r="N202" s="236"/>
      <x:c r="O202" s="236"/>
      <x:c r="P202" s="235"/>
      <x:c r="Q202" s="238"/>
      <x:c r="R202" s="238"/>
      <x:c r="S202" s="235"/>
      <x:c r="T202" s="315" t="str">
        <x:f>IF(A202="","",IF(OR(AND(C202&lt;&gt;"",COUNTIFS($C$6:$C$205,C202)&gt;1),AND(D202&lt;&gt;"",COUNTIFS($D$6:$D$205,D202)&gt;1)),"Check duplicate",""))</x:f>
      </x:c>
      <x:c r="U202" s="374" t="str">
        <x:f>IF(A202="","",IF(COUNTIFS('Follow-ups'!$B$6:$B$205,A202,'Follow-ups'!$D$6:$D$205,"&gt;0",'Follow-ups'!$D$6:$D$205,"&lt;="&amp;TODAY())=0,"",_xlfn.MAXIFS('Follow-ups'!$D$6:$D$205,'Follow-ups'!$B$6:$B$205,A202,'Follow-ups'!$D$6:$D$205,"&lt;="&amp;TODAY())))</x:f>
      </x:c>
      <x:c r="V202" s="374" t="str">
        <x:f>IF(A202="","",IF(COUNTIFS('Follow-ups'!$B$6:$B$205,A202,'Follow-ups'!$I$6:$I$205,"Open",'Follow-ups'!$H$6:$H$205,"&gt;0")=0,"",_xlfn.MINIFS('Follow-ups'!$H$6:$H$205,'Follow-ups'!$B$6:$B$205,A202,'Follow-ups'!$I$6:$I$205,"Open",'Follow-ups'!$H$6:$H$205,"&gt;0")))</x:f>
      </x:c>
      <x:c r="W202" s="265" t="str">
        <x:f>IF(A202="","",IF(OR(H202="Converted",H202="Lost"),"Closed lead",IF(H202="On Hold","On hold",IF(ISNUMBER(V202),IF(V202&lt;TODAY(),"Overdue",IF(V202=TODAY(),"Due today","Scheduled")),IF(COUNTIFS('Follow-ups'!$B$6:$B$205,A202,'Follow-ups'!$I$6:$I$205,"Open")&gt;0,"Set task due date","No open task")))))</x:f>
      </x:c>
      <x:c r="X202" s="235"/>
      <x:c r="Y202" s="235"/>
      <x:c r="Z202" s="235"/>
      <x:c r="AA202" s="315" t="str">
        <x:f>IF(A202="","",IF(COUNTIFS($A$6:$A$205,A202)&gt;1,"Duplicate ID",IF(B202="","Add name",IF(AND(C202="",D202=""),"Add phone or email",IF(H202="","Set lead stage",IF(NOT(ISNUMBER(R202)),"Add date added",IF(AND(ISNUMBER(N202),ISNUMBER(O202),N202&gt;O202),"Check budget range",IF(AND(H202="Lost",Y202=""),"Add lost reason",""))))))))</x:f>
      </x:c>
      <x:c r="AB202" s="791"/>
      <x:c r="AC202" s="791"/>
      <x:c r="AD202" s="791"/>
      <x:c r="AE202" s="791"/>
      <x:c r="AF202" s="791"/>
      <x:c r="AG202" s="791"/>
      <x:c r="AH202" s="791"/>
      <x:c r="AI202" s="791"/>
      <x:c r="AJ202" s="791"/>
      <x:c r="AK202" s="791"/>
      <x:c r="AL202" s="793" t="str">
        <x:f>IF($A202="","",IF(OR($H202="Lost",$H202="Converted"),"",IF(OR($C202&lt;&gt;"",$D202&lt;&gt;""),10,0)+IF(AND(ISNUMBER($O202),$O202&gt;0),20,0)+IF($AE202="Yes",15,0)+IF($AF202="Yes",15,IF($AF202="Joint",10,0))+IF(OR($AG202="Immediate",$AG202="0-30 days"),20,IF($AG202="1-3 months",10,0))+IF(OR($AC202="Cash",$AD202="Pre-approved",$AD202="Approved"),10,0)+IF(ISNUMBER($V202),10,0)))</x:f>
      </x:c>
      <x:c r="AM202" s="793" t="str">
        <x:f>IF($A202="","",IF($H202="Lost","Lost",IF($H202="Converted","Converted",IF(NOT(ISNUMBER($AL202)),"",IF($AL202&gt;=75,"Hot",IF($AL202&gt;=45,"Warm","Nurture"))))))</x:f>
      </x:c>
      <x:c r="AN202" s="794"/>
      <x:c r="AO202" s="791"/>
      <x:c r="AP202" s="791"/>
      <x:c r="AQ202" s="794"/>
      <x:c r="AR202" s="794"/>
      <x:c r="AS202" s="791"/>
    </x:row>
    <x:row r="203" ht="26" customHeight="1">
      <x:c r="A203" s="319"/>
      <x:c r="B203" s="320"/>
      <x:c r="C203" s="331"/>
      <x:c r="D203" s="274"/>
      <x:c r="E203" s="274"/>
      <x:c r="F203" s="274"/>
      <x:c r="G203" s="274"/>
      <x:c r="H203" s="274"/>
      <x:c r="I203" s="274"/>
      <x:c r="J203" s="274"/>
      <x:c r="K203" s="274"/>
      <x:c r="L203" s="274"/>
      <x:c r="M203" s="377"/>
      <x:c r="N203" s="302"/>
      <x:c r="O203" s="302"/>
      <x:c r="P203" s="274"/>
      <x:c r="Q203" s="304"/>
      <x:c r="R203" s="304"/>
      <x:c r="S203" s="274"/>
      <x:c r="T203" s="315" t="str">
        <x:f>IF(A203="","",IF(OR(AND(C203&lt;&gt;"",COUNTIFS($C$6:$C$205,C203)&gt;1),AND(D203&lt;&gt;"",COUNTIFS($D$6:$D$205,D203)&gt;1)),"Check duplicate",""))</x:f>
      </x:c>
      <x:c r="U203" s="374" t="str">
        <x:f>IF(A203="","",IF(COUNTIFS('Follow-ups'!$B$6:$B$205,A203,'Follow-ups'!$D$6:$D$205,"&gt;0",'Follow-ups'!$D$6:$D$205,"&lt;="&amp;TODAY())=0,"",_xlfn.MAXIFS('Follow-ups'!$D$6:$D$205,'Follow-ups'!$B$6:$B$205,A203,'Follow-ups'!$D$6:$D$205,"&lt;="&amp;TODAY())))</x:f>
      </x:c>
      <x:c r="V203" s="374" t="str">
        <x:f>IF(A203="","",IF(COUNTIFS('Follow-ups'!$B$6:$B$205,A203,'Follow-ups'!$I$6:$I$205,"Open",'Follow-ups'!$H$6:$H$205,"&gt;0")=0,"",_xlfn.MINIFS('Follow-ups'!$H$6:$H$205,'Follow-ups'!$B$6:$B$205,A203,'Follow-ups'!$I$6:$I$205,"Open",'Follow-ups'!$H$6:$H$205,"&gt;0")))</x:f>
      </x:c>
      <x:c r="W203" s="265" t="str">
        <x:f>IF(A203="","",IF(OR(H203="Converted",H203="Lost"),"Closed lead",IF(H203="On Hold","On hold",IF(ISNUMBER(V203),IF(V203&lt;TODAY(),"Overdue",IF(V203=TODAY(),"Due today","Scheduled")),IF(COUNTIFS('Follow-ups'!$B$6:$B$205,A203,'Follow-ups'!$I$6:$I$205,"Open")&gt;0,"Set task due date","No open task")))))</x:f>
      </x:c>
      <x:c r="X203" s="274"/>
      <x:c r="Y203" s="274"/>
      <x:c r="Z203" s="274"/>
      <x:c r="AA203" s="315" t="str">
        <x:f>IF(A203="","",IF(COUNTIFS($A$6:$A$205,A203)&gt;1,"Duplicate ID",IF(B203="","Add name",IF(AND(C203="",D203=""),"Add phone or email",IF(H203="","Set lead stage",IF(NOT(ISNUMBER(R203)),"Add date added",IF(AND(ISNUMBER(N203),ISNUMBER(O203),N203&gt;O203),"Check budget range",IF(AND(H203="Lost",Y203=""),"Add lost reason",""))))))))</x:f>
      </x:c>
      <x:c r="AB203" s="791"/>
      <x:c r="AC203" s="791"/>
      <x:c r="AD203" s="791"/>
      <x:c r="AE203" s="791"/>
      <x:c r="AF203" s="791"/>
      <x:c r="AG203" s="791"/>
      <x:c r="AH203" s="791"/>
      <x:c r="AI203" s="791"/>
      <x:c r="AJ203" s="791"/>
      <x:c r="AK203" s="791"/>
      <x:c r="AL203" s="793" t="str">
        <x:f>IF($A203="","",IF(OR($H203="Lost",$H203="Converted"),"",IF(OR($C203&lt;&gt;"",$D203&lt;&gt;""),10,0)+IF(AND(ISNUMBER($O203),$O203&gt;0),20,0)+IF($AE203="Yes",15,0)+IF($AF203="Yes",15,IF($AF203="Joint",10,0))+IF(OR($AG203="Immediate",$AG203="0-30 days"),20,IF($AG203="1-3 months",10,0))+IF(OR($AC203="Cash",$AD203="Pre-approved",$AD203="Approved"),10,0)+IF(ISNUMBER($V203),10,0)))</x:f>
      </x:c>
      <x:c r="AM203" s="793" t="str">
        <x:f>IF($A203="","",IF($H203="Lost","Lost",IF($H203="Converted","Converted",IF(NOT(ISNUMBER($AL203)),"",IF($AL203&gt;=75,"Hot",IF($AL203&gt;=45,"Warm","Nurture"))))))</x:f>
      </x:c>
      <x:c r="AN203" s="794"/>
      <x:c r="AO203" s="791"/>
      <x:c r="AP203" s="791"/>
      <x:c r="AQ203" s="794"/>
      <x:c r="AR203" s="794"/>
      <x:c r="AS203" s="791"/>
    </x:row>
    <x:row r="204" ht="26" customHeight="1">
      <x:c r="A204" s="317"/>
      <x:c r="B204" s="318"/>
      <x:c r="C204" s="327"/>
      <x:c r="D204" s="235"/>
      <x:c r="E204" s="235"/>
      <x:c r="F204" s="235"/>
      <x:c r="G204" s="235"/>
      <x:c r="H204" s="235"/>
      <x:c r="I204" s="235"/>
      <x:c r="J204" s="235"/>
      <x:c r="K204" s="235"/>
      <x:c r="L204" s="235"/>
      <x:c r="M204" s="376"/>
      <x:c r="N204" s="236"/>
      <x:c r="O204" s="236"/>
      <x:c r="P204" s="235"/>
      <x:c r="Q204" s="238"/>
      <x:c r="R204" s="238"/>
      <x:c r="S204" s="235"/>
      <x:c r="T204" s="315" t="str">
        <x:f>IF(A204="","",IF(OR(AND(C204&lt;&gt;"",COUNTIFS($C$6:$C$205,C204)&gt;1),AND(D204&lt;&gt;"",COUNTIFS($D$6:$D$205,D204)&gt;1)),"Check duplicate",""))</x:f>
      </x:c>
      <x:c r="U204" s="374" t="str">
        <x:f>IF(A204="","",IF(COUNTIFS('Follow-ups'!$B$6:$B$205,A204,'Follow-ups'!$D$6:$D$205,"&gt;0",'Follow-ups'!$D$6:$D$205,"&lt;="&amp;TODAY())=0,"",_xlfn.MAXIFS('Follow-ups'!$D$6:$D$205,'Follow-ups'!$B$6:$B$205,A204,'Follow-ups'!$D$6:$D$205,"&lt;="&amp;TODAY())))</x:f>
      </x:c>
      <x:c r="V204" s="374" t="str">
        <x:f>IF(A204="","",IF(COUNTIFS('Follow-ups'!$B$6:$B$205,A204,'Follow-ups'!$I$6:$I$205,"Open",'Follow-ups'!$H$6:$H$205,"&gt;0")=0,"",_xlfn.MINIFS('Follow-ups'!$H$6:$H$205,'Follow-ups'!$B$6:$B$205,A204,'Follow-ups'!$I$6:$I$205,"Open",'Follow-ups'!$H$6:$H$205,"&gt;0")))</x:f>
      </x:c>
      <x:c r="W204" s="265" t="str">
        <x:f>IF(A204="","",IF(OR(H204="Converted",H204="Lost"),"Closed lead",IF(H204="On Hold","On hold",IF(ISNUMBER(V204),IF(V204&lt;TODAY(),"Overdue",IF(V204=TODAY(),"Due today","Scheduled")),IF(COUNTIFS('Follow-ups'!$B$6:$B$205,A204,'Follow-ups'!$I$6:$I$205,"Open")&gt;0,"Set task due date","No open task")))))</x:f>
      </x:c>
      <x:c r="X204" s="235"/>
      <x:c r="Y204" s="235"/>
      <x:c r="Z204" s="235"/>
      <x:c r="AA204" s="315" t="str">
        <x:f>IF(A204="","",IF(COUNTIFS($A$6:$A$205,A204)&gt;1,"Duplicate ID",IF(B204="","Add name",IF(AND(C204="",D204=""),"Add phone or email",IF(H204="","Set lead stage",IF(NOT(ISNUMBER(R204)),"Add date added",IF(AND(ISNUMBER(N204),ISNUMBER(O204),N204&gt;O204),"Check budget range",IF(AND(H204="Lost",Y204=""),"Add lost reason",""))))))))</x:f>
      </x:c>
      <x:c r="AB204" s="791"/>
      <x:c r="AC204" s="791"/>
      <x:c r="AD204" s="791"/>
      <x:c r="AE204" s="791"/>
      <x:c r="AF204" s="791"/>
      <x:c r="AG204" s="791"/>
      <x:c r="AH204" s="791"/>
      <x:c r="AI204" s="791"/>
      <x:c r="AJ204" s="791"/>
      <x:c r="AK204" s="791"/>
      <x:c r="AL204" s="793" t="str">
        <x:f>IF($A204="","",IF(OR($H204="Lost",$H204="Converted"),"",IF(OR($C204&lt;&gt;"",$D204&lt;&gt;""),10,0)+IF(AND(ISNUMBER($O204),$O204&gt;0),20,0)+IF($AE204="Yes",15,0)+IF($AF204="Yes",15,IF($AF204="Joint",10,0))+IF(OR($AG204="Immediate",$AG204="0-30 days"),20,IF($AG204="1-3 months",10,0))+IF(OR($AC204="Cash",$AD204="Pre-approved",$AD204="Approved"),10,0)+IF(ISNUMBER($V204),10,0)))</x:f>
      </x:c>
      <x:c r="AM204" s="793" t="str">
        <x:f>IF($A204="","",IF($H204="Lost","Lost",IF($H204="Converted","Converted",IF(NOT(ISNUMBER($AL204)),"",IF($AL204&gt;=75,"Hot",IF($AL204&gt;=45,"Warm","Nurture"))))))</x:f>
      </x:c>
      <x:c r="AN204" s="794"/>
      <x:c r="AO204" s="791"/>
      <x:c r="AP204" s="791"/>
      <x:c r="AQ204" s="794"/>
      <x:c r="AR204" s="794"/>
      <x:c r="AS204" s="791"/>
    </x:row>
    <x:row r="205" ht="26" customHeight="1">
      <x:c r="A205" s="321"/>
      <x:c r="B205" s="322"/>
      <x:c r="C205" s="333"/>
      <x:c r="D205" s="307"/>
      <x:c r="E205" s="307"/>
      <x:c r="F205" s="307"/>
      <x:c r="G205" s="307"/>
      <x:c r="H205" s="307"/>
      <x:c r="I205" s="307"/>
      <x:c r="J205" s="307"/>
      <x:c r="K205" s="307"/>
      <x:c r="L205" s="307"/>
      <x:c r="M205" s="378"/>
      <x:c r="N205" s="308"/>
      <x:c r="O205" s="308"/>
      <x:c r="P205" s="307"/>
      <x:c r="Q205" s="310"/>
      <x:c r="R205" s="310"/>
      <x:c r="S205" s="307"/>
      <x:c r="T205" s="316" t="str">
        <x:f>IF(A205="","",IF(OR(AND(C205&lt;&gt;"",COUNTIFS($C$6:$C$205,C205)&gt;1),AND(D205&lt;&gt;"",COUNTIFS($D$6:$D$205,D205)&gt;1)),"Check duplicate",""))</x:f>
      </x:c>
      <x:c r="U205" s="375" t="str">
        <x:f>IF(A205="","",IF(COUNTIFS('Follow-ups'!$B$6:$B$205,A205,'Follow-ups'!$D$6:$D$205,"&gt;0",'Follow-ups'!$D$6:$D$205,"&lt;="&amp;TODAY())=0,"",_xlfn.MAXIFS('Follow-ups'!$D$6:$D$205,'Follow-ups'!$B$6:$B$205,A205,'Follow-ups'!$D$6:$D$205,"&lt;="&amp;TODAY())))</x:f>
      </x:c>
      <x:c r="V205" s="375" t="str">
        <x:f>IF(A205="","",IF(COUNTIFS('Follow-ups'!$B$6:$B$205,A205,'Follow-ups'!$I$6:$I$205,"Open",'Follow-ups'!$H$6:$H$205,"&gt;0")=0,"",_xlfn.MINIFS('Follow-ups'!$H$6:$H$205,'Follow-ups'!$B$6:$B$205,A205,'Follow-ups'!$I$6:$I$205,"Open",'Follow-ups'!$H$6:$H$205,"&gt;0")))</x:f>
      </x:c>
      <x:c r="W205" s="314" t="str">
        <x:f>IF(A205="","",IF(OR(H205="Converted",H205="Lost"),"Closed lead",IF(H205="On Hold","On hold",IF(ISNUMBER(V205),IF(V205&lt;TODAY(),"Overdue",IF(V205=TODAY(),"Due today","Scheduled")),IF(COUNTIFS('Follow-ups'!$B$6:$B$205,A205,'Follow-ups'!$I$6:$I$205,"Open")&gt;0,"Set task due date","No open task")))))</x:f>
      </x:c>
      <x:c r="X205" s="307"/>
      <x:c r="Y205" s="307"/>
      <x:c r="Z205" s="307"/>
      <x:c r="AA205" s="316" t="str">
        <x:f>IF(A205="","",IF(COUNTIFS($A$6:$A$205,A205)&gt;1,"Duplicate ID",IF(B205="","Add name",IF(AND(C205="",D205=""),"Add phone or email",IF(H205="","Set lead stage",IF(NOT(ISNUMBER(R205)),"Add date added",IF(AND(ISNUMBER(N205),ISNUMBER(O205),N205&gt;O205),"Check budget range",IF(AND(H205="Lost",Y205=""),"Add lost reason",""))))))))</x:f>
      </x:c>
      <x:c r="AB205" s="791"/>
      <x:c r="AC205" s="791"/>
      <x:c r="AD205" s="791"/>
      <x:c r="AE205" s="791"/>
      <x:c r="AF205" s="791"/>
      <x:c r="AG205" s="791"/>
      <x:c r="AH205" s="791"/>
      <x:c r="AI205" s="791"/>
      <x:c r="AJ205" s="791"/>
      <x:c r="AK205" s="791"/>
      <x:c r="AL205" s="793" t="str">
        <x:f>IF($A205="","",IF(OR($H205="Lost",$H205="Converted"),"",IF(OR($C205&lt;&gt;"",$D205&lt;&gt;""),10,0)+IF(AND(ISNUMBER($O205),$O205&gt;0),20,0)+IF($AE205="Yes",15,0)+IF($AF205="Yes",15,IF($AF205="Joint",10,0))+IF(OR($AG205="Immediate",$AG205="0-30 days"),20,IF($AG205="1-3 months",10,0))+IF(OR($AC205="Cash",$AD205="Pre-approved",$AD205="Approved"),10,0)+IF(ISNUMBER($V205),10,0)))</x:f>
      </x:c>
      <x:c r="AM205" s="793" t="str">
        <x:f>IF($A205="","",IF($H205="Lost","Lost",IF($H205="Converted","Converted",IF(NOT(ISNUMBER($AL205)),"",IF($AL205&gt;=75,"Hot",IF($AL205&gt;=45,"Warm","Nurture"))))))</x:f>
      </x:c>
      <x:c r="AN205" s="794"/>
      <x:c r="AO205" s="791"/>
      <x:c r="AP205" s="791"/>
      <x:c r="AQ205" s="794"/>
      <x:c r="AR205" s="794"/>
      <x:c r="AS205" s="791"/>
    </x:row>
    <x:row r="206">
      <x:c r="A206"/>
    </x:row>
  </x:sheetData>
  <x:mergeCells>
    <x:mergeCell ref="A1:D1"/>
    <x:mergeCell ref="A2:E2"/>
    <x:mergeCell ref="F2:H2"/>
    <x:mergeCell ref="A3:H3"/>
    <x:mergeCell ref="E1:G1"/>
    <x:mergeCell ref="AB4:AK4"/>
    <x:mergeCell ref="AL4:AS4"/>
  </x:mergeCells>
  <x:conditionalFormatting sqref="A6:A205">
    <x:cfRule type="expression" dxfId="0" priority="1">
      <x:formula>AND(A6&lt;&gt;"",COUNTIFS($A$6:$A$205,A6)&gt;1)</x:formula>
    </x:cfRule>
    <x:cfRule type="expression" dxfId="25" priority="5">
      <x:formula>AND(A6&lt;&gt;"",COUNTIFS($A$6:$A$205,A6)&gt;1)</x:formula>
    </x:cfRule>
  </x:conditionalFormatting>
  <x:conditionalFormatting sqref="T6:T205">
    <x:cfRule type="expression" dxfId="10" priority="2">
      <x:formula>T6&lt;&gt;""</x:formula>
    </x:cfRule>
  </x:conditionalFormatting>
  <x:conditionalFormatting sqref="H6:H205">
    <x:cfRule type="cellIs" dxfId="12" priority="3" operator="equal">
      <x:formula>"Converted"</x:formula>
    </x:cfRule>
  </x:conditionalFormatting>
  <x:conditionalFormatting sqref="AA6:AA205">
    <x:cfRule type="expression" dxfId="24" priority="4">
      <x:formula>AA6&lt;&gt;""</x:formula>
    </x:cfRule>
  </x:conditionalFormatting>
  <x:conditionalFormatting sqref="W6:W205">
    <x:cfRule type="cellIs" dxfId="42" priority="6" operator="equal">
      <x:formula>"Overdue"</x:formula>
    </x:cfRule>
    <x:cfRule type="cellIs" dxfId="43" priority="7" operator="equal">
      <x:formula>"No open task"</x:formula>
    </x:cfRule>
    <x:cfRule type="cellIs" dxfId="44" priority="8" operator="equal">
      <x:formula>"Due today"</x:formula>
    </x:cfRule>
  </x:conditionalFormatting>
  <x:conditionalFormatting sqref="AL6:AL205">
    <x:cfRule type="colorScale" priority="9">
      <x:colorScale>
        <x:cfvo type="min"/>
        <x:cfvo type="percentile" val="50"/>
        <x:cfvo type="max"/>
        <x:color rgb="FFFBE4DA"/>
        <x:color rgb="FFFFF2D5"/>
        <x:color rgb="FFC9E8DF"/>
      </x:colorScale>
    </x:cfRule>
  </x:conditionalFormatting>
  <x:conditionalFormatting sqref="AQ6:AQ205">
    <x:cfRule type="expression" dxfId="51" priority="10">
      <x:formula>AND($A6&lt;&gt;"",$AQ6&gt;0,$AQ6&lt;TODAY(),$AS6="Yes")</x:formula>
    </x:cfRule>
  </x:conditionalFormatting>
  <x:dataValidations count="20">
    <x:dataValidation type="list" sqref="F6:F205">
      <x:formula1>"Buyer,Tenant,Seller,Landlord,Investor"</x:formula1>
    </x:dataValidation>
    <x:dataValidation type="list" sqref="G6:G205">
      <x:formula1>"Instagram,TikTok,Facebook,YouTube,LinkedIn,Website,Property portal,Referral,WhatsApp,Walk-in,Other"</x:formula1>
    </x:dataValidation>
    <x:dataValidation type="list" sqref="H6:H205">
      <x:formula1>"New,Contacted,Qualified,Matching,Viewing,Negotiating,Converted,On Hold,Lost"</x:formula1>
    </x:dataValidation>
    <x:dataValidation type="list" sqref="I6:I205">
      <x:formula1>"Buy,Rent"</x:formula1>
    </x:dataValidation>
    <x:dataValidation type="list" sqref="J6:J205">
      <x:formula1>"Dubai,Abu Dhabi,Sharjah,Ajman,Ras Al Khaimah,Fujairah,Umm Al Quwain"</x:formula1>
    </x:dataValidation>
    <x:dataValidation type="list" sqref="L6:L205">
      <x:formula1>"Apartment,Villa,Townhouse,Penthouse,Studio,Office,Shop,Warehouse,Land,Other"</x:formula1>
    </x:dataValidation>
    <x:dataValidation type="list" sqref="P6:P205">
      <x:formula1>"Cash,Mortgage,Not decided,Not applicable"</x:formula1>
    </x:dataValidation>
    <x:dataValidation type="list" sqref="X6:X205">
      <x:formula1>"High,Normal,Low"</x:formula1>
    </x:dataValidation>
    <x:dataValidation type="list" sqref="Y6:Y205">
      <x:formula1>"Budget,Price,Location,Financing,Timing,Competition,No response,Property quality,Changed plans,Other"</x:formula1>
    </x:dataValidation>
    <x:dataValidation type="list" sqref="AB6:AB205">
      <x:formula1>"Investment,Own use,Relocation,Business use,Not yet known"</x:formula1>
    </x:dataValidation>
    <x:dataValidation type="list" sqref="AC6:AC205">
      <x:formula1>"Cash,Mortgage,Company funded,Undecided,Not applicable"</x:formula1>
    </x:dataValidation>
    <x:dataValidation type="list" sqref="AD6:AD205">
      <x:formula1>"Not required,Not started,Applied,Pre-approved,Approved,Declined"</x:formula1>
    </x:dataValidation>
    <x:dataValidation type="list" sqref="AE6:AE205">
      <x:formula1>"Yes,No,Pending"</x:formula1>
    </x:dataValidation>
    <x:dataValidation type="list" sqref="AF6:AF205">
      <x:formula1>"Yes,Joint,No,Not confirmed"</x:formula1>
    </x:dataValidation>
    <x:dataValidation type="list" sqref="AG6:AG205">
      <x:formula1>"Immediate,0-30 days,1-3 months,3-6 months,Exploring"</x:formula1>
    </x:dataValidation>
    <x:dataValidation type="list" sqref="AI6:AI205">
      <x:formula1>"Budget,Price,Location,Financing,Timing,Trust,Property quality,No response,Other"</x:formula1>
    </x:dataValidation>
    <x:dataValidation type="list" sqref="AJ6:AJ205">
      <x:formula1>"WhatsApp,Phone,Email,In person,No contact"</x:formula1>
    </x:dataValidation>
    <x:dataValidation type="list" sqref="AK6:AK205">
      <x:formula1>"Opted in,Not confirmed,Do not contact"</x:formula1>
    </x:dataValidation>
    <x:dataValidation type="list" sqref="AO6:AO205">
      <x:formula1>"New lead,Active prospect,In transaction,Past client,Referral partner,Dormant"</x:formula1>
    </x:dataValidation>
    <x:dataValidation type="list" sqref="AS6:AS205">
      <x:formula1>"Yes,No,Maybe"</x:formula1>
    </x:dataValidation>
  </x:dataValidations>
  <x:pageMargins left="0.7" right="0.7" top="0.75" bottom="0.75" header="0.3" footer="0.3"/>
  <x:tableParts count="1">
    <x:tablePart xmlns:r="http://schemas.openxmlformats.org/officeDocument/2006/relationships" r:id="Re4455b2acfd34207"/>
  </x:tableParts>
</x:worksheet>
</file>

<file path=xl/worksheets/sheet4.xml><?xml version="1.0" encoding="utf-8"?>
<x:worksheet xmlns:x="http://schemas.openxmlformats.org/spreadsheetml/2006/main">
  <x:sheetPr>
    <x:tabColor rgb="FF738996"/>
  </x:sheetPr>
  <x:sheetViews>
    <x:sheetView showGridLines="0" workbookViewId="0">
      <x:pane xSplit="2" ySplit="5" topLeftCell="C6" activePane="bottomRight" state="frozen"/>
    </x:sheetView>
  </x:sheetViews>
  <x:sheetFormatPr defaultRowHeight="15"/>
  <x:cols>
    <x:col min="1" max="1" width="13" hidden="0" customWidth="1"/>
    <x:col min="2" max="2" width="25" hidden="0" customWidth="1"/>
    <x:col min="3" max="3" width="18" hidden="0" customWidth="1"/>
    <x:col min="4" max="4" width="25" hidden="0" customWidth="1"/>
    <x:col min="5" max="5" width="21" hidden="0" customWidth="1"/>
    <x:col min="6" max="6" width="32" hidden="0" customWidth="1"/>
    <x:col min="7" max="7" width="32" hidden="0" customWidth="1"/>
    <x:col min="8" max="8" width="25" hidden="0" customWidth="1"/>
  </x:cols>
  <x:sheetData>
    <x:row r="1" ht="22" customHeight="1">
      <x:c r="A1" s="259" t="str">
        <x:v>KEYS WITH SIMONI</x:v>
      </x:c>
      <x:c r="B1" s="260"/>
      <x:c r="C1" s="260"/>
      <x:c r="D1" s="260"/>
      <x:c r="E1" s="382" t="str">
        <x:v>Records to review</x:v>
      </x:c>
      <x:c r="F1" s="382"/>
      <x:c r="G1" s="382"/>
      <x:c r="H1" s="388" t="n">
        <x:f>SUM(COUNTIFS($H$6:$H$205,"Duplicate ID"),COUNTIFS($H$6:$H$205,"Add name"),COUNTIFS($H$6:$H$205,"Add phone or email"))</x:f>
        <x:v>0</x:v>
      </x:c>
    </x:row>
    <x:row r="2" ht="37" customHeight="1">
      <x:c r="A2" s="263" t="str">
        <x:v>Owners &amp; contacts</x:v>
      </x:c>
      <x:c r="B2" s="264"/>
      <x:c r="C2" s="264"/>
      <x:c r="D2" s="264"/>
      <x:c r="E2" s="264"/>
      <x:c r="F2" s="268" t="str">
        <x:v>White: enter data. Blue-grey: calculated.</x:v>
      </x:c>
      <x:c r="G2" s="268"/>
      <x:c r="H2" s="337"/>
    </x:row>
    <x:row r="3" ht="35" customHeight="1">
      <x:c r="A3" s="271" t="str">
        <x:v>Keep one permanent CT-001 style ID per owner, landlord, developer or partner broker.</x:v>
      </x:c>
      <x:c r="B3" s="272"/>
      <x:c r="C3" s="272"/>
      <x:c r="D3" s="272"/>
      <x:c r="E3" s="272"/>
      <x:c r="F3" s="272"/>
      <x:c r="G3" s="272"/>
      <x:c r="H3" s="339"/>
    </x:row>
    <x:row r="4" ht="24" customHeight="1">
      <x:c r="A4" s="277" t="str">
        <x:v>01  CONTACT DETAILS</x:v>
      </x:c>
      <x:c r="B4" s="278"/>
      <x:c r="C4" s="278"/>
      <x:c r="D4" s="278"/>
      <x:c r="E4" s="279" t="str">
        <x:v>02  COMMUNICATION &amp; REVIEW</x:v>
      </x:c>
      <x:c r="F4" s="279"/>
      <x:c r="G4" s="279"/>
      <x:c r="H4" s="282"/>
    </x:row>
    <x:row r="5" ht="44" customHeight="1">
      <x:c r="A5" s="293" t="str">
        <x:v>Contact
ID</x:v>
      </x:c>
      <x:c r="B5" s="294" t="str">
        <x:v>Full
name</x:v>
      </x:c>
      <x:c r="C5" s="294" t="str">
        <x:v>Contact
type</x:v>
      </x:c>
      <x:c r="D5" s="294" t="str">
        <x:v>Company</x:v>
      </x:c>
      <x:c r="E5" s="294" t="str">
        <x:v>Phone</x:v>
      </x:c>
      <x:c r="F5" s="294" t="str">
        <x:v>Email</x:v>
      </x:c>
      <x:c r="G5" s="294" t="str">
        <x:v>Notes</x:v>
      </x:c>
      <x:c r="H5" s="299" t="str">
        <x:v>Record
check</x:v>
      </x:c>
    </x:row>
    <x:row r="6" ht="26" customHeight="1">
      <x:c r="A6" s="317"/>
      <x:c r="B6" s="318"/>
      <x:c r="C6" s="235"/>
      <x:c r="D6" s="235"/>
      <x:c r="E6" s="327"/>
      <x:c r="F6" s="235"/>
      <x:c r="G6" s="239"/>
      <x:c r="H6" s="315" t="str">
        <x:f>IF(A6="","",IF(COUNTIFS($A$6:$A$205,A6)&gt;1,"Duplicate ID",IF(B6="","Add name",IF(AND(E6="",F6=""),"Add phone or email",""))))</x:f>
      </x:c>
    </x:row>
    <x:row r="7" ht="26" customHeight="1">
      <x:c r="A7" s="319"/>
      <x:c r="B7" s="320"/>
      <x:c r="C7" s="274"/>
      <x:c r="D7" s="274"/>
      <x:c r="E7" s="331"/>
      <x:c r="F7" s="274"/>
      <x:c r="G7" s="280"/>
      <x:c r="H7" s="315" t="str">
        <x:f>IF(A7="","",IF(COUNTIFS($A$6:$A$205,A7)&gt;1,"Duplicate ID",IF(B7="","Add name",IF(AND(E7="",F7=""),"Add phone or email",""))))</x:f>
      </x:c>
    </x:row>
    <x:row r="8" ht="26" customHeight="1">
      <x:c r="A8" s="317"/>
      <x:c r="B8" s="318"/>
      <x:c r="C8" s="235"/>
      <x:c r="D8" s="235"/>
      <x:c r="E8" s="327"/>
      <x:c r="F8" s="235"/>
      <x:c r="G8" s="239"/>
      <x:c r="H8" s="315" t="str">
        <x:f>IF(A8="","",IF(COUNTIFS($A$6:$A$205,A8)&gt;1,"Duplicate ID",IF(B8="","Add name",IF(AND(E8="",F8=""),"Add phone or email",""))))</x:f>
      </x:c>
    </x:row>
    <x:row r="9" ht="26" customHeight="1">
      <x:c r="A9" s="319"/>
      <x:c r="B9" s="320"/>
      <x:c r="C9" s="274"/>
      <x:c r="D9" s="274"/>
      <x:c r="E9" s="331"/>
      <x:c r="F9" s="274"/>
      <x:c r="G9" s="280"/>
      <x:c r="H9" s="315" t="str">
        <x:f>IF(A9="","",IF(COUNTIFS($A$6:$A$205,A9)&gt;1,"Duplicate ID",IF(B9="","Add name",IF(AND(E9="",F9=""),"Add phone or email",""))))</x:f>
      </x:c>
    </x:row>
    <x:row r="10" ht="26" customHeight="1">
      <x:c r="A10" s="317"/>
      <x:c r="B10" s="318"/>
      <x:c r="C10" s="235"/>
      <x:c r="D10" s="235"/>
      <x:c r="E10" s="327"/>
      <x:c r="F10" s="235"/>
      <x:c r="G10" s="239"/>
      <x:c r="H10" s="315" t="str">
        <x:f>IF(A10="","",IF(COUNTIFS($A$6:$A$205,A10)&gt;1,"Duplicate ID",IF(B10="","Add name",IF(AND(E10="",F10=""),"Add phone or email",""))))</x:f>
      </x:c>
    </x:row>
    <x:row r="11" ht="26" customHeight="1">
      <x:c r="A11" s="319"/>
      <x:c r="B11" s="320"/>
      <x:c r="C11" s="274"/>
      <x:c r="D11" s="274"/>
      <x:c r="E11" s="331"/>
      <x:c r="F11" s="274"/>
      <x:c r="G11" s="280"/>
      <x:c r="H11" s="315" t="str">
        <x:f>IF(A11="","",IF(COUNTIFS($A$6:$A$205,A11)&gt;1,"Duplicate ID",IF(B11="","Add name",IF(AND(E11="",F11=""),"Add phone or email",""))))</x:f>
      </x:c>
    </x:row>
    <x:row r="12" ht="26" customHeight="1">
      <x:c r="A12" s="317"/>
      <x:c r="B12" s="318"/>
      <x:c r="C12" s="235"/>
      <x:c r="D12" s="235"/>
      <x:c r="E12" s="327"/>
      <x:c r="F12" s="235"/>
      <x:c r="G12" s="239"/>
      <x:c r="H12" s="315" t="str">
        <x:f>IF(A12="","",IF(COUNTIFS($A$6:$A$205,A12)&gt;1,"Duplicate ID",IF(B12="","Add name",IF(AND(E12="",F12=""),"Add phone or email",""))))</x:f>
      </x:c>
    </x:row>
    <x:row r="13" ht="26" customHeight="1">
      <x:c r="A13" s="319"/>
      <x:c r="B13" s="320"/>
      <x:c r="C13" s="274"/>
      <x:c r="D13" s="274"/>
      <x:c r="E13" s="331"/>
      <x:c r="F13" s="274"/>
      <x:c r="G13" s="280"/>
      <x:c r="H13" s="315" t="str">
        <x:f>IF(A13="","",IF(COUNTIFS($A$6:$A$205,A13)&gt;1,"Duplicate ID",IF(B13="","Add name",IF(AND(E13="",F13=""),"Add phone or email",""))))</x:f>
      </x:c>
    </x:row>
    <x:row r="14" ht="26" customHeight="1">
      <x:c r="A14" s="317"/>
      <x:c r="B14" s="318"/>
      <x:c r="C14" s="235"/>
      <x:c r="D14" s="235"/>
      <x:c r="E14" s="327"/>
      <x:c r="F14" s="235"/>
      <x:c r="G14" s="239"/>
      <x:c r="H14" s="315" t="str">
        <x:f>IF(A14="","",IF(COUNTIFS($A$6:$A$205,A14)&gt;1,"Duplicate ID",IF(B14="","Add name",IF(AND(E14="",F14=""),"Add phone or email",""))))</x:f>
      </x:c>
    </x:row>
    <x:row r="15" ht="26" customHeight="1">
      <x:c r="A15" s="319"/>
      <x:c r="B15" s="320"/>
      <x:c r="C15" s="274"/>
      <x:c r="D15" s="274"/>
      <x:c r="E15" s="331"/>
      <x:c r="F15" s="274"/>
      <x:c r="G15" s="280"/>
      <x:c r="H15" s="315" t="str">
        <x:f>IF(A15="","",IF(COUNTIFS($A$6:$A$205,A15)&gt;1,"Duplicate ID",IF(B15="","Add name",IF(AND(E15="",F15=""),"Add phone or email",""))))</x:f>
      </x:c>
    </x:row>
    <x:row r="16" ht="26" customHeight="1">
      <x:c r="A16" s="317"/>
      <x:c r="B16" s="318"/>
      <x:c r="C16" s="235"/>
      <x:c r="D16" s="235"/>
      <x:c r="E16" s="327"/>
      <x:c r="F16" s="235"/>
      <x:c r="G16" s="239"/>
      <x:c r="H16" s="315" t="str">
        <x:f>IF(A16="","",IF(COUNTIFS($A$6:$A$205,A16)&gt;1,"Duplicate ID",IF(B16="","Add name",IF(AND(E16="",F16=""),"Add phone or email",""))))</x:f>
      </x:c>
    </x:row>
    <x:row r="17" ht="26" customHeight="1">
      <x:c r="A17" s="319"/>
      <x:c r="B17" s="320"/>
      <x:c r="C17" s="274"/>
      <x:c r="D17" s="274"/>
      <x:c r="E17" s="331"/>
      <x:c r="F17" s="274"/>
      <x:c r="G17" s="280"/>
      <x:c r="H17" s="315" t="str">
        <x:f>IF(A17="","",IF(COUNTIFS($A$6:$A$205,A17)&gt;1,"Duplicate ID",IF(B17="","Add name",IF(AND(E17="",F17=""),"Add phone or email",""))))</x:f>
      </x:c>
    </x:row>
    <x:row r="18" ht="26" customHeight="1">
      <x:c r="A18" s="317"/>
      <x:c r="B18" s="318"/>
      <x:c r="C18" s="235"/>
      <x:c r="D18" s="235"/>
      <x:c r="E18" s="327"/>
      <x:c r="F18" s="235"/>
      <x:c r="G18" s="239"/>
      <x:c r="H18" s="315" t="str">
        <x:f>IF(A18="","",IF(COUNTIFS($A$6:$A$205,A18)&gt;1,"Duplicate ID",IF(B18="","Add name",IF(AND(E18="",F18=""),"Add phone or email",""))))</x:f>
      </x:c>
    </x:row>
    <x:row r="19" ht="26" customHeight="1">
      <x:c r="A19" s="319"/>
      <x:c r="B19" s="320"/>
      <x:c r="C19" s="274"/>
      <x:c r="D19" s="274"/>
      <x:c r="E19" s="331"/>
      <x:c r="F19" s="274"/>
      <x:c r="G19" s="280"/>
      <x:c r="H19" s="315" t="str">
        <x:f>IF(A19="","",IF(COUNTIFS($A$6:$A$205,A19)&gt;1,"Duplicate ID",IF(B19="","Add name",IF(AND(E19="",F19=""),"Add phone or email",""))))</x:f>
      </x:c>
    </x:row>
    <x:row r="20" ht="26" customHeight="1">
      <x:c r="A20" s="317"/>
      <x:c r="B20" s="318"/>
      <x:c r="C20" s="235"/>
      <x:c r="D20" s="235"/>
      <x:c r="E20" s="327"/>
      <x:c r="F20" s="235"/>
      <x:c r="G20" s="239"/>
      <x:c r="H20" s="315" t="str">
        <x:f>IF(A20="","",IF(COUNTIFS($A$6:$A$205,A20)&gt;1,"Duplicate ID",IF(B20="","Add name",IF(AND(E20="",F20=""),"Add phone or email",""))))</x:f>
      </x:c>
    </x:row>
    <x:row r="21" ht="26" customHeight="1">
      <x:c r="A21" s="319"/>
      <x:c r="B21" s="320"/>
      <x:c r="C21" s="274"/>
      <x:c r="D21" s="274"/>
      <x:c r="E21" s="331"/>
      <x:c r="F21" s="274"/>
      <x:c r="G21" s="280"/>
      <x:c r="H21" s="315" t="str">
        <x:f>IF(A21="","",IF(COUNTIFS($A$6:$A$205,A21)&gt;1,"Duplicate ID",IF(B21="","Add name",IF(AND(E21="",F21=""),"Add phone or email",""))))</x:f>
      </x:c>
    </x:row>
    <x:row r="22" ht="26" customHeight="1">
      <x:c r="A22" s="317"/>
      <x:c r="B22" s="318"/>
      <x:c r="C22" s="235"/>
      <x:c r="D22" s="235"/>
      <x:c r="E22" s="327"/>
      <x:c r="F22" s="235"/>
      <x:c r="G22" s="239"/>
      <x:c r="H22" s="315" t="str">
        <x:f>IF(A22="","",IF(COUNTIFS($A$6:$A$205,A22)&gt;1,"Duplicate ID",IF(B22="","Add name",IF(AND(E22="",F22=""),"Add phone or email",""))))</x:f>
      </x:c>
    </x:row>
    <x:row r="23" ht="26" customHeight="1">
      <x:c r="A23" s="319"/>
      <x:c r="B23" s="320"/>
      <x:c r="C23" s="274"/>
      <x:c r="D23" s="274"/>
      <x:c r="E23" s="331"/>
      <x:c r="F23" s="274"/>
      <x:c r="G23" s="280"/>
      <x:c r="H23" s="315" t="str">
        <x:f>IF(A23="","",IF(COUNTIFS($A$6:$A$205,A23)&gt;1,"Duplicate ID",IF(B23="","Add name",IF(AND(E23="",F23=""),"Add phone or email",""))))</x:f>
      </x:c>
    </x:row>
    <x:row r="24" ht="26" customHeight="1">
      <x:c r="A24" s="317"/>
      <x:c r="B24" s="318"/>
      <x:c r="C24" s="235"/>
      <x:c r="D24" s="235"/>
      <x:c r="E24" s="327"/>
      <x:c r="F24" s="235"/>
      <x:c r="G24" s="239"/>
      <x:c r="H24" s="315" t="str">
        <x:f>IF(A24="","",IF(COUNTIFS($A$6:$A$205,A24)&gt;1,"Duplicate ID",IF(B24="","Add name",IF(AND(E24="",F24=""),"Add phone or email",""))))</x:f>
      </x:c>
    </x:row>
    <x:row r="25" ht="26" customHeight="1">
      <x:c r="A25" s="319"/>
      <x:c r="B25" s="320"/>
      <x:c r="C25" s="274"/>
      <x:c r="D25" s="274"/>
      <x:c r="E25" s="331"/>
      <x:c r="F25" s="274"/>
      <x:c r="G25" s="280"/>
      <x:c r="H25" s="315" t="str">
        <x:f>IF(A25="","",IF(COUNTIFS($A$6:$A$205,A25)&gt;1,"Duplicate ID",IF(B25="","Add name",IF(AND(E25="",F25=""),"Add phone or email",""))))</x:f>
      </x:c>
    </x:row>
    <x:row r="26" ht="26" customHeight="1">
      <x:c r="A26" s="317"/>
      <x:c r="B26" s="318"/>
      <x:c r="C26" s="235"/>
      <x:c r="D26" s="235"/>
      <x:c r="E26" s="327"/>
      <x:c r="F26" s="235"/>
      <x:c r="G26" s="239"/>
      <x:c r="H26" s="315" t="str">
        <x:f>IF(A26="","",IF(COUNTIFS($A$6:$A$205,A26)&gt;1,"Duplicate ID",IF(B26="","Add name",IF(AND(E26="",F26=""),"Add phone or email",""))))</x:f>
      </x:c>
    </x:row>
    <x:row r="27" ht="26" customHeight="1">
      <x:c r="A27" s="319"/>
      <x:c r="B27" s="320"/>
      <x:c r="C27" s="274"/>
      <x:c r="D27" s="274"/>
      <x:c r="E27" s="331"/>
      <x:c r="F27" s="274"/>
      <x:c r="G27" s="280"/>
      <x:c r="H27" s="315" t="str">
        <x:f>IF(A27="","",IF(COUNTIFS($A$6:$A$205,A27)&gt;1,"Duplicate ID",IF(B27="","Add name",IF(AND(E27="",F27=""),"Add phone or email",""))))</x:f>
      </x:c>
    </x:row>
    <x:row r="28" ht="26" customHeight="1">
      <x:c r="A28" s="317"/>
      <x:c r="B28" s="318"/>
      <x:c r="C28" s="235"/>
      <x:c r="D28" s="235"/>
      <x:c r="E28" s="327"/>
      <x:c r="F28" s="235"/>
      <x:c r="G28" s="239"/>
      <x:c r="H28" s="315" t="str">
        <x:f>IF(A28="","",IF(COUNTIFS($A$6:$A$205,A28)&gt;1,"Duplicate ID",IF(B28="","Add name",IF(AND(E28="",F28=""),"Add phone or email",""))))</x:f>
      </x:c>
    </x:row>
    <x:row r="29" ht="26" customHeight="1">
      <x:c r="A29" s="319"/>
      <x:c r="B29" s="320"/>
      <x:c r="C29" s="274"/>
      <x:c r="D29" s="274"/>
      <x:c r="E29" s="331"/>
      <x:c r="F29" s="274"/>
      <x:c r="G29" s="280"/>
      <x:c r="H29" s="315" t="str">
        <x:f>IF(A29="","",IF(COUNTIFS($A$6:$A$205,A29)&gt;1,"Duplicate ID",IF(B29="","Add name",IF(AND(E29="",F29=""),"Add phone or email",""))))</x:f>
      </x:c>
    </x:row>
    <x:row r="30" ht="26" customHeight="1">
      <x:c r="A30" s="317"/>
      <x:c r="B30" s="318"/>
      <x:c r="C30" s="235"/>
      <x:c r="D30" s="235"/>
      <x:c r="E30" s="327"/>
      <x:c r="F30" s="235"/>
      <x:c r="G30" s="239"/>
      <x:c r="H30" s="315" t="str">
        <x:f>IF(A30="","",IF(COUNTIFS($A$6:$A$205,A30)&gt;1,"Duplicate ID",IF(B30="","Add name",IF(AND(E30="",F30=""),"Add phone or email",""))))</x:f>
      </x:c>
    </x:row>
    <x:row r="31" ht="26" customHeight="1">
      <x:c r="A31" s="319"/>
      <x:c r="B31" s="320"/>
      <x:c r="C31" s="274"/>
      <x:c r="D31" s="274"/>
      <x:c r="E31" s="331"/>
      <x:c r="F31" s="274"/>
      <x:c r="G31" s="280"/>
      <x:c r="H31" s="315" t="str">
        <x:f>IF(A31="","",IF(COUNTIFS($A$6:$A$205,A31)&gt;1,"Duplicate ID",IF(B31="","Add name",IF(AND(E31="",F31=""),"Add phone or email",""))))</x:f>
      </x:c>
    </x:row>
    <x:row r="32" ht="26" customHeight="1">
      <x:c r="A32" s="317"/>
      <x:c r="B32" s="318"/>
      <x:c r="C32" s="235"/>
      <x:c r="D32" s="235"/>
      <x:c r="E32" s="327"/>
      <x:c r="F32" s="235"/>
      <x:c r="G32" s="239"/>
      <x:c r="H32" s="315" t="str">
        <x:f>IF(A32="","",IF(COUNTIFS($A$6:$A$205,A32)&gt;1,"Duplicate ID",IF(B32="","Add name",IF(AND(E32="",F32=""),"Add phone or email",""))))</x:f>
      </x:c>
    </x:row>
    <x:row r="33" ht="26" customHeight="1">
      <x:c r="A33" s="319"/>
      <x:c r="B33" s="320"/>
      <x:c r="C33" s="274"/>
      <x:c r="D33" s="274"/>
      <x:c r="E33" s="331"/>
      <x:c r="F33" s="274"/>
      <x:c r="G33" s="280"/>
      <x:c r="H33" s="315" t="str">
        <x:f>IF(A33="","",IF(COUNTIFS($A$6:$A$205,A33)&gt;1,"Duplicate ID",IF(B33="","Add name",IF(AND(E33="",F33=""),"Add phone or email",""))))</x:f>
      </x:c>
    </x:row>
    <x:row r="34" ht="26" customHeight="1">
      <x:c r="A34" s="317"/>
      <x:c r="B34" s="318"/>
      <x:c r="C34" s="235"/>
      <x:c r="D34" s="235"/>
      <x:c r="E34" s="327"/>
      <x:c r="F34" s="235"/>
      <x:c r="G34" s="239"/>
      <x:c r="H34" s="315" t="str">
        <x:f>IF(A34="","",IF(COUNTIFS($A$6:$A$205,A34)&gt;1,"Duplicate ID",IF(B34="","Add name",IF(AND(E34="",F34=""),"Add phone or email",""))))</x:f>
      </x:c>
    </x:row>
    <x:row r="35" ht="26" customHeight="1">
      <x:c r="A35" s="319"/>
      <x:c r="B35" s="320"/>
      <x:c r="C35" s="274"/>
      <x:c r="D35" s="274"/>
      <x:c r="E35" s="331"/>
      <x:c r="F35" s="274"/>
      <x:c r="G35" s="280"/>
      <x:c r="H35" s="315" t="str">
        <x:f>IF(A35="","",IF(COUNTIFS($A$6:$A$205,A35)&gt;1,"Duplicate ID",IF(B35="","Add name",IF(AND(E35="",F35=""),"Add phone or email",""))))</x:f>
      </x:c>
    </x:row>
    <x:row r="36" ht="26" customHeight="1">
      <x:c r="A36" s="317"/>
      <x:c r="B36" s="318"/>
      <x:c r="C36" s="235"/>
      <x:c r="D36" s="235"/>
      <x:c r="E36" s="327"/>
      <x:c r="F36" s="235"/>
      <x:c r="G36" s="239"/>
      <x:c r="H36" s="315" t="str">
        <x:f>IF(A36="","",IF(COUNTIFS($A$6:$A$205,A36)&gt;1,"Duplicate ID",IF(B36="","Add name",IF(AND(E36="",F36=""),"Add phone or email",""))))</x:f>
      </x:c>
    </x:row>
    <x:row r="37" ht="26" customHeight="1">
      <x:c r="A37" s="319"/>
      <x:c r="B37" s="320"/>
      <x:c r="C37" s="274"/>
      <x:c r="D37" s="274"/>
      <x:c r="E37" s="331"/>
      <x:c r="F37" s="274"/>
      <x:c r="G37" s="280"/>
      <x:c r="H37" s="315" t="str">
        <x:f>IF(A37="","",IF(COUNTIFS($A$6:$A$205,A37)&gt;1,"Duplicate ID",IF(B37="","Add name",IF(AND(E37="",F37=""),"Add phone or email",""))))</x:f>
      </x:c>
    </x:row>
    <x:row r="38" ht="26" customHeight="1">
      <x:c r="A38" s="317"/>
      <x:c r="B38" s="318"/>
      <x:c r="C38" s="235"/>
      <x:c r="D38" s="235"/>
      <x:c r="E38" s="327"/>
      <x:c r="F38" s="235"/>
      <x:c r="G38" s="239"/>
      <x:c r="H38" s="315" t="str">
        <x:f>IF(A38="","",IF(COUNTIFS($A$6:$A$205,A38)&gt;1,"Duplicate ID",IF(B38="","Add name",IF(AND(E38="",F38=""),"Add phone or email",""))))</x:f>
      </x:c>
    </x:row>
    <x:row r="39" ht="26" customHeight="1">
      <x:c r="A39" s="319"/>
      <x:c r="B39" s="320"/>
      <x:c r="C39" s="274"/>
      <x:c r="D39" s="274"/>
      <x:c r="E39" s="331"/>
      <x:c r="F39" s="274"/>
      <x:c r="G39" s="280"/>
      <x:c r="H39" s="315" t="str">
        <x:f>IF(A39="","",IF(COUNTIFS($A$6:$A$205,A39)&gt;1,"Duplicate ID",IF(B39="","Add name",IF(AND(E39="",F39=""),"Add phone or email",""))))</x:f>
      </x:c>
    </x:row>
    <x:row r="40" ht="26" customHeight="1">
      <x:c r="A40" s="317"/>
      <x:c r="B40" s="318"/>
      <x:c r="C40" s="235"/>
      <x:c r="D40" s="235"/>
      <x:c r="E40" s="327"/>
      <x:c r="F40" s="235"/>
      <x:c r="G40" s="239"/>
      <x:c r="H40" s="315" t="str">
        <x:f>IF(A40="","",IF(COUNTIFS($A$6:$A$205,A40)&gt;1,"Duplicate ID",IF(B40="","Add name",IF(AND(E40="",F40=""),"Add phone or email",""))))</x:f>
      </x:c>
    </x:row>
    <x:row r="41" ht="26" customHeight="1">
      <x:c r="A41" s="319"/>
      <x:c r="B41" s="320"/>
      <x:c r="C41" s="274"/>
      <x:c r="D41" s="274"/>
      <x:c r="E41" s="331"/>
      <x:c r="F41" s="274"/>
      <x:c r="G41" s="280"/>
      <x:c r="H41" s="315" t="str">
        <x:f>IF(A41="","",IF(COUNTIFS($A$6:$A$205,A41)&gt;1,"Duplicate ID",IF(B41="","Add name",IF(AND(E41="",F41=""),"Add phone or email",""))))</x:f>
      </x:c>
    </x:row>
    <x:row r="42" ht="26" customHeight="1">
      <x:c r="A42" s="317"/>
      <x:c r="B42" s="318"/>
      <x:c r="C42" s="235"/>
      <x:c r="D42" s="235"/>
      <x:c r="E42" s="327"/>
      <x:c r="F42" s="235"/>
      <x:c r="G42" s="239"/>
      <x:c r="H42" s="315" t="str">
        <x:f>IF(A42="","",IF(COUNTIFS($A$6:$A$205,A42)&gt;1,"Duplicate ID",IF(B42="","Add name",IF(AND(E42="",F42=""),"Add phone or email",""))))</x:f>
      </x:c>
    </x:row>
    <x:row r="43" ht="26" customHeight="1">
      <x:c r="A43" s="319"/>
      <x:c r="B43" s="320"/>
      <x:c r="C43" s="274"/>
      <x:c r="D43" s="274"/>
      <x:c r="E43" s="331"/>
      <x:c r="F43" s="274"/>
      <x:c r="G43" s="280"/>
      <x:c r="H43" s="315" t="str">
        <x:f>IF(A43="","",IF(COUNTIFS($A$6:$A$205,A43)&gt;1,"Duplicate ID",IF(B43="","Add name",IF(AND(E43="",F43=""),"Add phone or email",""))))</x:f>
      </x:c>
    </x:row>
    <x:row r="44" ht="26" customHeight="1">
      <x:c r="A44" s="317"/>
      <x:c r="B44" s="318"/>
      <x:c r="C44" s="235"/>
      <x:c r="D44" s="235"/>
      <x:c r="E44" s="327"/>
      <x:c r="F44" s="235"/>
      <x:c r="G44" s="239"/>
      <x:c r="H44" s="315" t="str">
        <x:f>IF(A44="","",IF(COUNTIFS($A$6:$A$205,A44)&gt;1,"Duplicate ID",IF(B44="","Add name",IF(AND(E44="",F44=""),"Add phone or email",""))))</x:f>
      </x:c>
    </x:row>
    <x:row r="45" ht="26" customHeight="1">
      <x:c r="A45" s="319"/>
      <x:c r="B45" s="320"/>
      <x:c r="C45" s="274"/>
      <x:c r="D45" s="274"/>
      <x:c r="E45" s="331"/>
      <x:c r="F45" s="274"/>
      <x:c r="G45" s="280"/>
      <x:c r="H45" s="315" t="str">
        <x:f>IF(A45="","",IF(COUNTIFS($A$6:$A$205,A45)&gt;1,"Duplicate ID",IF(B45="","Add name",IF(AND(E45="",F45=""),"Add phone or email",""))))</x:f>
      </x:c>
    </x:row>
    <x:row r="46" ht="26" customHeight="1">
      <x:c r="A46" s="317"/>
      <x:c r="B46" s="318"/>
      <x:c r="C46" s="235"/>
      <x:c r="D46" s="235"/>
      <x:c r="E46" s="327"/>
      <x:c r="F46" s="235"/>
      <x:c r="G46" s="239"/>
      <x:c r="H46" s="315" t="str">
        <x:f>IF(A46="","",IF(COUNTIFS($A$6:$A$205,A46)&gt;1,"Duplicate ID",IF(B46="","Add name",IF(AND(E46="",F46=""),"Add phone or email",""))))</x:f>
      </x:c>
    </x:row>
    <x:row r="47" ht="26" customHeight="1">
      <x:c r="A47" s="319"/>
      <x:c r="B47" s="320"/>
      <x:c r="C47" s="274"/>
      <x:c r="D47" s="274"/>
      <x:c r="E47" s="331"/>
      <x:c r="F47" s="274"/>
      <x:c r="G47" s="280"/>
      <x:c r="H47" s="315" t="str">
        <x:f>IF(A47="","",IF(COUNTIFS($A$6:$A$205,A47)&gt;1,"Duplicate ID",IF(B47="","Add name",IF(AND(E47="",F47=""),"Add phone or email",""))))</x:f>
      </x:c>
    </x:row>
    <x:row r="48" ht="26" customHeight="1">
      <x:c r="A48" s="317"/>
      <x:c r="B48" s="318"/>
      <x:c r="C48" s="235"/>
      <x:c r="D48" s="235"/>
      <x:c r="E48" s="327"/>
      <x:c r="F48" s="235"/>
      <x:c r="G48" s="239"/>
      <x:c r="H48" s="315" t="str">
        <x:f>IF(A48="","",IF(COUNTIFS($A$6:$A$205,A48)&gt;1,"Duplicate ID",IF(B48="","Add name",IF(AND(E48="",F48=""),"Add phone or email",""))))</x:f>
      </x:c>
    </x:row>
    <x:row r="49" ht="26" customHeight="1">
      <x:c r="A49" s="319"/>
      <x:c r="B49" s="320"/>
      <x:c r="C49" s="274"/>
      <x:c r="D49" s="274"/>
      <x:c r="E49" s="331"/>
      <x:c r="F49" s="274"/>
      <x:c r="G49" s="280"/>
      <x:c r="H49" s="315" t="str">
        <x:f>IF(A49="","",IF(COUNTIFS($A$6:$A$205,A49)&gt;1,"Duplicate ID",IF(B49="","Add name",IF(AND(E49="",F49=""),"Add phone or email",""))))</x:f>
      </x:c>
    </x:row>
    <x:row r="50" ht="26" customHeight="1">
      <x:c r="A50" s="317"/>
      <x:c r="B50" s="318"/>
      <x:c r="C50" s="235"/>
      <x:c r="D50" s="235"/>
      <x:c r="E50" s="327"/>
      <x:c r="F50" s="235"/>
      <x:c r="G50" s="239"/>
      <x:c r="H50" s="315" t="str">
        <x:f>IF(A50="","",IF(COUNTIFS($A$6:$A$205,A50)&gt;1,"Duplicate ID",IF(B50="","Add name",IF(AND(E50="",F50=""),"Add phone or email",""))))</x:f>
      </x:c>
    </x:row>
    <x:row r="51" ht="26" customHeight="1">
      <x:c r="A51" s="319"/>
      <x:c r="B51" s="320"/>
      <x:c r="C51" s="274"/>
      <x:c r="D51" s="274"/>
      <x:c r="E51" s="331"/>
      <x:c r="F51" s="274"/>
      <x:c r="G51" s="280"/>
      <x:c r="H51" s="315" t="str">
        <x:f>IF(A51="","",IF(COUNTIFS($A$6:$A$205,A51)&gt;1,"Duplicate ID",IF(B51="","Add name",IF(AND(E51="",F51=""),"Add phone or email",""))))</x:f>
      </x:c>
    </x:row>
    <x:row r="52" ht="26" customHeight="1">
      <x:c r="A52" s="317"/>
      <x:c r="B52" s="318"/>
      <x:c r="C52" s="235"/>
      <x:c r="D52" s="235"/>
      <x:c r="E52" s="327"/>
      <x:c r="F52" s="235"/>
      <x:c r="G52" s="239"/>
      <x:c r="H52" s="315" t="str">
        <x:f>IF(A52="","",IF(COUNTIFS($A$6:$A$205,A52)&gt;1,"Duplicate ID",IF(B52="","Add name",IF(AND(E52="",F52=""),"Add phone or email",""))))</x:f>
      </x:c>
    </x:row>
    <x:row r="53" ht="26" customHeight="1">
      <x:c r="A53" s="319"/>
      <x:c r="B53" s="320"/>
      <x:c r="C53" s="274"/>
      <x:c r="D53" s="274"/>
      <x:c r="E53" s="331"/>
      <x:c r="F53" s="274"/>
      <x:c r="G53" s="280"/>
      <x:c r="H53" s="315" t="str">
        <x:f>IF(A53="","",IF(COUNTIFS($A$6:$A$205,A53)&gt;1,"Duplicate ID",IF(B53="","Add name",IF(AND(E53="",F53=""),"Add phone or email",""))))</x:f>
      </x:c>
    </x:row>
    <x:row r="54" ht="26" customHeight="1">
      <x:c r="A54" s="317"/>
      <x:c r="B54" s="318"/>
      <x:c r="C54" s="235"/>
      <x:c r="D54" s="235"/>
      <x:c r="E54" s="327"/>
      <x:c r="F54" s="235"/>
      <x:c r="G54" s="239"/>
      <x:c r="H54" s="315" t="str">
        <x:f>IF(A54="","",IF(COUNTIFS($A$6:$A$205,A54)&gt;1,"Duplicate ID",IF(B54="","Add name",IF(AND(E54="",F54=""),"Add phone or email",""))))</x:f>
      </x:c>
    </x:row>
    <x:row r="55" ht="26" customHeight="1">
      <x:c r="A55" s="319"/>
      <x:c r="B55" s="320"/>
      <x:c r="C55" s="274"/>
      <x:c r="D55" s="274"/>
      <x:c r="E55" s="331"/>
      <x:c r="F55" s="274"/>
      <x:c r="G55" s="280"/>
      <x:c r="H55" s="315" t="str">
        <x:f>IF(A55="","",IF(COUNTIFS($A$6:$A$205,A55)&gt;1,"Duplicate ID",IF(B55="","Add name",IF(AND(E55="",F55=""),"Add phone or email",""))))</x:f>
      </x:c>
    </x:row>
    <x:row r="56" ht="26" customHeight="1">
      <x:c r="A56" s="317"/>
      <x:c r="B56" s="318"/>
      <x:c r="C56" s="235"/>
      <x:c r="D56" s="235"/>
      <x:c r="E56" s="327"/>
      <x:c r="F56" s="235"/>
      <x:c r="G56" s="239"/>
      <x:c r="H56" s="315" t="str">
        <x:f>IF(A56="","",IF(COUNTIFS($A$6:$A$205,A56)&gt;1,"Duplicate ID",IF(B56="","Add name",IF(AND(E56="",F56=""),"Add phone or email",""))))</x:f>
      </x:c>
    </x:row>
    <x:row r="57" ht="26" customHeight="1">
      <x:c r="A57" s="319"/>
      <x:c r="B57" s="320"/>
      <x:c r="C57" s="274"/>
      <x:c r="D57" s="274"/>
      <x:c r="E57" s="331"/>
      <x:c r="F57" s="274"/>
      <x:c r="G57" s="280"/>
      <x:c r="H57" s="315" t="str">
        <x:f>IF(A57="","",IF(COUNTIFS($A$6:$A$205,A57)&gt;1,"Duplicate ID",IF(B57="","Add name",IF(AND(E57="",F57=""),"Add phone or email",""))))</x:f>
      </x:c>
    </x:row>
    <x:row r="58" ht="26" customHeight="1">
      <x:c r="A58" s="317"/>
      <x:c r="B58" s="318"/>
      <x:c r="C58" s="235"/>
      <x:c r="D58" s="235"/>
      <x:c r="E58" s="327"/>
      <x:c r="F58" s="235"/>
      <x:c r="G58" s="239"/>
      <x:c r="H58" s="315" t="str">
        <x:f>IF(A58="","",IF(COUNTIFS($A$6:$A$205,A58)&gt;1,"Duplicate ID",IF(B58="","Add name",IF(AND(E58="",F58=""),"Add phone or email",""))))</x:f>
      </x:c>
    </x:row>
    <x:row r="59" ht="26" customHeight="1">
      <x:c r="A59" s="319"/>
      <x:c r="B59" s="320"/>
      <x:c r="C59" s="274"/>
      <x:c r="D59" s="274"/>
      <x:c r="E59" s="331"/>
      <x:c r="F59" s="274"/>
      <x:c r="G59" s="280"/>
      <x:c r="H59" s="315" t="str">
        <x:f>IF(A59="","",IF(COUNTIFS($A$6:$A$205,A59)&gt;1,"Duplicate ID",IF(B59="","Add name",IF(AND(E59="",F59=""),"Add phone or email",""))))</x:f>
      </x:c>
    </x:row>
    <x:row r="60" ht="26" customHeight="1">
      <x:c r="A60" s="317"/>
      <x:c r="B60" s="318"/>
      <x:c r="C60" s="235"/>
      <x:c r="D60" s="235"/>
      <x:c r="E60" s="327"/>
      <x:c r="F60" s="235"/>
      <x:c r="G60" s="239"/>
      <x:c r="H60" s="315" t="str">
        <x:f>IF(A60="","",IF(COUNTIFS($A$6:$A$205,A60)&gt;1,"Duplicate ID",IF(B60="","Add name",IF(AND(E60="",F60=""),"Add phone or email",""))))</x:f>
      </x:c>
    </x:row>
    <x:row r="61" ht="26" customHeight="1">
      <x:c r="A61" s="319"/>
      <x:c r="B61" s="320"/>
      <x:c r="C61" s="274"/>
      <x:c r="D61" s="274"/>
      <x:c r="E61" s="331"/>
      <x:c r="F61" s="274"/>
      <x:c r="G61" s="280"/>
      <x:c r="H61" s="315" t="str">
        <x:f>IF(A61="","",IF(COUNTIFS($A$6:$A$205,A61)&gt;1,"Duplicate ID",IF(B61="","Add name",IF(AND(E61="",F61=""),"Add phone or email",""))))</x:f>
      </x:c>
    </x:row>
    <x:row r="62" ht="26" customHeight="1">
      <x:c r="A62" s="317"/>
      <x:c r="B62" s="318"/>
      <x:c r="C62" s="235"/>
      <x:c r="D62" s="235"/>
      <x:c r="E62" s="327"/>
      <x:c r="F62" s="235"/>
      <x:c r="G62" s="239"/>
      <x:c r="H62" s="315" t="str">
        <x:f>IF(A62="","",IF(COUNTIFS($A$6:$A$205,A62)&gt;1,"Duplicate ID",IF(B62="","Add name",IF(AND(E62="",F62=""),"Add phone or email",""))))</x:f>
      </x:c>
    </x:row>
    <x:row r="63" ht="26" customHeight="1">
      <x:c r="A63" s="319"/>
      <x:c r="B63" s="320"/>
      <x:c r="C63" s="274"/>
      <x:c r="D63" s="274"/>
      <x:c r="E63" s="331"/>
      <x:c r="F63" s="274"/>
      <x:c r="G63" s="280"/>
      <x:c r="H63" s="315" t="str">
        <x:f>IF(A63="","",IF(COUNTIFS($A$6:$A$205,A63)&gt;1,"Duplicate ID",IF(B63="","Add name",IF(AND(E63="",F63=""),"Add phone or email",""))))</x:f>
      </x:c>
    </x:row>
    <x:row r="64" ht="26" customHeight="1">
      <x:c r="A64" s="317"/>
      <x:c r="B64" s="318"/>
      <x:c r="C64" s="235"/>
      <x:c r="D64" s="235"/>
      <x:c r="E64" s="327"/>
      <x:c r="F64" s="235"/>
      <x:c r="G64" s="239"/>
      <x:c r="H64" s="315" t="str">
        <x:f>IF(A64="","",IF(COUNTIFS($A$6:$A$205,A64)&gt;1,"Duplicate ID",IF(B64="","Add name",IF(AND(E64="",F64=""),"Add phone or email",""))))</x:f>
      </x:c>
    </x:row>
    <x:row r="65" ht="26" customHeight="1">
      <x:c r="A65" s="319"/>
      <x:c r="B65" s="320"/>
      <x:c r="C65" s="274"/>
      <x:c r="D65" s="274"/>
      <x:c r="E65" s="331"/>
      <x:c r="F65" s="274"/>
      <x:c r="G65" s="280"/>
      <x:c r="H65" s="315" t="str">
        <x:f>IF(A65="","",IF(COUNTIFS($A$6:$A$205,A65)&gt;1,"Duplicate ID",IF(B65="","Add name",IF(AND(E65="",F65=""),"Add phone or email",""))))</x:f>
      </x:c>
    </x:row>
    <x:row r="66" ht="26" customHeight="1">
      <x:c r="A66" s="317"/>
      <x:c r="B66" s="318"/>
      <x:c r="C66" s="235"/>
      <x:c r="D66" s="235"/>
      <x:c r="E66" s="327"/>
      <x:c r="F66" s="235"/>
      <x:c r="G66" s="239"/>
      <x:c r="H66" s="315" t="str">
        <x:f>IF(A66="","",IF(COUNTIFS($A$6:$A$205,A66)&gt;1,"Duplicate ID",IF(B66="","Add name",IF(AND(E66="",F66=""),"Add phone or email",""))))</x:f>
      </x:c>
    </x:row>
    <x:row r="67" ht="26" customHeight="1">
      <x:c r="A67" s="319"/>
      <x:c r="B67" s="320"/>
      <x:c r="C67" s="274"/>
      <x:c r="D67" s="274"/>
      <x:c r="E67" s="331"/>
      <x:c r="F67" s="274"/>
      <x:c r="G67" s="280"/>
      <x:c r="H67" s="315" t="str">
        <x:f>IF(A67="","",IF(COUNTIFS($A$6:$A$205,A67)&gt;1,"Duplicate ID",IF(B67="","Add name",IF(AND(E67="",F67=""),"Add phone or email",""))))</x:f>
      </x:c>
    </x:row>
    <x:row r="68" ht="26" customHeight="1">
      <x:c r="A68" s="317"/>
      <x:c r="B68" s="318"/>
      <x:c r="C68" s="235"/>
      <x:c r="D68" s="235"/>
      <x:c r="E68" s="327"/>
      <x:c r="F68" s="235"/>
      <x:c r="G68" s="239"/>
      <x:c r="H68" s="315" t="str">
        <x:f>IF(A68="","",IF(COUNTIFS($A$6:$A$205,A68)&gt;1,"Duplicate ID",IF(B68="","Add name",IF(AND(E68="",F68=""),"Add phone or email",""))))</x:f>
      </x:c>
    </x:row>
    <x:row r="69" ht="26" customHeight="1">
      <x:c r="A69" s="319"/>
      <x:c r="B69" s="320"/>
      <x:c r="C69" s="274"/>
      <x:c r="D69" s="274"/>
      <x:c r="E69" s="331"/>
      <x:c r="F69" s="274"/>
      <x:c r="G69" s="280"/>
      <x:c r="H69" s="315" t="str">
        <x:f>IF(A69="","",IF(COUNTIFS($A$6:$A$205,A69)&gt;1,"Duplicate ID",IF(B69="","Add name",IF(AND(E69="",F69=""),"Add phone or email",""))))</x:f>
      </x:c>
    </x:row>
    <x:row r="70" ht="26" customHeight="1">
      <x:c r="A70" s="317"/>
      <x:c r="B70" s="318"/>
      <x:c r="C70" s="235"/>
      <x:c r="D70" s="235"/>
      <x:c r="E70" s="327"/>
      <x:c r="F70" s="235"/>
      <x:c r="G70" s="239"/>
      <x:c r="H70" s="315" t="str">
        <x:f>IF(A70="","",IF(COUNTIFS($A$6:$A$205,A70)&gt;1,"Duplicate ID",IF(B70="","Add name",IF(AND(E70="",F70=""),"Add phone or email",""))))</x:f>
      </x:c>
    </x:row>
    <x:row r="71" ht="26" customHeight="1">
      <x:c r="A71" s="319"/>
      <x:c r="B71" s="320"/>
      <x:c r="C71" s="274"/>
      <x:c r="D71" s="274"/>
      <x:c r="E71" s="331"/>
      <x:c r="F71" s="274"/>
      <x:c r="G71" s="280"/>
      <x:c r="H71" s="315" t="str">
        <x:f>IF(A71="","",IF(COUNTIFS($A$6:$A$205,A71)&gt;1,"Duplicate ID",IF(B71="","Add name",IF(AND(E71="",F71=""),"Add phone or email",""))))</x:f>
      </x:c>
    </x:row>
    <x:row r="72" ht="26" customHeight="1">
      <x:c r="A72" s="317"/>
      <x:c r="B72" s="318"/>
      <x:c r="C72" s="235"/>
      <x:c r="D72" s="235"/>
      <x:c r="E72" s="327"/>
      <x:c r="F72" s="235"/>
      <x:c r="G72" s="239"/>
      <x:c r="H72" s="315" t="str">
        <x:f>IF(A72="","",IF(COUNTIFS($A$6:$A$205,A72)&gt;1,"Duplicate ID",IF(B72="","Add name",IF(AND(E72="",F72=""),"Add phone or email",""))))</x:f>
      </x:c>
    </x:row>
    <x:row r="73" ht="26" customHeight="1">
      <x:c r="A73" s="319"/>
      <x:c r="B73" s="320"/>
      <x:c r="C73" s="274"/>
      <x:c r="D73" s="274"/>
      <x:c r="E73" s="331"/>
      <x:c r="F73" s="274"/>
      <x:c r="G73" s="280"/>
      <x:c r="H73" s="315" t="str">
        <x:f>IF(A73="","",IF(COUNTIFS($A$6:$A$205,A73)&gt;1,"Duplicate ID",IF(B73="","Add name",IF(AND(E73="",F73=""),"Add phone or email",""))))</x:f>
      </x:c>
    </x:row>
    <x:row r="74" ht="26" customHeight="1">
      <x:c r="A74" s="317"/>
      <x:c r="B74" s="318"/>
      <x:c r="C74" s="235"/>
      <x:c r="D74" s="235"/>
      <x:c r="E74" s="327"/>
      <x:c r="F74" s="235"/>
      <x:c r="G74" s="239"/>
      <x:c r="H74" s="315" t="str">
        <x:f>IF(A74="","",IF(COUNTIFS($A$6:$A$205,A74)&gt;1,"Duplicate ID",IF(B74="","Add name",IF(AND(E74="",F74=""),"Add phone or email",""))))</x:f>
      </x:c>
    </x:row>
    <x:row r="75" ht="26" customHeight="1">
      <x:c r="A75" s="319"/>
      <x:c r="B75" s="320"/>
      <x:c r="C75" s="274"/>
      <x:c r="D75" s="274"/>
      <x:c r="E75" s="331"/>
      <x:c r="F75" s="274"/>
      <x:c r="G75" s="280"/>
      <x:c r="H75" s="315" t="str">
        <x:f>IF(A75="","",IF(COUNTIFS($A$6:$A$205,A75)&gt;1,"Duplicate ID",IF(B75="","Add name",IF(AND(E75="",F75=""),"Add phone or email",""))))</x:f>
      </x:c>
    </x:row>
    <x:row r="76" ht="26" customHeight="1">
      <x:c r="A76" s="317"/>
      <x:c r="B76" s="318"/>
      <x:c r="C76" s="235"/>
      <x:c r="D76" s="235"/>
      <x:c r="E76" s="327"/>
      <x:c r="F76" s="235"/>
      <x:c r="G76" s="239"/>
      <x:c r="H76" s="315" t="str">
        <x:f>IF(A76="","",IF(COUNTIFS($A$6:$A$205,A76)&gt;1,"Duplicate ID",IF(B76="","Add name",IF(AND(E76="",F76=""),"Add phone or email",""))))</x:f>
      </x:c>
    </x:row>
    <x:row r="77" ht="26" customHeight="1">
      <x:c r="A77" s="319"/>
      <x:c r="B77" s="320"/>
      <x:c r="C77" s="274"/>
      <x:c r="D77" s="274"/>
      <x:c r="E77" s="331"/>
      <x:c r="F77" s="274"/>
      <x:c r="G77" s="280"/>
      <x:c r="H77" s="315" t="str">
        <x:f>IF(A77="","",IF(COUNTIFS($A$6:$A$205,A77)&gt;1,"Duplicate ID",IF(B77="","Add name",IF(AND(E77="",F77=""),"Add phone or email",""))))</x:f>
      </x:c>
    </x:row>
    <x:row r="78" ht="26" customHeight="1">
      <x:c r="A78" s="317"/>
      <x:c r="B78" s="318"/>
      <x:c r="C78" s="235"/>
      <x:c r="D78" s="235"/>
      <x:c r="E78" s="327"/>
      <x:c r="F78" s="235"/>
      <x:c r="G78" s="239"/>
      <x:c r="H78" s="315" t="str">
        <x:f>IF(A78="","",IF(COUNTIFS($A$6:$A$205,A78)&gt;1,"Duplicate ID",IF(B78="","Add name",IF(AND(E78="",F78=""),"Add phone or email",""))))</x:f>
      </x:c>
    </x:row>
    <x:row r="79" ht="26" customHeight="1">
      <x:c r="A79" s="319"/>
      <x:c r="B79" s="320"/>
      <x:c r="C79" s="274"/>
      <x:c r="D79" s="274"/>
      <x:c r="E79" s="331"/>
      <x:c r="F79" s="274"/>
      <x:c r="G79" s="280"/>
      <x:c r="H79" s="315" t="str">
        <x:f>IF(A79="","",IF(COUNTIFS($A$6:$A$205,A79)&gt;1,"Duplicate ID",IF(B79="","Add name",IF(AND(E79="",F79=""),"Add phone or email",""))))</x:f>
      </x:c>
    </x:row>
    <x:row r="80" ht="26" customHeight="1">
      <x:c r="A80" s="317"/>
      <x:c r="B80" s="318"/>
      <x:c r="C80" s="235"/>
      <x:c r="D80" s="235"/>
      <x:c r="E80" s="327"/>
      <x:c r="F80" s="235"/>
      <x:c r="G80" s="239"/>
      <x:c r="H80" s="315" t="str">
        <x:f>IF(A80="","",IF(COUNTIFS($A$6:$A$205,A80)&gt;1,"Duplicate ID",IF(B80="","Add name",IF(AND(E80="",F80=""),"Add phone or email",""))))</x:f>
      </x:c>
    </x:row>
    <x:row r="81" ht="26" customHeight="1">
      <x:c r="A81" s="319"/>
      <x:c r="B81" s="320"/>
      <x:c r="C81" s="274"/>
      <x:c r="D81" s="274"/>
      <x:c r="E81" s="331"/>
      <x:c r="F81" s="274"/>
      <x:c r="G81" s="280"/>
      <x:c r="H81" s="315" t="str">
        <x:f>IF(A81="","",IF(COUNTIFS($A$6:$A$205,A81)&gt;1,"Duplicate ID",IF(B81="","Add name",IF(AND(E81="",F81=""),"Add phone or email",""))))</x:f>
      </x:c>
    </x:row>
    <x:row r="82" ht="26" customHeight="1">
      <x:c r="A82" s="317"/>
      <x:c r="B82" s="318"/>
      <x:c r="C82" s="235"/>
      <x:c r="D82" s="235"/>
      <x:c r="E82" s="327"/>
      <x:c r="F82" s="235"/>
      <x:c r="G82" s="239"/>
      <x:c r="H82" s="315" t="str">
        <x:f>IF(A82="","",IF(COUNTIFS($A$6:$A$205,A82)&gt;1,"Duplicate ID",IF(B82="","Add name",IF(AND(E82="",F82=""),"Add phone or email",""))))</x:f>
      </x:c>
    </x:row>
    <x:row r="83" ht="26" customHeight="1">
      <x:c r="A83" s="319"/>
      <x:c r="B83" s="320"/>
      <x:c r="C83" s="274"/>
      <x:c r="D83" s="274"/>
      <x:c r="E83" s="331"/>
      <x:c r="F83" s="274"/>
      <x:c r="G83" s="280"/>
      <x:c r="H83" s="315" t="str">
        <x:f>IF(A83="","",IF(COUNTIFS($A$6:$A$205,A83)&gt;1,"Duplicate ID",IF(B83="","Add name",IF(AND(E83="",F83=""),"Add phone or email",""))))</x:f>
      </x:c>
    </x:row>
    <x:row r="84" ht="26" customHeight="1">
      <x:c r="A84" s="317"/>
      <x:c r="B84" s="318"/>
      <x:c r="C84" s="235"/>
      <x:c r="D84" s="235"/>
      <x:c r="E84" s="327"/>
      <x:c r="F84" s="235"/>
      <x:c r="G84" s="239"/>
      <x:c r="H84" s="315" t="str">
        <x:f>IF(A84="","",IF(COUNTIFS($A$6:$A$205,A84)&gt;1,"Duplicate ID",IF(B84="","Add name",IF(AND(E84="",F84=""),"Add phone or email",""))))</x:f>
      </x:c>
    </x:row>
    <x:row r="85" ht="26" customHeight="1">
      <x:c r="A85" s="319"/>
      <x:c r="B85" s="320"/>
      <x:c r="C85" s="274"/>
      <x:c r="D85" s="274"/>
      <x:c r="E85" s="331"/>
      <x:c r="F85" s="274"/>
      <x:c r="G85" s="280"/>
      <x:c r="H85" s="315" t="str">
        <x:f>IF(A85="","",IF(COUNTIFS($A$6:$A$205,A85)&gt;1,"Duplicate ID",IF(B85="","Add name",IF(AND(E85="",F85=""),"Add phone or email",""))))</x:f>
      </x:c>
    </x:row>
    <x:row r="86" ht="26" customHeight="1">
      <x:c r="A86" s="317"/>
      <x:c r="B86" s="318"/>
      <x:c r="C86" s="235"/>
      <x:c r="D86" s="235"/>
      <x:c r="E86" s="327"/>
      <x:c r="F86" s="235"/>
      <x:c r="G86" s="239"/>
      <x:c r="H86" s="315" t="str">
        <x:f>IF(A86="","",IF(COUNTIFS($A$6:$A$205,A86)&gt;1,"Duplicate ID",IF(B86="","Add name",IF(AND(E86="",F86=""),"Add phone or email",""))))</x:f>
      </x:c>
    </x:row>
    <x:row r="87" ht="26" customHeight="1">
      <x:c r="A87" s="319"/>
      <x:c r="B87" s="320"/>
      <x:c r="C87" s="274"/>
      <x:c r="D87" s="274"/>
      <x:c r="E87" s="331"/>
      <x:c r="F87" s="274"/>
      <x:c r="G87" s="280"/>
      <x:c r="H87" s="315" t="str">
        <x:f>IF(A87="","",IF(COUNTIFS($A$6:$A$205,A87)&gt;1,"Duplicate ID",IF(B87="","Add name",IF(AND(E87="",F87=""),"Add phone or email",""))))</x:f>
      </x:c>
    </x:row>
    <x:row r="88" ht="26" customHeight="1">
      <x:c r="A88" s="317"/>
      <x:c r="B88" s="318"/>
      <x:c r="C88" s="235"/>
      <x:c r="D88" s="235"/>
      <x:c r="E88" s="327"/>
      <x:c r="F88" s="235"/>
      <x:c r="G88" s="239"/>
      <x:c r="H88" s="315" t="str">
        <x:f>IF(A88="","",IF(COUNTIFS($A$6:$A$205,A88)&gt;1,"Duplicate ID",IF(B88="","Add name",IF(AND(E88="",F88=""),"Add phone or email",""))))</x:f>
      </x:c>
    </x:row>
    <x:row r="89" ht="26" customHeight="1">
      <x:c r="A89" s="319"/>
      <x:c r="B89" s="320"/>
      <x:c r="C89" s="274"/>
      <x:c r="D89" s="274"/>
      <x:c r="E89" s="331"/>
      <x:c r="F89" s="274"/>
      <x:c r="G89" s="280"/>
      <x:c r="H89" s="315" t="str">
        <x:f>IF(A89="","",IF(COUNTIFS($A$6:$A$205,A89)&gt;1,"Duplicate ID",IF(B89="","Add name",IF(AND(E89="",F89=""),"Add phone or email",""))))</x:f>
      </x:c>
    </x:row>
    <x:row r="90" ht="26" customHeight="1">
      <x:c r="A90" s="317"/>
      <x:c r="B90" s="318"/>
      <x:c r="C90" s="235"/>
      <x:c r="D90" s="235"/>
      <x:c r="E90" s="327"/>
      <x:c r="F90" s="235"/>
      <x:c r="G90" s="239"/>
      <x:c r="H90" s="315" t="str">
        <x:f>IF(A90="","",IF(COUNTIFS($A$6:$A$205,A90)&gt;1,"Duplicate ID",IF(B90="","Add name",IF(AND(E90="",F90=""),"Add phone or email",""))))</x:f>
      </x:c>
    </x:row>
    <x:row r="91" ht="26" customHeight="1">
      <x:c r="A91" s="319"/>
      <x:c r="B91" s="320"/>
      <x:c r="C91" s="274"/>
      <x:c r="D91" s="274"/>
      <x:c r="E91" s="331"/>
      <x:c r="F91" s="274"/>
      <x:c r="G91" s="280"/>
      <x:c r="H91" s="315" t="str">
        <x:f>IF(A91="","",IF(COUNTIFS($A$6:$A$205,A91)&gt;1,"Duplicate ID",IF(B91="","Add name",IF(AND(E91="",F91=""),"Add phone or email",""))))</x:f>
      </x:c>
    </x:row>
    <x:row r="92" ht="26" customHeight="1">
      <x:c r="A92" s="317"/>
      <x:c r="B92" s="318"/>
      <x:c r="C92" s="235"/>
      <x:c r="D92" s="235"/>
      <x:c r="E92" s="327"/>
      <x:c r="F92" s="235"/>
      <x:c r="G92" s="239"/>
      <x:c r="H92" s="315" t="str">
        <x:f>IF(A92="","",IF(COUNTIFS($A$6:$A$205,A92)&gt;1,"Duplicate ID",IF(B92="","Add name",IF(AND(E92="",F92=""),"Add phone or email",""))))</x:f>
      </x:c>
    </x:row>
    <x:row r="93" ht="26" customHeight="1">
      <x:c r="A93" s="319"/>
      <x:c r="B93" s="320"/>
      <x:c r="C93" s="274"/>
      <x:c r="D93" s="274"/>
      <x:c r="E93" s="331"/>
      <x:c r="F93" s="274"/>
      <x:c r="G93" s="280"/>
      <x:c r="H93" s="315" t="str">
        <x:f>IF(A93="","",IF(COUNTIFS($A$6:$A$205,A93)&gt;1,"Duplicate ID",IF(B93="","Add name",IF(AND(E93="",F93=""),"Add phone or email",""))))</x:f>
      </x:c>
    </x:row>
    <x:row r="94" ht="26" customHeight="1">
      <x:c r="A94" s="317"/>
      <x:c r="B94" s="318"/>
      <x:c r="C94" s="235"/>
      <x:c r="D94" s="235"/>
      <x:c r="E94" s="327"/>
      <x:c r="F94" s="235"/>
      <x:c r="G94" s="239"/>
      <x:c r="H94" s="315" t="str">
        <x:f>IF(A94="","",IF(COUNTIFS($A$6:$A$205,A94)&gt;1,"Duplicate ID",IF(B94="","Add name",IF(AND(E94="",F94=""),"Add phone or email",""))))</x:f>
      </x:c>
    </x:row>
    <x:row r="95" ht="26" customHeight="1">
      <x:c r="A95" s="319"/>
      <x:c r="B95" s="320"/>
      <x:c r="C95" s="274"/>
      <x:c r="D95" s="274"/>
      <x:c r="E95" s="331"/>
      <x:c r="F95" s="274"/>
      <x:c r="G95" s="280"/>
      <x:c r="H95" s="315" t="str">
        <x:f>IF(A95="","",IF(COUNTIFS($A$6:$A$205,A95)&gt;1,"Duplicate ID",IF(B95="","Add name",IF(AND(E95="",F95=""),"Add phone or email",""))))</x:f>
      </x:c>
    </x:row>
    <x:row r="96" ht="26" customHeight="1">
      <x:c r="A96" s="317"/>
      <x:c r="B96" s="318"/>
      <x:c r="C96" s="235"/>
      <x:c r="D96" s="235"/>
      <x:c r="E96" s="327"/>
      <x:c r="F96" s="235"/>
      <x:c r="G96" s="239"/>
      <x:c r="H96" s="315" t="str">
        <x:f>IF(A96="","",IF(COUNTIFS($A$6:$A$205,A96)&gt;1,"Duplicate ID",IF(B96="","Add name",IF(AND(E96="",F96=""),"Add phone or email",""))))</x:f>
      </x:c>
    </x:row>
    <x:row r="97" ht="26" customHeight="1">
      <x:c r="A97" s="319"/>
      <x:c r="B97" s="320"/>
      <x:c r="C97" s="274"/>
      <x:c r="D97" s="274"/>
      <x:c r="E97" s="331"/>
      <x:c r="F97" s="274"/>
      <x:c r="G97" s="280"/>
      <x:c r="H97" s="315" t="str">
        <x:f>IF(A97="","",IF(COUNTIFS($A$6:$A$205,A97)&gt;1,"Duplicate ID",IF(B97="","Add name",IF(AND(E97="",F97=""),"Add phone or email",""))))</x:f>
      </x:c>
    </x:row>
    <x:row r="98" ht="26" customHeight="1">
      <x:c r="A98" s="317"/>
      <x:c r="B98" s="318"/>
      <x:c r="C98" s="235"/>
      <x:c r="D98" s="235"/>
      <x:c r="E98" s="327"/>
      <x:c r="F98" s="235"/>
      <x:c r="G98" s="239"/>
      <x:c r="H98" s="315" t="str">
        <x:f>IF(A98="","",IF(COUNTIFS($A$6:$A$205,A98)&gt;1,"Duplicate ID",IF(B98="","Add name",IF(AND(E98="",F98=""),"Add phone or email",""))))</x:f>
      </x:c>
    </x:row>
    <x:row r="99" ht="26" customHeight="1">
      <x:c r="A99" s="319"/>
      <x:c r="B99" s="320"/>
      <x:c r="C99" s="274"/>
      <x:c r="D99" s="274"/>
      <x:c r="E99" s="331"/>
      <x:c r="F99" s="274"/>
      <x:c r="G99" s="280"/>
      <x:c r="H99" s="315" t="str">
        <x:f>IF(A99="","",IF(COUNTIFS($A$6:$A$205,A99)&gt;1,"Duplicate ID",IF(B99="","Add name",IF(AND(E99="",F99=""),"Add phone or email",""))))</x:f>
      </x:c>
    </x:row>
    <x:row r="100" ht="26" customHeight="1">
      <x:c r="A100" s="317"/>
      <x:c r="B100" s="318"/>
      <x:c r="C100" s="235"/>
      <x:c r="D100" s="235"/>
      <x:c r="E100" s="327"/>
      <x:c r="F100" s="235"/>
      <x:c r="G100" s="239"/>
      <x:c r="H100" s="315" t="str">
        <x:f>IF(A100="","",IF(COUNTIFS($A$6:$A$205,A100)&gt;1,"Duplicate ID",IF(B100="","Add name",IF(AND(E100="",F100=""),"Add phone or email",""))))</x:f>
      </x:c>
    </x:row>
    <x:row r="101" ht="26" customHeight="1">
      <x:c r="A101" s="319"/>
      <x:c r="B101" s="320"/>
      <x:c r="C101" s="274"/>
      <x:c r="D101" s="274"/>
      <x:c r="E101" s="331"/>
      <x:c r="F101" s="274"/>
      <x:c r="G101" s="280"/>
      <x:c r="H101" s="315" t="str">
        <x:f>IF(A101="","",IF(COUNTIFS($A$6:$A$205,A101)&gt;1,"Duplicate ID",IF(B101="","Add name",IF(AND(E101="",F101=""),"Add phone or email",""))))</x:f>
      </x:c>
    </x:row>
    <x:row r="102" ht="26" customHeight="1">
      <x:c r="A102" s="317"/>
      <x:c r="B102" s="318"/>
      <x:c r="C102" s="235"/>
      <x:c r="D102" s="235"/>
      <x:c r="E102" s="327"/>
      <x:c r="F102" s="235"/>
      <x:c r="G102" s="239"/>
      <x:c r="H102" s="315" t="str">
        <x:f>IF(A102="","",IF(COUNTIFS($A$6:$A$205,A102)&gt;1,"Duplicate ID",IF(B102="","Add name",IF(AND(E102="",F102=""),"Add phone or email",""))))</x:f>
      </x:c>
    </x:row>
    <x:row r="103" ht="26" customHeight="1">
      <x:c r="A103" s="319"/>
      <x:c r="B103" s="320"/>
      <x:c r="C103" s="274"/>
      <x:c r="D103" s="274"/>
      <x:c r="E103" s="331"/>
      <x:c r="F103" s="274"/>
      <x:c r="G103" s="280"/>
      <x:c r="H103" s="315" t="str">
        <x:f>IF(A103="","",IF(COUNTIFS($A$6:$A$205,A103)&gt;1,"Duplicate ID",IF(B103="","Add name",IF(AND(E103="",F103=""),"Add phone or email",""))))</x:f>
      </x:c>
    </x:row>
    <x:row r="104" ht="26" customHeight="1">
      <x:c r="A104" s="317"/>
      <x:c r="B104" s="318"/>
      <x:c r="C104" s="235"/>
      <x:c r="D104" s="235"/>
      <x:c r="E104" s="327"/>
      <x:c r="F104" s="235"/>
      <x:c r="G104" s="239"/>
      <x:c r="H104" s="315" t="str">
        <x:f>IF(A104="","",IF(COUNTIFS($A$6:$A$205,A104)&gt;1,"Duplicate ID",IF(B104="","Add name",IF(AND(E104="",F104=""),"Add phone or email",""))))</x:f>
      </x:c>
    </x:row>
    <x:row r="105" ht="26" customHeight="1">
      <x:c r="A105" s="319"/>
      <x:c r="B105" s="320"/>
      <x:c r="C105" s="274"/>
      <x:c r="D105" s="274"/>
      <x:c r="E105" s="331"/>
      <x:c r="F105" s="274"/>
      <x:c r="G105" s="280"/>
      <x:c r="H105" s="315" t="str">
        <x:f>IF(A105="","",IF(COUNTIFS($A$6:$A$205,A105)&gt;1,"Duplicate ID",IF(B105="","Add name",IF(AND(E105="",F105=""),"Add phone or email",""))))</x:f>
      </x:c>
    </x:row>
    <x:row r="106" ht="26" customHeight="1">
      <x:c r="A106" s="317"/>
      <x:c r="B106" s="318"/>
      <x:c r="C106" s="235"/>
      <x:c r="D106" s="235"/>
      <x:c r="E106" s="327"/>
      <x:c r="F106" s="235"/>
      <x:c r="G106" s="239"/>
      <x:c r="H106" s="315" t="str">
        <x:f>IF(A106="","",IF(COUNTIFS($A$6:$A$205,A106)&gt;1,"Duplicate ID",IF(B106="","Add name",IF(AND(E106="",F106=""),"Add phone or email",""))))</x:f>
      </x:c>
    </x:row>
    <x:row r="107" ht="26" customHeight="1">
      <x:c r="A107" s="319"/>
      <x:c r="B107" s="320"/>
      <x:c r="C107" s="274"/>
      <x:c r="D107" s="274"/>
      <x:c r="E107" s="331"/>
      <x:c r="F107" s="274"/>
      <x:c r="G107" s="280"/>
      <x:c r="H107" s="315" t="str">
        <x:f>IF(A107="","",IF(COUNTIFS($A$6:$A$205,A107)&gt;1,"Duplicate ID",IF(B107="","Add name",IF(AND(E107="",F107=""),"Add phone or email",""))))</x:f>
      </x:c>
    </x:row>
    <x:row r="108" ht="26" customHeight="1">
      <x:c r="A108" s="317"/>
      <x:c r="B108" s="318"/>
      <x:c r="C108" s="235"/>
      <x:c r="D108" s="235"/>
      <x:c r="E108" s="327"/>
      <x:c r="F108" s="235"/>
      <x:c r="G108" s="239"/>
      <x:c r="H108" s="315" t="str">
        <x:f>IF(A108="","",IF(COUNTIFS($A$6:$A$205,A108)&gt;1,"Duplicate ID",IF(B108="","Add name",IF(AND(E108="",F108=""),"Add phone or email",""))))</x:f>
      </x:c>
    </x:row>
    <x:row r="109" ht="26" customHeight="1">
      <x:c r="A109" s="319"/>
      <x:c r="B109" s="320"/>
      <x:c r="C109" s="274"/>
      <x:c r="D109" s="274"/>
      <x:c r="E109" s="331"/>
      <x:c r="F109" s="274"/>
      <x:c r="G109" s="280"/>
      <x:c r="H109" s="315" t="str">
        <x:f>IF(A109="","",IF(COUNTIFS($A$6:$A$205,A109)&gt;1,"Duplicate ID",IF(B109="","Add name",IF(AND(E109="",F109=""),"Add phone or email",""))))</x:f>
      </x:c>
    </x:row>
    <x:row r="110" ht="26" customHeight="1">
      <x:c r="A110" s="317"/>
      <x:c r="B110" s="318"/>
      <x:c r="C110" s="235"/>
      <x:c r="D110" s="235"/>
      <x:c r="E110" s="327"/>
      <x:c r="F110" s="235"/>
      <x:c r="G110" s="239"/>
      <x:c r="H110" s="315" t="str">
        <x:f>IF(A110="","",IF(COUNTIFS($A$6:$A$205,A110)&gt;1,"Duplicate ID",IF(B110="","Add name",IF(AND(E110="",F110=""),"Add phone or email",""))))</x:f>
      </x:c>
    </x:row>
    <x:row r="111" ht="26" customHeight="1">
      <x:c r="A111" s="319"/>
      <x:c r="B111" s="320"/>
      <x:c r="C111" s="274"/>
      <x:c r="D111" s="274"/>
      <x:c r="E111" s="331"/>
      <x:c r="F111" s="274"/>
      <x:c r="G111" s="280"/>
      <x:c r="H111" s="315" t="str">
        <x:f>IF(A111="","",IF(COUNTIFS($A$6:$A$205,A111)&gt;1,"Duplicate ID",IF(B111="","Add name",IF(AND(E111="",F111=""),"Add phone or email",""))))</x:f>
      </x:c>
    </x:row>
    <x:row r="112" ht="26" customHeight="1">
      <x:c r="A112" s="317"/>
      <x:c r="B112" s="318"/>
      <x:c r="C112" s="235"/>
      <x:c r="D112" s="235"/>
      <x:c r="E112" s="327"/>
      <x:c r="F112" s="235"/>
      <x:c r="G112" s="239"/>
      <x:c r="H112" s="315" t="str">
        <x:f>IF(A112="","",IF(COUNTIFS($A$6:$A$205,A112)&gt;1,"Duplicate ID",IF(B112="","Add name",IF(AND(E112="",F112=""),"Add phone or email",""))))</x:f>
      </x:c>
    </x:row>
    <x:row r="113" ht="26" customHeight="1">
      <x:c r="A113" s="319"/>
      <x:c r="B113" s="320"/>
      <x:c r="C113" s="274"/>
      <x:c r="D113" s="274"/>
      <x:c r="E113" s="331"/>
      <x:c r="F113" s="274"/>
      <x:c r="G113" s="280"/>
      <x:c r="H113" s="315" t="str">
        <x:f>IF(A113="","",IF(COUNTIFS($A$6:$A$205,A113)&gt;1,"Duplicate ID",IF(B113="","Add name",IF(AND(E113="",F113=""),"Add phone or email",""))))</x:f>
      </x:c>
    </x:row>
    <x:row r="114" ht="26" customHeight="1">
      <x:c r="A114" s="317"/>
      <x:c r="B114" s="318"/>
      <x:c r="C114" s="235"/>
      <x:c r="D114" s="235"/>
      <x:c r="E114" s="327"/>
      <x:c r="F114" s="235"/>
      <x:c r="G114" s="239"/>
      <x:c r="H114" s="315" t="str">
        <x:f>IF(A114="","",IF(COUNTIFS($A$6:$A$205,A114)&gt;1,"Duplicate ID",IF(B114="","Add name",IF(AND(E114="",F114=""),"Add phone or email",""))))</x:f>
      </x:c>
    </x:row>
    <x:row r="115" ht="26" customHeight="1">
      <x:c r="A115" s="319"/>
      <x:c r="B115" s="320"/>
      <x:c r="C115" s="274"/>
      <x:c r="D115" s="274"/>
      <x:c r="E115" s="331"/>
      <x:c r="F115" s="274"/>
      <x:c r="G115" s="280"/>
      <x:c r="H115" s="315" t="str">
        <x:f>IF(A115="","",IF(COUNTIFS($A$6:$A$205,A115)&gt;1,"Duplicate ID",IF(B115="","Add name",IF(AND(E115="",F115=""),"Add phone or email",""))))</x:f>
      </x:c>
    </x:row>
    <x:row r="116" ht="26" customHeight="1">
      <x:c r="A116" s="317"/>
      <x:c r="B116" s="318"/>
      <x:c r="C116" s="235"/>
      <x:c r="D116" s="235"/>
      <x:c r="E116" s="327"/>
      <x:c r="F116" s="235"/>
      <x:c r="G116" s="239"/>
      <x:c r="H116" s="315" t="str">
        <x:f>IF(A116="","",IF(COUNTIFS($A$6:$A$205,A116)&gt;1,"Duplicate ID",IF(B116="","Add name",IF(AND(E116="",F116=""),"Add phone or email",""))))</x:f>
      </x:c>
    </x:row>
    <x:row r="117" ht="26" customHeight="1">
      <x:c r="A117" s="319"/>
      <x:c r="B117" s="320"/>
      <x:c r="C117" s="274"/>
      <x:c r="D117" s="274"/>
      <x:c r="E117" s="331"/>
      <x:c r="F117" s="274"/>
      <x:c r="G117" s="280"/>
      <x:c r="H117" s="315" t="str">
        <x:f>IF(A117="","",IF(COUNTIFS($A$6:$A$205,A117)&gt;1,"Duplicate ID",IF(B117="","Add name",IF(AND(E117="",F117=""),"Add phone or email",""))))</x:f>
      </x:c>
    </x:row>
    <x:row r="118" ht="26" customHeight="1">
      <x:c r="A118" s="317"/>
      <x:c r="B118" s="318"/>
      <x:c r="C118" s="235"/>
      <x:c r="D118" s="235"/>
      <x:c r="E118" s="327"/>
      <x:c r="F118" s="235"/>
      <x:c r="G118" s="239"/>
      <x:c r="H118" s="315" t="str">
        <x:f>IF(A118="","",IF(COUNTIFS($A$6:$A$205,A118)&gt;1,"Duplicate ID",IF(B118="","Add name",IF(AND(E118="",F118=""),"Add phone or email",""))))</x:f>
      </x:c>
    </x:row>
    <x:row r="119" ht="26" customHeight="1">
      <x:c r="A119" s="319"/>
      <x:c r="B119" s="320"/>
      <x:c r="C119" s="274"/>
      <x:c r="D119" s="274"/>
      <x:c r="E119" s="331"/>
      <x:c r="F119" s="274"/>
      <x:c r="G119" s="280"/>
      <x:c r="H119" s="315" t="str">
        <x:f>IF(A119="","",IF(COUNTIFS($A$6:$A$205,A119)&gt;1,"Duplicate ID",IF(B119="","Add name",IF(AND(E119="",F119=""),"Add phone or email",""))))</x:f>
      </x:c>
    </x:row>
    <x:row r="120" ht="26" customHeight="1">
      <x:c r="A120" s="317"/>
      <x:c r="B120" s="318"/>
      <x:c r="C120" s="235"/>
      <x:c r="D120" s="235"/>
      <x:c r="E120" s="327"/>
      <x:c r="F120" s="235"/>
      <x:c r="G120" s="239"/>
      <x:c r="H120" s="315" t="str">
        <x:f>IF(A120="","",IF(COUNTIFS($A$6:$A$205,A120)&gt;1,"Duplicate ID",IF(B120="","Add name",IF(AND(E120="",F120=""),"Add phone or email",""))))</x:f>
      </x:c>
    </x:row>
    <x:row r="121" ht="26" customHeight="1">
      <x:c r="A121" s="319"/>
      <x:c r="B121" s="320"/>
      <x:c r="C121" s="274"/>
      <x:c r="D121" s="274"/>
      <x:c r="E121" s="331"/>
      <x:c r="F121" s="274"/>
      <x:c r="G121" s="280"/>
      <x:c r="H121" s="315" t="str">
        <x:f>IF(A121="","",IF(COUNTIFS($A$6:$A$205,A121)&gt;1,"Duplicate ID",IF(B121="","Add name",IF(AND(E121="",F121=""),"Add phone or email",""))))</x:f>
      </x:c>
    </x:row>
    <x:row r="122" ht="26" customHeight="1">
      <x:c r="A122" s="317"/>
      <x:c r="B122" s="318"/>
      <x:c r="C122" s="235"/>
      <x:c r="D122" s="235"/>
      <x:c r="E122" s="327"/>
      <x:c r="F122" s="235"/>
      <x:c r="G122" s="239"/>
      <x:c r="H122" s="315" t="str">
        <x:f>IF(A122="","",IF(COUNTIFS($A$6:$A$205,A122)&gt;1,"Duplicate ID",IF(B122="","Add name",IF(AND(E122="",F122=""),"Add phone or email",""))))</x:f>
      </x:c>
    </x:row>
    <x:row r="123" ht="26" customHeight="1">
      <x:c r="A123" s="319"/>
      <x:c r="B123" s="320"/>
      <x:c r="C123" s="274"/>
      <x:c r="D123" s="274"/>
      <x:c r="E123" s="331"/>
      <x:c r="F123" s="274"/>
      <x:c r="G123" s="280"/>
      <x:c r="H123" s="315" t="str">
        <x:f>IF(A123="","",IF(COUNTIFS($A$6:$A$205,A123)&gt;1,"Duplicate ID",IF(B123="","Add name",IF(AND(E123="",F123=""),"Add phone or email",""))))</x:f>
      </x:c>
    </x:row>
    <x:row r="124" ht="26" customHeight="1">
      <x:c r="A124" s="317"/>
      <x:c r="B124" s="318"/>
      <x:c r="C124" s="235"/>
      <x:c r="D124" s="235"/>
      <x:c r="E124" s="327"/>
      <x:c r="F124" s="235"/>
      <x:c r="G124" s="239"/>
      <x:c r="H124" s="315" t="str">
        <x:f>IF(A124="","",IF(COUNTIFS($A$6:$A$205,A124)&gt;1,"Duplicate ID",IF(B124="","Add name",IF(AND(E124="",F124=""),"Add phone or email",""))))</x:f>
      </x:c>
    </x:row>
    <x:row r="125" ht="26" customHeight="1">
      <x:c r="A125" s="319"/>
      <x:c r="B125" s="320"/>
      <x:c r="C125" s="274"/>
      <x:c r="D125" s="274"/>
      <x:c r="E125" s="331"/>
      <x:c r="F125" s="274"/>
      <x:c r="G125" s="280"/>
      <x:c r="H125" s="315" t="str">
        <x:f>IF(A125="","",IF(COUNTIFS($A$6:$A$205,A125)&gt;1,"Duplicate ID",IF(B125="","Add name",IF(AND(E125="",F125=""),"Add phone or email",""))))</x:f>
      </x:c>
    </x:row>
    <x:row r="126" ht="26" customHeight="1">
      <x:c r="A126" s="317"/>
      <x:c r="B126" s="318"/>
      <x:c r="C126" s="235"/>
      <x:c r="D126" s="235"/>
      <x:c r="E126" s="327"/>
      <x:c r="F126" s="235"/>
      <x:c r="G126" s="239"/>
      <x:c r="H126" s="315" t="str">
        <x:f>IF(A126="","",IF(COUNTIFS($A$6:$A$205,A126)&gt;1,"Duplicate ID",IF(B126="","Add name",IF(AND(E126="",F126=""),"Add phone or email",""))))</x:f>
      </x:c>
    </x:row>
    <x:row r="127" ht="26" customHeight="1">
      <x:c r="A127" s="319"/>
      <x:c r="B127" s="320"/>
      <x:c r="C127" s="274"/>
      <x:c r="D127" s="274"/>
      <x:c r="E127" s="331"/>
      <x:c r="F127" s="274"/>
      <x:c r="G127" s="280"/>
      <x:c r="H127" s="315" t="str">
        <x:f>IF(A127="","",IF(COUNTIFS($A$6:$A$205,A127)&gt;1,"Duplicate ID",IF(B127="","Add name",IF(AND(E127="",F127=""),"Add phone or email",""))))</x:f>
      </x:c>
    </x:row>
    <x:row r="128" ht="26" customHeight="1">
      <x:c r="A128" s="317"/>
      <x:c r="B128" s="318"/>
      <x:c r="C128" s="235"/>
      <x:c r="D128" s="235"/>
      <x:c r="E128" s="327"/>
      <x:c r="F128" s="235"/>
      <x:c r="G128" s="239"/>
      <x:c r="H128" s="315" t="str">
        <x:f>IF(A128="","",IF(COUNTIFS($A$6:$A$205,A128)&gt;1,"Duplicate ID",IF(B128="","Add name",IF(AND(E128="",F128=""),"Add phone or email",""))))</x:f>
      </x:c>
    </x:row>
    <x:row r="129" ht="26" customHeight="1">
      <x:c r="A129" s="319"/>
      <x:c r="B129" s="320"/>
      <x:c r="C129" s="274"/>
      <x:c r="D129" s="274"/>
      <x:c r="E129" s="331"/>
      <x:c r="F129" s="274"/>
      <x:c r="G129" s="280"/>
      <x:c r="H129" s="315" t="str">
        <x:f>IF(A129="","",IF(COUNTIFS($A$6:$A$205,A129)&gt;1,"Duplicate ID",IF(B129="","Add name",IF(AND(E129="",F129=""),"Add phone or email",""))))</x:f>
      </x:c>
    </x:row>
    <x:row r="130" ht="26" customHeight="1">
      <x:c r="A130" s="317"/>
      <x:c r="B130" s="318"/>
      <x:c r="C130" s="235"/>
      <x:c r="D130" s="235"/>
      <x:c r="E130" s="327"/>
      <x:c r="F130" s="235"/>
      <x:c r="G130" s="239"/>
      <x:c r="H130" s="315" t="str">
        <x:f>IF(A130="","",IF(COUNTIFS($A$6:$A$205,A130)&gt;1,"Duplicate ID",IF(B130="","Add name",IF(AND(E130="",F130=""),"Add phone or email",""))))</x:f>
      </x:c>
    </x:row>
    <x:row r="131" ht="26" customHeight="1">
      <x:c r="A131" s="319"/>
      <x:c r="B131" s="320"/>
      <x:c r="C131" s="274"/>
      <x:c r="D131" s="274"/>
      <x:c r="E131" s="331"/>
      <x:c r="F131" s="274"/>
      <x:c r="G131" s="280"/>
      <x:c r="H131" s="315" t="str">
        <x:f>IF(A131="","",IF(COUNTIFS($A$6:$A$205,A131)&gt;1,"Duplicate ID",IF(B131="","Add name",IF(AND(E131="",F131=""),"Add phone or email",""))))</x:f>
      </x:c>
    </x:row>
    <x:row r="132" ht="26" customHeight="1">
      <x:c r="A132" s="317"/>
      <x:c r="B132" s="318"/>
      <x:c r="C132" s="235"/>
      <x:c r="D132" s="235"/>
      <x:c r="E132" s="327"/>
      <x:c r="F132" s="235"/>
      <x:c r="G132" s="239"/>
      <x:c r="H132" s="315" t="str">
        <x:f>IF(A132="","",IF(COUNTIFS($A$6:$A$205,A132)&gt;1,"Duplicate ID",IF(B132="","Add name",IF(AND(E132="",F132=""),"Add phone or email",""))))</x:f>
      </x:c>
    </x:row>
    <x:row r="133" ht="26" customHeight="1">
      <x:c r="A133" s="319"/>
      <x:c r="B133" s="320"/>
      <x:c r="C133" s="274"/>
      <x:c r="D133" s="274"/>
      <x:c r="E133" s="331"/>
      <x:c r="F133" s="274"/>
      <x:c r="G133" s="280"/>
      <x:c r="H133" s="315" t="str">
        <x:f>IF(A133="","",IF(COUNTIFS($A$6:$A$205,A133)&gt;1,"Duplicate ID",IF(B133="","Add name",IF(AND(E133="",F133=""),"Add phone or email",""))))</x:f>
      </x:c>
    </x:row>
    <x:row r="134" ht="26" customHeight="1">
      <x:c r="A134" s="317"/>
      <x:c r="B134" s="318"/>
      <x:c r="C134" s="235"/>
      <x:c r="D134" s="235"/>
      <x:c r="E134" s="327"/>
      <x:c r="F134" s="235"/>
      <x:c r="G134" s="239"/>
      <x:c r="H134" s="315" t="str">
        <x:f>IF(A134="","",IF(COUNTIFS($A$6:$A$205,A134)&gt;1,"Duplicate ID",IF(B134="","Add name",IF(AND(E134="",F134=""),"Add phone or email",""))))</x:f>
      </x:c>
    </x:row>
    <x:row r="135" ht="26" customHeight="1">
      <x:c r="A135" s="319"/>
      <x:c r="B135" s="320"/>
      <x:c r="C135" s="274"/>
      <x:c r="D135" s="274"/>
      <x:c r="E135" s="331"/>
      <x:c r="F135" s="274"/>
      <x:c r="G135" s="280"/>
      <x:c r="H135" s="315" t="str">
        <x:f>IF(A135="","",IF(COUNTIFS($A$6:$A$205,A135)&gt;1,"Duplicate ID",IF(B135="","Add name",IF(AND(E135="",F135=""),"Add phone or email",""))))</x:f>
      </x:c>
    </x:row>
    <x:row r="136" ht="26" customHeight="1">
      <x:c r="A136" s="317"/>
      <x:c r="B136" s="318"/>
      <x:c r="C136" s="235"/>
      <x:c r="D136" s="235"/>
      <x:c r="E136" s="327"/>
      <x:c r="F136" s="235"/>
      <x:c r="G136" s="239"/>
      <x:c r="H136" s="315" t="str">
        <x:f>IF(A136="","",IF(COUNTIFS($A$6:$A$205,A136)&gt;1,"Duplicate ID",IF(B136="","Add name",IF(AND(E136="",F136=""),"Add phone or email",""))))</x:f>
      </x:c>
    </x:row>
    <x:row r="137" ht="26" customHeight="1">
      <x:c r="A137" s="319"/>
      <x:c r="B137" s="320"/>
      <x:c r="C137" s="274"/>
      <x:c r="D137" s="274"/>
      <x:c r="E137" s="331"/>
      <x:c r="F137" s="274"/>
      <x:c r="G137" s="280"/>
      <x:c r="H137" s="315" t="str">
        <x:f>IF(A137="","",IF(COUNTIFS($A$6:$A$205,A137)&gt;1,"Duplicate ID",IF(B137="","Add name",IF(AND(E137="",F137=""),"Add phone or email",""))))</x:f>
      </x:c>
    </x:row>
    <x:row r="138" ht="26" customHeight="1">
      <x:c r="A138" s="317"/>
      <x:c r="B138" s="318"/>
      <x:c r="C138" s="235"/>
      <x:c r="D138" s="235"/>
      <x:c r="E138" s="327"/>
      <x:c r="F138" s="235"/>
      <x:c r="G138" s="239"/>
      <x:c r="H138" s="315" t="str">
        <x:f>IF(A138="","",IF(COUNTIFS($A$6:$A$205,A138)&gt;1,"Duplicate ID",IF(B138="","Add name",IF(AND(E138="",F138=""),"Add phone or email",""))))</x:f>
      </x:c>
    </x:row>
    <x:row r="139" ht="26" customHeight="1">
      <x:c r="A139" s="319"/>
      <x:c r="B139" s="320"/>
      <x:c r="C139" s="274"/>
      <x:c r="D139" s="274"/>
      <x:c r="E139" s="331"/>
      <x:c r="F139" s="274"/>
      <x:c r="G139" s="280"/>
      <x:c r="H139" s="315" t="str">
        <x:f>IF(A139="","",IF(COUNTIFS($A$6:$A$205,A139)&gt;1,"Duplicate ID",IF(B139="","Add name",IF(AND(E139="",F139=""),"Add phone or email",""))))</x:f>
      </x:c>
    </x:row>
    <x:row r="140" ht="26" customHeight="1">
      <x:c r="A140" s="317"/>
      <x:c r="B140" s="318"/>
      <x:c r="C140" s="235"/>
      <x:c r="D140" s="235"/>
      <x:c r="E140" s="327"/>
      <x:c r="F140" s="235"/>
      <x:c r="G140" s="239"/>
      <x:c r="H140" s="315" t="str">
        <x:f>IF(A140="","",IF(COUNTIFS($A$6:$A$205,A140)&gt;1,"Duplicate ID",IF(B140="","Add name",IF(AND(E140="",F140=""),"Add phone or email",""))))</x:f>
      </x:c>
    </x:row>
    <x:row r="141" ht="26" customHeight="1">
      <x:c r="A141" s="319"/>
      <x:c r="B141" s="320"/>
      <x:c r="C141" s="274"/>
      <x:c r="D141" s="274"/>
      <x:c r="E141" s="331"/>
      <x:c r="F141" s="274"/>
      <x:c r="G141" s="280"/>
      <x:c r="H141" s="315" t="str">
        <x:f>IF(A141="","",IF(COUNTIFS($A$6:$A$205,A141)&gt;1,"Duplicate ID",IF(B141="","Add name",IF(AND(E141="",F141=""),"Add phone or email",""))))</x:f>
      </x:c>
    </x:row>
    <x:row r="142" ht="26" customHeight="1">
      <x:c r="A142" s="317"/>
      <x:c r="B142" s="318"/>
      <x:c r="C142" s="235"/>
      <x:c r="D142" s="235"/>
      <x:c r="E142" s="327"/>
      <x:c r="F142" s="235"/>
      <x:c r="G142" s="239"/>
      <x:c r="H142" s="315" t="str">
        <x:f>IF(A142="","",IF(COUNTIFS($A$6:$A$205,A142)&gt;1,"Duplicate ID",IF(B142="","Add name",IF(AND(E142="",F142=""),"Add phone or email",""))))</x:f>
      </x:c>
    </x:row>
    <x:row r="143" ht="26" customHeight="1">
      <x:c r="A143" s="319"/>
      <x:c r="B143" s="320"/>
      <x:c r="C143" s="274"/>
      <x:c r="D143" s="274"/>
      <x:c r="E143" s="331"/>
      <x:c r="F143" s="274"/>
      <x:c r="G143" s="280"/>
      <x:c r="H143" s="315" t="str">
        <x:f>IF(A143="","",IF(COUNTIFS($A$6:$A$205,A143)&gt;1,"Duplicate ID",IF(B143="","Add name",IF(AND(E143="",F143=""),"Add phone or email",""))))</x:f>
      </x:c>
    </x:row>
    <x:row r="144" ht="26" customHeight="1">
      <x:c r="A144" s="317"/>
      <x:c r="B144" s="318"/>
      <x:c r="C144" s="235"/>
      <x:c r="D144" s="235"/>
      <x:c r="E144" s="327"/>
      <x:c r="F144" s="235"/>
      <x:c r="G144" s="239"/>
      <x:c r="H144" s="315" t="str">
        <x:f>IF(A144="","",IF(COUNTIFS($A$6:$A$205,A144)&gt;1,"Duplicate ID",IF(B144="","Add name",IF(AND(E144="",F144=""),"Add phone or email",""))))</x:f>
      </x:c>
    </x:row>
    <x:row r="145" ht="26" customHeight="1">
      <x:c r="A145" s="319"/>
      <x:c r="B145" s="320"/>
      <x:c r="C145" s="274"/>
      <x:c r="D145" s="274"/>
      <x:c r="E145" s="331"/>
      <x:c r="F145" s="274"/>
      <x:c r="G145" s="280"/>
      <x:c r="H145" s="315" t="str">
        <x:f>IF(A145="","",IF(COUNTIFS($A$6:$A$205,A145)&gt;1,"Duplicate ID",IF(B145="","Add name",IF(AND(E145="",F145=""),"Add phone or email",""))))</x:f>
      </x:c>
    </x:row>
    <x:row r="146" ht="26" customHeight="1">
      <x:c r="A146" s="317"/>
      <x:c r="B146" s="318"/>
      <x:c r="C146" s="235"/>
      <x:c r="D146" s="235"/>
      <x:c r="E146" s="327"/>
      <x:c r="F146" s="235"/>
      <x:c r="G146" s="239"/>
      <x:c r="H146" s="315" t="str">
        <x:f>IF(A146="","",IF(COUNTIFS($A$6:$A$205,A146)&gt;1,"Duplicate ID",IF(B146="","Add name",IF(AND(E146="",F146=""),"Add phone or email",""))))</x:f>
      </x:c>
    </x:row>
    <x:row r="147" ht="26" customHeight="1">
      <x:c r="A147" s="319"/>
      <x:c r="B147" s="320"/>
      <x:c r="C147" s="274"/>
      <x:c r="D147" s="274"/>
      <x:c r="E147" s="331"/>
      <x:c r="F147" s="274"/>
      <x:c r="G147" s="280"/>
      <x:c r="H147" s="315" t="str">
        <x:f>IF(A147="","",IF(COUNTIFS($A$6:$A$205,A147)&gt;1,"Duplicate ID",IF(B147="","Add name",IF(AND(E147="",F147=""),"Add phone or email",""))))</x:f>
      </x:c>
    </x:row>
    <x:row r="148" ht="26" customHeight="1">
      <x:c r="A148" s="317"/>
      <x:c r="B148" s="318"/>
      <x:c r="C148" s="235"/>
      <x:c r="D148" s="235"/>
      <x:c r="E148" s="327"/>
      <x:c r="F148" s="235"/>
      <x:c r="G148" s="239"/>
      <x:c r="H148" s="315" t="str">
        <x:f>IF(A148="","",IF(COUNTIFS($A$6:$A$205,A148)&gt;1,"Duplicate ID",IF(B148="","Add name",IF(AND(E148="",F148=""),"Add phone or email",""))))</x:f>
      </x:c>
    </x:row>
    <x:row r="149" ht="26" customHeight="1">
      <x:c r="A149" s="319"/>
      <x:c r="B149" s="320"/>
      <x:c r="C149" s="274"/>
      <x:c r="D149" s="274"/>
      <x:c r="E149" s="331"/>
      <x:c r="F149" s="274"/>
      <x:c r="G149" s="280"/>
      <x:c r="H149" s="315" t="str">
        <x:f>IF(A149="","",IF(COUNTIFS($A$6:$A$205,A149)&gt;1,"Duplicate ID",IF(B149="","Add name",IF(AND(E149="",F149=""),"Add phone or email",""))))</x:f>
      </x:c>
    </x:row>
    <x:row r="150" ht="26" customHeight="1">
      <x:c r="A150" s="317"/>
      <x:c r="B150" s="318"/>
      <x:c r="C150" s="235"/>
      <x:c r="D150" s="235"/>
      <x:c r="E150" s="327"/>
      <x:c r="F150" s="235"/>
      <x:c r="G150" s="239"/>
      <x:c r="H150" s="315" t="str">
        <x:f>IF(A150="","",IF(COUNTIFS($A$6:$A$205,A150)&gt;1,"Duplicate ID",IF(B150="","Add name",IF(AND(E150="",F150=""),"Add phone or email",""))))</x:f>
      </x:c>
    </x:row>
    <x:row r="151" ht="26" customHeight="1">
      <x:c r="A151" s="319"/>
      <x:c r="B151" s="320"/>
      <x:c r="C151" s="274"/>
      <x:c r="D151" s="274"/>
      <x:c r="E151" s="331"/>
      <x:c r="F151" s="274"/>
      <x:c r="G151" s="280"/>
      <x:c r="H151" s="315" t="str">
        <x:f>IF(A151="","",IF(COUNTIFS($A$6:$A$205,A151)&gt;1,"Duplicate ID",IF(B151="","Add name",IF(AND(E151="",F151=""),"Add phone or email",""))))</x:f>
      </x:c>
    </x:row>
    <x:row r="152" ht="26" customHeight="1">
      <x:c r="A152" s="317"/>
      <x:c r="B152" s="318"/>
      <x:c r="C152" s="235"/>
      <x:c r="D152" s="235"/>
      <x:c r="E152" s="327"/>
      <x:c r="F152" s="235"/>
      <x:c r="G152" s="239"/>
      <x:c r="H152" s="315" t="str">
        <x:f>IF(A152="","",IF(COUNTIFS($A$6:$A$205,A152)&gt;1,"Duplicate ID",IF(B152="","Add name",IF(AND(E152="",F152=""),"Add phone or email",""))))</x:f>
      </x:c>
    </x:row>
    <x:row r="153" ht="26" customHeight="1">
      <x:c r="A153" s="319"/>
      <x:c r="B153" s="320"/>
      <x:c r="C153" s="274"/>
      <x:c r="D153" s="274"/>
      <x:c r="E153" s="331"/>
      <x:c r="F153" s="274"/>
      <x:c r="G153" s="280"/>
      <x:c r="H153" s="315" t="str">
        <x:f>IF(A153="","",IF(COUNTIFS($A$6:$A$205,A153)&gt;1,"Duplicate ID",IF(B153="","Add name",IF(AND(E153="",F153=""),"Add phone or email",""))))</x:f>
      </x:c>
    </x:row>
    <x:row r="154" ht="26" customHeight="1">
      <x:c r="A154" s="317"/>
      <x:c r="B154" s="318"/>
      <x:c r="C154" s="235"/>
      <x:c r="D154" s="235"/>
      <x:c r="E154" s="327"/>
      <x:c r="F154" s="235"/>
      <x:c r="G154" s="239"/>
      <x:c r="H154" s="315" t="str">
        <x:f>IF(A154="","",IF(COUNTIFS($A$6:$A$205,A154)&gt;1,"Duplicate ID",IF(B154="","Add name",IF(AND(E154="",F154=""),"Add phone or email",""))))</x:f>
      </x:c>
    </x:row>
    <x:row r="155" ht="26" customHeight="1">
      <x:c r="A155" s="319"/>
      <x:c r="B155" s="320"/>
      <x:c r="C155" s="274"/>
      <x:c r="D155" s="274"/>
      <x:c r="E155" s="331"/>
      <x:c r="F155" s="274"/>
      <x:c r="G155" s="280"/>
      <x:c r="H155" s="315" t="str">
        <x:f>IF(A155="","",IF(COUNTIFS($A$6:$A$205,A155)&gt;1,"Duplicate ID",IF(B155="","Add name",IF(AND(E155="",F155=""),"Add phone or email",""))))</x:f>
      </x:c>
    </x:row>
    <x:row r="156" ht="26" customHeight="1">
      <x:c r="A156" s="317"/>
      <x:c r="B156" s="318"/>
      <x:c r="C156" s="235"/>
      <x:c r="D156" s="235"/>
      <x:c r="E156" s="327"/>
      <x:c r="F156" s="235"/>
      <x:c r="G156" s="239"/>
      <x:c r="H156" s="315" t="str">
        <x:f>IF(A156="","",IF(COUNTIFS($A$6:$A$205,A156)&gt;1,"Duplicate ID",IF(B156="","Add name",IF(AND(E156="",F156=""),"Add phone or email",""))))</x:f>
      </x:c>
    </x:row>
    <x:row r="157" ht="26" customHeight="1">
      <x:c r="A157" s="319"/>
      <x:c r="B157" s="320"/>
      <x:c r="C157" s="274"/>
      <x:c r="D157" s="274"/>
      <x:c r="E157" s="331"/>
      <x:c r="F157" s="274"/>
      <x:c r="G157" s="280"/>
      <x:c r="H157" s="315" t="str">
        <x:f>IF(A157="","",IF(COUNTIFS($A$6:$A$205,A157)&gt;1,"Duplicate ID",IF(B157="","Add name",IF(AND(E157="",F157=""),"Add phone or email",""))))</x:f>
      </x:c>
    </x:row>
    <x:row r="158" ht="26" customHeight="1">
      <x:c r="A158" s="317"/>
      <x:c r="B158" s="318"/>
      <x:c r="C158" s="235"/>
      <x:c r="D158" s="235"/>
      <x:c r="E158" s="327"/>
      <x:c r="F158" s="235"/>
      <x:c r="G158" s="239"/>
      <x:c r="H158" s="315" t="str">
        <x:f>IF(A158="","",IF(COUNTIFS($A$6:$A$205,A158)&gt;1,"Duplicate ID",IF(B158="","Add name",IF(AND(E158="",F158=""),"Add phone or email",""))))</x:f>
      </x:c>
    </x:row>
    <x:row r="159" ht="26" customHeight="1">
      <x:c r="A159" s="319"/>
      <x:c r="B159" s="320"/>
      <x:c r="C159" s="274"/>
      <x:c r="D159" s="274"/>
      <x:c r="E159" s="331"/>
      <x:c r="F159" s="274"/>
      <x:c r="G159" s="280"/>
      <x:c r="H159" s="315" t="str">
        <x:f>IF(A159="","",IF(COUNTIFS($A$6:$A$205,A159)&gt;1,"Duplicate ID",IF(B159="","Add name",IF(AND(E159="",F159=""),"Add phone or email",""))))</x:f>
      </x:c>
    </x:row>
    <x:row r="160" ht="26" customHeight="1">
      <x:c r="A160" s="317"/>
      <x:c r="B160" s="318"/>
      <x:c r="C160" s="235"/>
      <x:c r="D160" s="235"/>
      <x:c r="E160" s="327"/>
      <x:c r="F160" s="235"/>
      <x:c r="G160" s="239"/>
      <x:c r="H160" s="315" t="str">
        <x:f>IF(A160="","",IF(COUNTIFS($A$6:$A$205,A160)&gt;1,"Duplicate ID",IF(B160="","Add name",IF(AND(E160="",F160=""),"Add phone or email",""))))</x:f>
      </x:c>
    </x:row>
    <x:row r="161" ht="26" customHeight="1">
      <x:c r="A161" s="319"/>
      <x:c r="B161" s="320"/>
      <x:c r="C161" s="274"/>
      <x:c r="D161" s="274"/>
      <x:c r="E161" s="331"/>
      <x:c r="F161" s="274"/>
      <x:c r="G161" s="280"/>
      <x:c r="H161" s="315" t="str">
        <x:f>IF(A161="","",IF(COUNTIFS($A$6:$A$205,A161)&gt;1,"Duplicate ID",IF(B161="","Add name",IF(AND(E161="",F161=""),"Add phone or email",""))))</x:f>
      </x:c>
    </x:row>
    <x:row r="162" ht="26" customHeight="1">
      <x:c r="A162" s="317"/>
      <x:c r="B162" s="318"/>
      <x:c r="C162" s="235"/>
      <x:c r="D162" s="235"/>
      <x:c r="E162" s="327"/>
      <x:c r="F162" s="235"/>
      <x:c r="G162" s="239"/>
      <x:c r="H162" s="315" t="str">
        <x:f>IF(A162="","",IF(COUNTIFS($A$6:$A$205,A162)&gt;1,"Duplicate ID",IF(B162="","Add name",IF(AND(E162="",F162=""),"Add phone or email",""))))</x:f>
      </x:c>
    </x:row>
    <x:row r="163" ht="26" customHeight="1">
      <x:c r="A163" s="319"/>
      <x:c r="B163" s="320"/>
      <x:c r="C163" s="274"/>
      <x:c r="D163" s="274"/>
      <x:c r="E163" s="331"/>
      <x:c r="F163" s="274"/>
      <x:c r="G163" s="280"/>
      <x:c r="H163" s="315" t="str">
        <x:f>IF(A163="","",IF(COUNTIFS($A$6:$A$205,A163)&gt;1,"Duplicate ID",IF(B163="","Add name",IF(AND(E163="",F163=""),"Add phone or email",""))))</x:f>
      </x:c>
    </x:row>
    <x:row r="164" ht="26" customHeight="1">
      <x:c r="A164" s="317"/>
      <x:c r="B164" s="318"/>
      <x:c r="C164" s="235"/>
      <x:c r="D164" s="235"/>
      <x:c r="E164" s="327"/>
      <x:c r="F164" s="235"/>
      <x:c r="G164" s="239"/>
      <x:c r="H164" s="315" t="str">
        <x:f>IF(A164="","",IF(COUNTIFS($A$6:$A$205,A164)&gt;1,"Duplicate ID",IF(B164="","Add name",IF(AND(E164="",F164=""),"Add phone or email",""))))</x:f>
      </x:c>
    </x:row>
    <x:row r="165" ht="26" customHeight="1">
      <x:c r="A165" s="319"/>
      <x:c r="B165" s="320"/>
      <x:c r="C165" s="274"/>
      <x:c r="D165" s="274"/>
      <x:c r="E165" s="331"/>
      <x:c r="F165" s="274"/>
      <x:c r="G165" s="280"/>
      <x:c r="H165" s="315" t="str">
        <x:f>IF(A165="","",IF(COUNTIFS($A$6:$A$205,A165)&gt;1,"Duplicate ID",IF(B165="","Add name",IF(AND(E165="",F165=""),"Add phone or email",""))))</x:f>
      </x:c>
    </x:row>
    <x:row r="166" ht="26" customHeight="1">
      <x:c r="A166" s="317"/>
      <x:c r="B166" s="318"/>
      <x:c r="C166" s="235"/>
      <x:c r="D166" s="235"/>
      <x:c r="E166" s="327"/>
      <x:c r="F166" s="235"/>
      <x:c r="G166" s="239"/>
      <x:c r="H166" s="315" t="str">
        <x:f>IF(A166="","",IF(COUNTIFS($A$6:$A$205,A166)&gt;1,"Duplicate ID",IF(B166="","Add name",IF(AND(E166="",F166=""),"Add phone or email",""))))</x:f>
      </x:c>
    </x:row>
    <x:row r="167" ht="26" customHeight="1">
      <x:c r="A167" s="319"/>
      <x:c r="B167" s="320"/>
      <x:c r="C167" s="274"/>
      <x:c r="D167" s="274"/>
      <x:c r="E167" s="331"/>
      <x:c r="F167" s="274"/>
      <x:c r="G167" s="280"/>
      <x:c r="H167" s="315" t="str">
        <x:f>IF(A167="","",IF(COUNTIFS($A$6:$A$205,A167)&gt;1,"Duplicate ID",IF(B167="","Add name",IF(AND(E167="",F167=""),"Add phone or email",""))))</x:f>
      </x:c>
    </x:row>
    <x:row r="168" ht="26" customHeight="1">
      <x:c r="A168" s="317"/>
      <x:c r="B168" s="318"/>
      <x:c r="C168" s="235"/>
      <x:c r="D168" s="235"/>
      <x:c r="E168" s="327"/>
      <x:c r="F168" s="235"/>
      <x:c r="G168" s="239"/>
      <x:c r="H168" s="315" t="str">
        <x:f>IF(A168="","",IF(COUNTIFS($A$6:$A$205,A168)&gt;1,"Duplicate ID",IF(B168="","Add name",IF(AND(E168="",F168=""),"Add phone or email",""))))</x:f>
      </x:c>
    </x:row>
    <x:row r="169" ht="26" customHeight="1">
      <x:c r="A169" s="319"/>
      <x:c r="B169" s="320"/>
      <x:c r="C169" s="274"/>
      <x:c r="D169" s="274"/>
      <x:c r="E169" s="331"/>
      <x:c r="F169" s="274"/>
      <x:c r="G169" s="280"/>
      <x:c r="H169" s="315" t="str">
        <x:f>IF(A169="","",IF(COUNTIFS($A$6:$A$205,A169)&gt;1,"Duplicate ID",IF(B169="","Add name",IF(AND(E169="",F169=""),"Add phone or email",""))))</x:f>
      </x:c>
    </x:row>
    <x:row r="170" ht="26" customHeight="1">
      <x:c r="A170" s="317"/>
      <x:c r="B170" s="318"/>
      <x:c r="C170" s="235"/>
      <x:c r="D170" s="235"/>
      <x:c r="E170" s="327"/>
      <x:c r="F170" s="235"/>
      <x:c r="G170" s="239"/>
      <x:c r="H170" s="315" t="str">
        <x:f>IF(A170="","",IF(COUNTIFS($A$6:$A$205,A170)&gt;1,"Duplicate ID",IF(B170="","Add name",IF(AND(E170="",F170=""),"Add phone or email",""))))</x:f>
      </x:c>
    </x:row>
    <x:row r="171" ht="26" customHeight="1">
      <x:c r="A171" s="319"/>
      <x:c r="B171" s="320"/>
      <x:c r="C171" s="274"/>
      <x:c r="D171" s="274"/>
      <x:c r="E171" s="331"/>
      <x:c r="F171" s="274"/>
      <x:c r="G171" s="280"/>
      <x:c r="H171" s="315" t="str">
        <x:f>IF(A171="","",IF(COUNTIFS($A$6:$A$205,A171)&gt;1,"Duplicate ID",IF(B171="","Add name",IF(AND(E171="",F171=""),"Add phone or email",""))))</x:f>
      </x:c>
    </x:row>
    <x:row r="172" ht="26" customHeight="1">
      <x:c r="A172" s="317"/>
      <x:c r="B172" s="318"/>
      <x:c r="C172" s="235"/>
      <x:c r="D172" s="235"/>
      <x:c r="E172" s="327"/>
      <x:c r="F172" s="235"/>
      <x:c r="G172" s="239"/>
      <x:c r="H172" s="315" t="str">
        <x:f>IF(A172="","",IF(COUNTIFS($A$6:$A$205,A172)&gt;1,"Duplicate ID",IF(B172="","Add name",IF(AND(E172="",F172=""),"Add phone or email",""))))</x:f>
      </x:c>
    </x:row>
    <x:row r="173" ht="26" customHeight="1">
      <x:c r="A173" s="319"/>
      <x:c r="B173" s="320"/>
      <x:c r="C173" s="274"/>
      <x:c r="D173" s="274"/>
      <x:c r="E173" s="331"/>
      <x:c r="F173" s="274"/>
      <x:c r="G173" s="280"/>
      <x:c r="H173" s="315" t="str">
        <x:f>IF(A173="","",IF(COUNTIFS($A$6:$A$205,A173)&gt;1,"Duplicate ID",IF(B173="","Add name",IF(AND(E173="",F173=""),"Add phone or email",""))))</x:f>
      </x:c>
    </x:row>
    <x:row r="174" ht="26" customHeight="1">
      <x:c r="A174" s="317"/>
      <x:c r="B174" s="318"/>
      <x:c r="C174" s="235"/>
      <x:c r="D174" s="235"/>
      <x:c r="E174" s="327"/>
      <x:c r="F174" s="235"/>
      <x:c r="G174" s="239"/>
      <x:c r="H174" s="315" t="str">
        <x:f>IF(A174="","",IF(COUNTIFS($A$6:$A$205,A174)&gt;1,"Duplicate ID",IF(B174="","Add name",IF(AND(E174="",F174=""),"Add phone or email",""))))</x:f>
      </x:c>
    </x:row>
    <x:row r="175" ht="26" customHeight="1">
      <x:c r="A175" s="319"/>
      <x:c r="B175" s="320"/>
      <x:c r="C175" s="274"/>
      <x:c r="D175" s="274"/>
      <x:c r="E175" s="331"/>
      <x:c r="F175" s="274"/>
      <x:c r="G175" s="280"/>
      <x:c r="H175" s="315" t="str">
        <x:f>IF(A175="","",IF(COUNTIFS($A$6:$A$205,A175)&gt;1,"Duplicate ID",IF(B175="","Add name",IF(AND(E175="",F175=""),"Add phone or email",""))))</x:f>
      </x:c>
    </x:row>
    <x:row r="176" ht="26" customHeight="1">
      <x:c r="A176" s="317"/>
      <x:c r="B176" s="318"/>
      <x:c r="C176" s="235"/>
      <x:c r="D176" s="235"/>
      <x:c r="E176" s="327"/>
      <x:c r="F176" s="235"/>
      <x:c r="G176" s="239"/>
      <x:c r="H176" s="315" t="str">
        <x:f>IF(A176="","",IF(COUNTIFS($A$6:$A$205,A176)&gt;1,"Duplicate ID",IF(B176="","Add name",IF(AND(E176="",F176=""),"Add phone or email",""))))</x:f>
      </x:c>
    </x:row>
    <x:row r="177" ht="26" customHeight="1">
      <x:c r="A177" s="319"/>
      <x:c r="B177" s="320"/>
      <x:c r="C177" s="274"/>
      <x:c r="D177" s="274"/>
      <x:c r="E177" s="331"/>
      <x:c r="F177" s="274"/>
      <x:c r="G177" s="280"/>
      <x:c r="H177" s="315" t="str">
        <x:f>IF(A177="","",IF(COUNTIFS($A$6:$A$205,A177)&gt;1,"Duplicate ID",IF(B177="","Add name",IF(AND(E177="",F177=""),"Add phone or email",""))))</x:f>
      </x:c>
    </x:row>
    <x:row r="178" ht="26" customHeight="1">
      <x:c r="A178" s="317"/>
      <x:c r="B178" s="318"/>
      <x:c r="C178" s="235"/>
      <x:c r="D178" s="235"/>
      <x:c r="E178" s="327"/>
      <x:c r="F178" s="235"/>
      <x:c r="G178" s="239"/>
      <x:c r="H178" s="315" t="str">
        <x:f>IF(A178="","",IF(COUNTIFS($A$6:$A$205,A178)&gt;1,"Duplicate ID",IF(B178="","Add name",IF(AND(E178="",F178=""),"Add phone or email",""))))</x:f>
      </x:c>
    </x:row>
    <x:row r="179" ht="26" customHeight="1">
      <x:c r="A179" s="319"/>
      <x:c r="B179" s="320"/>
      <x:c r="C179" s="274"/>
      <x:c r="D179" s="274"/>
      <x:c r="E179" s="331"/>
      <x:c r="F179" s="274"/>
      <x:c r="G179" s="280"/>
      <x:c r="H179" s="315" t="str">
        <x:f>IF(A179="","",IF(COUNTIFS($A$6:$A$205,A179)&gt;1,"Duplicate ID",IF(B179="","Add name",IF(AND(E179="",F179=""),"Add phone or email",""))))</x:f>
      </x:c>
    </x:row>
    <x:row r="180" ht="26" customHeight="1">
      <x:c r="A180" s="317"/>
      <x:c r="B180" s="318"/>
      <x:c r="C180" s="235"/>
      <x:c r="D180" s="235"/>
      <x:c r="E180" s="327"/>
      <x:c r="F180" s="235"/>
      <x:c r="G180" s="239"/>
      <x:c r="H180" s="315" t="str">
        <x:f>IF(A180="","",IF(COUNTIFS($A$6:$A$205,A180)&gt;1,"Duplicate ID",IF(B180="","Add name",IF(AND(E180="",F180=""),"Add phone or email",""))))</x:f>
      </x:c>
    </x:row>
    <x:row r="181" ht="26" customHeight="1">
      <x:c r="A181" s="319"/>
      <x:c r="B181" s="320"/>
      <x:c r="C181" s="274"/>
      <x:c r="D181" s="274"/>
      <x:c r="E181" s="331"/>
      <x:c r="F181" s="274"/>
      <x:c r="G181" s="280"/>
      <x:c r="H181" s="315" t="str">
        <x:f>IF(A181="","",IF(COUNTIFS($A$6:$A$205,A181)&gt;1,"Duplicate ID",IF(B181="","Add name",IF(AND(E181="",F181=""),"Add phone or email",""))))</x:f>
      </x:c>
    </x:row>
    <x:row r="182" ht="26" customHeight="1">
      <x:c r="A182" s="317"/>
      <x:c r="B182" s="318"/>
      <x:c r="C182" s="235"/>
      <x:c r="D182" s="235"/>
      <x:c r="E182" s="327"/>
      <x:c r="F182" s="235"/>
      <x:c r="G182" s="239"/>
      <x:c r="H182" s="315" t="str">
        <x:f>IF(A182="","",IF(COUNTIFS($A$6:$A$205,A182)&gt;1,"Duplicate ID",IF(B182="","Add name",IF(AND(E182="",F182=""),"Add phone or email",""))))</x:f>
      </x:c>
    </x:row>
    <x:row r="183" ht="26" customHeight="1">
      <x:c r="A183" s="319"/>
      <x:c r="B183" s="320"/>
      <x:c r="C183" s="274"/>
      <x:c r="D183" s="274"/>
      <x:c r="E183" s="331"/>
      <x:c r="F183" s="274"/>
      <x:c r="G183" s="280"/>
      <x:c r="H183" s="315" t="str">
        <x:f>IF(A183="","",IF(COUNTIFS($A$6:$A$205,A183)&gt;1,"Duplicate ID",IF(B183="","Add name",IF(AND(E183="",F183=""),"Add phone or email",""))))</x:f>
      </x:c>
    </x:row>
    <x:row r="184" ht="26" customHeight="1">
      <x:c r="A184" s="317"/>
      <x:c r="B184" s="318"/>
      <x:c r="C184" s="235"/>
      <x:c r="D184" s="235"/>
      <x:c r="E184" s="327"/>
      <x:c r="F184" s="235"/>
      <x:c r="G184" s="239"/>
      <x:c r="H184" s="315" t="str">
        <x:f>IF(A184="","",IF(COUNTIFS($A$6:$A$205,A184)&gt;1,"Duplicate ID",IF(B184="","Add name",IF(AND(E184="",F184=""),"Add phone or email",""))))</x:f>
      </x:c>
    </x:row>
    <x:row r="185" ht="26" customHeight="1">
      <x:c r="A185" s="319"/>
      <x:c r="B185" s="320"/>
      <x:c r="C185" s="274"/>
      <x:c r="D185" s="274"/>
      <x:c r="E185" s="331"/>
      <x:c r="F185" s="274"/>
      <x:c r="G185" s="280"/>
      <x:c r="H185" s="315" t="str">
        <x:f>IF(A185="","",IF(COUNTIFS($A$6:$A$205,A185)&gt;1,"Duplicate ID",IF(B185="","Add name",IF(AND(E185="",F185=""),"Add phone or email",""))))</x:f>
      </x:c>
    </x:row>
    <x:row r="186" ht="26" customHeight="1">
      <x:c r="A186" s="317"/>
      <x:c r="B186" s="318"/>
      <x:c r="C186" s="235"/>
      <x:c r="D186" s="235"/>
      <x:c r="E186" s="327"/>
      <x:c r="F186" s="235"/>
      <x:c r="G186" s="239"/>
      <x:c r="H186" s="315" t="str">
        <x:f>IF(A186="","",IF(COUNTIFS($A$6:$A$205,A186)&gt;1,"Duplicate ID",IF(B186="","Add name",IF(AND(E186="",F186=""),"Add phone or email",""))))</x:f>
      </x:c>
    </x:row>
    <x:row r="187" ht="26" customHeight="1">
      <x:c r="A187" s="319"/>
      <x:c r="B187" s="320"/>
      <x:c r="C187" s="274"/>
      <x:c r="D187" s="274"/>
      <x:c r="E187" s="331"/>
      <x:c r="F187" s="274"/>
      <x:c r="G187" s="280"/>
      <x:c r="H187" s="315" t="str">
        <x:f>IF(A187="","",IF(COUNTIFS($A$6:$A$205,A187)&gt;1,"Duplicate ID",IF(B187="","Add name",IF(AND(E187="",F187=""),"Add phone or email",""))))</x:f>
      </x:c>
    </x:row>
    <x:row r="188" ht="26" customHeight="1">
      <x:c r="A188" s="317"/>
      <x:c r="B188" s="318"/>
      <x:c r="C188" s="235"/>
      <x:c r="D188" s="235"/>
      <x:c r="E188" s="327"/>
      <x:c r="F188" s="235"/>
      <x:c r="G188" s="239"/>
      <x:c r="H188" s="315" t="str">
        <x:f>IF(A188="","",IF(COUNTIFS($A$6:$A$205,A188)&gt;1,"Duplicate ID",IF(B188="","Add name",IF(AND(E188="",F188=""),"Add phone or email",""))))</x:f>
      </x:c>
    </x:row>
    <x:row r="189" ht="26" customHeight="1">
      <x:c r="A189" s="319"/>
      <x:c r="B189" s="320"/>
      <x:c r="C189" s="274"/>
      <x:c r="D189" s="274"/>
      <x:c r="E189" s="331"/>
      <x:c r="F189" s="274"/>
      <x:c r="G189" s="280"/>
      <x:c r="H189" s="315" t="str">
        <x:f>IF(A189="","",IF(COUNTIFS($A$6:$A$205,A189)&gt;1,"Duplicate ID",IF(B189="","Add name",IF(AND(E189="",F189=""),"Add phone or email",""))))</x:f>
      </x:c>
    </x:row>
    <x:row r="190" ht="26" customHeight="1">
      <x:c r="A190" s="317"/>
      <x:c r="B190" s="318"/>
      <x:c r="C190" s="235"/>
      <x:c r="D190" s="235"/>
      <x:c r="E190" s="327"/>
      <x:c r="F190" s="235"/>
      <x:c r="G190" s="239"/>
      <x:c r="H190" s="315" t="str">
        <x:f>IF(A190="","",IF(COUNTIFS($A$6:$A$205,A190)&gt;1,"Duplicate ID",IF(B190="","Add name",IF(AND(E190="",F190=""),"Add phone or email",""))))</x:f>
      </x:c>
    </x:row>
    <x:row r="191" ht="26" customHeight="1">
      <x:c r="A191" s="319"/>
      <x:c r="B191" s="320"/>
      <x:c r="C191" s="274"/>
      <x:c r="D191" s="274"/>
      <x:c r="E191" s="331"/>
      <x:c r="F191" s="274"/>
      <x:c r="G191" s="280"/>
      <x:c r="H191" s="315" t="str">
        <x:f>IF(A191="","",IF(COUNTIFS($A$6:$A$205,A191)&gt;1,"Duplicate ID",IF(B191="","Add name",IF(AND(E191="",F191=""),"Add phone or email",""))))</x:f>
      </x:c>
    </x:row>
    <x:row r="192" ht="26" customHeight="1">
      <x:c r="A192" s="317"/>
      <x:c r="B192" s="318"/>
      <x:c r="C192" s="235"/>
      <x:c r="D192" s="235"/>
      <x:c r="E192" s="327"/>
      <x:c r="F192" s="235"/>
      <x:c r="G192" s="239"/>
      <x:c r="H192" s="315" t="str">
        <x:f>IF(A192="","",IF(COUNTIFS($A$6:$A$205,A192)&gt;1,"Duplicate ID",IF(B192="","Add name",IF(AND(E192="",F192=""),"Add phone or email",""))))</x:f>
      </x:c>
    </x:row>
    <x:row r="193" ht="26" customHeight="1">
      <x:c r="A193" s="319"/>
      <x:c r="B193" s="320"/>
      <x:c r="C193" s="274"/>
      <x:c r="D193" s="274"/>
      <x:c r="E193" s="331"/>
      <x:c r="F193" s="274"/>
      <x:c r="G193" s="280"/>
      <x:c r="H193" s="315" t="str">
        <x:f>IF(A193="","",IF(COUNTIFS($A$6:$A$205,A193)&gt;1,"Duplicate ID",IF(B193="","Add name",IF(AND(E193="",F193=""),"Add phone or email",""))))</x:f>
      </x:c>
    </x:row>
    <x:row r="194" ht="26" customHeight="1">
      <x:c r="A194" s="317"/>
      <x:c r="B194" s="318"/>
      <x:c r="C194" s="235"/>
      <x:c r="D194" s="235"/>
      <x:c r="E194" s="327"/>
      <x:c r="F194" s="235"/>
      <x:c r="G194" s="239"/>
      <x:c r="H194" s="315" t="str">
        <x:f>IF(A194="","",IF(COUNTIFS($A$6:$A$205,A194)&gt;1,"Duplicate ID",IF(B194="","Add name",IF(AND(E194="",F194=""),"Add phone or email",""))))</x:f>
      </x:c>
    </x:row>
    <x:row r="195" ht="26" customHeight="1">
      <x:c r="A195" s="319"/>
      <x:c r="B195" s="320"/>
      <x:c r="C195" s="274"/>
      <x:c r="D195" s="274"/>
      <x:c r="E195" s="331"/>
      <x:c r="F195" s="274"/>
      <x:c r="G195" s="280"/>
      <x:c r="H195" s="315" t="str">
        <x:f>IF(A195="","",IF(COUNTIFS($A$6:$A$205,A195)&gt;1,"Duplicate ID",IF(B195="","Add name",IF(AND(E195="",F195=""),"Add phone or email",""))))</x:f>
      </x:c>
    </x:row>
    <x:row r="196" ht="26" customHeight="1">
      <x:c r="A196" s="317"/>
      <x:c r="B196" s="318"/>
      <x:c r="C196" s="235"/>
      <x:c r="D196" s="235"/>
      <x:c r="E196" s="327"/>
      <x:c r="F196" s="235"/>
      <x:c r="G196" s="239"/>
      <x:c r="H196" s="315" t="str">
        <x:f>IF(A196="","",IF(COUNTIFS($A$6:$A$205,A196)&gt;1,"Duplicate ID",IF(B196="","Add name",IF(AND(E196="",F196=""),"Add phone or email",""))))</x:f>
      </x:c>
    </x:row>
    <x:row r="197" ht="26" customHeight="1">
      <x:c r="A197" s="319"/>
      <x:c r="B197" s="320"/>
      <x:c r="C197" s="274"/>
      <x:c r="D197" s="274"/>
      <x:c r="E197" s="331"/>
      <x:c r="F197" s="274"/>
      <x:c r="G197" s="280"/>
      <x:c r="H197" s="315" t="str">
        <x:f>IF(A197="","",IF(COUNTIFS($A$6:$A$205,A197)&gt;1,"Duplicate ID",IF(B197="","Add name",IF(AND(E197="",F197=""),"Add phone or email",""))))</x:f>
      </x:c>
    </x:row>
    <x:row r="198" ht="26" customHeight="1">
      <x:c r="A198" s="317"/>
      <x:c r="B198" s="318"/>
      <x:c r="C198" s="235"/>
      <x:c r="D198" s="235"/>
      <x:c r="E198" s="327"/>
      <x:c r="F198" s="235"/>
      <x:c r="G198" s="239"/>
      <x:c r="H198" s="315" t="str">
        <x:f>IF(A198="","",IF(COUNTIFS($A$6:$A$205,A198)&gt;1,"Duplicate ID",IF(B198="","Add name",IF(AND(E198="",F198=""),"Add phone or email",""))))</x:f>
      </x:c>
    </x:row>
    <x:row r="199" ht="26" customHeight="1">
      <x:c r="A199" s="319"/>
      <x:c r="B199" s="320"/>
      <x:c r="C199" s="274"/>
      <x:c r="D199" s="274"/>
      <x:c r="E199" s="331"/>
      <x:c r="F199" s="274"/>
      <x:c r="G199" s="280"/>
      <x:c r="H199" s="315" t="str">
        <x:f>IF(A199="","",IF(COUNTIFS($A$6:$A$205,A199)&gt;1,"Duplicate ID",IF(B199="","Add name",IF(AND(E199="",F199=""),"Add phone or email",""))))</x:f>
      </x:c>
    </x:row>
    <x:row r="200" ht="26" customHeight="1">
      <x:c r="A200" s="317"/>
      <x:c r="B200" s="318"/>
      <x:c r="C200" s="235"/>
      <x:c r="D200" s="235"/>
      <x:c r="E200" s="327"/>
      <x:c r="F200" s="235"/>
      <x:c r="G200" s="239"/>
      <x:c r="H200" s="315" t="str">
        <x:f>IF(A200="","",IF(COUNTIFS($A$6:$A$205,A200)&gt;1,"Duplicate ID",IF(B200="","Add name",IF(AND(E200="",F200=""),"Add phone or email",""))))</x:f>
      </x:c>
    </x:row>
    <x:row r="201" ht="26" customHeight="1">
      <x:c r="A201" s="319"/>
      <x:c r="B201" s="320"/>
      <x:c r="C201" s="274"/>
      <x:c r="D201" s="274"/>
      <x:c r="E201" s="331"/>
      <x:c r="F201" s="274"/>
      <x:c r="G201" s="280"/>
      <x:c r="H201" s="315" t="str">
        <x:f>IF(A201="","",IF(COUNTIFS($A$6:$A$205,A201)&gt;1,"Duplicate ID",IF(B201="","Add name",IF(AND(E201="",F201=""),"Add phone or email",""))))</x:f>
      </x:c>
    </x:row>
    <x:row r="202" ht="26" customHeight="1">
      <x:c r="A202" s="317"/>
      <x:c r="B202" s="318"/>
      <x:c r="C202" s="235"/>
      <x:c r="D202" s="235"/>
      <x:c r="E202" s="327"/>
      <x:c r="F202" s="235"/>
      <x:c r="G202" s="239"/>
      <x:c r="H202" s="315" t="str">
        <x:f>IF(A202="","",IF(COUNTIFS($A$6:$A$205,A202)&gt;1,"Duplicate ID",IF(B202="","Add name",IF(AND(E202="",F202=""),"Add phone or email",""))))</x:f>
      </x:c>
    </x:row>
    <x:row r="203" ht="26" customHeight="1">
      <x:c r="A203" s="319"/>
      <x:c r="B203" s="320"/>
      <x:c r="C203" s="274"/>
      <x:c r="D203" s="274"/>
      <x:c r="E203" s="331"/>
      <x:c r="F203" s="274"/>
      <x:c r="G203" s="280"/>
      <x:c r="H203" s="315" t="str">
        <x:f>IF(A203="","",IF(COUNTIFS($A$6:$A$205,A203)&gt;1,"Duplicate ID",IF(B203="","Add name",IF(AND(E203="",F203=""),"Add phone or email",""))))</x:f>
      </x:c>
    </x:row>
    <x:row r="204" ht="26" customHeight="1">
      <x:c r="A204" s="317"/>
      <x:c r="B204" s="318"/>
      <x:c r="C204" s="235"/>
      <x:c r="D204" s="235"/>
      <x:c r="E204" s="327"/>
      <x:c r="F204" s="235"/>
      <x:c r="G204" s="239"/>
      <x:c r="H204" s="315" t="str">
        <x:f>IF(A204="","",IF(COUNTIFS($A$6:$A$205,A204)&gt;1,"Duplicate ID",IF(B204="","Add name",IF(AND(E204="",F204=""),"Add phone or email",""))))</x:f>
      </x:c>
    </x:row>
    <x:row r="205" ht="26" customHeight="1">
      <x:c r="A205" s="321"/>
      <x:c r="B205" s="322"/>
      <x:c r="C205" s="307"/>
      <x:c r="D205" s="307"/>
      <x:c r="E205" s="333"/>
      <x:c r="F205" s="307"/>
      <x:c r="G205" s="311"/>
      <x:c r="H205" s="316" t="str">
        <x:f>IF(A205="","",IF(COUNTIFS($A$6:$A$205,A205)&gt;1,"Duplicate ID",IF(B205="","Add name",IF(AND(E205="",F205=""),"Add phone or email",""))))</x:f>
      </x:c>
    </x:row>
  </x:sheetData>
  <x:mergeCells>
    <x:mergeCell ref="A1:D1"/>
    <x:mergeCell ref="A2:E2"/>
    <x:mergeCell ref="F2:H2"/>
    <x:mergeCell ref="A3:H3"/>
    <x:mergeCell ref="E1:G1"/>
  </x:mergeCells>
  <x:conditionalFormatting sqref="A6:A205">
    <x:cfRule type="expression" dxfId="1" priority="1">
      <x:formula>AND(A6&lt;&gt;"",COUNTIFS($A$6:$A$205,A6)&gt;1)</x:formula>
    </x:cfRule>
    <x:cfRule type="expression" dxfId="27" priority="3">
      <x:formula>AND(A6&lt;&gt;"",COUNTIFS($A$6:$A$205,A6)&gt;1)</x:formula>
    </x:cfRule>
  </x:conditionalFormatting>
  <x:conditionalFormatting sqref="H6:H205">
    <x:cfRule type="expression" dxfId="26" priority="2">
      <x:formula>H6&lt;&gt;""</x:formula>
    </x:cfRule>
  </x:conditionalFormatting>
  <x:dataValidations count="1">
    <x:dataValidation type="list" sqref="C6:C205">
      <x:formula1>"Owner,Landlord,Developer,Partner broker,Other"</x:formula1>
    </x:dataValidation>
  </x:dataValidations>
  <x:pageMargins left="0.7" right="0.7" top="0.75" bottom="0.75" header="0.3" footer="0.3"/>
  <x:tableParts count="1">
    <x:tablePart xmlns:r="http://schemas.openxmlformats.org/officeDocument/2006/relationships" r:id="Rb0e205ff433d4706"/>
  </x:tableParts>
</x:worksheet>
</file>

<file path=xl/worksheets/sheet5.xml><?xml version="1.0" encoding="utf-8"?>
<x:worksheet xmlns:x="http://schemas.openxmlformats.org/spreadsheetml/2006/main">
  <x:sheetPr>
    <x:tabColor rgb="FF738996"/>
  </x:sheetPr>
  <x:sheetViews>
    <x:sheetView showGridLines="0" workbookViewId="0">
      <x:pane xSplit="2" ySplit="5" topLeftCell="C6" activePane="bottomRight" state="frozen"/>
    </x:sheetView>
  </x:sheetViews>
  <x:sheetFormatPr defaultRowHeight="15"/>
  <x:cols>
    <x:col min="1" max="1" width="13" hidden="0" customWidth="1"/>
    <x:col min="2" max="2" width="25" hidden="0" customWidth="1"/>
    <x:col min="3" max="3" width="13" hidden="0" customWidth="1"/>
    <x:col min="4" max="4" width="18" hidden="0" customWidth="1"/>
    <x:col min="5" max="5" width="14" hidden="0" customWidth="1"/>
    <x:col min="6" max="6" width="18" hidden="0" customWidth="1"/>
    <x:col min="7" max="7" width="18" hidden="0" customWidth="1"/>
    <x:col min="8" max="8" width="25" hidden="0" customWidth="1"/>
    <x:col min="9" max="9" width="18" hidden="0" customWidth="1"/>
    <x:col min="10" max="10" width="14" hidden="0" customWidth="1"/>
    <x:col min="11" max="11" width="18" hidden="0" customWidth="1"/>
    <x:col min="12" max="12" width="19" hidden="0" customWidth="1"/>
    <x:col min="13" max="13" width="23" hidden="0" customWidth="1"/>
    <x:col min="14" max="14" width="18" hidden="0" customWidth="1"/>
    <x:col min="15" max="15" width="18" hidden="0" customWidth="1"/>
    <x:col min="16" max="16" width="18" hidden="0" customWidth="1"/>
    <x:col min="17" max="17" width="14" hidden="0" customWidth="1"/>
    <x:col min="18" max="18" width="19" hidden="0" customWidth="1"/>
    <x:col min="19" max="19" width="18" hidden="0" customWidth="1"/>
    <x:col min="20" max="20" width="18" hidden="0" customWidth="1"/>
    <x:col min="21" max="21" width="25" hidden="0" customWidth="1"/>
    <x:col min="22" max="22" width="18" hidden="0" customWidth="1"/>
    <x:col min="23" max="23" width="25" hidden="0" customWidth="1"/>
    <x:col min="24" max="24" width="25" hidden="0" customWidth="1"/>
    <x:col min="25" max="25" width="32" hidden="0" customWidth="1"/>
    <x:col min="26" max="26" width="18" hidden="0" customWidth="1"/>
    <x:col min="27" max="27" width="23" hidden="0" customWidth="1"/>
    <x:col min="28" max="28" width="25" hidden="0" customWidth="1"/>
  </x:cols>
  <x:sheetData>
    <x:row r="1" ht="22" customHeight="1">
      <x:c r="A1" s="259" t="str">
        <x:v>KEYS WITH SIMONI</x:v>
      </x:c>
      <x:c r="B1" s="260"/>
      <x:c r="C1" s="260"/>
      <x:c r="D1" s="260"/>
      <x:c r="E1" s="382" t="str">
        <x:v>Records to review</x:v>
      </x:c>
      <x:c r="F1" s="382"/>
      <x:c r="G1" s="382"/>
      <x:c r="H1" s="385" t="n">
        <x:f>SUM(COUNTIFS($AB$6:$AB$205,"Duplicate ID"),COUNTIFS($AB$6:$AB$205,"Add listing title"),COUNTIFS($AB$6:$AB$205,"Check Contact ID"),COUNTIFS($AB$6:$AB$205,"Select sale or rental"),COUNTIFS($AB$6:$AB$205,"Set listing status"),COUNTIFS($AB$6:$AB$205,"Add positive asking price"))</x:f>
        <x:v>0</x:v>
      </x:c>
      <x:c r="I1" s="256"/>
      <x:c r="J1" s="256"/>
      <x:c r="K1" s="256"/>
      <x:c r="L1" s="256"/>
      <x:c r="M1" s="256"/>
      <x:c r="N1" s="256"/>
      <x:c r="O1" s="256"/>
      <x:c r="P1" s="256"/>
      <x:c r="Q1" s="256"/>
      <x:c r="R1" s="256"/>
      <x:c r="S1" s="256"/>
      <x:c r="T1" s="256"/>
      <x:c r="U1" s="256"/>
      <x:c r="V1" s="256"/>
      <x:c r="W1" s="256"/>
      <x:c r="X1" s="256"/>
      <x:c r="Y1" s="256"/>
      <x:c r="Z1" s="256"/>
      <x:c r="AA1" s="256"/>
      <x:c r="AB1" s="257"/>
    </x:row>
    <x:row r="2" ht="37" customHeight="1">
      <x:c r="A2" s="263" t="str">
        <x:v>Property portfolio</x:v>
      </x:c>
      <x:c r="B2" s="264"/>
      <x:c r="C2" s="264"/>
      <x:c r="D2" s="264"/>
      <x:c r="E2" s="264"/>
      <x:c r="F2" s="268" t="str">
        <x:v>White: enter data. Blue-grey: calculated.</x:v>
      </x:c>
      <x:c r="G2" s="268"/>
      <x:c r="H2" s="268"/>
      <x:c r="I2" s="235"/>
      <x:c r="J2" s="235"/>
      <x:c r="K2" s="235"/>
      <x:c r="L2" s="235"/>
      <x:c r="M2" s="235"/>
      <x:c r="N2" s="235"/>
      <x:c r="O2" s="235"/>
      <x:c r="P2" s="235"/>
      <x:c r="Q2" s="235"/>
      <x:c r="R2" s="235"/>
      <x:c r="S2" s="235"/>
      <x:c r="T2" s="235"/>
      <x:c r="U2" s="235"/>
      <x:c r="V2" s="235"/>
      <x:c r="W2" s="235"/>
      <x:c r="X2" s="235"/>
      <x:c r="Y2" s="235"/>
      <x:c r="Z2" s="235"/>
      <x:c r="AA2" s="235"/>
      <x:c r="AB2" s="239"/>
    </x:row>
    <x:row r="3" ht="35" customHeight="1">
      <x:c r="A3" s="271" t="str">
        <x:v>Enter sale price or annual rent. Availability and permit dates are checked separately.</x:v>
      </x:c>
      <x:c r="B3" s="272"/>
      <x:c r="C3" s="272"/>
      <x:c r="D3" s="272"/>
      <x:c r="E3" s="272"/>
      <x:c r="F3" s="272"/>
      <x:c r="G3" s="272"/>
      <x:c r="H3" s="272"/>
      <x:c r="I3" s="235"/>
      <x:c r="J3" s="235"/>
      <x:c r="K3" s="235"/>
      <x:c r="L3" s="235"/>
      <x:c r="M3" s="235"/>
      <x:c r="N3" s="235"/>
      <x:c r="O3" s="235"/>
      <x:c r="P3" s="235"/>
      <x:c r="Q3" s="235"/>
      <x:c r="R3" s="235"/>
      <x:c r="S3" s="235"/>
      <x:c r="T3" s="235"/>
      <x:c r="U3" s="235"/>
      <x:c r="V3" s="235"/>
      <x:c r="W3" s="235"/>
      <x:c r="X3" s="235"/>
      <x:c r="Y3" s="235"/>
      <x:c r="Z3" s="235"/>
      <x:c r="AA3" s="235"/>
      <x:c r="AB3" s="239"/>
    </x:row>
    <x:row r="4" ht="24" customHeight="1">
      <x:c r="A4" s="277" t="str">
        <x:v>01  PROPERTY &amp; LOCATION</x:v>
      </x:c>
      <x:c r="B4" s="278"/>
      <x:c r="C4" s="278"/>
      <x:c r="D4" s="278"/>
      <x:c r="E4" s="278"/>
      <x:c r="F4" s="278"/>
      <x:c r="G4" s="278"/>
      <x:c r="H4" s="278"/>
      <x:c r="I4" s="279" t="str">
        <x:v>02  SPECIFICATION</x:v>
      </x:c>
      <x:c r="J4" s="279"/>
      <x:c r="K4" s="279"/>
      <x:c r="L4" s="279"/>
      <x:c r="M4" s="279"/>
      <x:c r="N4" s="279"/>
      <x:c r="O4" s="279"/>
      <x:c r="P4" s="279"/>
      <x:c r="Q4" s="279" t="str">
        <x:v>03  TERMS &amp; LISTING</x:v>
      </x:c>
      <x:c r="R4" s="279"/>
      <x:c r="S4" s="279"/>
      <x:c r="T4" s="279"/>
      <x:c r="U4" s="279"/>
      <x:c r="V4" s="279"/>
      <x:c r="W4" s="279" t="str">
        <x:v>04  LINKS &amp; REVIEW</x:v>
      </x:c>
      <x:c r="X4" s="279"/>
      <x:c r="Y4" s="279"/>
      <x:c r="Z4" s="279"/>
      <x:c r="AA4" s="279"/>
      <x:c r="AB4" s="282"/>
    </x:row>
    <x:row r="5" ht="44" customHeight="1">
      <x:c r="A5" s="293" t="str">
        <x:v>Property
ID</x:v>
      </x:c>
      <x:c r="B5" s="294" t="str">
        <x:v>Listing
title</x:v>
      </x:c>
      <x:c r="C5" s="294" t="str">
        <x:v>Contact
ID</x:v>
      </x:c>
      <x:c r="D5" s="294" t="str">
        <x:v>Sale /
rental</x:v>
      </x:c>
      <x:c r="E5" s="294" t="str">
        <x:v>Emirate</x:v>
      </x:c>
      <x:c r="F5" s="294" t="str">
        <x:v>Community</x:v>
      </x:c>
      <x:c r="G5" s="294" t="str">
        <x:v>Building /
project</x:v>
      </x:c>
      <x:c r="H5" s="294" t="str">
        <x:v>Unit
reference</x:v>
      </x:c>
      <x:c r="I5" s="294" t="str">
        <x:v>Property
type</x:v>
      </x:c>
      <x:c r="J5" s="294" t="str">
        <x:v>Bedrooms</x:v>
      </x:c>
      <x:c r="K5" s="294" t="str">
        <x:v>Area
sq ft</x:v>
      </x:c>
      <x:c r="L5" s="294" t="str">
        <x:v>Price / annual rent
AED</x:v>
      </x:c>
      <x:c r="M5" s="294" t="str">
        <x:v>Listing
status</x:v>
      </x:c>
      <x:c r="N5" s="294" t="str">
        <x:v>Ready /
off-plan</x:v>
      </x:c>
      <x:c r="O5" s="294" t="str">
        <x:v>Furnishing</x:v>
      </x:c>
      <x:c r="P5" s="294" t="str">
        <x:v>Available
from</x:v>
      </x:c>
      <x:c r="Q5" s="294" t="str">
        <x:v>Rental
cheques</x:v>
      </x:c>
      <x:c r="R5" s="294" t="str">
        <x:v>Deposit
AED</x:v>
      </x:c>
      <x:c r="S5" s="294" t="str">
        <x:v>Last
verified</x:v>
      </x:c>
      <x:c r="T5" s="294" t="str">
        <x:v>Listing
authorization</x:v>
      </x:c>
      <x:c r="U5" s="294" t="str">
        <x:v>Permit
reference</x:v>
      </x:c>
      <x:c r="V5" s="294" t="str">
        <x:v>Permit
expiry</x:v>
      </x:c>
      <x:c r="W5" s="294" t="str">
        <x:v>Listing
URL</x:v>
      </x:c>
      <x:c r="X5" s="294" t="str">
        <x:v>Photos / documents
URL</x:v>
      </x:c>
      <x:c r="Y5" s="294" t="str">
        <x:v>Notes</x:v>
      </x:c>
      <x:c r="Z5" s="294" t="str">
        <x:v>Availability
review</x:v>
      </x:c>
      <x:c r="AA5" s="294" t="str">
        <x:v>Permit date
alert</x:v>
      </x:c>
      <x:c r="AB5" s="299" t="str">
        <x:v>Record
check</x:v>
      </x:c>
    </x:row>
    <x:row r="6" ht="26" customHeight="1">
      <x:c r="A6" s="317"/>
      <x:c r="B6" s="318"/>
      <x:c r="C6" s="235"/>
      <x:c r="D6" s="235"/>
      <x:c r="E6" s="235"/>
      <x:c r="F6" s="235"/>
      <x:c r="G6" s="235"/>
      <x:c r="H6" s="235"/>
      <x:c r="I6" s="235"/>
      <x:c r="J6" s="376"/>
      <x:c r="K6" s="342"/>
      <x:c r="L6" s="236"/>
      <x:c r="M6" s="235"/>
      <x:c r="N6" s="235"/>
      <x:c r="O6" s="235"/>
      <x:c r="P6" s="238"/>
      <x:c r="Q6" s="376"/>
      <x:c r="R6" s="236"/>
      <x:c r="S6" s="238"/>
      <x:c r="T6" s="235"/>
      <x:c r="U6" s="235"/>
      <x:c r="V6" s="238"/>
      <x:c r="W6" s="235"/>
      <x:c r="X6" s="235"/>
      <x:c r="Y6" s="235"/>
      <x:c r="Z6" s="315" t="str">
        <x:f>IF(A6="","",IF(M6&lt;&gt;"Available","",IF(S6="","Verify availability",IF(TODAY()-S6&gt;14,"Recheck listing",""))))</x:f>
      </x:c>
      <x:c r="AA6" s="265" t="str">
        <x:f>IF(A6="","",IF(AND(M6&lt;&gt;"Available",M6&lt;&gt;"Reserved"),"",IF(ISNUMBER(V6),IF(V6&lt;TODAY(),"Expired",IF(V6&lt;=TODAY()+30,"Expires within 30 days","Current")),IF(U6&lt;&gt;"","Add expiry date","Not recorded"))))</x:f>
      </x:c>
      <x:c r="AB6" s="315" t="str">
        <x:f>IF(A6="","",IF(COUNTIFS($A$6:$A$205,A6)&gt;1,"Duplicate ID",IF(B6="","Add listing title",IF(OR(C6="",COUNTIFS('Contacts'!$A$6:$A$205,C6)&lt;&gt;1),"Check Contact ID",IF(D6="","Select sale or rental",IF(M6="","Set listing status",IF(OR(NOT(ISNUMBER(L6)),L6&lt;=0),"Add positive asking price","")))))))</x:f>
      </x:c>
    </x:row>
    <x:row r="7" ht="26" customHeight="1">
      <x:c r="A7" s="319"/>
      <x:c r="B7" s="320"/>
      <x:c r="C7" s="274"/>
      <x:c r="D7" s="274"/>
      <x:c r="E7" s="274"/>
      <x:c r="F7" s="274"/>
      <x:c r="G7" s="274"/>
      <x:c r="H7" s="274"/>
      <x:c r="I7" s="274"/>
      <x:c r="J7" s="377"/>
      <x:c r="K7" s="344"/>
      <x:c r="L7" s="302"/>
      <x:c r="M7" s="274"/>
      <x:c r="N7" s="274"/>
      <x:c r="O7" s="274"/>
      <x:c r="P7" s="304"/>
      <x:c r="Q7" s="377"/>
      <x:c r="R7" s="302"/>
      <x:c r="S7" s="304"/>
      <x:c r="T7" s="274"/>
      <x:c r="U7" s="274"/>
      <x:c r="V7" s="304"/>
      <x:c r="W7" s="274"/>
      <x:c r="X7" s="274"/>
      <x:c r="Y7" s="274"/>
      <x:c r="Z7" s="315" t="str">
        <x:f>IF(A7="","",IF(M7&lt;&gt;"Available","",IF(S7="","Verify availability",IF(TODAY()-S7&gt;14,"Recheck listing",""))))</x:f>
      </x:c>
      <x:c r="AA7" s="265" t="str">
        <x:f>IF(A7="","",IF(AND(M7&lt;&gt;"Available",M7&lt;&gt;"Reserved"),"",IF(ISNUMBER(V7),IF(V7&lt;TODAY(),"Expired",IF(V7&lt;=TODAY()+30,"Expires within 30 days","Current")),IF(U7&lt;&gt;"","Add expiry date","Not recorded"))))</x:f>
      </x:c>
      <x:c r="AB7" s="315" t="str">
        <x:f>IF(A7="","",IF(COUNTIFS($A$6:$A$205,A7)&gt;1,"Duplicate ID",IF(B7="","Add listing title",IF(OR(C7="",COUNTIFS('Contacts'!$A$6:$A$205,C7)&lt;&gt;1),"Check Contact ID",IF(D7="","Select sale or rental",IF(M7="","Set listing status",IF(OR(NOT(ISNUMBER(L7)),L7&lt;=0),"Add positive asking price","")))))))</x:f>
      </x:c>
    </x:row>
    <x:row r="8" ht="26" customHeight="1">
      <x:c r="A8" s="317"/>
      <x:c r="B8" s="318"/>
      <x:c r="C8" s="235"/>
      <x:c r="D8" s="235"/>
      <x:c r="E8" s="235"/>
      <x:c r="F8" s="235"/>
      <x:c r="G8" s="235"/>
      <x:c r="H8" s="235"/>
      <x:c r="I8" s="235"/>
      <x:c r="J8" s="376"/>
      <x:c r="K8" s="342"/>
      <x:c r="L8" s="236"/>
      <x:c r="M8" s="235"/>
      <x:c r="N8" s="235"/>
      <x:c r="O8" s="235"/>
      <x:c r="P8" s="238"/>
      <x:c r="Q8" s="376"/>
      <x:c r="R8" s="236"/>
      <x:c r="S8" s="238"/>
      <x:c r="T8" s="235"/>
      <x:c r="U8" s="235"/>
      <x:c r="V8" s="238"/>
      <x:c r="W8" s="235"/>
      <x:c r="X8" s="235"/>
      <x:c r="Y8" s="235"/>
      <x:c r="Z8" s="315" t="str">
        <x:f>IF(A8="","",IF(M8&lt;&gt;"Available","",IF(S8="","Verify availability",IF(TODAY()-S8&gt;14,"Recheck listing",""))))</x:f>
      </x:c>
      <x:c r="AA8" s="265" t="str">
        <x:f>IF(A8="","",IF(AND(M8&lt;&gt;"Available",M8&lt;&gt;"Reserved"),"",IF(ISNUMBER(V8),IF(V8&lt;TODAY(),"Expired",IF(V8&lt;=TODAY()+30,"Expires within 30 days","Current")),IF(U8&lt;&gt;"","Add expiry date","Not recorded"))))</x:f>
      </x:c>
      <x:c r="AB8" s="315" t="str">
        <x:f>IF(A8="","",IF(COUNTIFS($A$6:$A$205,A8)&gt;1,"Duplicate ID",IF(B8="","Add listing title",IF(OR(C8="",COUNTIFS('Contacts'!$A$6:$A$205,C8)&lt;&gt;1),"Check Contact ID",IF(D8="","Select sale or rental",IF(M8="","Set listing status",IF(OR(NOT(ISNUMBER(L8)),L8&lt;=0),"Add positive asking price","")))))))</x:f>
      </x:c>
    </x:row>
    <x:row r="9" ht="26" customHeight="1">
      <x:c r="A9" s="319"/>
      <x:c r="B9" s="320"/>
      <x:c r="C9" s="274"/>
      <x:c r="D9" s="274"/>
      <x:c r="E9" s="274"/>
      <x:c r="F9" s="274"/>
      <x:c r="G9" s="274"/>
      <x:c r="H9" s="274"/>
      <x:c r="I9" s="274"/>
      <x:c r="J9" s="377"/>
      <x:c r="K9" s="344"/>
      <x:c r="L9" s="302"/>
      <x:c r="M9" s="274"/>
      <x:c r="N9" s="274"/>
      <x:c r="O9" s="274"/>
      <x:c r="P9" s="304"/>
      <x:c r="Q9" s="377"/>
      <x:c r="R9" s="302"/>
      <x:c r="S9" s="304"/>
      <x:c r="T9" s="274"/>
      <x:c r="U9" s="274"/>
      <x:c r="V9" s="304"/>
      <x:c r="W9" s="274"/>
      <x:c r="X9" s="274"/>
      <x:c r="Y9" s="274"/>
      <x:c r="Z9" s="315" t="str">
        <x:f>IF(A9="","",IF(M9&lt;&gt;"Available","",IF(S9="","Verify availability",IF(TODAY()-S9&gt;14,"Recheck listing",""))))</x:f>
      </x:c>
      <x:c r="AA9" s="265" t="str">
        <x:f>IF(A9="","",IF(AND(M9&lt;&gt;"Available",M9&lt;&gt;"Reserved"),"",IF(ISNUMBER(V9),IF(V9&lt;TODAY(),"Expired",IF(V9&lt;=TODAY()+30,"Expires within 30 days","Current")),IF(U9&lt;&gt;"","Add expiry date","Not recorded"))))</x:f>
      </x:c>
      <x:c r="AB9" s="315" t="str">
        <x:f>IF(A9="","",IF(COUNTIFS($A$6:$A$205,A9)&gt;1,"Duplicate ID",IF(B9="","Add listing title",IF(OR(C9="",COUNTIFS('Contacts'!$A$6:$A$205,C9)&lt;&gt;1),"Check Contact ID",IF(D9="","Select sale or rental",IF(M9="","Set listing status",IF(OR(NOT(ISNUMBER(L9)),L9&lt;=0),"Add positive asking price","")))))))</x:f>
      </x:c>
    </x:row>
    <x:row r="10" ht="26" customHeight="1">
      <x:c r="A10" s="317"/>
      <x:c r="B10" s="318"/>
      <x:c r="C10" s="235"/>
      <x:c r="D10" s="235"/>
      <x:c r="E10" s="235"/>
      <x:c r="F10" s="235"/>
      <x:c r="G10" s="235"/>
      <x:c r="H10" s="235"/>
      <x:c r="I10" s="235"/>
      <x:c r="J10" s="376"/>
      <x:c r="K10" s="342"/>
      <x:c r="L10" s="236"/>
      <x:c r="M10" s="235"/>
      <x:c r="N10" s="235"/>
      <x:c r="O10" s="235"/>
      <x:c r="P10" s="238"/>
      <x:c r="Q10" s="376"/>
      <x:c r="R10" s="236"/>
      <x:c r="S10" s="238"/>
      <x:c r="T10" s="235"/>
      <x:c r="U10" s="235"/>
      <x:c r="V10" s="238"/>
      <x:c r="W10" s="235"/>
      <x:c r="X10" s="235"/>
      <x:c r="Y10" s="235"/>
      <x:c r="Z10" s="315" t="str">
        <x:f>IF(A10="","",IF(M10&lt;&gt;"Available","",IF(S10="","Verify availability",IF(TODAY()-S10&gt;14,"Recheck listing",""))))</x:f>
      </x:c>
      <x:c r="AA10" s="265" t="str">
        <x:f>IF(A10="","",IF(AND(M10&lt;&gt;"Available",M10&lt;&gt;"Reserved"),"",IF(ISNUMBER(V10),IF(V10&lt;TODAY(),"Expired",IF(V10&lt;=TODAY()+30,"Expires within 30 days","Current")),IF(U10&lt;&gt;"","Add expiry date","Not recorded"))))</x:f>
      </x:c>
      <x:c r="AB10" s="315" t="str">
        <x:f>IF(A10="","",IF(COUNTIFS($A$6:$A$205,A10)&gt;1,"Duplicate ID",IF(B10="","Add listing title",IF(OR(C10="",COUNTIFS('Contacts'!$A$6:$A$205,C10)&lt;&gt;1),"Check Contact ID",IF(D10="","Select sale or rental",IF(M10="","Set listing status",IF(OR(NOT(ISNUMBER(L10)),L10&lt;=0),"Add positive asking price","")))))))</x:f>
      </x:c>
    </x:row>
    <x:row r="11" ht="26" customHeight="1">
      <x:c r="A11" s="319"/>
      <x:c r="B11" s="320"/>
      <x:c r="C11" s="274"/>
      <x:c r="D11" s="274"/>
      <x:c r="E11" s="274"/>
      <x:c r="F11" s="274"/>
      <x:c r="G11" s="274"/>
      <x:c r="H11" s="274"/>
      <x:c r="I11" s="274"/>
      <x:c r="J11" s="377"/>
      <x:c r="K11" s="344"/>
      <x:c r="L11" s="302"/>
      <x:c r="M11" s="274"/>
      <x:c r="N11" s="274"/>
      <x:c r="O11" s="274"/>
      <x:c r="P11" s="304"/>
      <x:c r="Q11" s="377"/>
      <x:c r="R11" s="302"/>
      <x:c r="S11" s="304"/>
      <x:c r="T11" s="274"/>
      <x:c r="U11" s="274"/>
      <x:c r="V11" s="304"/>
      <x:c r="W11" s="274"/>
      <x:c r="X11" s="274"/>
      <x:c r="Y11" s="274"/>
      <x:c r="Z11" s="315" t="str">
        <x:f>IF(A11="","",IF(M11&lt;&gt;"Available","",IF(S11="","Verify availability",IF(TODAY()-S11&gt;14,"Recheck listing",""))))</x:f>
      </x:c>
      <x:c r="AA11" s="265" t="str">
        <x:f>IF(A11="","",IF(AND(M11&lt;&gt;"Available",M11&lt;&gt;"Reserved"),"",IF(ISNUMBER(V11),IF(V11&lt;TODAY(),"Expired",IF(V11&lt;=TODAY()+30,"Expires within 30 days","Current")),IF(U11&lt;&gt;"","Add expiry date","Not recorded"))))</x:f>
      </x:c>
      <x:c r="AB11" s="315" t="str">
        <x:f>IF(A11="","",IF(COUNTIFS($A$6:$A$205,A11)&gt;1,"Duplicate ID",IF(B11="","Add listing title",IF(OR(C11="",COUNTIFS('Contacts'!$A$6:$A$205,C11)&lt;&gt;1),"Check Contact ID",IF(D11="","Select sale or rental",IF(M11="","Set listing status",IF(OR(NOT(ISNUMBER(L11)),L11&lt;=0),"Add positive asking price","")))))))</x:f>
      </x:c>
    </x:row>
    <x:row r="12" ht="26" customHeight="1">
      <x:c r="A12" s="317"/>
      <x:c r="B12" s="318"/>
      <x:c r="C12" s="235"/>
      <x:c r="D12" s="235"/>
      <x:c r="E12" s="235"/>
      <x:c r="F12" s="235"/>
      <x:c r="G12" s="235"/>
      <x:c r="H12" s="235"/>
      <x:c r="I12" s="235"/>
      <x:c r="J12" s="376"/>
      <x:c r="K12" s="342"/>
      <x:c r="L12" s="236"/>
      <x:c r="M12" s="235"/>
      <x:c r="N12" s="235"/>
      <x:c r="O12" s="235"/>
      <x:c r="P12" s="238"/>
      <x:c r="Q12" s="376"/>
      <x:c r="R12" s="236"/>
      <x:c r="S12" s="238"/>
      <x:c r="T12" s="235"/>
      <x:c r="U12" s="235"/>
      <x:c r="V12" s="238"/>
      <x:c r="W12" s="235"/>
      <x:c r="X12" s="235"/>
      <x:c r="Y12" s="235"/>
      <x:c r="Z12" s="315" t="str">
        <x:f>IF(A12="","",IF(M12&lt;&gt;"Available","",IF(S12="","Verify availability",IF(TODAY()-S12&gt;14,"Recheck listing",""))))</x:f>
      </x:c>
      <x:c r="AA12" s="265" t="str">
        <x:f>IF(A12="","",IF(AND(M12&lt;&gt;"Available",M12&lt;&gt;"Reserved"),"",IF(ISNUMBER(V12),IF(V12&lt;TODAY(),"Expired",IF(V12&lt;=TODAY()+30,"Expires within 30 days","Current")),IF(U12&lt;&gt;"","Add expiry date","Not recorded"))))</x:f>
      </x:c>
      <x:c r="AB12" s="315" t="str">
        <x:f>IF(A12="","",IF(COUNTIFS($A$6:$A$205,A12)&gt;1,"Duplicate ID",IF(B12="","Add listing title",IF(OR(C12="",COUNTIFS('Contacts'!$A$6:$A$205,C12)&lt;&gt;1),"Check Contact ID",IF(D12="","Select sale or rental",IF(M12="","Set listing status",IF(OR(NOT(ISNUMBER(L12)),L12&lt;=0),"Add positive asking price","")))))))</x:f>
      </x:c>
    </x:row>
    <x:row r="13" ht="26" customHeight="1">
      <x:c r="A13" s="319"/>
      <x:c r="B13" s="320"/>
      <x:c r="C13" s="274"/>
      <x:c r="D13" s="274"/>
      <x:c r="E13" s="274"/>
      <x:c r="F13" s="274"/>
      <x:c r="G13" s="274"/>
      <x:c r="H13" s="274"/>
      <x:c r="I13" s="274"/>
      <x:c r="J13" s="377"/>
      <x:c r="K13" s="344"/>
      <x:c r="L13" s="302"/>
      <x:c r="M13" s="274"/>
      <x:c r="N13" s="274"/>
      <x:c r="O13" s="274"/>
      <x:c r="P13" s="304"/>
      <x:c r="Q13" s="377"/>
      <x:c r="R13" s="302"/>
      <x:c r="S13" s="304"/>
      <x:c r="T13" s="274"/>
      <x:c r="U13" s="274"/>
      <x:c r="V13" s="304"/>
      <x:c r="W13" s="274"/>
      <x:c r="X13" s="274"/>
      <x:c r="Y13" s="274"/>
      <x:c r="Z13" s="315" t="str">
        <x:f>IF(A13="","",IF(M13&lt;&gt;"Available","",IF(S13="","Verify availability",IF(TODAY()-S13&gt;14,"Recheck listing",""))))</x:f>
      </x:c>
      <x:c r="AA13" s="265" t="str">
        <x:f>IF(A13="","",IF(AND(M13&lt;&gt;"Available",M13&lt;&gt;"Reserved"),"",IF(ISNUMBER(V13),IF(V13&lt;TODAY(),"Expired",IF(V13&lt;=TODAY()+30,"Expires within 30 days","Current")),IF(U13&lt;&gt;"","Add expiry date","Not recorded"))))</x:f>
      </x:c>
      <x:c r="AB13" s="315" t="str">
        <x:f>IF(A13="","",IF(COUNTIFS($A$6:$A$205,A13)&gt;1,"Duplicate ID",IF(B13="","Add listing title",IF(OR(C13="",COUNTIFS('Contacts'!$A$6:$A$205,C13)&lt;&gt;1),"Check Contact ID",IF(D13="","Select sale or rental",IF(M13="","Set listing status",IF(OR(NOT(ISNUMBER(L13)),L13&lt;=0),"Add positive asking price","")))))))</x:f>
      </x:c>
    </x:row>
    <x:row r="14" ht="26" customHeight="1">
      <x:c r="A14" s="317"/>
      <x:c r="B14" s="318"/>
      <x:c r="C14" s="235"/>
      <x:c r="D14" s="235"/>
      <x:c r="E14" s="235"/>
      <x:c r="F14" s="235"/>
      <x:c r="G14" s="235"/>
      <x:c r="H14" s="235"/>
      <x:c r="I14" s="235"/>
      <x:c r="J14" s="376"/>
      <x:c r="K14" s="342"/>
      <x:c r="L14" s="236"/>
      <x:c r="M14" s="235"/>
      <x:c r="N14" s="235"/>
      <x:c r="O14" s="235"/>
      <x:c r="P14" s="238"/>
      <x:c r="Q14" s="376"/>
      <x:c r="R14" s="236"/>
      <x:c r="S14" s="238"/>
      <x:c r="T14" s="235"/>
      <x:c r="U14" s="235"/>
      <x:c r="V14" s="238"/>
      <x:c r="W14" s="235"/>
      <x:c r="X14" s="235"/>
      <x:c r="Y14" s="235"/>
      <x:c r="Z14" s="315" t="str">
        <x:f>IF(A14="","",IF(M14&lt;&gt;"Available","",IF(S14="","Verify availability",IF(TODAY()-S14&gt;14,"Recheck listing",""))))</x:f>
      </x:c>
      <x:c r="AA14" s="265" t="str">
        <x:f>IF(A14="","",IF(AND(M14&lt;&gt;"Available",M14&lt;&gt;"Reserved"),"",IF(ISNUMBER(V14),IF(V14&lt;TODAY(),"Expired",IF(V14&lt;=TODAY()+30,"Expires within 30 days","Current")),IF(U14&lt;&gt;"","Add expiry date","Not recorded"))))</x:f>
      </x:c>
      <x:c r="AB14" s="315" t="str">
        <x:f>IF(A14="","",IF(COUNTIFS($A$6:$A$205,A14)&gt;1,"Duplicate ID",IF(B14="","Add listing title",IF(OR(C14="",COUNTIFS('Contacts'!$A$6:$A$205,C14)&lt;&gt;1),"Check Contact ID",IF(D14="","Select sale or rental",IF(M14="","Set listing status",IF(OR(NOT(ISNUMBER(L14)),L14&lt;=0),"Add positive asking price","")))))))</x:f>
      </x:c>
    </x:row>
    <x:row r="15" ht="26" customHeight="1">
      <x:c r="A15" s="319"/>
      <x:c r="B15" s="320"/>
      <x:c r="C15" s="274"/>
      <x:c r="D15" s="274"/>
      <x:c r="E15" s="274"/>
      <x:c r="F15" s="274"/>
      <x:c r="G15" s="274"/>
      <x:c r="H15" s="274"/>
      <x:c r="I15" s="274"/>
      <x:c r="J15" s="377"/>
      <x:c r="K15" s="344"/>
      <x:c r="L15" s="302"/>
      <x:c r="M15" s="274"/>
      <x:c r="N15" s="274"/>
      <x:c r="O15" s="274"/>
      <x:c r="P15" s="304"/>
      <x:c r="Q15" s="377"/>
      <x:c r="R15" s="302"/>
      <x:c r="S15" s="304"/>
      <x:c r="T15" s="274"/>
      <x:c r="U15" s="274"/>
      <x:c r="V15" s="304"/>
      <x:c r="W15" s="274"/>
      <x:c r="X15" s="274"/>
      <x:c r="Y15" s="274"/>
      <x:c r="Z15" s="315" t="str">
        <x:f>IF(A15="","",IF(M15&lt;&gt;"Available","",IF(S15="","Verify availability",IF(TODAY()-S15&gt;14,"Recheck listing",""))))</x:f>
      </x:c>
      <x:c r="AA15" s="265" t="str">
        <x:f>IF(A15="","",IF(AND(M15&lt;&gt;"Available",M15&lt;&gt;"Reserved"),"",IF(ISNUMBER(V15),IF(V15&lt;TODAY(),"Expired",IF(V15&lt;=TODAY()+30,"Expires within 30 days","Current")),IF(U15&lt;&gt;"","Add expiry date","Not recorded"))))</x:f>
      </x:c>
      <x:c r="AB15" s="315" t="str">
        <x:f>IF(A15="","",IF(COUNTIFS($A$6:$A$205,A15)&gt;1,"Duplicate ID",IF(B15="","Add listing title",IF(OR(C15="",COUNTIFS('Contacts'!$A$6:$A$205,C15)&lt;&gt;1),"Check Contact ID",IF(D15="","Select sale or rental",IF(M15="","Set listing status",IF(OR(NOT(ISNUMBER(L15)),L15&lt;=0),"Add positive asking price","")))))))</x:f>
      </x:c>
    </x:row>
    <x:row r="16" ht="26" customHeight="1">
      <x:c r="A16" s="317"/>
      <x:c r="B16" s="318"/>
      <x:c r="C16" s="235"/>
      <x:c r="D16" s="235"/>
      <x:c r="E16" s="235"/>
      <x:c r="F16" s="235"/>
      <x:c r="G16" s="235"/>
      <x:c r="H16" s="235"/>
      <x:c r="I16" s="235"/>
      <x:c r="J16" s="376"/>
      <x:c r="K16" s="342"/>
      <x:c r="L16" s="236"/>
      <x:c r="M16" s="235"/>
      <x:c r="N16" s="235"/>
      <x:c r="O16" s="235"/>
      <x:c r="P16" s="238"/>
      <x:c r="Q16" s="376"/>
      <x:c r="R16" s="236"/>
      <x:c r="S16" s="238"/>
      <x:c r="T16" s="235"/>
      <x:c r="U16" s="235"/>
      <x:c r="V16" s="238"/>
      <x:c r="W16" s="235"/>
      <x:c r="X16" s="235"/>
      <x:c r="Y16" s="235"/>
      <x:c r="Z16" s="315" t="str">
        <x:f>IF(A16="","",IF(M16&lt;&gt;"Available","",IF(S16="","Verify availability",IF(TODAY()-S16&gt;14,"Recheck listing",""))))</x:f>
      </x:c>
      <x:c r="AA16" s="265" t="str">
        <x:f>IF(A16="","",IF(AND(M16&lt;&gt;"Available",M16&lt;&gt;"Reserved"),"",IF(ISNUMBER(V16),IF(V16&lt;TODAY(),"Expired",IF(V16&lt;=TODAY()+30,"Expires within 30 days","Current")),IF(U16&lt;&gt;"","Add expiry date","Not recorded"))))</x:f>
      </x:c>
      <x:c r="AB16" s="315" t="str">
        <x:f>IF(A16="","",IF(COUNTIFS($A$6:$A$205,A16)&gt;1,"Duplicate ID",IF(B16="","Add listing title",IF(OR(C16="",COUNTIFS('Contacts'!$A$6:$A$205,C16)&lt;&gt;1),"Check Contact ID",IF(D16="","Select sale or rental",IF(M16="","Set listing status",IF(OR(NOT(ISNUMBER(L16)),L16&lt;=0),"Add positive asking price","")))))))</x:f>
      </x:c>
    </x:row>
    <x:row r="17" ht="26" customHeight="1">
      <x:c r="A17" s="319"/>
      <x:c r="B17" s="320"/>
      <x:c r="C17" s="274"/>
      <x:c r="D17" s="274"/>
      <x:c r="E17" s="274"/>
      <x:c r="F17" s="274"/>
      <x:c r="G17" s="274"/>
      <x:c r="H17" s="274"/>
      <x:c r="I17" s="274"/>
      <x:c r="J17" s="377"/>
      <x:c r="K17" s="344"/>
      <x:c r="L17" s="302"/>
      <x:c r="M17" s="274"/>
      <x:c r="N17" s="274"/>
      <x:c r="O17" s="274"/>
      <x:c r="P17" s="304"/>
      <x:c r="Q17" s="377"/>
      <x:c r="R17" s="302"/>
      <x:c r="S17" s="304"/>
      <x:c r="T17" s="274"/>
      <x:c r="U17" s="274"/>
      <x:c r="V17" s="304"/>
      <x:c r="W17" s="274"/>
      <x:c r="X17" s="274"/>
      <x:c r="Y17" s="274"/>
      <x:c r="Z17" s="315" t="str">
        <x:f>IF(A17="","",IF(M17&lt;&gt;"Available","",IF(S17="","Verify availability",IF(TODAY()-S17&gt;14,"Recheck listing",""))))</x:f>
      </x:c>
      <x:c r="AA17" s="265" t="str">
        <x:f>IF(A17="","",IF(AND(M17&lt;&gt;"Available",M17&lt;&gt;"Reserved"),"",IF(ISNUMBER(V17),IF(V17&lt;TODAY(),"Expired",IF(V17&lt;=TODAY()+30,"Expires within 30 days","Current")),IF(U17&lt;&gt;"","Add expiry date","Not recorded"))))</x:f>
      </x:c>
      <x:c r="AB17" s="315" t="str">
        <x:f>IF(A17="","",IF(COUNTIFS($A$6:$A$205,A17)&gt;1,"Duplicate ID",IF(B17="","Add listing title",IF(OR(C17="",COUNTIFS('Contacts'!$A$6:$A$205,C17)&lt;&gt;1),"Check Contact ID",IF(D17="","Select sale or rental",IF(M17="","Set listing status",IF(OR(NOT(ISNUMBER(L17)),L17&lt;=0),"Add positive asking price","")))))))</x:f>
      </x:c>
    </x:row>
    <x:row r="18" ht="26" customHeight="1">
      <x:c r="A18" s="317"/>
      <x:c r="B18" s="318"/>
      <x:c r="C18" s="235"/>
      <x:c r="D18" s="235"/>
      <x:c r="E18" s="235"/>
      <x:c r="F18" s="235"/>
      <x:c r="G18" s="235"/>
      <x:c r="H18" s="235"/>
      <x:c r="I18" s="235"/>
      <x:c r="J18" s="376"/>
      <x:c r="K18" s="342"/>
      <x:c r="L18" s="236"/>
      <x:c r="M18" s="235"/>
      <x:c r="N18" s="235"/>
      <x:c r="O18" s="235"/>
      <x:c r="P18" s="238"/>
      <x:c r="Q18" s="376"/>
      <x:c r="R18" s="236"/>
      <x:c r="S18" s="238"/>
      <x:c r="T18" s="235"/>
      <x:c r="U18" s="235"/>
      <x:c r="V18" s="238"/>
      <x:c r="W18" s="235"/>
      <x:c r="X18" s="235"/>
      <x:c r="Y18" s="235"/>
      <x:c r="Z18" s="315" t="str">
        <x:f>IF(A18="","",IF(M18&lt;&gt;"Available","",IF(S18="","Verify availability",IF(TODAY()-S18&gt;14,"Recheck listing",""))))</x:f>
      </x:c>
      <x:c r="AA18" s="265" t="str">
        <x:f>IF(A18="","",IF(AND(M18&lt;&gt;"Available",M18&lt;&gt;"Reserved"),"",IF(ISNUMBER(V18),IF(V18&lt;TODAY(),"Expired",IF(V18&lt;=TODAY()+30,"Expires within 30 days","Current")),IF(U18&lt;&gt;"","Add expiry date","Not recorded"))))</x:f>
      </x:c>
      <x:c r="AB18" s="315" t="str">
        <x:f>IF(A18="","",IF(COUNTIFS($A$6:$A$205,A18)&gt;1,"Duplicate ID",IF(B18="","Add listing title",IF(OR(C18="",COUNTIFS('Contacts'!$A$6:$A$205,C18)&lt;&gt;1),"Check Contact ID",IF(D18="","Select sale or rental",IF(M18="","Set listing status",IF(OR(NOT(ISNUMBER(L18)),L18&lt;=0),"Add positive asking price","")))))))</x:f>
      </x:c>
    </x:row>
    <x:row r="19" ht="26" customHeight="1">
      <x:c r="A19" s="319"/>
      <x:c r="B19" s="320"/>
      <x:c r="C19" s="274"/>
      <x:c r="D19" s="274"/>
      <x:c r="E19" s="274"/>
      <x:c r="F19" s="274"/>
      <x:c r="G19" s="274"/>
      <x:c r="H19" s="274"/>
      <x:c r="I19" s="274"/>
      <x:c r="J19" s="377"/>
      <x:c r="K19" s="344"/>
      <x:c r="L19" s="302"/>
      <x:c r="M19" s="274"/>
      <x:c r="N19" s="274"/>
      <x:c r="O19" s="274"/>
      <x:c r="P19" s="304"/>
      <x:c r="Q19" s="377"/>
      <x:c r="R19" s="302"/>
      <x:c r="S19" s="304"/>
      <x:c r="T19" s="274"/>
      <x:c r="U19" s="274"/>
      <x:c r="V19" s="304"/>
      <x:c r="W19" s="274"/>
      <x:c r="X19" s="274"/>
      <x:c r="Y19" s="274"/>
      <x:c r="Z19" s="315" t="str">
        <x:f>IF(A19="","",IF(M19&lt;&gt;"Available","",IF(S19="","Verify availability",IF(TODAY()-S19&gt;14,"Recheck listing",""))))</x:f>
      </x:c>
      <x:c r="AA19" s="265" t="str">
        <x:f>IF(A19="","",IF(AND(M19&lt;&gt;"Available",M19&lt;&gt;"Reserved"),"",IF(ISNUMBER(V19),IF(V19&lt;TODAY(),"Expired",IF(V19&lt;=TODAY()+30,"Expires within 30 days","Current")),IF(U19&lt;&gt;"","Add expiry date","Not recorded"))))</x:f>
      </x:c>
      <x:c r="AB19" s="315" t="str">
        <x:f>IF(A19="","",IF(COUNTIFS($A$6:$A$205,A19)&gt;1,"Duplicate ID",IF(B19="","Add listing title",IF(OR(C19="",COUNTIFS('Contacts'!$A$6:$A$205,C19)&lt;&gt;1),"Check Contact ID",IF(D19="","Select sale or rental",IF(M19="","Set listing status",IF(OR(NOT(ISNUMBER(L19)),L19&lt;=0),"Add positive asking price","")))))))</x:f>
      </x:c>
    </x:row>
    <x:row r="20" ht="26" customHeight="1">
      <x:c r="A20" s="317"/>
      <x:c r="B20" s="318"/>
      <x:c r="C20" s="235"/>
      <x:c r="D20" s="235"/>
      <x:c r="E20" s="235"/>
      <x:c r="F20" s="235"/>
      <x:c r="G20" s="235"/>
      <x:c r="H20" s="235"/>
      <x:c r="I20" s="235"/>
      <x:c r="J20" s="376"/>
      <x:c r="K20" s="342"/>
      <x:c r="L20" s="236"/>
      <x:c r="M20" s="235"/>
      <x:c r="N20" s="235"/>
      <x:c r="O20" s="235"/>
      <x:c r="P20" s="238"/>
      <x:c r="Q20" s="376"/>
      <x:c r="R20" s="236"/>
      <x:c r="S20" s="238"/>
      <x:c r="T20" s="235"/>
      <x:c r="U20" s="235"/>
      <x:c r="V20" s="238"/>
      <x:c r="W20" s="235"/>
      <x:c r="X20" s="235"/>
      <x:c r="Y20" s="235"/>
      <x:c r="Z20" s="315" t="str">
        <x:f>IF(A20="","",IF(M20&lt;&gt;"Available","",IF(S20="","Verify availability",IF(TODAY()-S20&gt;14,"Recheck listing",""))))</x:f>
      </x:c>
      <x:c r="AA20" s="265" t="str">
        <x:f>IF(A20="","",IF(AND(M20&lt;&gt;"Available",M20&lt;&gt;"Reserved"),"",IF(ISNUMBER(V20),IF(V20&lt;TODAY(),"Expired",IF(V20&lt;=TODAY()+30,"Expires within 30 days","Current")),IF(U20&lt;&gt;"","Add expiry date","Not recorded"))))</x:f>
      </x:c>
      <x:c r="AB20" s="315" t="str">
        <x:f>IF(A20="","",IF(COUNTIFS($A$6:$A$205,A20)&gt;1,"Duplicate ID",IF(B20="","Add listing title",IF(OR(C20="",COUNTIFS('Contacts'!$A$6:$A$205,C20)&lt;&gt;1),"Check Contact ID",IF(D20="","Select sale or rental",IF(M20="","Set listing status",IF(OR(NOT(ISNUMBER(L20)),L20&lt;=0),"Add positive asking price","")))))))</x:f>
      </x:c>
    </x:row>
    <x:row r="21" ht="26" customHeight="1">
      <x:c r="A21" s="319"/>
      <x:c r="B21" s="320"/>
      <x:c r="C21" s="274"/>
      <x:c r="D21" s="274"/>
      <x:c r="E21" s="274"/>
      <x:c r="F21" s="274"/>
      <x:c r="G21" s="274"/>
      <x:c r="H21" s="274"/>
      <x:c r="I21" s="274"/>
      <x:c r="J21" s="377"/>
      <x:c r="K21" s="344"/>
      <x:c r="L21" s="302"/>
      <x:c r="M21" s="274"/>
      <x:c r="N21" s="274"/>
      <x:c r="O21" s="274"/>
      <x:c r="P21" s="304"/>
      <x:c r="Q21" s="377"/>
      <x:c r="R21" s="302"/>
      <x:c r="S21" s="304"/>
      <x:c r="T21" s="274"/>
      <x:c r="U21" s="274"/>
      <x:c r="V21" s="304"/>
      <x:c r="W21" s="274"/>
      <x:c r="X21" s="274"/>
      <x:c r="Y21" s="274"/>
      <x:c r="Z21" s="315" t="str">
        <x:f>IF(A21="","",IF(M21&lt;&gt;"Available","",IF(S21="","Verify availability",IF(TODAY()-S21&gt;14,"Recheck listing",""))))</x:f>
      </x:c>
      <x:c r="AA21" s="265" t="str">
        <x:f>IF(A21="","",IF(AND(M21&lt;&gt;"Available",M21&lt;&gt;"Reserved"),"",IF(ISNUMBER(V21),IF(V21&lt;TODAY(),"Expired",IF(V21&lt;=TODAY()+30,"Expires within 30 days","Current")),IF(U21&lt;&gt;"","Add expiry date","Not recorded"))))</x:f>
      </x:c>
      <x:c r="AB21" s="315" t="str">
        <x:f>IF(A21="","",IF(COUNTIFS($A$6:$A$205,A21)&gt;1,"Duplicate ID",IF(B21="","Add listing title",IF(OR(C21="",COUNTIFS('Contacts'!$A$6:$A$205,C21)&lt;&gt;1),"Check Contact ID",IF(D21="","Select sale or rental",IF(M21="","Set listing status",IF(OR(NOT(ISNUMBER(L21)),L21&lt;=0),"Add positive asking price","")))))))</x:f>
      </x:c>
    </x:row>
    <x:row r="22" ht="26" customHeight="1">
      <x:c r="A22" s="317"/>
      <x:c r="B22" s="318"/>
      <x:c r="C22" s="235"/>
      <x:c r="D22" s="235"/>
      <x:c r="E22" s="235"/>
      <x:c r="F22" s="235"/>
      <x:c r="G22" s="235"/>
      <x:c r="H22" s="235"/>
      <x:c r="I22" s="235"/>
      <x:c r="J22" s="376"/>
      <x:c r="K22" s="342"/>
      <x:c r="L22" s="236"/>
      <x:c r="M22" s="235"/>
      <x:c r="N22" s="235"/>
      <x:c r="O22" s="235"/>
      <x:c r="P22" s="238"/>
      <x:c r="Q22" s="376"/>
      <x:c r="R22" s="236"/>
      <x:c r="S22" s="238"/>
      <x:c r="T22" s="235"/>
      <x:c r="U22" s="235"/>
      <x:c r="V22" s="238"/>
      <x:c r="W22" s="235"/>
      <x:c r="X22" s="235"/>
      <x:c r="Y22" s="235"/>
      <x:c r="Z22" s="315" t="str">
        <x:f>IF(A22="","",IF(M22&lt;&gt;"Available","",IF(S22="","Verify availability",IF(TODAY()-S22&gt;14,"Recheck listing",""))))</x:f>
      </x:c>
      <x:c r="AA22" s="265" t="str">
        <x:f>IF(A22="","",IF(AND(M22&lt;&gt;"Available",M22&lt;&gt;"Reserved"),"",IF(ISNUMBER(V22),IF(V22&lt;TODAY(),"Expired",IF(V22&lt;=TODAY()+30,"Expires within 30 days","Current")),IF(U22&lt;&gt;"","Add expiry date","Not recorded"))))</x:f>
      </x:c>
      <x:c r="AB22" s="315" t="str">
        <x:f>IF(A22="","",IF(COUNTIFS($A$6:$A$205,A22)&gt;1,"Duplicate ID",IF(B22="","Add listing title",IF(OR(C22="",COUNTIFS('Contacts'!$A$6:$A$205,C22)&lt;&gt;1),"Check Contact ID",IF(D22="","Select sale or rental",IF(M22="","Set listing status",IF(OR(NOT(ISNUMBER(L22)),L22&lt;=0),"Add positive asking price","")))))))</x:f>
      </x:c>
    </x:row>
    <x:row r="23" ht="26" customHeight="1">
      <x:c r="A23" s="319"/>
      <x:c r="B23" s="320"/>
      <x:c r="C23" s="274"/>
      <x:c r="D23" s="274"/>
      <x:c r="E23" s="274"/>
      <x:c r="F23" s="274"/>
      <x:c r="G23" s="274"/>
      <x:c r="H23" s="274"/>
      <x:c r="I23" s="274"/>
      <x:c r="J23" s="377"/>
      <x:c r="K23" s="344"/>
      <x:c r="L23" s="302"/>
      <x:c r="M23" s="274"/>
      <x:c r="N23" s="274"/>
      <x:c r="O23" s="274"/>
      <x:c r="P23" s="304"/>
      <x:c r="Q23" s="377"/>
      <x:c r="R23" s="302"/>
      <x:c r="S23" s="304"/>
      <x:c r="T23" s="274"/>
      <x:c r="U23" s="274"/>
      <x:c r="V23" s="304"/>
      <x:c r="W23" s="274"/>
      <x:c r="X23" s="274"/>
      <x:c r="Y23" s="274"/>
      <x:c r="Z23" s="315" t="str">
        <x:f>IF(A23="","",IF(M23&lt;&gt;"Available","",IF(S23="","Verify availability",IF(TODAY()-S23&gt;14,"Recheck listing",""))))</x:f>
      </x:c>
      <x:c r="AA23" s="265" t="str">
        <x:f>IF(A23="","",IF(AND(M23&lt;&gt;"Available",M23&lt;&gt;"Reserved"),"",IF(ISNUMBER(V23),IF(V23&lt;TODAY(),"Expired",IF(V23&lt;=TODAY()+30,"Expires within 30 days","Current")),IF(U23&lt;&gt;"","Add expiry date","Not recorded"))))</x:f>
      </x:c>
      <x:c r="AB23" s="315" t="str">
        <x:f>IF(A23="","",IF(COUNTIFS($A$6:$A$205,A23)&gt;1,"Duplicate ID",IF(B23="","Add listing title",IF(OR(C23="",COUNTIFS('Contacts'!$A$6:$A$205,C23)&lt;&gt;1),"Check Contact ID",IF(D23="","Select sale or rental",IF(M23="","Set listing status",IF(OR(NOT(ISNUMBER(L23)),L23&lt;=0),"Add positive asking price","")))))))</x:f>
      </x:c>
    </x:row>
    <x:row r="24" ht="26" customHeight="1">
      <x:c r="A24" s="317"/>
      <x:c r="B24" s="318"/>
      <x:c r="C24" s="235"/>
      <x:c r="D24" s="235"/>
      <x:c r="E24" s="235"/>
      <x:c r="F24" s="235"/>
      <x:c r="G24" s="235"/>
      <x:c r="H24" s="235"/>
      <x:c r="I24" s="235"/>
      <x:c r="J24" s="376"/>
      <x:c r="K24" s="342"/>
      <x:c r="L24" s="236"/>
      <x:c r="M24" s="235"/>
      <x:c r="N24" s="235"/>
      <x:c r="O24" s="235"/>
      <x:c r="P24" s="238"/>
      <x:c r="Q24" s="376"/>
      <x:c r="R24" s="236"/>
      <x:c r="S24" s="238"/>
      <x:c r="T24" s="235"/>
      <x:c r="U24" s="235"/>
      <x:c r="V24" s="238"/>
      <x:c r="W24" s="235"/>
      <x:c r="X24" s="235"/>
      <x:c r="Y24" s="235"/>
      <x:c r="Z24" s="315" t="str">
        <x:f>IF(A24="","",IF(M24&lt;&gt;"Available","",IF(S24="","Verify availability",IF(TODAY()-S24&gt;14,"Recheck listing",""))))</x:f>
      </x:c>
      <x:c r="AA24" s="265" t="str">
        <x:f>IF(A24="","",IF(AND(M24&lt;&gt;"Available",M24&lt;&gt;"Reserved"),"",IF(ISNUMBER(V24),IF(V24&lt;TODAY(),"Expired",IF(V24&lt;=TODAY()+30,"Expires within 30 days","Current")),IF(U24&lt;&gt;"","Add expiry date","Not recorded"))))</x:f>
      </x:c>
      <x:c r="AB24" s="315" t="str">
        <x:f>IF(A24="","",IF(COUNTIFS($A$6:$A$205,A24)&gt;1,"Duplicate ID",IF(B24="","Add listing title",IF(OR(C24="",COUNTIFS('Contacts'!$A$6:$A$205,C24)&lt;&gt;1),"Check Contact ID",IF(D24="","Select sale or rental",IF(M24="","Set listing status",IF(OR(NOT(ISNUMBER(L24)),L24&lt;=0),"Add positive asking price","")))))))</x:f>
      </x:c>
    </x:row>
    <x:row r="25" ht="26" customHeight="1">
      <x:c r="A25" s="319"/>
      <x:c r="B25" s="320"/>
      <x:c r="C25" s="274"/>
      <x:c r="D25" s="274"/>
      <x:c r="E25" s="274"/>
      <x:c r="F25" s="274"/>
      <x:c r="G25" s="274"/>
      <x:c r="H25" s="274"/>
      <x:c r="I25" s="274"/>
      <x:c r="J25" s="377"/>
      <x:c r="K25" s="344"/>
      <x:c r="L25" s="302"/>
      <x:c r="M25" s="274"/>
      <x:c r="N25" s="274"/>
      <x:c r="O25" s="274"/>
      <x:c r="P25" s="304"/>
      <x:c r="Q25" s="377"/>
      <x:c r="R25" s="302"/>
      <x:c r="S25" s="304"/>
      <x:c r="T25" s="274"/>
      <x:c r="U25" s="274"/>
      <x:c r="V25" s="304"/>
      <x:c r="W25" s="274"/>
      <x:c r="X25" s="274"/>
      <x:c r="Y25" s="274"/>
      <x:c r="Z25" s="315" t="str">
        <x:f>IF(A25="","",IF(M25&lt;&gt;"Available","",IF(S25="","Verify availability",IF(TODAY()-S25&gt;14,"Recheck listing",""))))</x:f>
      </x:c>
      <x:c r="AA25" s="265" t="str">
        <x:f>IF(A25="","",IF(AND(M25&lt;&gt;"Available",M25&lt;&gt;"Reserved"),"",IF(ISNUMBER(V25),IF(V25&lt;TODAY(),"Expired",IF(V25&lt;=TODAY()+30,"Expires within 30 days","Current")),IF(U25&lt;&gt;"","Add expiry date","Not recorded"))))</x:f>
      </x:c>
      <x:c r="AB25" s="315" t="str">
        <x:f>IF(A25="","",IF(COUNTIFS($A$6:$A$205,A25)&gt;1,"Duplicate ID",IF(B25="","Add listing title",IF(OR(C25="",COUNTIFS('Contacts'!$A$6:$A$205,C25)&lt;&gt;1),"Check Contact ID",IF(D25="","Select sale or rental",IF(M25="","Set listing status",IF(OR(NOT(ISNUMBER(L25)),L25&lt;=0),"Add positive asking price","")))))))</x:f>
      </x:c>
    </x:row>
    <x:row r="26" ht="26" customHeight="1">
      <x:c r="A26" s="317"/>
      <x:c r="B26" s="318"/>
      <x:c r="C26" s="235"/>
      <x:c r="D26" s="235"/>
      <x:c r="E26" s="235"/>
      <x:c r="F26" s="235"/>
      <x:c r="G26" s="235"/>
      <x:c r="H26" s="235"/>
      <x:c r="I26" s="235"/>
      <x:c r="J26" s="376"/>
      <x:c r="K26" s="342"/>
      <x:c r="L26" s="236"/>
      <x:c r="M26" s="235"/>
      <x:c r="N26" s="235"/>
      <x:c r="O26" s="235"/>
      <x:c r="P26" s="238"/>
      <x:c r="Q26" s="376"/>
      <x:c r="R26" s="236"/>
      <x:c r="S26" s="238"/>
      <x:c r="T26" s="235"/>
      <x:c r="U26" s="235"/>
      <x:c r="V26" s="238"/>
      <x:c r="W26" s="235"/>
      <x:c r="X26" s="235"/>
      <x:c r="Y26" s="235"/>
      <x:c r="Z26" s="315" t="str">
        <x:f>IF(A26="","",IF(M26&lt;&gt;"Available","",IF(S26="","Verify availability",IF(TODAY()-S26&gt;14,"Recheck listing",""))))</x:f>
      </x:c>
      <x:c r="AA26" s="265" t="str">
        <x:f>IF(A26="","",IF(AND(M26&lt;&gt;"Available",M26&lt;&gt;"Reserved"),"",IF(ISNUMBER(V26),IF(V26&lt;TODAY(),"Expired",IF(V26&lt;=TODAY()+30,"Expires within 30 days","Current")),IF(U26&lt;&gt;"","Add expiry date","Not recorded"))))</x:f>
      </x:c>
      <x:c r="AB26" s="315" t="str">
        <x:f>IF(A26="","",IF(COUNTIFS($A$6:$A$205,A26)&gt;1,"Duplicate ID",IF(B26="","Add listing title",IF(OR(C26="",COUNTIFS('Contacts'!$A$6:$A$205,C26)&lt;&gt;1),"Check Contact ID",IF(D26="","Select sale or rental",IF(M26="","Set listing status",IF(OR(NOT(ISNUMBER(L26)),L26&lt;=0),"Add positive asking price","")))))))</x:f>
      </x:c>
    </x:row>
    <x:row r="27" ht="26" customHeight="1">
      <x:c r="A27" s="319"/>
      <x:c r="B27" s="320"/>
      <x:c r="C27" s="274"/>
      <x:c r="D27" s="274"/>
      <x:c r="E27" s="274"/>
      <x:c r="F27" s="274"/>
      <x:c r="G27" s="274"/>
      <x:c r="H27" s="274"/>
      <x:c r="I27" s="274"/>
      <x:c r="J27" s="377"/>
      <x:c r="K27" s="344"/>
      <x:c r="L27" s="302"/>
      <x:c r="M27" s="274"/>
      <x:c r="N27" s="274"/>
      <x:c r="O27" s="274"/>
      <x:c r="P27" s="304"/>
      <x:c r="Q27" s="377"/>
      <x:c r="R27" s="302"/>
      <x:c r="S27" s="304"/>
      <x:c r="T27" s="274"/>
      <x:c r="U27" s="274"/>
      <x:c r="V27" s="304"/>
      <x:c r="W27" s="274"/>
      <x:c r="X27" s="274"/>
      <x:c r="Y27" s="274"/>
      <x:c r="Z27" s="315" t="str">
        <x:f>IF(A27="","",IF(M27&lt;&gt;"Available","",IF(S27="","Verify availability",IF(TODAY()-S27&gt;14,"Recheck listing",""))))</x:f>
      </x:c>
      <x:c r="AA27" s="265" t="str">
        <x:f>IF(A27="","",IF(AND(M27&lt;&gt;"Available",M27&lt;&gt;"Reserved"),"",IF(ISNUMBER(V27),IF(V27&lt;TODAY(),"Expired",IF(V27&lt;=TODAY()+30,"Expires within 30 days","Current")),IF(U27&lt;&gt;"","Add expiry date","Not recorded"))))</x:f>
      </x:c>
      <x:c r="AB27" s="315" t="str">
        <x:f>IF(A27="","",IF(COUNTIFS($A$6:$A$205,A27)&gt;1,"Duplicate ID",IF(B27="","Add listing title",IF(OR(C27="",COUNTIFS('Contacts'!$A$6:$A$205,C27)&lt;&gt;1),"Check Contact ID",IF(D27="","Select sale or rental",IF(M27="","Set listing status",IF(OR(NOT(ISNUMBER(L27)),L27&lt;=0),"Add positive asking price","")))))))</x:f>
      </x:c>
    </x:row>
    <x:row r="28" ht="26" customHeight="1">
      <x:c r="A28" s="317"/>
      <x:c r="B28" s="318"/>
      <x:c r="C28" s="235"/>
      <x:c r="D28" s="235"/>
      <x:c r="E28" s="235"/>
      <x:c r="F28" s="235"/>
      <x:c r="G28" s="235"/>
      <x:c r="H28" s="235"/>
      <x:c r="I28" s="235"/>
      <x:c r="J28" s="376"/>
      <x:c r="K28" s="342"/>
      <x:c r="L28" s="236"/>
      <x:c r="M28" s="235"/>
      <x:c r="N28" s="235"/>
      <x:c r="O28" s="235"/>
      <x:c r="P28" s="238"/>
      <x:c r="Q28" s="376"/>
      <x:c r="R28" s="236"/>
      <x:c r="S28" s="238"/>
      <x:c r="T28" s="235"/>
      <x:c r="U28" s="235"/>
      <x:c r="V28" s="238"/>
      <x:c r="W28" s="235"/>
      <x:c r="X28" s="235"/>
      <x:c r="Y28" s="235"/>
      <x:c r="Z28" s="315" t="str">
        <x:f>IF(A28="","",IF(M28&lt;&gt;"Available","",IF(S28="","Verify availability",IF(TODAY()-S28&gt;14,"Recheck listing",""))))</x:f>
      </x:c>
      <x:c r="AA28" s="265" t="str">
        <x:f>IF(A28="","",IF(AND(M28&lt;&gt;"Available",M28&lt;&gt;"Reserved"),"",IF(ISNUMBER(V28),IF(V28&lt;TODAY(),"Expired",IF(V28&lt;=TODAY()+30,"Expires within 30 days","Current")),IF(U28&lt;&gt;"","Add expiry date","Not recorded"))))</x:f>
      </x:c>
      <x:c r="AB28" s="315" t="str">
        <x:f>IF(A28="","",IF(COUNTIFS($A$6:$A$205,A28)&gt;1,"Duplicate ID",IF(B28="","Add listing title",IF(OR(C28="",COUNTIFS('Contacts'!$A$6:$A$205,C28)&lt;&gt;1),"Check Contact ID",IF(D28="","Select sale or rental",IF(M28="","Set listing status",IF(OR(NOT(ISNUMBER(L28)),L28&lt;=0),"Add positive asking price","")))))))</x:f>
      </x:c>
    </x:row>
    <x:row r="29" ht="26" customHeight="1">
      <x:c r="A29" s="319"/>
      <x:c r="B29" s="320"/>
      <x:c r="C29" s="274"/>
      <x:c r="D29" s="274"/>
      <x:c r="E29" s="274"/>
      <x:c r="F29" s="274"/>
      <x:c r="G29" s="274"/>
      <x:c r="H29" s="274"/>
      <x:c r="I29" s="274"/>
      <x:c r="J29" s="377"/>
      <x:c r="K29" s="344"/>
      <x:c r="L29" s="302"/>
      <x:c r="M29" s="274"/>
      <x:c r="N29" s="274"/>
      <x:c r="O29" s="274"/>
      <x:c r="P29" s="304"/>
      <x:c r="Q29" s="377"/>
      <x:c r="R29" s="302"/>
      <x:c r="S29" s="304"/>
      <x:c r="T29" s="274"/>
      <x:c r="U29" s="274"/>
      <x:c r="V29" s="304"/>
      <x:c r="W29" s="274"/>
      <x:c r="X29" s="274"/>
      <x:c r="Y29" s="274"/>
      <x:c r="Z29" s="315" t="str">
        <x:f>IF(A29="","",IF(M29&lt;&gt;"Available","",IF(S29="","Verify availability",IF(TODAY()-S29&gt;14,"Recheck listing",""))))</x:f>
      </x:c>
      <x:c r="AA29" s="265" t="str">
        <x:f>IF(A29="","",IF(AND(M29&lt;&gt;"Available",M29&lt;&gt;"Reserved"),"",IF(ISNUMBER(V29),IF(V29&lt;TODAY(),"Expired",IF(V29&lt;=TODAY()+30,"Expires within 30 days","Current")),IF(U29&lt;&gt;"","Add expiry date","Not recorded"))))</x:f>
      </x:c>
      <x:c r="AB29" s="315" t="str">
        <x:f>IF(A29="","",IF(COUNTIFS($A$6:$A$205,A29)&gt;1,"Duplicate ID",IF(B29="","Add listing title",IF(OR(C29="",COUNTIFS('Contacts'!$A$6:$A$205,C29)&lt;&gt;1),"Check Contact ID",IF(D29="","Select sale or rental",IF(M29="","Set listing status",IF(OR(NOT(ISNUMBER(L29)),L29&lt;=0),"Add positive asking price","")))))))</x:f>
      </x:c>
    </x:row>
    <x:row r="30" ht="26" customHeight="1">
      <x:c r="A30" s="317"/>
      <x:c r="B30" s="318"/>
      <x:c r="C30" s="235"/>
      <x:c r="D30" s="235"/>
      <x:c r="E30" s="235"/>
      <x:c r="F30" s="235"/>
      <x:c r="G30" s="235"/>
      <x:c r="H30" s="235"/>
      <x:c r="I30" s="235"/>
      <x:c r="J30" s="376"/>
      <x:c r="K30" s="342"/>
      <x:c r="L30" s="236"/>
      <x:c r="M30" s="235"/>
      <x:c r="N30" s="235"/>
      <x:c r="O30" s="235"/>
      <x:c r="P30" s="238"/>
      <x:c r="Q30" s="376"/>
      <x:c r="R30" s="236"/>
      <x:c r="S30" s="238"/>
      <x:c r="T30" s="235"/>
      <x:c r="U30" s="235"/>
      <x:c r="V30" s="238"/>
      <x:c r="W30" s="235"/>
      <x:c r="X30" s="235"/>
      <x:c r="Y30" s="235"/>
      <x:c r="Z30" s="315" t="str">
        <x:f>IF(A30="","",IF(M30&lt;&gt;"Available","",IF(S30="","Verify availability",IF(TODAY()-S30&gt;14,"Recheck listing",""))))</x:f>
      </x:c>
      <x:c r="AA30" s="265" t="str">
        <x:f>IF(A30="","",IF(AND(M30&lt;&gt;"Available",M30&lt;&gt;"Reserved"),"",IF(ISNUMBER(V30),IF(V30&lt;TODAY(),"Expired",IF(V30&lt;=TODAY()+30,"Expires within 30 days","Current")),IF(U30&lt;&gt;"","Add expiry date","Not recorded"))))</x:f>
      </x:c>
      <x:c r="AB30" s="315" t="str">
        <x:f>IF(A30="","",IF(COUNTIFS($A$6:$A$205,A30)&gt;1,"Duplicate ID",IF(B30="","Add listing title",IF(OR(C30="",COUNTIFS('Contacts'!$A$6:$A$205,C30)&lt;&gt;1),"Check Contact ID",IF(D30="","Select sale or rental",IF(M30="","Set listing status",IF(OR(NOT(ISNUMBER(L30)),L30&lt;=0),"Add positive asking price","")))))))</x:f>
      </x:c>
    </x:row>
    <x:row r="31" ht="26" customHeight="1">
      <x:c r="A31" s="319"/>
      <x:c r="B31" s="320"/>
      <x:c r="C31" s="274"/>
      <x:c r="D31" s="274"/>
      <x:c r="E31" s="274"/>
      <x:c r="F31" s="274"/>
      <x:c r="G31" s="274"/>
      <x:c r="H31" s="274"/>
      <x:c r="I31" s="274"/>
      <x:c r="J31" s="377"/>
      <x:c r="K31" s="344"/>
      <x:c r="L31" s="302"/>
      <x:c r="M31" s="274"/>
      <x:c r="N31" s="274"/>
      <x:c r="O31" s="274"/>
      <x:c r="P31" s="304"/>
      <x:c r="Q31" s="377"/>
      <x:c r="R31" s="302"/>
      <x:c r="S31" s="304"/>
      <x:c r="T31" s="274"/>
      <x:c r="U31" s="274"/>
      <x:c r="V31" s="304"/>
      <x:c r="W31" s="274"/>
      <x:c r="X31" s="274"/>
      <x:c r="Y31" s="274"/>
      <x:c r="Z31" s="315" t="str">
        <x:f>IF(A31="","",IF(M31&lt;&gt;"Available","",IF(S31="","Verify availability",IF(TODAY()-S31&gt;14,"Recheck listing",""))))</x:f>
      </x:c>
      <x:c r="AA31" s="265" t="str">
        <x:f>IF(A31="","",IF(AND(M31&lt;&gt;"Available",M31&lt;&gt;"Reserved"),"",IF(ISNUMBER(V31),IF(V31&lt;TODAY(),"Expired",IF(V31&lt;=TODAY()+30,"Expires within 30 days","Current")),IF(U31&lt;&gt;"","Add expiry date","Not recorded"))))</x:f>
      </x:c>
      <x:c r="AB31" s="315" t="str">
        <x:f>IF(A31="","",IF(COUNTIFS($A$6:$A$205,A31)&gt;1,"Duplicate ID",IF(B31="","Add listing title",IF(OR(C31="",COUNTIFS('Contacts'!$A$6:$A$205,C31)&lt;&gt;1),"Check Contact ID",IF(D31="","Select sale or rental",IF(M31="","Set listing status",IF(OR(NOT(ISNUMBER(L31)),L31&lt;=0),"Add positive asking price","")))))))</x:f>
      </x:c>
    </x:row>
    <x:row r="32" ht="26" customHeight="1">
      <x:c r="A32" s="317"/>
      <x:c r="B32" s="318"/>
      <x:c r="C32" s="235"/>
      <x:c r="D32" s="235"/>
      <x:c r="E32" s="235"/>
      <x:c r="F32" s="235"/>
      <x:c r="G32" s="235"/>
      <x:c r="H32" s="235"/>
      <x:c r="I32" s="235"/>
      <x:c r="J32" s="376"/>
      <x:c r="K32" s="342"/>
      <x:c r="L32" s="236"/>
      <x:c r="M32" s="235"/>
      <x:c r="N32" s="235"/>
      <x:c r="O32" s="235"/>
      <x:c r="P32" s="238"/>
      <x:c r="Q32" s="376"/>
      <x:c r="R32" s="236"/>
      <x:c r="S32" s="238"/>
      <x:c r="T32" s="235"/>
      <x:c r="U32" s="235"/>
      <x:c r="V32" s="238"/>
      <x:c r="W32" s="235"/>
      <x:c r="X32" s="235"/>
      <x:c r="Y32" s="235"/>
      <x:c r="Z32" s="315" t="str">
        <x:f>IF(A32="","",IF(M32&lt;&gt;"Available","",IF(S32="","Verify availability",IF(TODAY()-S32&gt;14,"Recheck listing",""))))</x:f>
      </x:c>
      <x:c r="AA32" s="265" t="str">
        <x:f>IF(A32="","",IF(AND(M32&lt;&gt;"Available",M32&lt;&gt;"Reserved"),"",IF(ISNUMBER(V32),IF(V32&lt;TODAY(),"Expired",IF(V32&lt;=TODAY()+30,"Expires within 30 days","Current")),IF(U32&lt;&gt;"","Add expiry date","Not recorded"))))</x:f>
      </x:c>
      <x:c r="AB32" s="315" t="str">
        <x:f>IF(A32="","",IF(COUNTIFS($A$6:$A$205,A32)&gt;1,"Duplicate ID",IF(B32="","Add listing title",IF(OR(C32="",COUNTIFS('Contacts'!$A$6:$A$205,C32)&lt;&gt;1),"Check Contact ID",IF(D32="","Select sale or rental",IF(M32="","Set listing status",IF(OR(NOT(ISNUMBER(L32)),L32&lt;=0),"Add positive asking price","")))))))</x:f>
      </x:c>
    </x:row>
    <x:row r="33" ht="26" customHeight="1">
      <x:c r="A33" s="319"/>
      <x:c r="B33" s="320"/>
      <x:c r="C33" s="274"/>
      <x:c r="D33" s="274"/>
      <x:c r="E33" s="274"/>
      <x:c r="F33" s="274"/>
      <x:c r="G33" s="274"/>
      <x:c r="H33" s="274"/>
      <x:c r="I33" s="274"/>
      <x:c r="J33" s="377"/>
      <x:c r="K33" s="344"/>
      <x:c r="L33" s="302"/>
      <x:c r="M33" s="274"/>
      <x:c r="N33" s="274"/>
      <x:c r="O33" s="274"/>
      <x:c r="P33" s="304"/>
      <x:c r="Q33" s="377"/>
      <x:c r="R33" s="302"/>
      <x:c r="S33" s="304"/>
      <x:c r="T33" s="274"/>
      <x:c r="U33" s="274"/>
      <x:c r="V33" s="304"/>
      <x:c r="W33" s="274"/>
      <x:c r="X33" s="274"/>
      <x:c r="Y33" s="274"/>
      <x:c r="Z33" s="315" t="str">
        <x:f>IF(A33="","",IF(M33&lt;&gt;"Available","",IF(S33="","Verify availability",IF(TODAY()-S33&gt;14,"Recheck listing",""))))</x:f>
      </x:c>
      <x:c r="AA33" s="265" t="str">
        <x:f>IF(A33="","",IF(AND(M33&lt;&gt;"Available",M33&lt;&gt;"Reserved"),"",IF(ISNUMBER(V33),IF(V33&lt;TODAY(),"Expired",IF(V33&lt;=TODAY()+30,"Expires within 30 days","Current")),IF(U33&lt;&gt;"","Add expiry date","Not recorded"))))</x:f>
      </x:c>
      <x:c r="AB33" s="315" t="str">
        <x:f>IF(A33="","",IF(COUNTIFS($A$6:$A$205,A33)&gt;1,"Duplicate ID",IF(B33="","Add listing title",IF(OR(C33="",COUNTIFS('Contacts'!$A$6:$A$205,C33)&lt;&gt;1),"Check Contact ID",IF(D33="","Select sale or rental",IF(M33="","Set listing status",IF(OR(NOT(ISNUMBER(L33)),L33&lt;=0),"Add positive asking price","")))))))</x:f>
      </x:c>
    </x:row>
    <x:row r="34" ht="26" customHeight="1">
      <x:c r="A34" s="317"/>
      <x:c r="B34" s="318"/>
      <x:c r="C34" s="235"/>
      <x:c r="D34" s="235"/>
      <x:c r="E34" s="235"/>
      <x:c r="F34" s="235"/>
      <x:c r="G34" s="235"/>
      <x:c r="H34" s="235"/>
      <x:c r="I34" s="235"/>
      <x:c r="J34" s="376"/>
      <x:c r="K34" s="342"/>
      <x:c r="L34" s="236"/>
      <x:c r="M34" s="235"/>
      <x:c r="N34" s="235"/>
      <x:c r="O34" s="235"/>
      <x:c r="P34" s="238"/>
      <x:c r="Q34" s="376"/>
      <x:c r="R34" s="236"/>
      <x:c r="S34" s="238"/>
      <x:c r="T34" s="235"/>
      <x:c r="U34" s="235"/>
      <x:c r="V34" s="238"/>
      <x:c r="W34" s="235"/>
      <x:c r="X34" s="235"/>
      <x:c r="Y34" s="235"/>
      <x:c r="Z34" s="315" t="str">
        <x:f>IF(A34="","",IF(M34&lt;&gt;"Available","",IF(S34="","Verify availability",IF(TODAY()-S34&gt;14,"Recheck listing",""))))</x:f>
      </x:c>
      <x:c r="AA34" s="265" t="str">
        <x:f>IF(A34="","",IF(AND(M34&lt;&gt;"Available",M34&lt;&gt;"Reserved"),"",IF(ISNUMBER(V34),IF(V34&lt;TODAY(),"Expired",IF(V34&lt;=TODAY()+30,"Expires within 30 days","Current")),IF(U34&lt;&gt;"","Add expiry date","Not recorded"))))</x:f>
      </x:c>
      <x:c r="AB34" s="315" t="str">
        <x:f>IF(A34="","",IF(COUNTIFS($A$6:$A$205,A34)&gt;1,"Duplicate ID",IF(B34="","Add listing title",IF(OR(C34="",COUNTIFS('Contacts'!$A$6:$A$205,C34)&lt;&gt;1),"Check Contact ID",IF(D34="","Select sale or rental",IF(M34="","Set listing status",IF(OR(NOT(ISNUMBER(L34)),L34&lt;=0),"Add positive asking price","")))))))</x:f>
      </x:c>
    </x:row>
    <x:row r="35" ht="26" customHeight="1">
      <x:c r="A35" s="319"/>
      <x:c r="B35" s="320"/>
      <x:c r="C35" s="274"/>
      <x:c r="D35" s="274"/>
      <x:c r="E35" s="274"/>
      <x:c r="F35" s="274"/>
      <x:c r="G35" s="274"/>
      <x:c r="H35" s="274"/>
      <x:c r="I35" s="274"/>
      <x:c r="J35" s="377"/>
      <x:c r="K35" s="344"/>
      <x:c r="L35" s="302"/>
      <x:c r="M35" s="274"/>
      <x:c r="N35" s="274"/>
      <x:c r="O35" s="274"/>
      <x:c r="P35" s="304"/>
      <x:c r="Q35" s="377"/>
      <x:c r="R35" s="302"/>
      <x:c r="S35" s="304"/>
      <x:c r="T35" s="274"/>
      <x:c r="U35" s="274"/>
      <x:c r="V35" s="304"/>
      <x:c r="W35" s="274"/>
      <x:c r="X35" s="274"/>
      <x:c r="Y35" s="274"/>
      <x:c r="Z35" s="315" t="str">
        <x:f>IF(A35="","",IF(M35&lt;&gt;"Available","",IF(S35="","Verify availability",IF(TODAY()-S35&gt;14,"Recheck listing",""))))</x:f>
      </x:c>
      <x:c r="AA35" s="265" t="str">
        <x:f>IF(A35="","",IF(AND(M35&lt;&gt;"Available",M35&lt;&gt;"Reserved"),"",IF(ISNUMBER(V35),IF(V35&lt;TODAY(),"Expired",IF(V35&lt;=TODAY()+30,"Expires within 30 days","Current")),IF(U35&lt;&gt;"","Add expiry date","Not recorded"))))</x:f>
      </x:c>
      <x:c r="AB35" s="315" t="str">
        <x:f>IF(A35="","",IF(COUNTIFS($A$6:$A$205,A35)&gt;1,"Duplicate ID",IF(B35="","Add listing title",IF(OR(C35="",COUNTIFS('Contacts'!$A$6:$A$205,C35)&lt;&gt;1),"Check Contact ID",IF(D35="","Select sale or rental",IF(M35="","Set listing status",IF(OR(NOT(ISNUMBER(L35)),L35&lt;=0),"Add positive asking price","")))))))</x:f>
      </x:c>
    </x:row>
    <x:row r="36" ht="26" customHeight="1">
      <x:c r="A36" s="317"/>
      <x:c r="B36" s="318"/>
      <x:c r="C36" s="235"/>
      <x:c r="D36" s="235"/>
      <x:c r="E36" s="235"/>
      <x:c r="F36" s="235"/>
      <x:c r="G36" s="235"/>
      <x:c r="H36" s="235"/>
      <x:c r="I36" s="235"/>
      <x:c r="J36" s="376"/>
      <x:c r="K36" s="342"/>
      <x:c r="L36" s="236"/>
      <x:c r="M36" s="235"/>
      <x:c r="N36" s="235"/>
      <x:c r="O36" s="235"/>
      <x:c r="P36" s="238"/>
      <x:c r="Q36" s="376"/>
      <x:c r="R36" s="236"/>
      <x:c r="S36" s="238"/>
      <x:c r="T36" s="235"/>
      <x:c r="U36" s="235"/>
      <x:c r="V36" s="238"/>
      <x:c r="W36" s="235"/>
      <x:c r="X36" s="235"/>
      <x:c r="Y36" s="235"/>
      <x:c r="Z36" s="315" t="str">
        <x:f>IF(A36="","",IF(M36&lt;&gt;"Available","",IF(S36="","Verify availability",IF(TODAY()-S36&gt;14,"Recheck listing",""))))</x:f>
      </x:c>
      <x:c r="AA36" s="265" t="str">
        <x:f>IF(A36="","",IF(AND(M36&lt;&gt;"Available",M36&lt;&gt;"Reserved"),"",IF(ISNUMBER(V36),IF(V36&lt;TODAY(),"Expired",IF(V36&lt;=TODAY()+30,"Expires within 30 days","Current")),IF(U36&lt;&gt;"","Add expiry date","Not recorded"))))</x:f>
      </x:c>
      <x:c r="AB36" s="315" t="str">
        <x:f>IF(A36="","",IF(COUNTIFS($A$6:$A$205,A36)&gt;1,"Duplicate ID",IF(B36="","Add listing title",IF(OR(C36="",COUNTIFS('Contacts'!$A$6:$A$205,C36)&lt;&gt;1),"Check Contact ID",IF(D36="","Select sale or rental",IF(M36="","Set listing status",IF(OR(NOT(ISNUMBER(L36)),L36&lt;=0),"Add positive asking price","")))))))</x:f>
      </x:c>
    </x:row>
    <x:row r="37" ht="26" customHeight="1">
      <x:c r="A37" s="319"/>
      <x:c r="B37" s="320"/>
      <x:c r="C37" s="274"/>
      <x:c r="D37" s="274"/>
      <x:c r="E37" s="274"/>
      <x:c r="F37" s="274"/>
      <x:c r="G37" s="274"/>
      <x:c r="H37" s="274"/>
      <x:c r="I37" s="274"/>
      <x:c r="J37" s="377"/>
      <x:c r="K37" s="344"/>
      <x:c r="L37" s="302"/>
      <x:c r="M37" s="274"/>
      <x:c r="N37" s="274"/>
      <x:c r="O37" s="274"/>
      <x:c r="P37" s="304"/>
      <x:c r="Q37" s="377"/>
      <x:c r="R37" s="302"/>
      <x:c r="S37" s="304"/>
      <x:c r="T37" s="274"/>
      <x:c r="U37" s="274"/>
      <x:c r="V37" s="304"/>
      <x:c r="W37" s="274"/>
      <x:c r="X37" s="274"/>
      <x:c r="Y37" s="274"/>
      <x:c r="Z37" s="315" t="str">
        <x:f>IF(A37="","",IF(M37&lt;&gt;"Available","",IF(S37="","Verify availability",IF(TODAY()-S37&gt;14,"Recheck listing",""))))</x:f>
      </x:c>
      <x:c r="AA37" s="265" t="str">
        <x:f>IF(A37="","",IF(AND(M37&lt;&gt;"Available",M37&lt;&gt;"Reserved"),"",IF(ISNUMBER(V37),IF(V37&lt;TODAY(),"Expired",IF(V37&lt;=TODAY()+30,"Expires within 30 days","Current")),IF(U37&lt;&gt;"","Add expiry date","Not recorded"))))</x:f>
      </x:c>
      <x:c r="AB37" s="315" t="str">
        <x:f>IF(A37="","",IF(COUNTIFS($A$6:$A$205,A37)&gt;1,"Duplicate ID",IF(B37="","Add listing title",IF(OR(C37="",COUNTIFS('Contacts'!$A$6:$A$205,C37)&lt;&gt;1),"Check Contact ID",IF(D37="","Select sale or rental",IF(M37="","Set listing status",IF(OR(NOT(ISNUMBER(L37)),L37&lt;=0),"Add positive asking price","")))))))</x:f>
      </x:c>
    </x:row>
    <x:row r="38" ht="26" customHeight="1">
      <x:c r="A38" s="317"/>
      <x:c r="B38" s="318"/>
      <x:c r="C38" s="235"/>
      <x:c r="D38" s="235"/>
      <x:c r="E38" s="235"/>
      <x:c r="F38" s="235"/>
      <x:c r="G38" s="235"/>
      <x:c r="H38" s="235"/>
      <x:c r="I38" s="235"/>
      <x:c r="J38" s="376"/>
      <x:c r="K38" s="342"/>
      <x:c r="L38" s="236"/>
      <x:c r="M38" s="235"/>
      <x:c r="N38" s="235"/>
      <x:c r="O38" s="235"/>
      <x:c r="P38" s="238"/>
      <x:c r="Q38" s="376"/>
      <x:c r="R38" s="236"/>
      <x:c r="S38" s="238"/>
      <x:c r="T38" s="235"/>
      <x:c r="U38" s="235"/>
      <x:c r="V38" s="238"/>
      <x:c r="W38" s="235"/>
      <x:c r="X38" s="235"/>
      <x:c r="Y38" s="235"/>
      <x:c r="Z38" s="315" t="str">
        <x:f>IF(A38="","",IF(M38&lt;&gt;"Available","",IF(S38="","Verify availability",IF(TODAY()-S38&gt;14,"Recheck listing",""))))</x:f>
      </x:c>
      <x:c r="AA38" s="265" t="str">
        <x:f>IF(A38="","",IF(AND(M38&lt;&gt;"Available",M38&lt;&gt;"Reserved"),"",IF(ISNUMBER(V38),IF(V38&lt;TODAY(),"Expired",IF(V38&lt;=TODAY()+30,"Expires within 30 days","Current")),IF(U38&lt;&gt;"","Add expiry date","Not recorded"))))</x:f>
      </x:c>
      <x:c r="AB38" s="315" t="str">
        <x:f>IF(A38="","",IF(COUNTIFS($A$6:$A$205,A38)&gt;1,"Duplicate ID",IF(B38="","Add listing title",IF(OR(C38="",COUNTIFS('Contacts'!$A$6:$A$205,C38)&lt;&gt;1),"Check Contact ID",IF(D38="","Select sale or rental",IF(M38="","Set listing status",IF(OR(NOT(ISNUMBER(L38)),L38&lt;=0),"Add positive asking price","")))))))</x:f>
      </x:c>
    </x:row>
    <x:row r="39" ht="26" customHeight="1">
      <x:c r="A39" s="319"/>
      <x:c r="B39" s="320"/>
      <x:c r="C39" s="274"/>
      <x:c r="D39" s="274"/>
      <x:c r="E39" s="274"/>
      <x:c r="F39" s="274"/>
      <x:c r="G39" s="274"/>
      <x:c r="H39" s="274"/>
      <x:c r="I39" s="274"/>
      <x:c r="J39" s="377"/>
      <x:c r="K39" s="344"/>
      <x:c r="L39" s="302"/>
      <x:c r="M39" s="274"/>
      <x:c r="N39" s="274"/>
      <x:c r="O39" s="274"/>
      <x:c r="P39" s="304"/>
      <x:c r="Q39" s="377"/>
      <x:c r="R39" s="302"/>
      <x:c r="S39" s="304"/>
      <x:c r="T39" s="274"/>
      <x:c r="U39" s="274"/>
      <x:c r="V39" s="304"/>
      <x:c r="W39" s="274"/>
      <x:c r="X39" s="274"/>
      <x:c r="Y39" s="274"/>
      <x:c r="Z39" s="315" t="str">
        <x:f>IF(A39="","",IF(M39&lt;&gt;"Available","",IF(S39="","Verify availability",IF(TODAY()-S39&gt;14,"Recheck listing",""))))</x:f>
      </x:c>
      <x:c r="AA39" s="265" t="str">
        <x:f>IF(A39="","",IF(AND(M39&lt;&gt;"Available",M39&lt;&gt;"Reserved"),"",IF(ISNUMBER(V39),IF(V39&lt;TODAY(),"Expired",IF(V39&lt;=TODAY()+30,"Expires within 30 days","Current")),IF(U39&lt;&gt;"","Add expiry date","Not recorded"))))</x:f>
      </x:c>
      <x:c r="AB39" s="315" t="str">
        <x:f>IF(A39="","",IF(COUNTIFS($A$6:$A$205,A39)&gt;1,"Duplicate ID",IF(B39="","Add listing title",IF(OR(C39="",COUNTIFS('Contacts'!$A$6:$A$205,C39)&lt;&gt;1),"Check Contact ID",IF(D39="","Select sale or rental",IF(M39="","Set listing status",IF(OR(NOT(ISNUMBER(L39)),L39&lt;=0),"Add positive asking price","")))))))</x:f>
      </x:c>
    </x:row>
    <x:row r="40" ht="26" customHeight="1">
      <x:c r="A40" s="317"/>
      <x:c r="B40" s="318"/>
      <x:c r="C40" s="235"/>
      <x:c r="D40" s="235"/>
      <x:c r="E40" s="235"/>
      <x:c r="F40" s="235"/>
      <x:c r="G40" s="235"/>
      <x:c r="H40" s="235"/>
      <x:c r="I40" s="235"/>
      <x:c r="J40" s="376"/>
      <x:c r="K40" s="342"/>
      <x:c r="L40" s="236"/>
      <x:c r="M40" s="235"/>
      <x:c r="N40" s="235"/>
      <x:c r="O40" s="235"/>
      <x:c r="P40" s="238"/>
      <x:c r="Q40" s="376"/>
      <x:c r="R40" s="236"/>
      <x:c r="S40" s="238"/>
      <x:c r="T40" s="235"/>
      <x:c r="U40" s="235"/>
      <x:c r="V40" s="238"/>
      <x:c r="W40" s="235"/>
      <x:c r="X40" s="235"/>
      <x:c r="Y40" s="235"/>
      <x:c r="Z40" s="315" t="str">
        <x:f>IF(A40="","",IF(M40&lt;&gt;"Available","",IF(S40="","Verify availability",IF(TODAY()-S40&gt;14,"Recheck listing",""))))</x:f>
      </x:c>
      <x:c r="AA40" s="265" t="str">
        <x:f>IF(A40="","",IF(AND(M40&lt;&gt;"Available",M40&lt;&gt;"Reserved"),"",IF(ISNUMBER(V40),IF(V40&lt;TODAY(),"Expired",IF(V40&lt;=TODAY()+30,"Expires within 30 days","Current")),IF(U40&lt;&gt;"","Add expiry date","Not recorded"))))</x:f>
      </x:c>
      <x:c r="AB40" s="315" t="str">
        <x:f>IF(A40="","",IF(COUNTIFS($A$6:$A$205,A40)&gt;1,"Duplicate ID",IF(B40="","Add listing title",IF(OR(C40="",COUNTIFS('Contacts'!$A$6:$A$205,C40)&lt;&gt;1),"Check Contact ID",IF(D40="","Select sale or rental",IF(M40="","Set listing status",IF(OR(NOT(ISNUMBER(L40)),L40&lt;=0),"Add positive asking price","")))))))</x:f>
      </x:c>
    </x:row>
    <x:row r="41" ht="26" customHeight="1">
      <x:c r="A41" s="319"/>
      <x:c r="B41" s="320"/>
      <x:c r="C41" s="274"/>
      <x:c r="D41" s="274"/>
      <x:c r="E41" s="274"/>
      <x:c r="F41" s="274"/>
      <x:c r="G41" s="274"/>
      <x:c r="H41" s="274"/>
      <x:c r="I41" s="274"/>
      <x:c r="J41" s="377"/>
      <x:c r="K41" s="344"/>
      <x:c r="L41" s="302"/>
      <x:c r="M41" s="274"/>
      <x:c r="N41" s="274"/>
      <x:c r="O41" s="274"/>
      <x:c r="P41" s="304"/>
      <x:c r="Q41" s="377"/>
      <x:c r="R41" s="302"/>
      <x:c r="S41" s="304"/>
      <x:c r="T41" s="274"/>
      <x:c r="U41" s="274"/>
      <x:c r="V41" s="304"/>
      <x:c r="W41" s="274"/>
      <x:c r="X41" s="274"/>
      <x:c r="Y41" s="274"/>
      <x:c r="Z41" s="315" t="str">
        <x:f>IF(A41="","",IF(M41&lt;&gt;"Available","",IF(S41="","Verify availability",IF(TODAY()-S41&gt;14,"Recheck listing",""))))</x:f>
      </x:c>
      <x:c r="AA41" s="265" t="str">
        <x:f>IF(A41="","",IF(AND(M41&lt;&gt;"Available",M41&lt;&gt;"Reserved"),"",IF(ISNUMBER(V41),IF(V41&lt;TODAY(),"Expired",IF(V41&lt;=TODAY()+30,"Expires within 30 days","Current")),IF(U41&lt;&gt;"","Add expiry date","Not recorded"))))</x:f>
      </x:c>
      <x:c r="AB41" s="315" t="str">
        <x:f>IF(A41="","",IF(COUNTIFS($A$6:$A$205,A41)&gt;1,"Duplicate ID",IF(B41="","Add listing title",IF(OR(C41="",COUNTIFS('Contacts'!$A$6:$A$205,C41)&lt;&gt;1),"Check Contact ID",IF(D41="","Select sale or rental",IF(M41="","Set listing status",IF(OR(NOT(ISNUMBER(L41)),L41&lt;=0),"Add positive asking price","")))))))</x:f>
      </x:c>
    </x:row>
    <x:row r="42" ht="26" customHeight="1">
      <x:c r="A42" s="317"/>
      <x:c r="B42" s="318"/>
      <x:c r="C42" s="235"/>
      <x:c r="D42" s="235"/>
      <x:c r="E42" s="235"/>
      <x:c r="F42" s="235"/>
      <x:c r="G42" s="235"/>
      <x:c r="H42" s="235"/>
      <x:c r="I42" s="235"/>
      <x:c r="J42" s="376"/>
      <x:c r="K42" s="342"/>
      <x:c r="L42" s="236"/>
      <x:c r="M42" s="235"/>
      <x:c r="N42" s="235"/>
      <x:c r="O42" s="235"/>
      <x:c r="P42" s="238"/>
      <x:c r="Q42" s="376"/>
      <x:c r="R42" s="236"/>
      <x:c r="S42" s="238"/>
      <x:c r="T42" s="235"/>
      <x:c r="U42" s="235"/>
      <x:c r="V42" s="238"/>
      <x:c r="W42" s="235"/>
      <x:c r="X42" s="235"/>
      <x:c r="Y42" s="235"/>
      <x:c r="Z42" s="315" t="str">
        <x:f>IF(A42="","",IF(M42&lt;&gt;"Available","",IF(S42="","Verify availability",IF(TODAY()-S42&gt;14,"Recheck listing",""))))</x:f>
      </x:c>
      <x:c r="AA42" s="265" t="str">
        <x:f>IF(A42="","",IF(AND(M42&lt;&gt;"Available",M42&lt;&gt;"Reserved"),"",IF(ISNUMBER(V42),IF(V42&lt;TODAY(),"Expired",IF(V42&lt;=TODAY()+30,"Expires within 30 days","Current")),IF(U42&lt;&gt;"","Add expiry date","Not recorded"))))</x:f>
      </x:c>
      <x:c r="AB42" s="315" t="str">
        <x:f>IF(A42="","",IF(COUNTIFS($A$6:$A$205,A42)&gt;1,"Duplicate ID",IF(B42="","Add listing title",IF(OR(C42="",COUNTIFS('Contacts'!$A$6:$A$205,C42)&lt;&gt;1),"Check Contact ID",IF(D42="","Select sale or rental",IF(M42="","Set listing status",IF(OR(NOT(ISNUMBER(L42)),L42&lt;=0),"Add positive asking price","")))))))</x:f>
      </x:c>
    </x:row>
    <x:row r="43" ht="26" customHeight="1">
      <x:c r="A43" s="319"/>
      <x:c r="B43" s="320"/>
      <x:c r="C43" s="274"/>
      <x:c r="D43" s="274"/>
      <x:c r="E43" s="274"/>
      <x:c r="F43" s="274"/>
      <x:c r="G43" s="274"/>
      <x:c r="H43" s="274"/>
      <x:c r="I43" s="274"/>
      <x:c r="J43" s="377"/>
      <x:c r="K43" s="344"/>
      <x:c r="L43" s="302"/>
      <x:c r="M43" s="274"/>
      <x:c r="N43" s="274"/>
      <x:c r="O43" s="274"/>
      <x:c r="P43" s="304"/>
      <x:c r="Q43" s="377"/>
      <x:c r="R43" s="302"/>
      <x:c r="S43" s="304"/>
      <x:c r="T43" s="274"/>
      <x:c r="U43" s="274"/>
      <x:c r="V43" s="304"/>
      <x:c r="W43" s="274"/>
      <x:c r="X43" s="274"/>
      <x:c r="Y43" s="274"/>
      <x:c r="Z43" s="315" t="str">
        <x:f>IF(A43="","",IF(M43&lt;&gt;"Available","",IF(S43="","Verify availability",IF(TODAY()-S43&gt;14,"Recheck listing",""))))</x:f>
      </x:c>
      <x:c r="AA43" s="265" t="str">
        <x:f>IF(A43="","",IF(AND(M43&lt;&gt;"Available",M43&lt;&gt;"Reserved"),"",IF(ISNUMBER(V43),IF(V43&lt;TODAY(),"Expired",IF(V43&lt;=TODAY()+30,"Expires within 30 days","Current")),IF(U43&lt;&gt;"","Add expiry date","Not recorded"))))</x:f>
      </x:c>
      <x:c r="AB43" s="315" t="str">
        <x:f>IF(A43="","",IF(COUNTIFS($A$6:$A$205,A43)&gt;1,"Duplicate ID",IF(B43="","Add listing title",IF(OR(C43="",COUNTIFS('Contacts'!$A$6:$A$205,C43)&lt;&gt;1),"Check Contact ID",IF(D43="","Select sale or rental",IF(M43="","Set listing status",IF(OR(NOT(ISNUMBER(L43)),L43&lt;=0),"Add positive asking price","")))))))</x:f>
      </x:c>
    </x:row>
    <x:row r="44" ht="26" customHeight="1">
      <x:c r="A44" s="317"/>
      <x:c r="B44" s="318"/>
      <x:c r="C44" s="235"/>
      <x:c r="D44" s="235"/>
      <x:c r="E44" s="235"/>
      <x:c r="F44" s="235"/>
      <x:c r="G44" s="235"/>
      <x:c r="H44" s="235"/>
      <x:c r="I44" s="235"/>
      <x:c r="J44" s="376"/>
      <x:c r="K44" s="342"/>
      <x:c r="L44" s="236"/>
      <x:c r="M44" s="235"/>
      <x:c r="N44" s="235"/>
      <x:c r="O44" s="235"/>
      <x:c r="P44" s="238"/>
      <x:c r="Q44" s="376"/>
      <x:c r="R44" s="236"/>
      <x:c r="S44" s="238"/>
      <x:c r="T44" s="235"/>
      <x:c r="U44" s="235"/>
      <x:c r="V44" s="238"/>
      <x:c r="W44" s="235"/>
      <x:c r="X44" s="235"/>
      <x:c r="Y44" s="235"/>
      <x:c r="Z44" s="315" t="str">
        <x:f>IF(A44="","",IF(M44&lt;&gt;"Available","",IF(S44="","Verify availability",IF(TODAY()-S44&gt;14,"Recheck listing",""))))</x:f>
      </x:c>
      <x:c r="AA44" s="265" t="str">
        <x:f>IF(A44="","",IF(AND(M44&lt;&gt;"Available",M44&lt;&gt;"Reserved"),"",IF(ISNUMBER(V44),IF(V44&lt;TODAY(),"Expired",IF(V44&lt;=TODAY()+30,"Expires within 30 days","Current")),IF(U44&lt;&gt;"","Add expiry date","Not recorded"))))</x:f>
      </x:c>
      <x:c r="AB44" s="315" t="str">
        <x:f>IF(A44="","",IF(COUNTIFS($A$6:$A$205,A44)&gt;1,"Duplicate ID",IF(B44="","Add listing title",IF(OR(C44="",COUNTIFS('Contacts'!$A$6:$A$205,C44)&lt;&gt;1),"Check Contact ID",IF(D44="","Select sale or rental",IF(M44="","Set listing status",IF(OR(NOT(ISNUMBER(L44)),L44&lt;=0),"Add positive asking price","")))))))</x:f>
      </x:c>
    </x:row>
    <x:row r="45" ht="26" customHeight="1">
      <x:c r="A45" s="319"/>
      <x:c r="B45" s="320"/>
      <x:c r="C45" s="274"/>
      <x:c r="D45" s="274"/>
      <x:c r="E45" s="274"/>
      <x:c r="F45" s="274"/>
      <x:c r="G45" s="274"/>
      <x:c r="H45" s="274"/>
      <x:c r="I45" s="274"/>
      <x:c r="J45" s="377"/>
      <x:c r="K45" s="344"/>
      <x:c r="L45" s="302"/>
      <x:c r="M45" s="274"/>
      <x:c r="N45" s="274"/>
      <x:c r="O45" s="274"/>
      <x:c r="P45" s="304"/>
      <x:c r="Q45" s="377"/>
      <x:c r="R45" s="302"/>
      <x:c r="S45" s="304"/>
      <x:c r="T45" s="274"/>
      <x:c r="U45" s="274"/>
      <x:c r="V45" s="304"/>
      <x:c r="W45" s="274"/>
      <x:c r="X45" s="274"/>
      <x:c r="Y45" s="274"/>
      <x:c r="Z45" s="315" t="str">
        <x:f>IF(A45="","",IF(M45&lt;&gt;"Available","",IF(S45="","Verify availability",IF(TODAY()-S45&gt;14,"Recheck listing",""))))</x:f>
      </x:c>
      <x:c r="AA45" s="265" t="str">
        <x:f>IF(A45="","",IF(AND(M45&lt;&gt;"Available",M45&lt;&gt;"Reserved"),"",IF(ISNUMBER(V45),IF(V45&lt;TODAY(),"Expired",IF(V45&lt;=TODAY()+30,"Expires within 30 days","Current")),IF(U45&lt;&gt;"","Add expiry date","Not recorded"))))</x:f>
      </x:c>
      <x:c r="AB45" s="315" t="str">
        <x:f>IF(A45="","",IF(COUNTIFS($A$6:$A$205,A45)&gt;1,"Duplicate ID",IF(B45="","Add listing title",IF(OR(C45="",COUNTIFS('Contacts'!$A$6:$A$205,C45)&lt;&gt;1),"Check Contact ID",IF(D45="","Select sale or rental",IF(M45="","Set listing status",IF(OR(NOT(ISNUMBER(L45)),L45&lt;=0),"Add positive asking price","")))))))</x:f>
      </x:c>
    </x:row>
    <x:row r="46" ht="26" customHeight="1">
      <x:c r="A46" s="317"/>
      <x:c r="B46" s="318"/>
      <x:c r="C46" s="235"/>
      <x:c r="D46" s="235"/>
      <x:c r="E46" s="235"/>
      <x:c r="F46" s="235"/>
      <x:c r="G46" s="235"/>
      <x:c r="H46" s="235"/>
      <x:c r="I46" s="235"/>
      <x:c r="J46" s="376"/>
      <x:c r="K46" s="342"/>
      <x:c r="L46" s="236"/>
      <x:c r="M46" s="235"/>
      <x:c r="N46" s="235"/>
      <x:c r="O46" s="235"/>
      <x:c r="P46" s="238"/>
      <x:c r="Q46" s="376"/>
      <x:c r="R46" s="236"/>
      <x:c r="S46" s="238"/>
      <x:c r="T46" s="235"/>
      <x:c r="U46" s="235"/>
      <x:c r="V46" s="238"/>
      <x:c r="W46" s="235"/>
      <x:c r="X46" s="235"/>
      <x:c r="Y46" s="235"/>
      <x:c r="Z46" s="315" t="str">
        <x:f>IF(A46="","",IF(M46&lt;&gt;"Available","",IF(S46="","Verify availability",IF(TODAY()-S46&gt;14,"Recheck listing",""))))</x:f>
      </x:c>
      <x:c r="AA46" s="265" t="str">
        <x:f>IF(A46="","",IF(AND(M46&lt;&gt;"Available",M46&lt;&gt;"Reserved"),"",IF(ISNUMBER(V46),IF(V46&lt;TODAY(),"Expired",IF(V46&lt;=TODAY()+30,"Expires within 30 days","Current")),IF(U46&lt;&gt;"","Add expiry date","Not recorded"))))</x:f>
      </x:c>
      <x:c r="AB46" s="315" t="str">
        <x:f>IF(A46="","",IF(COUNTIFS($A$6:$A$205,A46)&gt;1,"Duplicate ID",IF(B46="","Add listing title",IF(OR(C46="",COUNTIFS('Contacts'!$A$6:$A$205,C46)&lt;&gt;1),"Check Contact ID",IF(D46="","Select sale or rental",IF(M46="","Set listing status",IF(OR(NOT(ISNUMBER(L46)),L46&lt;=0),"Add positive asking price","")))))))</x:f>
      </x:c>
    </x:row>
    <x:row r="47" ht="26" customHeight="1">
      <x:c r="A47" s="319"/>
      <x:c r="B47" s="320"/>
      <x:c r="C47" s="274"/>
      <x:c r="D47" s="274"/>
      <x:c r="E47" s="274"/>
      <x:c r="F47" s="274"/>
      <x:c r="G47" s="274"/>
      <x:c r="H47" s="274"/>
      <x:c r="I47" s="274"/>
      <x:c r="J47" s="377"/>
      <x:c r="K47" s="344"/>
      <x:c r="L47" s="302"/>
      <x:c r="M47" s="274"/>
      <x:c r="N47" s="274"/>
      <x:c r="O47" s="274"/>
      <x:c r="P47" s="304"/>
      <x:c r="Q47" s="377"/>
      <x:c r="R47" s="302"/>
      <x:c r="S47" s="304"/>
      <x:c r="T47" s="274"/>
      <x:c r="U47" s="274"/>
      <x:c r="V47" s="304"/>
      <x:c r="W47" s="274"/>
      <x:c r="X47" s="274"/>
      <x:c r="Y47" s="274"/>
      <x:c r="Z47" s="315" t="str">
        <x:f>IF(A47="","",IF(M47&lt;&gt;"Available","",IF(S47="","Verify availability",IF(TODAY()-S47&gt;14,"Recheck listing",""))))</x:f>
      </x:c>
      <x:c r="AA47" s="265" t="str">
        <x:f>IF(A47="","",IF(AND(M47&lt;&gt;"Available",M47&lt;&gt;"Reserved"),"",IF(ISNUMBER(V47),IF(V47&lt;TODAY(),"Expired",IF(V47&lt;=TODAY()+30,"Expires within 30 days","Current")),IF(U47&lt;&gt;"","Add expiry date","Not recorded"))))</x:f>
      </x:c>
      <x:c r="AB47" s="315" t="str">
        <x:f>IF(A47="","",IF(COUNTIFS($A$6:$A$205,A47)&gt;1,"Duplicate ID",IF(B47="","Add listing title",IF(OR(C47="",COUNTIFS('Contacts'!$A$6:$A$205,C47)&lt;&gt;1),"Check Contact ID",IF(D47="","Select sale or rental",IF(M47="","Set listing status",IF(OR(NOT(ISNUMBER(L47)),L47&lt;=0),"Add positive asking price","")))))))</x:f>
      </x:c>
    </x:row>
    <x:row r="48" ht="26" customHeight="1">
      <x:c r="A48" s="317"/>
      <x:c r="B48" s="318"/>
      <x:c r="C48" s="235"/>
      <x:c r="D48" s="235"/>
      <x:c r="E48" s="235"/>
      <x:c r="F48" s="235"/>
      <x:c r="G48" s="235"/>
      <x:c r="H48" s="235"/>
      <x:c r="I48" s="235"/>
      <x:c r="J48" s="376"/>
      <x:c r="K48" s="342"/>
      <x:c r="L48" s="236"/>
      <x:c r="M48" s="235"/>
      <x:c r="N48" s="235"/>
      <x:c r="O48" s="235"/>
      <x:c r="P48" s="238"/>
      <x:c r="Q48" s="376"/>
      <x:c r="R48" s="236"/>
      <x:c r="S48" s="238"/>
      <x:c r="T48" s="235"/>
      <x:c r="U48" s="235"/>
      <x:c r="V48" s="238"/>
      <x:c r="W48" s="235"/>
      <x:c r="X48" s="235"/>
      <x:c r="Y48" s="235"/>
      <x:c r="Z48" s="315" t="str">
        <x:f>IF(A48="","",IF(M48&lt;&gt;"Available","",IF(S48="","Verify availability",IF(TODAY()-S48&gt;14,"Recheck listing",""))))</x:f>
      </x:c>
      <x:c r="AA48" s="265" t="str">
        <x:f>IF(A48="","",IF(AND(M48&lt;&gt;"Available",M48&lt;&gt;"Reserved"),"",IF(ISNUMBER(V48),IF(V48&lt;TODAY(),"Expired",IF(V48&lt;=TODAY()+30,"Expires within 30 days","Current")),IF(U48&lt;&gt;"","Add expiry date","Not recorded"))))</x:f>
      </x:c>
      <x:c r="AB48" s="315" t="str">
        <x:f>IF(A48="","",IF(COUNTIFS($A$6:$A$205,A48)&gt;1,"Duplicate ID",IF(B48="","Add listing title",IF(OR(C48="",COUNTIFS('Contacts'!$A$6:$A$205,C48)&lt;&gt;1),"Check Contact ID",IF(D48="","Select sale or rental",IF(M48="","Set listing status",IF(OR(NOT(ISNUMBER(L48)),L48&lt;=0),"Add positive asking price","")))))))</x:f>
      </x:c>
    </x:row>
    <x:row r="49" ht="26" customHeight="1">
      <x:c r="A49" s="319"/>
      <x:c r="B49" s="320"/>
      <x:c r="C49" s="274"/>
      <x:c r="D49" s="274"/>
      <x:c r="E49" s="274"/>
      <x:c r="F49" s="274"/>
      <x:c r="G49" s="274"/>
      <x:c r="H49" s="274"/>
      <x:c r="I49" s="274"/>
      <x:c r="J49" s="377"/>
      <x:c r="K49" s="344"/>
      <x:c r="L49" s="302"/>
      <x:c r="M49" s="274"/>
      <x:c r="N49" s="274"/>
      <x:c r="O49" s="274"/>
      <x:c r="P49" s="304"/>
      <x:c r="Q49" s="377"/>
      <x:c r="R49" s="302"/>
      <x:c r="S49" s="304"/>
      <x:c r="T49" s="274"/>
      <x:c r="U49" s="274"/>
      <x:c r="V49" s="304"/>
      <x:c r="W49" s="274"/>
      <x:c r="X49" s="274"/>
      <x:c r="Y49" s="274"/>
      <x:c r="Z49" s="315" t="str">
        <x:f>IF(A49="","",IF(M49&lt;&gt;"Available","",IF(S49="","Verify availability",IF(TODAY()-S49&gt;14,"Recheck listing",""))))</x:f>
      </x:c>
      <x:c r="AA49" s="265" t="str">
        <x:f>IF(A49="","",IF(AND(M49&lt;&gt;"Available",M49&lt;&gt;"Reserved"),"",IF(ISNUMBER(V49),IF(V49&lt;TODAY(),"Expired",IF(V49&lt;=TODAY()+30,"Expires within 30 days","Current")),IF(U49&lt;&gt;"","Add expiry date","Not recorded"))))</x:f>
      </x:c>
      <x:c r="AB49" s="315" t="str">
        <x:f>IF(A49="","",IF(COUNTIFS($A$6:$A$205,A49)&gt;1,"Duplicate ID",IF(B49="","Add listing title",IF(OR(C49="",COUNTIFS('Contacts'!$A$6:$A$205,C49)&lt;&gt;1),"Check Contact ID",IF(D49="","Select sale or rental",IF(M49="","Set listing status",IF(OR(NOT(ISNUMBER(L49)),L49&lt;=0),"Add positive asking price","")))))))</x:f>
      </x:c>
    </x:row>
    <x:row r="50" ht="26" customHeight="1">
      <x:c r="A50" s="317"/>
      <x:c r="B50" s="318"/>
      <x:c r="C50" s="235"/>
      <x:c r="D50" s="235"/>
      <x:c r="E50" s="235"/>
      <x:c r="F50" s="235"/>
      <x:c r="G50" s="235"/>
      <x:c r="H50" s="235"/>
      <x:c r="I50" s="235"/>
      <x:c r="J50" s="376"/>
      <x:c r="K50" s="342"/>
      <x:c r="L50" s="236"/>
      <x:c r="M50" s="235"/>
      <x:c r="N50" s="235"/>
      <x:c r="O50" s="235"/>
      <x:c r="P50" s="238"/>
      <x:c r="Q50" s="376"/>
      <x:c r="R50" s="236"/>
      <x:c r="S50" s="238"/>
      <x:c r="T50" s="235"/>
      <x:c r="U50" s="235"/>
      <x:c r="V50" s="238"/>
      <x:c r="W50" s="235"/>
      <x:c r="X50" s="235"/>
      <x:c r="Y50" s="235"/>
      <x:c r="Z50" s="315" t="str">
        <x:f>IF(A50="","",IF(M50&lt;&gt;"Available","",IF(S50="","Verify availability",IF(TODAY()-S50&gt;14,"Recheck listing",""))))</x:f>
      </x:c>
      <x:c r="AA50" s="265" t="str">
        <x:f>IF(A50="","",IF(AND(M50&lt;&gt;"Available",M50&lt;&gt;"Reserved"),"",IF(ISNUMBER(V50),IF(V50&lt;TODAY(),"Expired",IF(V50&lt;=TODAY()+30,"Expires within 30 days","Current")),IF(U50&lt;&gt;"","Add expiry date","Not recorded"))))</x:f>
      </x:c>
      <x:c r="AB50" s="315" t="str">
        <x:f>IF(A50="","",IF(COUNTIFS($A$6:$A$205,A50)&gt;1,"Duplicate ID",IF(B50="","Add listing title",IF(OR(C50="",COUNTIFS('Contacts'!$A$6:$A$205,C50)&lt;&gt;1),"Check Contact ID",IF(D50="","Select sale or rental",IF(M50="","Set listing status",IF(OR(NOT(ISNUMBER(L50)),L50&lt;=0),"Add positive asking price","")))))))</x:f>
      </x:c>
    </x:row>
    <x:row r="51" ht="26" customHeight="1">
      <x:c r="A51" s="319"/>
      <x:c r="B51" s="320"/>
      <x:c r="C51" s="274"/>
      <x:c r="D51" s="274"/>
      <x:c r="E51" s="274"/>
      <x:c r="F51" s="274"/>
      <x:c r="G51" s="274"/>
      <x:c r="H51" s="274"/>
      <x:c r="I51" s="274"/>
      <x:c r="J51" s="377"/>
      <x:c r="K51" s="344"/>
      <x:c r="L51" s="302"/>
      <x:c r="M51" s="274"/>
      <x:c r="N51" s="274"/>
      <x:c r="O51" s="274"/>
      <x:c r="P51" s="304"/>
      <x:c r="Q51" s="377"/>
      <x:c r="R51" s="302"/>
      <x:c r="S51" s="304"/>
      <x:c r="T51" s="274"/>
      <x:c r="U51" s="274"/>
      <x:c r="V51" s="304"/>
      <x:c r="W51" s="274"/>
      <x:c r="X51" s="274"/>
      <x:c r="Y51" s="274"/>
      <x:c r="Z51" s="315" t="str">
        <x:f>IF(A51="","",IF(M51&lt;&gt;"Available","",IF(S51="","Verify availability",IF(TODAY()-S51&gt;14,"Recheck listing",""))))</x:f>
      </x:c>
      <x:c r="AA51" s="265" t="str">
        <x:f>IF(A51="","",IF(AND(M51&lt;&gt;"Available",M51&lt;&gt;"Reserved"),"",IF(ISNUMBER(V51),IF(V51&lt;TODAY(),"Expired",IF(V51&lt;=TODAY()+30,"Expires within 30 days","Current")),IF(U51&lt;&gt;"","Add expiry date","Not recorded"))))</x:f>
      </x:c>
      <x:c r="AB51" s="315" t="str">
        <x:f>IF(A51="","",IF(COUNTIFS($A$6:$A$205,A51)&gt;1,"Duplicate ID",IF(B51="","Add listing title",IF(OR(C51="",COUNTIFS('Contacts'!$A$6:$A$205,C51)&lt;&gt;1),"Check Contact ID",IF(D51="","Select sale or rental",IF(M51="","Set listing status",IF(OR(NOT(ISNUMBER(L51)),L51&lt;=0),"Add positive asking price","")))))))</x:f>
      </x:c>
    </x:row>
    <x:row r="52" ht="26" customHeight="1">
      <x:c r="A52" s="317"/>
      <x:c r="B52" s="318"/>
      <x:c r="C52" s="235"/>
      <x:c r="D52" s="235"/>
      <x:c r="E52" s="235"/>
      <x:c r="F52" s="235"/>
      <x:c r="G52" s="235"/>
      <x:c r="H52" s="235"/>
      <x:c r="I52" s="235"/>
      <x:c r="J52" s="376"/>
      <x:c r="K52" s="342"/>
      <x:c r="L52" s="236"/>
      <x:c r="M52" s="235"/>
      <x:c r="N52" s="235"/>
      <x:c r="O52" s="235"/>
      <x:c r="P52" s="238"/>
      <x:c r="Q52" s="376"/>
      <x:c r="R52" s="236"/>
      <x:c r="S52" s="238"/>
      <x:c r="T52" s="235"/>
      <x:c r="U52" s="235"/>
      <x:c r="V52" s="238"/>
      <x:c r="W52" s="235"/>
      <x:c r="X52" s="235"/>
      <x:c r="Y52" s="235"/>
      <x:c r="Z52" s="315" t="str">
        <x:f>IF(A52="","",IF(M52&lt;&gt;"Available","",IF(S52="","Verify availability",IF(TODAY()-S52&gt;14,"Recheck listing",""))))</x:f>
      </x:c>
      <x:c r="AA52" s="265" t="str">
        <x:f>IF(A52="","",IF(AND(M52&lt;&gt;"Available",M52&lt;&gt;"Reserved"),"",IF(ISNUMBER(V52),IF(V52&lt;TODAY(),"Expired",IF(V52&lt;=TODAY()+30,"Expires within 30 days","Current")),IF(U52&lt;&gt;"","Add expiry date","Not recorded"))))</x:f>
      </x:c>
      <x:c r="AB52" s="315" t="str">
        <x:f>IF(A52="","",IF(COUNTIFS($A$6:$A$205,A52)&gt;1,"Duplicate ID",IF(B52="","Add listing title",IF(OR(C52="",COUNTIFS('Contacts'!$A$6:$A$205,C52)&lt;&gt;1),"Check Contact ID",IF(D52="","Select sale or rental",IF(M52="","Set listing status",IF(OR(NOT(ISNUMBER(L52)),L52&lt;=0),"Add positive asking price","")))))))</x:f>
      </x:c>
    </x:row>
    <x:row r="53" ht="26" customHeight="1">
      <x:c r="A53" s="319"/>
      <x:c r="B53" s="320"/>
      <x:c r="C53" s="274"/>
      <x:c r="D53" s="274"/>
      <x:c r="E53" s="274"/>
      <x:c r="F53" s="274"/>
      <x:c r="G53" s="274"/>
      <x:c r="H53" s="274"/>
      <x:c r="I53" s="274"/>
      <x:c r="J53" s="377"/>
      <x:c r="K53" s="344"/>
      <x:c r="L53" s="302"/>
      <x:c r="M53" s="274"/>
      <x:c r="N53" s="274"/>
      <x:c r="O53" s="274"/>
      <x:c r="P53" s="304"/>
      <x:c r="Q53" s="377"/>
      <x:c r="R53" s="302"/>
      <x:c r="S53" s="304"/>
      <x:c r="T53" s="274"/>
      <x:c r="U53" s="274"/>
      <x:c r="V53" s="304"/>
      <x:c r="W53" s="274"/>
      <x:c r="X53" s="274"/>
      <x:c r="Y53" s="274"/>
      <x:c r="Z53" s="315" t="str">
        <x:f>IF(A53="","",IF(M53&lt;&gt;"Available","",IF(S53="","Verify availability",IF(TODAY()-S53&gt;14,"Recheck listing",""))))</x:f>
      </x:c>
      <x:c r="AA53" s="265" t="str">
        <x:f>IF(A53="","",IF(AND(M53&lt;&gt;"Available",M53&lt;&gt;"Reserved"),"",IF(ISNUMBER(V53),IF(V53&lt;TODAY(),"Expired",IF(V53&lt;=TODAY()+30,"Expires within 30 days","Current")),IF(U53&lt;&gt;"","Add expiry date","Not recorded"))))</x:f>
      </x:c>
      <x:c r="AB53" s="315" t="str">
        <x:f>IF(A53="","",IF(COUNTIFS($A$6:$A$205,A53)&gt;1,"Duplicate ID",IF(B53="","Add listing title",IF(OR(C53="",COUNTIFS('Contacts'!$A$6:$A$205,C53)&lt;&gt;1),"Check Contact ID",IF(D53="","Select sale or rental",IF(M53="","Set listing status",IF(OR(NOT(ISNUMBER(L53)),L53&lt;=0),"Add positive asking price","")))))))</x:f>
      </x:c>
    </x:row>
    <x:row r="54" ht="26" customHeight="1">
      <x:c r="A54" s="317"/>
      <x:c r="B54" s="318"/>
      <x:c r="C54" s="235"/>
      <x:c r="D54" s="235"/>
      <x:c r="E54" s="235"/>
      <x:c r="F54" s="235"/>
      <x:c r="G54" s="235"/>
      <x:c r="H54" s="235"/>
      <x:c r="I54" s="235"/>
      <x:c r="J54" s="376"/>
      <x:c r="K54" s="342"/>
      <x:c r="L54" s="236"/>
      <x:c r="M54" s="235"/>
      <x:c r="N54" s="235"/>
      <x:c r="O54" s="235"/>
      <x:c r="P54" s="238"/>
      <x:c r="Q54" s="376"/>
      <x:c r="R54" s="236"/>
      <x:c r="S54" s="238"/>
      <x:c r="T54" s="235"/>
      <x:c r="U54" s="235"/>
      <x:c r="V54" s="238"/>
      <x:c r="W54" s="235"/>
      <x:c r="X54" s="235"/>
      <x:c r="Y54" s="235"/>
      <x:c r="Z54" s="315" t="str">
        <x:f>IF(A54="","",IF(M54&lt;&gt;"Available","",IF(S54="","Verify availability",IF(TODAY()-S54&gt;14,"Recheck listing",""))))</x:f>
      </x:c>
      <x:c r="AA54" s="265" t="str">
        <x:f>IF(A54="","",IF(AND(M54&lt;&gt;"Available",M54&lt;&gt;"Reserved"),"",IF(ISNUMBER(V54),IF(V54&lt;TODAY(),"Expired",IF(V54&lt;=TODAY()+30,"Expires within 30 days","Current")),IF(U54&lt;&gt;"","Add expiry date","Not recorded"))))</x:f>
      </x:c>
      <x:c r="AB54" s="315" t="str">
        <x:f>IF(A54="","",IF(COUNTIFS($A$6:$A$205,A54)&gt;1,"Duplicate ID",IF(B54="","Add listing title",IF(OR(C54="",COUNTIFS('Contacts'!$A$6:$A$205,C54)&lt;&gt;1),"Check Contact ID",IF(D54="","Select sale or rental",IF(M54="","Set listing status",IF(OR(NOT(ISNUMBER(L54)),L54&lt;=0),"Add positive asking price","")))))))</x:f>
      </x:c>
    </x:row>
    <x:row r="55" ht="26" customHeight="1">
      <x:c r="A55" s="319"/>
      <x:c r="B55" s="320"/>
      <x:c r="C55" s="274"/>
      <x:c r="D55" s="274"/>
      <x:c r="E55" s="274"/>
      <x:c r="F55" s="274"/>
      <x:c r="G55" s="274"/>
      <x:c r="H55" s="274"/>
      <x:c r="I55" s="274"/>
      <x:c r="J55" s="377"/>
      <x:c r="K55" s="344"/>
      <x:c r="L55" s="302"/>
      <x:c r="M55" s="274"/>
      <x:c r="N55" s="274"/>
      <x:c r="O55" s="274"/>
      <x:c r="P55" s="304"/>
      <x:c r="Q55" s="377"/>
      <x:c r="R55" s="302"/>
      <x:c r="S55" s="304"/>
      <x:c r="T55" s="274"/>
      <x:c r="U55" s="274"/>
      <x:c r="V55" s="304"/>
      <x:c r="W55" s="274"/>
      <x:c r="X55" s="274"/>
      <x:c r="Y55" s="274"/>
      <x:c r="Z55" s="315" t="str">
        <x:f>IF(A55="","",IF(M55&lt;&gt;"Available","",IF(S55="","Verify availability",IF(TODAY()-S55&gt;14,"Recheck listing",""))))</x:f>
      </x:c>
      <x:c r="AA55" s="265" t="str">
        <x:f>IF(A55="","",IF(AND(M55&lt;&gt;"Available",M55&lt;&gt;"Reserved"),"",IF(ISNUMBER(V55),IF(V55&lt;TODAY(),"Expired",IF(V55&lt;=TODAY()+30,"Expires within 30 days","Current")),IF(U55&lt;&gt;"","Add expiry date","Not recorded"))))</x:f>
      </x:c>
      <x:c r="AB55" s="315" t="str">
        <x:f>IF(A55="","",IF(COUNTIFS($A$6:$A$205,A55)&gt;1,"Duplicate ID",IF(B55="","Add listing title",IF(OR(C55="",COUNTIFS('Contacts'!$A$6:$A$205,C55)&lt;&gt;1),"Check Contact ID",IF(D55="","Select sale or rental",IF(M55="","Set listing status",IF(OR(NOT(ISNUMBER(L55)),L55&lt;=0),"Add positive asking price","")))))))</x:f>
      </x:c>
    </x:row>
    <x:row r="56" ht="26" customHeight="1">
      <x:c r="A56" s="317"/>
      <x:c r="B56" s="318"/>
      <x:c r="C56" s="235"/>
      <x:c r="D56" s="235"/>
      <x:c r="E56" s="235"/>
      <x:c r="F56" s="235"/>
      <x:c r="G56" s="235"/>
      <x:c r="H56" s="235"/>
      <x:c r="I56" s="235"/>
      <x:c r="J56" s="376"/>
      <x:c r="K56" s="342"/>
      <x:c r="L56" s="236"/>
      <x:c r="M56" s="235"/>
      <x:c r="N56" s="235"/>
      <x:c r="O56" s="235"/>
      <x:c r="P56" s="238"/>
      <x:c r="Q56" s="376"/>
      <x:c r="R56" s="236"/>
      <x:c r="S56" s="238"/>
      <x:c r="T56" s="235"/>
      <x:c r="U56" s="235"/>
      <x:c r="V56" s="238"/>
      <x:c r="W56" s="235"/>
      <x:c r="X56" s="235"/>
      <x:c r="Y56" s="235"/>
      <x:c r="Z56" s="315" t="str">
        <x:f>IF(A56="","",IF(M56&lt;&gt;"Available","",IF(S56="","Verify availability",IF(TODAY()-S56&gt;14,"Recheck listing",""))))</x:f>
      </x:c>
      <x:c r="AA56" s="265" t="str">
        <x:f>IF(A56="","",IF(AND(M56&lt;&gt;"Available",M56&lt;&gt;"Reserved"),"",IF(ISNUMBER(V56),IF(V56&lt;TODAY(),"Expired",IF(V56&lt;=TODAY()+30,"Expires within 30 days","Current")),IF(U56&lt;&gt;"","Add expiry date","Not recorded"))))</x:f>
      </x:c>
      <x:c r="AB56" s="315" t="str">
        <x:f>IF(A56="","",IF(COUNTIFS($A$6:$A$205,A56)&gt;1,"Duplicate ID",IF(B56="","Add listing title",IF(OR(C56="",COUNTIFS('Contacts'!$A$6:$A$205,C56)&lt;&gt;1),"Check Contact ID",IF(D56="","Select sale or rental",IF(M56="","Set listing status",IF(OR(NOT(ISNUMBER(L56)),L56&lt;=0),"Add positive asking price","")))))))</x:f>
      </x:c>
    </x:row>
    <x:row r="57" ht="26" customHeight="1">
      <x:c r="A57" s="319"/>
      <x:c r="B57" s="320"/>
      <x:c r="C57" s="274"/>
      <x:c r="D57" s="274"/>
      <x:c r="E57" s="274"/>
      <x:c r="F57" s="274"/>
      <x:c r="G57" s="274"/>
      <x:c r="H57" s="274"/>
      <x:c r="I57" s="274"/>
      <x:c r="J57" s="377"/>
      <x:c r="K57" s="344"/>
      <x:c r="L57" s="302"/>
      <x:c r="M57" s="274"/>
      <x:c r="N57" s="274"/>
      <x:c r="O57" s="274"/>
      <x:c r="P57" s="304"/>
      <x:c r="Q57" s="377"/>
      <x:c r="R57" s="302"/>
      <x:c r="S57" s="304"/>
      <x:c r="T57" s="274"/>
      <x:c r="U57" s="274"/>
      <x:c r="V57" s="304"/>
      <x:c r="W57" s="274"/>
      <x:c r="X57" s="274"/>
      <x:c r="Y57" s="274"/>
      <x:c r="Z57" s="315" t="str">
        <x:f>IF(A57="","",IF(M57&lt;&gt;"Available","",IF(S57="","Verify availability",IF(TODAY()-S57&gt;14,"Recheck listing",""))))</x:f>
      </x:c>
      <x:c r="AA57" s="265" t="str">
        <x:f>IF(A57="","",IF(AND(M57&lt;&gt;"Available",M57&lt;&gt;"Reserved"),"",IF(ISNUMBER(V57),IF(V57&lt;TODAY(),"Expired",IF(V57&lt;=TODAY()+30,"Expires within 30 days","Current")),IF(U57&lt;&gt;"","Add expiry date","Not recorded"))))</x:f>
      </x:c>
      <x:c r="AB57" s="315" t="str">
        <x:f>IF(A57="","",IF(COUNTIFS($A$6:$A$205,A57)&gt;1,"Duplicate ID",IF(B57="","Add listing title",IF(OR(C57="",COUNTIFS('Contacts'!$A$6:$A$205,C57)&lt;&gt;1),"Check Contact ID",IF(D57="","Select sale or rental",IF(M57="","Set listing status",IF(OR(NOT(ISNUMBER(L57)),L57&lt;=0),"Add positive asking price","")))))))</x:f>
      </x:c>
    </x:row>
    <x:row r="58" ht="26" customHeight="1">
      <x:c r="A58" s="317"/>
      <x:c r="B58" s="318"/>
      <x:c r="C58" s="235"/>
      <x:c r="D58" s="235"/>
      <x:c r="E58" s="235"/>
      <x:c r="F58" s="235"/>
      <x:c r="G58" s="235"/>
      <x:c r="H58" s="235"/>
      <x:c r="I58" s="235"/>
      <x:c r="J58" s="376"/>
      <x:c r="K58" s="342"/>
      <x:c r="L58" s="236"/>
      <x:c r="M58" s="235"/>
      <x:c r="N58" s="235"/>
      <x:c r="O58" s="235"/>
      <x:c r="P58" s="238"/>
      <x:c r="Q58" s="376"/>
      <x:c r="R58" s="236"/>
      <x:c r="S58" s="238"/>
      <x:c r="T58" s="235"/>
      <x:c r="U58" s="235"/>
      <x:c r="V58" s="238"/>
      <x:c r="W58" s="235"/>
      <x:c r="X58" s="235"/>
      <x:c r="Y58" s="235"/>
      <x:c r="Z58" s="315" t="str">
        <x:f>IF(A58="","",IF(M58&lt;&gt;"Available","",IF(S58="","Verify availability",IF(TODAY()-S58&gt;14,"Recheck listing",""))))</x:f>
      </x:c>
      <x:c r="AA58" s="265" t="str">
        <x:f>IF(A58="","",IF(AND(M58&lt;&gt;"Available",M58&lt;&gt;"Reserved"),"",IF(ISNUMBER(V58),IF(V58&lt;TODAY(),"Expired",IF(V58&lt;=TODAY()+30,"Expires within 30 days","Current")),IF(U58&lt;&gt;"","Add expiry date","Not recorded"))))</x:f>
      </x:c>
      <x:c r="AB58" s="315" t="str">
        <x:f>IF(A58="","",IF(COUNTIFS($A$6:$A$205,A58)&gt;1,"Duplicate ID",IF(B58="","Add listing title",IF(OR(C58="",COUNTIFS('Contacts'!$A$6:$A$205,C58)&lt;&gt;1),"Check Contact ID",IF(D58="","Select sale or rental",IF(M58="","Set listing status",IF(OR(NOT(ISNUMBER(L58)),L58&lt;=0),"Add positive asking price","")))))))</x:f>
      </x:c>
    </x:row>
    <x:row r="59" ht="26" customHeight="1">
      <x:c r="A59" s="319"/>
      <x:c r="B59" s="320"/>
      <x:c r="C59" s="274"/>
      <x:c r="D59" s="274"/>
      <x:c r="E59" s="274"/>
      <x:c r="F59" s="274"/>
      <x:c r="G59" s="274"/>
      <x:c r="H59" s="274"/>
      <x:c r="I59" s="274"/>
      <x:c r="J59" s="377"/>
      <x:c r="K59" s="344"/>
      <x:c r="L59" s="302"/>
      <x:c r="M59" s="274"/>
      <x:c r="N59" s="274"/>
      <x:c r="O59" s="274"/>
      <x:c r="P59" s="304"/>
      <x:c r="Q59" s="377"/>
      <x:c r="R59" s="302"/>
      <x:c r="S59" s="304"/>
      <x:c r="T59" s="274"/>
      <x:c r="U59" s="274"/>
      <x:c r="V59" s="304"/>
      <x:c r="W59" s="274"/>
      <x:c r="X59" s="274"/>
      <x:c r="Y59" s="274"/>
      <x:c r="Z59" s="315" t="str">
        <x:f>IF(A59="","",IF(M59&lt;&gt;"Available","",IF(S59="","Verify availability",IF(TODAY()-S59&gt;14,"Recheck listing",""))))</x:f>
      </x:c>
      <x:c r="AA59" s="265" t="str">
        <x:f>IF(A59="","",IF(AND(M59&lt;&gt;"Available",M59&lt;&gt;"Reserved"),"",IF(ISNUMBER(V59),IF(V59&lt;TODAY(),"Expired",IF(V59&lt;=TODAY()+30,"Expires within 30 days","Current")),IF(U59&lt;&gt;"","Add expiry date","Not recorded"))))</x:f>
      </x:c>
      <x:c r="AB59" s="315" t="str">
        <x:f>IF(A59="","",IF(COUNTIFS($A$6:$A$205,A59)&gt;1,"Duplicate ID",IF(B59="","Add listing title",IF(OR(C59="",COUNTIFS('Contacts'!$A$6:$A$205,C59)&lt;&gt;1),"Check Contact ID",IF(D59="","Select sale or rental",IF(M59="","Set listing status",IF(OR(NOT(ISNUMBER(L59)),L59&lt;=0),"Add positive asking price","")))))))</x:f>
      </x:c>
    </x:row>
    <x:row r="60" ht="26" customHeight="1">
      <x:c r="A60" s="317"/>
      <x:c r="B60" s="318"/>
      <x:c r="C60" s="235"/>
      <x:c r="D60" s="235"/>
      <x:c r="E60" s="235"/>
      <x:c r="F60" s="235"/>
      <x:c r="G60" s="235"/>
      <x:c r="H60" s="235"/>
      <x:c r="I60" s="235"/>
      <x:c r="J60" s="376"/>
      <x:c r="K60" s="342"/>
      <x:c r="L60" s="236"/>
      <x:c r="M60" s="235"/>
      <x:c r="N60" s="235"/>
      <x:c r="O60" s="235"/>
      <x:c r="P60" s="238"/>
      <x:c r="Q60" s="376"/>
      <x:c r="R60" s="236"/>
      <x:c r="S60" s="238"/>
      <x:c r="T60" s="235"/>
      <x:c r="U60" s="235"/>
      <x:c r="V60" s="238"/>
      <x:c r="W60" s="235"/>
      <x:c r="X60" s="235"/>
      <x:c r="Y60" s="235"/>
      <x:c r="Z60" s="315" t="str">
        <x:f>IF(A60="","",IF(M60&lt;&gt;"Available","",IF(S60="","Verify availability",IF(TODAY()-S60&gt;14,"Recheck listing",""))))</x:f>
      </x:c>
      <x:c r="AA60" s="265" t="str">
        <x:f>IF(A60="","",IF(AND(M60&lt;&gt;"Available",M60&lt;&gt;"Reserved"),"",IF(ISNUMBER(V60),IF(V60&lt;TODAY(),"Expired",IF(V60&lt;=TODAY()+30,"Expires within 30 days","Current")),IF(U60&lt;&gt;"","Add expiry date","Not recorded"))))</x:f>
      </x:c>
      <x:c r="AB60" s="315" t="str">
        <x:f>IF(A60="","",IF(COUNTIFS($A$6:$A$205,A60)&gt;1,"Duplicate ID",IF(B60="","Add listing title",IF(OR(C60="",COUNTIFS('Contacts'!$A$6:$A$205,C60)&lt;&gt;1),"Check Contact ID",IF(D60="","Select sale or rental",IF(M60="","Set listing status",IF(OR(NOT(ISNUMBER(L60)),L60&lt;=0),"Add positive asking price","")))))))</x:f>
      </x:c>
    </x:row>
    <x:row r="61" ht="26" customHeight="1">
      <x:c r="A61" s="319"/>
      <x:c r="B61" s="320"/>
      <x:c r="C61" s="274"/>
      <x:c r="D61" s="274"/>
      <x:c r="E61" s="274"/>
      <x:c r="F61" s="274"/>
      <x:c r="G61" s="274"/>
      <x:c r="H61" s="274"/>
      <x:c r="I61" s="274"/>
      <x:c r="J61" s="377"/>
      <x:c r="K61" s="344"/>
      <x:c r="L61" s="302"/>
      <x:c r="M61" s="274"/>
      <x:c r="N61" s="274"/>
      <x:c r="O61" s="274"/>
      <x:c r="P61" s="304"/>
      <x:c r="Q61" s="377"/>
      <x:c r="R61" s="302"/>
      <x:c r="S61" s="304"/>
      <x:c r="T61" s="274"/>
      <x:c r="U61" s="274"/>
      <x:c r="V61" s="304"/>
      <x:c r="W61" s="274"/>
      <x:c r="X61" s="274"/>
      <x:c r="Y61" s="274"/>
      <x:c r="Z61" s="315" t="str">
        <x:f>IF(A61="","",IF(M61&lt;&gt;"Available","",IF(S61="","Verify availability",IF(TODAY()-S61&gt;14,"Recheck listing",""))))</x:f>
      </x:c>
      <x:c r="AA61" s="265" t="str">
        <x:f>IF(A61="","",IF(AND(M61&lt;&gt;"Available",M61&lt;&gt;"Reserved"),"",IF(ISNUMBER(V61),IF(V61&lt;TODAY(),"Expired",IF(V61&lt;=TODAY()+30,"Expires within 30 days","Current")),IF(U61&lt;&gt;"","Add expiry date","Not recorded"))))</x:f>
      </x:c>
      <x:c r="AB61" s="315" t="str">
        <x:f>IF(A61="","",IF(COUNTIFS($A$6:$A$205,A61)&gt;1,"Duplicate ID",IF(B61="","Add listing title",IF(OR(C61="",COUNTIFS('Contacts'!$A$6:$A$205,C61)&lt;&gt;1),"Check Contact ID",IF(D61="","Select sale or rental",IF(M61="","Set listing status",IF(OR(NOT(ISNUMBER(L61)),L61&lt;=0),"Add positive asking price","")))))))</x:f>
      </x:c>
    </x:row>
    <x:row r="62" ht="26" customHeight="1">
      <x:c r="A62" s="317"/>
      <x:c r="B62" s="318"/>
      <x:c r="C62" s="235"/>
      <x:c r="D62" s="235"/>
      <x:c r="E62" s="235"/>
      <x:c r="F62" s="235"/>
      <x:c r="G62" s="235"/>
      <x:c r="H62" s="235"/>
      <x:c r="I62" s="235"/>
      <x:c r="J62" s="376"/>
      <x:c r="K62" s="342"/>
      <x:c r="L62" s="236"/>
      <x:c r="M62" s="235"/>
      <x:c r="N62" s="235"/>
      <x:c r="O62" s="235"/>
      <x:c r="P62" s="238"/>
      <x:c r="Q62" s="376"/>
      <x:c r="R62" s="236"/>
      <x:c r="S62" s="238"/>
      <x:c r="T62" s="235"/>
      <x:c r="U62" s="235"/>
      <x:c r="V62" s="238"/>
      <x:c r="W62" s="235"/>
      <x:c r="X62" s="235"/>
      <x:c r="Y62" s="235"/>
      <x:c r="Z62" s="315" t="str">
        <x:f>IF(A62="","",IF(M62&lt;&gt;"Available","",IF(S62="","Verify availability",IF(TODAY()-S62&gt;14,"Recheck listing",""))))</x:f>
      </x:c>
      <x:c r="AA62" s="265" t="str">
        <x:f>IF(A62="","",IF(AND(M62&lt;&gt;"Available",M62&lt;&gt;"Reserved"),"",IF(ISNUMBER(V62),IF(V62&lt;TODAY(),"Expired",IF(V62&lt;=TODAY()+30,"Expires within 30 days","Current")),IF(U62&lt;&gt;"","Add expiry date","Not recorded"))))</x:f>
      </x:c>
      <x:c r="AB62" s="315" t="str">
        <x:f>IF(A62="","",IF(COUNTIFS($A$6:$A$205,A62)&gt;1,"Duplicate ID",IF(B62="","Add listing title",IF(OR(C62="",COUNTIFS('Contacts'!$A$6:$A$205,C62)&lt;&gt;1),"Check Contact ID",IF(D62="","Select sale or rental",IF(M62="","Set listing status",IF(OR(NOT(ISNUMBER(L62)),L62&lt;=0),"Add positive asking price","")))))))</x:f>
      </x:c>
    </x:row>
    <x:row r="63" ht="26" customHeight="1">
      <x:c r="A63" s="319"/>
      <x:c r="B63" s="320"/>
      <x:c r="C63" s="274"/>
      <x:c r="D63" s="274"/>
      <x:c r="E63" s="274"/>
      <x:c r="F63" s="274"/>
      <x:c r="G63" s="274"/>
      <x:c r="H63" s="274"/>
      <x:c r="I63" s="274"/>
      <x:c r="J63" s="377"/>
      <x:c r="K63" s="344"/>
      <x:c r="L63" s="302"/>
      <x:c r="M63" s="274"/>
      <x:c r="N63" s="274"/>
      <x:c r="O63" s="274"/>
      <x:c r="P63" s="304"/>
      <x:c r="Q63" s="377"/>
      <x:c r="R63" s="302"/>
      <x:c r="S63" s="304"/>
      <x:c r="T63" s="274"/>
      <x:c r="U63" s="274"/>
      <x:c r="V63" s="304"/>
      <x:c r="W63" s="274"/>
      <x:c r="X63" s="274"/>
      <x:c r="Y63" s="274"/>
      <x:c r="Z63" s="315" t="str">
        <x:f>IF(A63="","",IF(M63&lt;&gt;"Available","",IF(S63="","Verify availability",IF(TODAY()-S63&gt;14,"Recheck listing",""))))</x:f>
      </x:c>
      <x:c r="AA63" s="265" t="str">
        <x:f>IF(A63="","",IF(AND(M63&lt;&gt;"Available",M63&lt;&gt;"Reserved"),"",IF(ISNUMBER(V63),IF(V63&lt;TODAY(),"Expired",IF(V63&lt;=TODAY()+30,"Expires within 30 days","Current")),IF(U63&lt;&gt;"","Add expiry date","Not recorded"))))</x:f>
      </x:c>
      <x:c r="AB63" s="315" t="str">
        <x:f>IF(A63="","",IF(COUNTIFS($A$6:$A$205,A63)&gt;1,"Duplicate ID",IF(B63="","Add listing title",IF(OR(C63="",COUNTIFS('Contacts'!$A$6:$A$205,C63)&lt;&gt;1),"Check Contact ID",IF(D63="","Select sale or rental",IF(M63="","Set listing status",IF(OR(NOT(ISNUMBER(L63)),L63&lt;=0),"Add positive asking price","")))))))</x:f>
      </x:c>
    </x:row>
    <x:row r="64" ht="26" customHeight="1">
      <x:c r="A64" s="317"/>
      <x:c r="B64" s="318"/>
      <x:c r="C64" s="235"/>
      <x:c r="D64" s="235"/>
      <x:c r="E64" s="235"/>
      <x:c r="F64" s="235"/>
      <x:c r="G64" s="235"/>
      <x:c r="H64" s="235"/>
      <x:c r="I64" s="235"/>
      <x:c r="J64" s="376"/>
      <x:c r="K64" s="342"/>
      <x:c r="L64" s="236"/>
      <x:c r="M64" s="235"/>
      <x:c r="N64" s="235"/>
      <x:c r="O64" s="235"/>
      <x:c r="P64" s="238"/>
      <x:c r="Q64" s="376"/>
      <x:c r="R64" s="236"/>
      <x:c r="S64" s="238"/>
      <x:c r="T64" s="235"/>
      <x:c r="U64" s="235"/>
      <x:c r="V64" s="238"/>
      <x:c r="W64" s="235"/>
      <x:c r="X64" s="235"/>
      <x:c r="Y64" s="235"/>
      <x:c r="Z64" s="315" t="str">
        <x:f>IF(A64="","",IF(M64&lt;&gt;"Available","",IF(S64="","Verify availability",IF(TODAY()-S64&gt;14,"Recheck listing",""))))</x:f>
      </x:c>
      <x:c r="AA64" s="265" t="str">
        <x:f>IF(A64="","",IF(AND(M64&lt;&gt;"Available",M64&lt;&gt;"Reserved"),"",IF(ISNUMBER(V64),IF(V64&lt;TODAY(),"Expired",IF(V64&lt;=TODAY()+30,"Expires within 30 days","Current")),IF(U64&lt;&gt;"","Add expiry date","Not recorded"))))</x:f>
      </x:c>
      <x:c r="AB64" s="315" t="str">
        <x:f>IF(A64="","",IF(COUNTIFS($A$6:$A$205,A64)&gt;1,"Duplicate ID",IF(B64="","Add listing title",IF(OR(C64="",COUNTIFS('Contacts'!$A$6:$A$205,C64)&lt;&gt;1),"Check Contact ID",IF(D64="","Select sale or rental",IF(M64="","Set listing status",IF(OR(NOT(ISNUMBER(L64)),L64&lt;=0),"Add positive asking price","")))))))</x:f>
      </x:c>
    </x:row>
    <x:row r="65" ht="26" customHeight="1">
      <x:c r="A65" s="319"/>
      <x:c r="B65" s="320"/>
      <x:c r="C65" s="274"/>
      <x:c r="D65" s="274"/>
      <x:c r="E65" s="274"/>
      <x:c r="F65" s="274"/>
      <x:c r="G65" s="274"/>
      <x:c r="H65" s="274"/>
      <x:c r="I65" s="274"/>
      <x:c r="J65" s="377"/>
      <x:c r="K65" s="344"/>
      <x:c r="L65" s="302"/>
      <x:c r="M65" s="274"/>
      <x:c r="N65" s="274"/>
      <x:c r="O65" s="274"/>
      <x:c r="P65" s="304"/>
      <x:c r="Q65" s="377"/>
      <x:c r="R65" s="302"/>
      <x:c r="S65" s="304"/>
      <x:c r="T65" s="274"/>
      <x:c r="U65" s="274"/>
      <x:c r="V65" s="304"/>
      <x:c r="W65" s="274"/>
      <x:c r="X65" s="274"/>
      <x:c r="Y65" s="274"/>
      <x:c r="Z65" s="315" t="str">
        <x:f>IF(A65="","",IF(M65&lt;&gt;"Available","",IF(S65="","Verify availability",IF(TODAY()-S65&gt;14,"Recheck listing",""))))</x:f>
      </x:c>
      <x:c r="AA65" s="265" t="str">
        <x:f>IF(A65="","",IF(AND(M65&lt;&gt;"Available",M65&lt;&gt;"Reserved"),"",IF(ISNUMBER(V65),IF(V65&lt;TODAY(),"Expired",IF(V65&lt;=TODAY()+30,"Expires within 30 days","Current")),IF(U65&lt;&gt;"","Add expiry date","Not recorded"))))</x:f>
      </x:c>
      <x:c r="AB65" s="315" t="str">
        <x:f>IF(A65="","",IF(COUNTIFS($A$6:$A$205,A65)&gt;1,"Duplicate ID",IF(B65="","Add listing title",IF(OR(C65="",COUNTIFS('Contacts'!$A$6:$A$205,C65)&lt;&gt;1),"Check Contact ID",IF(D65="","Select sale or rental",IF(M65="","Set listing status",IF(OR(NOT(ISNUMBER(L65)),L65&lt;=0),"Add positive asking price","")))))))</x:f>
      </x:c>
    </x:row>
    <x:row r="66" ht="26" customHeight="1">
      <x:c r="A66" s="317"/>
      <x:c r="B66" s="318"/>
      <x:c r="C66" s="235"/>
      <x:c r="D66" s="235"/>
      <x:c r="E66" s="235"/>
      <x:c r="F66" s="235"/>
      <x:c r="G66" s="235"/>
      <x:c r="H66" s="235"/>
      <x:c r="I66" s="235"/>
      <x:c r="J66" s="376"/>
      <x:c r="K66" s="342"/>
      <x:c r="L66" s="236"/>
      <x:c r="M66" s="235"/>
      <x:c r="N66" s="235"/>
      <x:c r="O66" s="235"/>
      <x:c r="P66" s="238"/>
      <x:c r="Q66" s="376"/>
      <x:c r="R66" s="236"/>
      <x:c r="S66" s="238"/>
      <x:c r="T66" s="235"/>
      <x:c r="U66" s="235"/>
      <x:c r="V66" s="238"/>
      <x:c r="W66" s="235"/>
      <x:c r="X66" s="235"/>
      <x:c r="Y66" s="235"/>
      <x:c r="Z66" s="315" t="str">
        <x:f>IF(A66="","",IF(M66&lt;&gt;"Available","",IF(S66="","Verify availability",IF(TODAY()-S66&gt;14,"Recheck listing",""))))</x:f>
      </x:c>
      <x:c r="AA66" s="265" t="str">
        <x:f>IF(A66="","",IF(AND(M66&lt;&gt;"Available",M66&lt;&gt;"Reserved"),"",IF(ISNUMBER(V66),IF(V66&lt;TODAY(),"Expired",IF(V66&lt;=TODAY()+30,"Expires within 30 days","Current")),IF(U66&lt;&gt;"","Add expiry date","Not recorded"))))</x:f>
      </x:c>
      <x:c r="AB66" s="315" t="str">
        <x:f>IF(A66="","",IF(COUNTIFS($A$6:$A$205,A66)&gt;1,"Duplicate ID",IF(B66="","Add listing title",IF(OR(C66="",COUNTIFS('Contacts'!$A$6:$A$205,C66)&lt;&gt;1),"Check Contact ID",IF(D66="","Select sale or rental",IF(M66="","Set listing status",IF(OR(NOT(ISNUMBER(L66)),L66&lt;=0),"Add positive asking price","")))))))</x:f>
      </x:c>
    </x:row>
    <x:row r="67" ht="26" customHeight="1">
      <x:c r="A67" s="319"/>
      <x:c r="B67" s="320"/>
      <x:c r="C67" s="274"/>
      <x:c r="D67" s="274"/>
      <x:c r="E67" s="274"/>
      <x:c r="F67" s="274"/>
      <x:c r="G67" s="274"/>
      <x:c r="H67" s="274"/>
      <x:c r="I67" s="274"/>
      <x:c r="J67" s="377"/>
      <x:c r="K67" s="344"/>
      <x:c r="L67" s="302"/>
      <x:c r="M67" s="274"/>
      <x:c r="N67" s="274"/>
      <x:c r="O67" s="274"/>
      <x:c r="P67" s="304"/>
      <x:c r="Q67" s="377"/>
      <x:c r="R67" s="302"/>
      <x:c r="S67" s="304"/>
      <x:c r="T67" s="274"/>
      <x:c r="U67" s="274"/>
      <x:c r="V67" s="304"/>
      <x:c r="W67" s="274"/>
      <x:c r="X67" s="274"/>
      <x:c r="Y67" s="274"/>
      <x:c r="Z67" s="315" t="str">
        <x:f>IF(A67="","",IF(M67&lt;&gt;"Available","",IF(S67="","Verify availability",IF(TODAY()-S67&gt;14,"Recheck listing",""))))</x:f>
      </x:c>
      <x:c r="AA67" s="265" t="str">
        <x:f>IF(A67="","",IF(AND(M67&lt;&gt;"Available",M67&lt;&gt;"Reserved"),"",IF(ISNUMBER(V67),IF(V67&lt;TODAY(),"Expired",IF(V67&lt;=TODAY()+30,"Expires within 30 days","Current")),IF(U67&lt;&gt;"","Add expiry date","Not recorded"))))</x:f>
      </x:c>
      <x:c r="AB67" s="315" t="str">
        <x:f>IF(A67="","",IF(COUNTIFS($A$6:$A$205,A67)&gt;1,"Duplicate ID",IF(B67="","Add listing title",IF(OR(C67="",COUNTIFS('Contacts'!$A$6:$A$205,C67)&lt;&gt;1),"Check Contact ID",IF(D67="","Select sale or rental",IF(M67="","Set listing status",IF(OR(NOT(ISNUMBER(L67)),L67&lt;=0),"Add positive asking price","")))))))</x:f>
      </x:c>
    </x:row>
    <x:row r="68" ht="26" customHeight="1">
      <x:c r="A68" s="317"/>
      <x:c r="B68" s="318"/>
      <x:c r="C68" s="235"/>
      <x:c r="D68" s="235"/>
      <x:c r="E68" s="235"/>
      <x:c r="F68" s="235"/>
      <x:c r="G68" s="235"/>
      <x:c r="H68" s="235"/>
      <x:c r="I68" s="235"/>
      <x:c r="J68" s="376"/>
      <x:c r="K68" s="342"/>
      <x:c r="L68" s="236"/>
      <x:c r="M68" s="235"/>
      <x:c r="N68" s="235"/>
      <x:c r="O68" s="235"/>
      <x:c r="P68" s="238"/>
      <x:c r="Q68" s="376"/>
      <x:c r="R68" s="236"/>
      <x:c r="S68" s="238"/>
      <x:c r="T68" s="235"/>
      <x:c r="U68" s="235"/>
      <x:c r="V68" s="238"/>
      <x:c r="W68" s="235"/>
      <x:c r="X68" s="235"/>
      <x:c r="Y68" s="235"/>
      <x:c r="Z68" s="315" t="str">
        <x:f>IF(A68="","",IF(M68&lt;&gt;"Available","",IF(S68="","Verify availability",IF(TODAY()-S68&gt;14,"Recheck listing",""))))</x:f>
      </x:c>
      <x:c r="AA68" s="265" t="str">
        <x:f>IF(A68="","",IF(AND(M68&lt;&gt;"Available",M68&lt;&gt;"Reserved"),"",IF(ISNUMBER(V68),IF(V68&lt;TODAY(),"Expired",IF(V68&lt;=TODAY()+30,"Expires within 30 days","Current")),IF(U68&lt;&gt;"","Add expiry date","Not recorded"))))</x:f>
      </x:c>
      <x:c r="AB68" s="315" t="str">
        <x:f>IF(A68="","",IF(COUNTIFS($A$6:$A$205,A68)&gt;1,"Duplicate ID",IF(B68="","Add listing title",IF(OR(C68="",COUNTIFS('Contacts'!$A$6:$A$205,C68)&lt;&gt;1),"Check Contact ID",IF(D68="","Select sale or rental",IF(M68="","Set listing status",IF(OR(NOT(ISNUMBER(L68)),L68&lt;=0),"Add positive asking price","")))))))</x:f>
      </x:c>
    </x:row>
    <x:row r="69" ht="26" customHeight="1">
      <x:c r="A69" s="319"/>
      <x:c r="B69" s="320"/>
      <x:c r="C69" s="274"/>
      <x:c r="D69" s="274"/>
      <x:c r="E69" s="274"/>
      <x:c r="F69" s="274"/>
      <x:c r="G69" s="274"/>
      <x:c r="H69" s="274"/>
      <x:c r="I69" s="274"/>
      <x:c r="J69" s="377"/>
      <x:c r="K69" s="344"/>
      <x:c r="L69" s="302"/>
      <x:c r="M69" s="274"/>
      <x:c r="N69" s="274"/>
      <x:c r="O69" s="274"/>
      <x:c r="P69" s="304"/>
      <x:c r="Q69" s="377"/>
      <x:c r="R69" s="302"/>
      <x:c r="S69" s="304"/>
      <x:c r="T69" s="274"/>
      <x:c r="U69" s="274"/>
      <x:c r="V69" s="304"/>
      <x:c r="W69" s="274"/>
      <x:c r="X69" s="274"/>
      <x:c r="Y69" s="274"/>
      <x:c r="Z69" s="315" t="str">
        <x:f>IF(A69="","",IF(M69&lt;&gt;"Available","",IF(S69="","Verify availability",IF(TODAY()-S69&gt;14,"Recheck listing",""))))</x:f>
      </x:c>
      <x:c r="AA69" s="265" t="str">
        <x:f>IF(A69="","",IF(AND(M69&lt;&gt;"Available",M69&lt;&gt;"Reserved"),"",IF(ISNUMBER(V69),IF(V69&lt;TODAY(),"Expired",IF(V69&lt;=TODAY()+30,"Expires within 30 days","Current")),IF(U69&lt;&gt;"","Add expiry date","Not recorded"))))</x:f>
      </x:c>
      <x:c r="AB69" s="315" t="str">
        <x:f>IF(A69="","",IF(COUNTIFS($A$6:$A$205,A69)&gt;1,"Duplicate ID",IF(B69="","Add listing title",IF(OR(C69="",COUNTIFS('Contacts'!$A$6:$A$205,C69)&lt;&gt;1),"Check Contact ID",IF(D69="","Select sale or rental",IF(M69="","Set listing status",IF(OR(NOT(ISNUMBER(L69)),L69&lt;=0),"Add positive asking price","")))))))</x:f>
      </x:c>
    </x:row>
    <x:row r="70" ht="26" customHeight="1">
      <x:c r="A70" s="317"/>
      <x:c r="B70" s="318"/>
      <x:c r="C70" s="235"/>
      <x:c r="D70" s="235"/>
      <x:c r="E70" s="235"/>
      <x:c r="F70" s="235"/>
      <x:c r="G70" s="235"/>
      <x:c r="H70" s="235"/>
      <x:c r="I70" s="235"/>
      <x:c r="J70" s="376"/>
      <x:c r="K70" s="342"/>
      <x:c r="L70" s="236"/>
      <x:c r="M70" s="235"/>
      <x:c r="N70" s="235"/>
      <x:c r="O70" s="235"/>
      <x:c r="P70" s="238"/>
      <x:c r="Q70" s="376"/>
      <x:c r="R70" s="236"/>
      <x:c r="S70" s="238"/>
      <x:c r="T70" s="235"/>
      <x:c r="U70" s="235"/>
      <x:c r="V70" s="238"/>
      <x:c r="W70" s="235"/>
      <x:c r="X70" s="235"/>
      <x:c r="Y70" s="235"/>
      <x:c r="Z70" s="315" t="str">
        <x:f>IF(A70="","",IF(M70&lt;&gt;"Available","",IF(S70="","Verify availability",IF(TODAY()-S70&gt;14,"Recheck listing",""))))</x:f>
      </x:c>
      <x:c r="AA70" s="265" t="str">
        <x:f>IF(A70="","",IF(AND(M70&lt;&gt;"Available",M70&lt;&gt;"Reserved"),"",IF(ISNUMBER(V70),IF(V70&lt;TODAY(),"Expired",IF(V70&lt;=TODAY()+30,"Expires within 30 days","Current")),IF(U70&lt;&gt;"","Add expiry date","Not recorded"))))</x:f>
      </x:c>
      <x:c r="AB70" s="315" t="str">
        <x:f>IF(A70="","",IF(COUNTIFS($A$6:$A$205,A70)&gt;1,"Duplicate ID",IF(B70="","Add listing title",IF(OR(C70="",COUNTIFS('Contacts'!$A$6:$A$205,C70)&lt;&gt;1),"Check Contact ID",IF(D70="","Select sale or rental",IF(M70="","Set listing status",IF(OR(NOT(ISNUMBER(L70)),L70&lt;=0),"Add positive asking price","")))))))</x:f>
      </x:c>
    </x:row>
    <x:row r="71" ht="26" customHeight="1">
      <x:c r="A71" s="319"/>
      <x:c r="B71" s="320"/>
      <x:c r="C71" s="274"/>
      <x:c r="D71" s="274"/>
      <x:c r="E71" s="274"/>
      <x:c r="F71" s="274"/>
      <x:c r="G71" s="274"/>
      <x:c r="H71" s="274"/>
      <x:c r="I71" s="274"/>
      <x:c r="J71" s="377"/>
      <x:c r="K71" s="344"/>
      <x:c r="L71" s="302"/>
      <x:c r="M71" s="274"/>
      <x:c r="N71" s="274"/>
      <x:c r="O71" s="274"/>
      <x:c r="P71" s="304"/>
      <x:c r="Q71" s="377"/>
      <x:c r="R71" s="302"/>
      <x:c r="S71" s="304"/>
      <x:c r="T71" s="274"/>
      <x:c r="U71" s="274"/>
      <x:c r="V71" s="304"/>
      <x:c r="W71" s="274"/>
      <x:c r="X71" s="274"/>
      <x:c r="Y71" s="274"/>
      <x:c r="Z71" s="315" t="str">
        <x:f>IF(A71="","",IF(M71&lt;&gt;"Available","",IF(S71="","Verify availability",IF(TODAY()-S71&gt;14,"Recheck listing",""))))</x:f>
      </x:c>
      <x:c r="AA71" s="265" t="str">
        <x:f>IF(A71="","",IF(AND(M71&lt;&gt;"Available",M71&lt;&gt;"Reserved"),"",IF(ISNUMBER(V71),IF(V71&lt;TODAY(),"Expired",IF(V71&lt;=TODAY()+30,"Expires within 30 days","Current")),IF(U71&lt;&gt;"","Add expiry date","Not recorded"))))</x:f>
      </x:c>
      <x:c r="AB71" s="315" t="str">
        <x:f>IF(A71="","",IF(COUNTIFS($A$6:$A$205,A71)&gt;1,"Duplicate ID",IF(B71="","Add listing title",IF(OR(C71="",COUNTIFS('Contacts'!$A$6:$A$205,C71)&lt;&gt;1),"Check Contact ID",IF(D71="","Select sale or rental",IF(M71="","Set listing status",IF(OR(NOT(ISNUMBER(L71)),L71&lt;=0),"Add positive asking price","")))))))</x:f>
      </x:c>
    </x:row>
    <x:row r="72" ht="26" customHeight="1">
      <x:c r="A72" s="317"/>
      <x:c r="B72" s="318"/>
      <x:c r="C72" s="235"/>
      <x:c r="D72" s="235"/>
      <x:c r="E72" s="235"/>
      <x:c r="F72" s="235"/>
      <x:c r="G72" s="235"/>
      <x:c r="H72" s="235"/>
      <x:c r="I72" s="235"/>
      <x:c r="J72" s="376"/>
      <x:c r="K72" s="342"/>
      <x:c r="L72" s="236"/>
      <x:c r="M72" s="235"/>
      <x:c r="N72" s="235"/>
      <x:c r="O72" s="235"/>
      <x:c r="P72" s="238"/>
      <x:c r="Q72" s="376"/>
      <x:c r="R72" s="236"/>
      <x:c r="S72" s="238"/>
      <x:c r="T72" s="235"/>
      <x:c r="U72" s="235"/>
      <x:c r="V72" s="238"/>
      <x:c r="W72" s="235"/>
      <x:c r="X72" s="235"/>
      <x:c r="Y72" s="235"/>
      <x:c r="Z72" s="315" t="str">
        <x:f>IF(A72="","",IF(M72&lt;&gt;"Available","",IF(S72="","Verify availability",IF(TODAY()-S72&gt;14,"Recheck listing",""))))</x:f>
      </x:c>
      <x:c r="AA72" s="265" t="str">
        <x:f>IF(A72="","",IF(AND(M72&lt;&gt;"Available",M72&lt;&gt;"Reserved"),"",IF(ISNUMBER(V72),IF(V72&lt;TODAY(),"Expired",IF(V72&lt;=TODAY()+30,"Expires within 30 days","Current")),IF(U72&lt;&gt;"","Add expiry date","Not recorded"))))</x:f>
      </x:c>
      <x:c r="AB72" s="315" t="str">
        <x:f>IF(A72="","",IF(COUNTIFS($A$6:$A$205,A72)&gt;1,"Duplicate ID",IF(B72="","Add listing title",IF(OR(C72="",COUNTIFS('Contacts'!$A$6:$A$205,C72)&lt;&gt;1),"Check Contact ID",IF(D72="","Select sale or rental",IF(M72="","Set listing status",IF(OR(NOT(ISNUMBER(L72)),L72&lt;=0),"Add positive asking price","")))))))</x:f>
      </x:c>
    </x:row>
    <x:row r="73" ht="26" customHeight="1">
      <x:c r="A73" s="319"/>
      <x:c r="B73" s="320"/>
      <x:c r="C73" s="274"/>
      <x:c r="D73" s="274"/>
      <x:c r="E73" s="274"/>
      <x:c r="F73" s="274"/>
      <x:c r="G73" s="274"/>
      <x:c r="H73" s="274"/>
      <x:c r="I73" s="274"/>
      <x:c r="J73" s="377"/>
      <x:c r="K73" s="344"/>
      <x:c r="L73" s="302"/>
      <x:c r="M73" s="274"/>
      <x:c r="N73" s="274"/>
      <x:c r="O73" s="274"/>
      <x:c r="P73" s="304"/>
      <x:c r="Q73" s="377"/>
      <x:c r="R73" s="302"/>
      <x:c r="S73" s="304"/>
      <x:c r="T73" s="274"/>
      <x:c r="U73" s="274"/>
      <x:c r="V73" s="304"/>
      <x:c r="W73" s="274"/>
      <x:c r="X73" s="274"/>
      <x:c r="Y73" s="274"/>
      <x:c r="Z73" s="315" t="str">
        <x:f>IF(A73="","",IF(M73&lt;&gt;"Available","",IF(S73="","Verify availability",IF(TODAY()-S73&gt;14,"Recheck listing",""))))</x:f>
      </x:c>
      <x:c r="AA73" s="265" t="str">
        <x:f>IF(A73="","",IF(AND(M73&lt;&gt;"Available",M73&lt;&gt;"Reserved"),"",IF(ISNUMBER(V73),IF(V73&lt;TODAY(),"Expired",IF(V73&lt;=TODAY()+30,"Expires within 30 days","Current")),IF(U73&lt;&gt;"","Add expiry date","Not recorded"))))</x:f>
      </x:c>
      <x:c r="AB73" s="315" t="str">
        <x:f>IF(A73="","",IF(COUNTIFS($A$6:$A$205,A73)&gt;1,"Duplicate ID",IF(B73="","Add listing title",IF(OR(C73="",COUNTIFS('Contacts'!$A$6:$A$205,C73)&lt;&gt;1),"Check Contact ID",IF(D73="","Select sale or rental",IF(M73="","Set listing status",IF(OR(NOT(ISNUMBER(L73)),L73&lt;=0),"Add positive asking price","")))))))</x:f>
      </x:c>
    </x:row>
    <x:row r="74" ht="26" customHeight="1">
      <x:c r="A74" s="317"/>
      <x:c r="B74" s="318"/>
      <x:c r="C74" s="235"/>
      <x:c r="D74" s="235"/>
      <x:c r="E74" s="235"/>
      <x:c r="F74" s="235"/>
      <x:c r="G74" s="235"/>
      <x:c r="H74" s="235"/>
      <x:c r="I74" s="235"/>
      <x:c r="J74" s="376"/>
      <x:c r="K74" s="342"/>
      <x:c r="L74" s="236"/>
      <x:c r="M74" s="235"/>
      <x:c r="N74" s="235"/>
      <x:c r="O74" s="235"/>
      <x:c r="P74" s="238"/>
      <x:c r="Q74" s="376"/>
      <x:c r="R74" s="236"/>
      <x:c r="S74" s="238"/>
      <x:c r="T74" s="235"/>
      <x:c r="U74" s="235"/>
      <x:c r="V74" s="238"/>
      <x:c r="W74" s="235"/>
      <x:c r="X74" s="235"/>
      <x:c r="Y74" s="235"/>
      <x:c r="Z74" s="315" t="str">
        <x:f>IF(A74="","",IF(M74&lt;&gt;"Available","",IF(S74="","Verify availability",IF(TODAY()-S74&gt;14,"Recheck listing",""))))</x:f>
      </x:c>
      <x:c r="AA74" s="265" t="str">
        <x:f>IF(A74="","",IF(AND(M74&lt;&gt;"Available",M74&lt;&gt;"Reserved"),"",IF(ISNUMBER(V74),IF(V74&lt;TODAY(),"Expired",IF(V74&lt;=TODAY()+30,"Expires within 30 days","Current")),IF(U74&lt;&gt;"","Add expiry date","Not recorded"))))</x:f>
      </x:c>
      <x:c r="AB74" s="315" t="str">
        <x:f>IF(A74="","",IF(COUNTIFS($A$6:$A$205,A74)&gt;1,"Duplicate ID",IF(B74="","Add listing title",IF(OR(C74="",COUNTIFS('Contacts'!$A$6:$A$205,C74)&lt;&gt;1),"Check Contact ID",IF(D74="","Select sale or rental",IF(M74="","Set listing status",IF(OR(NOT(ISNUMBER(L74)),L74&lt;=0),"Add positive asking price","")))))))</x:f>
      </x:c>
    </x:row>
    <x:row r="75" ht="26" customHeight="1">
      <x:c r="A75" s="319"/>
      <x:c r="B75" s="320"/>
      <x:c r="C75" s="274"/>
      <x:c r="D75" s="274"/>
      <x:c r="E75" s="274"/>
      <x:c r="F75" s="274"/>
      <x:c r="G75" s="274"/>
      <x:c r="H75" s="274"/>
      <x:c r="I75" s="274"/>
      <x:c r="J75" s="377"/>
      <x:c r="K75" s="344"/>
      <x:c r="L75" s="302"/>
      <x:c r="M75" s="274"/>
      <x:c r="N75" s="274"/>
      <x:c r="O75" s="274"/>
      <x:c r="P75" s="304"/>
      <x:c r="Q75" s="377"/>
      <x:c r="R75" s="302"/>
      <x:c r="S75" s="304"/>
      <x:c r="T75" s="274"/>
      <x:c r="U75" s="274"/>
      <x:c r="V75" s="304"/>
      <x:c r="W75" s="274"/>
      <x:c r="X75" s="274"/>
      <x:c r="Y75" s="274"/>
      <x:c r="Z75" s="315" t="str">
        <x:f>IF(A75="","",IF(M75&lt;&gt;"Available","",IF(S75="","Verify availability",IF(TODAY()-S75&gt;14,"Recheck listing",""))))</x:f>
      </x:c>
      <x:c r="AA75" s="265" t="str">
        <x:f>IF(A75="","",IF(AND(M75&lt;&gt;"Available",M75&lt;&gt;"Reserved"),"",IF(ISNUMBER(V75),IF(V75&lt;TODAY(),"Expired",IF(V75&lt;=TODAY()+30,"Expires within 30 days","Current")),IF(U75&lt;&gt;"","Add expiry date","Not recorded"))))</x:f>
      </x:c>
      <x:c r="AB75" s="315" t="str">
        <x:f>IF(A75="","",IF(COUNTIFS($A$6:$A$205,A75)&gt;1,"Duplicate ID",IF(B75="","Add listing title",IF(OR(C75="",COUNTIFS('Contacts'!$A$6:$A$205,C75)&lt;&gt;1),"Check Contact ID",IF(D75="","Select sale or rental",IF(M75="","Set listing status",IF(OR(NOT(ISNUMBER(L75)),L75&lt;=0),"Add positive asking price","")))))))</x:f>
      </x:c>
    </x:row>
    <x:row r="76" ht="26" customHeight="1">
      <x:c r="A76" s="317"/>
      <x:c r="B76" s="318"/>
      <x:c r="C76" s="235"/>
      <x:c r="D76" s="235"/>
      <x:c r="E76" s="235"/>
      <x:c r="F76" s="235"/>
      <x:c r="G76" s="235"/>
      <x:c r="H76" s="235"/>
      <x:c r="I76" s="235"/>
      <x:c r="J76" s="376"/>
      <x:c r="K76" s="342"/>
      <x:c r="L76" s="236"/>
      <x:c r="M76" s="235"/>
      <x:c r="N76" s="235"/>
      <x:c r="O76" s="235"/>
      <x:c r="P76" s="238"/>
      <x:c r="Q76" s="376"/>
      <x:c r="R76" s="236"/>
      <x:c r="S76" s="238"/>
      <x:c r="T76" s="235"/>
      <x:c r="U76" s="235"/>
      <x:c r="V76" s="238"/>
      <x:c r="W76" s="235"/>
      <x:c r="X76" s="235"/>
      <x:c r="Y76" s="235"/>
      <x:c r="Z76" s="315" t="str">
        <x:f>IF(A76="","",IF(M76&lt;&gt;"Available","",IF(S76="","Verify availability",IF(TODAY()-S76&gt;14,"Recheck listing",""))))</x:f>
      </x:c>
      <x:c r="AA76" s="265" t="str">
        <x:f>IF(A76="","",IF(AND(M76&lt;&gt;"Available",M76&lt;&gt;"Reserved"),"",IF(ISNUMBER(V76),IF(V76&lt;TODAY(),"Expired",IF(V76&lt;=TODAY()+30,"Expires within 30 days","Current")),IF(U76&lt;&gt;"","Add expiry date","Not recorded"))))</x:f>
      </x:c>
      <x:c r="AB76" s="315" t="str">
        <x:f>IF(A76="","",IF(COUNTIFS($A$6:$A$205,A76)&gt;1,"Duplicate ID",IF(B76="","Add listing title",IF(OR(C76="",COUNTIFS('Contacts'!$A$6:$A$205,C76)&lt;&gt;1),"Check Contact ID",IF(D76="","Select sale or rental",IF(M76="","Set listing status",IF(OR(NOT(ISNUMBER(L76)),L76&lt;=0),"Add positive asking price","")))))))</x:f>
      </x:c>
    </x:row>
    <x:row r="77" ht="26" customHeight="1">
      <x:c r="A77" s="319"/>
      <x:c r="B77" s="320"/>
      <x:c r="C77" s="274"/>
      <x:c r="D77" s="274"/>
      <x:c r="E77" s="274"/>
      <x:c r="F77" s="274"/>
      <x:c r="G77" s="274"/>
      <x:c r="H77" s="274"/>
      <x:c r="I77" s="274"/>
      <x:c r="J77" s="377"/>
      <x:c r="K77" s="344"/>
      <x:c r="L77" s="302"/>
      <x:c r="M77" s="274"/>
      <x:c r="N77" s="274"/>
      <x:c r="O77" s="274"/>
      <x:c r="P77" s="304"/>
      <x:c r="Q77" s="377"/>
      <x:c r="R77" s="302"/>
      <x:c r="S77" s="304"/>
      <x:c r="T77" s="274"/>
      <x:c r="U77" s="274"/>
      <x:c r="V77" s="304"/>
      <x:c r="W77" s="274"/>
      <x:c r="X77" s="274"/>
      <x:c r="Y77" s="274"/>
      <x:c r="Z77" s="315" t="str">
        <x:f>IF(A77="","",IF(M77&lt;&gt;"Available","",IF(S77="","Verify availability",IF(TODAY()-S77&gt;14,"Recheck listing",""))))</x:f>
      </x:c>
      <x:c r="AA77" s="265" t="str">
        <x:f>IF(A77="","",IF(AND(M77&lt;&gt;"Available",M77&lt;&gt;"Reserved"),"",IF(ISNUMBER(V77),IF(V77&lt;TODAY(),"Expired",IF(V77&lt;=TODAY()+30,"Expires within 30 days","Current")),IF(U77&lt;&gt;"","Add expiry date","Not recorded"))))</x:f>
      </x:c>
      <x:c r="AB77" s="315" t="str">
        <x:f>IF(A77="","",IF(COUNTIFS($A$6:$A$205,A77)&gt;1,"Duplicate ID",IF(B77="","Add listing title",IF(OR(C77="",COUNTIFS('Contacts'!$A$6:$A$205,C77)&lt;&gt;1),"Check Contact ID",IF(D77="","Select sale or rental",IF(M77="","Set listing status",IF(OR(NOT(ISNUMBER(L77)),L77&lt;=0),"Add positive asking price","")))))))</x:f>
      </x:c>
    </x:row>
    <x:row r="78" ht="26" customHeight="1">
      <x:c r="A78" s="317"/>
      <x:c r="B78" s="318"/>
      <x:c r="C78" s="235"/>
      <x:c r="D78" s="235"/>
      <x:c r="E78" s="235"/>
      <x:c r="F78" s="235"/>
      <x:c r="G78" s="235"/>
      <x:c r="H78" s="235"/>
      <x:c r="I78" s="235"/>
      <x:c r="J78" s="376"/>
      <x:c r="K78" s="342"/>
      <x:c r="L78" s="236"/>
      <x:c r="M78" s="235"/>
      <x:c r="N78" s="235"/>
      <x:c r="O78" s="235"/>
      <x:c r="P78" s="238"/>
      <x:c r="Q78" s="376"/>
      <x:c r="R78" s="236"/>
      <x:c r="S78" s="238"/>
      <x:c r="T78" s="235"/>
      <x:c r="U78" s="235"/>
      <x:c r="V78" s="238"/>
      <x:c r="W78" s="235"/>
      <x:c r="X78" s="235"/>
      <x:c r="Y78" s="235"/>
      <x:c r="Z78" s="315" t="str">
        <x:f>IF(A78="","",IF(M78&lt;&gt;"Available","",IF(S78="","Verify availability",IF(TODAY()-S78&gt;14,"Recheck listing",""))))</x:f>
      </x:c>
      <x:c r="AA78" s="265" t="str">
        <x:f>IF(A78="","",IF(AND(M78&lt;&gt;"Available",M78&lt;&gt;"Reserved"),"",IF(ISNUMBER(V78),IF(V78&lt;TODAY(),"Expired",IF(V78&lt;=TODAY()+30,"Expires within 30 days","Current")),IF(U78&lt;&gt;"","Add expiry date","Not recorded"))))</x:f>
      </x:c>
      <x:c r="AB78" s="315" t="str">
        <x:f>IF(A78="","",IF(COUNTIFS($A$6:$A$205,A78)&gt;1,"Duplicate ID",IF(B78="","Add listing title",IF(OR(C78="",COUNTIFS('Contacts'!$A$6:$A$205,C78)&lt;&gt;1),"Check Contact ID",IF(D78="","Select sale or rental",IF(M78="","Set listing status",IF(OR(NOT(ISNUMBER(L78)),L78&lt;=0),"Add positive asking price","")))))))</x:f>
      </x:c>
    </x:row>
    <x:row r="79" ht="26" customHeight="1">
      <x:c r="A79" s="319"/>
      <x:c r="B79" s="320"/>
      <x:c r="C79" s="274"/>
      <x:c r="D79" s="274"/>
      <x:c r="E79" s="274"/>
      <x:c r="F79" s="274"/>
      <x:c r="G79" s="274"/>
      <x:c r="H79" s="274"/>
      <x:c r="I79" s="274"/>
      <x:c r="J79" s="377"/>
      <x:c r="K79" s="344"/>
      <x:c r="L79" s="302"/>
      <x:c r="M79" s="274"/>
      <x:c r="N79" s="274"/>
      <x:c r="O79" s="274"/>
      <x:c r="P79" s="304"/>
      <x:c r="Q79" s="377"/>
      <x:c r="R79" s="302"/>
      <x:c r="S79" s="304"/>
      <x:c r="T79" s="274"/>
      <x:c r="U79" s="274"/>
      <x:c r="V79" s="304"/>
      <x:c r="W79" s="274"/>
      <x:c r="X79" s="274"/>
      <x:c r="Y79" s="274"/>
      <x:c r="Z79" s="315" t="str">
        <x:f>IF(A79="","",IF(M79&lt;&gt;"Available","",IF(S79="","Verify availability",IF(TODAY()-S79&gt;14,"Recheck listing",""))))</x:f>
      </x:c>
      <x:c r="AA79" s="265" t="str">
        <x:f>IF(A79="","",IF(AND(M79&lt;&gt;"Available",M79&lt;&gt;"Reserved"),"",IF(ISNUMBER(V79),IF(V79&lt;TODAY(),"Expired",IF(V79&lt;=TODAY()+30,"Expires within 30 days","Current")),IF(U79&lt;&gt;"","Add expiry date","Not recorded"))))</x:f>
      </x:c>
      <x:c r="AB79" s="315" t="str">
        <x:f>IF(A79="","",IF(COUNTIFS($A$6:$A$205,A79)&gt;1,"Duplicate ID",IF(B79="","Add listing title",IF(OR(C79="",COUNTIFS('Contacts'!$A$6:$A$205,C79)&lt;&gt;1),"Check Contact ID",IF(D79="","Select sale or rental",IF(M79="","Set listing status",IF(OR(NOT(ISNUMBER(L79)),L79&lt;=0),"Add positive asking price","")))))))</x:f>
      </x:c>
    </x:row>
    <x:row r="80" ht="26" customHeight="1">
      <x:c r="A80" s="317"/>
      <x:c r="B80" s="318"/>
      <x:c r="C80" s="235"/>
      <x:c r="D80" s="235"/>
      <x:c r="E80" s="235"/>
      <x:c r="F80" s="235"/>
      <x:c r="G80" s="235"/>
      <x:c r="H80" s="235"/>
      <x:c r="I80" s="235"/>
      <x:c r="J80" s="376"/>
      <x:c r="K80" s="342"/>
      <x:c r="L80" s="236"/>
      <x:c r="M80" s="235"/>
      <x:c r="N80" s="235"/>
      <x:c r="O80" s="235"/>
      <x:c r="P80" s="238"/>
      <x:c r="Q80" s="376"/>
      <x:c r="R80" s="236"/>
      <x:c r="S80" s="238"/>
      <x:c r="T80" s="235"/>
      <x:c r="U80" s="235"/>
      <x:c r="V80" s="238"/>
      <x:c r="W80" s="235"/>
      <x:c r="X80" s="235"/>
      <x:c r="Y80" s="235"/>
      <x:c r="Z80" s="315" t="str">
        <x:f>IF(A80="","",IF(M80&lt;&gt;"Available","",IF(S80="","Verify availability",IF(TODAY()-S80&gt;14,"Recheck listing",""))))</x:f>
      </x:c>
      <x:c r="AA80" s="265" t="str">
        <x:f>IF(A80="","",IF(AND(M80&lt;&gt;"Available",M80&lt;&gt;"Reserved"),"",IF(ISNUMBER(V80),IF(V80&lt;TODAY(),"Expired",IF(V80&lt;=TODAY()+30,"Expires within 30 days","Current")),IF(U80&lt;&gt;"","Add expiry date","Not recorded"))))</x:f>
      </x:c>
      <x:c r="AB80" s="315" t="str">
        <x:f>IF(A80="","",IF(COUNTIFS($A$6:$A$205,A80)&gt;1,"Duplicate ID",IF(B80="","Add listing title",IF(OR(C80="",COUNTIFS('Contacts'!$A$6:$A$205,C80)&lt;&gt;1),"Check Contact ID",IF(D80="","Select sale or rental",IF(M80="","Set listing status",IF(OR(NOT(ISNUMBER(L80)),L80&lt;=0),"Add positive asking price","")))))))</x:f>
      </x:c>
    </x:row>
    <x:row r="81" ht="26" customHeight="1">
      <x:c r="A81" s="319"/>
      <x:c r="B81" s="320"/>
      <x:c r="C81" s="274"/>
      <x:c r="D81" s="274"/>
      <x:c r="E81" s="274"/>
      <x:c r="F81" s="274"/>
      <x:c r="G81" s="274"/>
      <x:c r="H81" s="274"/>
      <x:c r="I81" s="274"/>
      <x:c r="J81" s="377"/>
      <x:c r="K81" s="344"/>
      <x:c r="L81" s="302"/>
      <x:c r="M81" s="274"/>
      <x:c r="N81" s="274"/>
      <x:c r="O81" s="274"/>
      <x:c r="P81" s="304"/>
      <x:c r="Q81" s="377"/>
      <x:c r="R81" s="302"/>
      <x:c r="S81" s="304"/>
      <x:c r="T81" s="274"/>
      <x:c r="U81" s="274"/>
      <x:c r="V81" s="304"/>
      <x:c r="W81" s="274"/>
      <x:c r="X81" s="274"/>
      <x:c r="Y81" s="274"/>
      <x:c r="Z81" s="315" t="str">
        <x:f>IF(A81="","",IF(M81&lt;&gt;"Available","",IF(S81="","Verify availability",IF(TODAY()-S81&gt;14,"Recheck listing",""))))</x:f>
      </x:c>
      <x:c r="AA81" s="265" t="str">
        <x:f>IF(A81="","",IF(AND(M81&lt;&gt;"Available",M81&lt;&gt;"Reserved"),"",IF(ISNUMBER(V81),IF(V81&lt;TODAY(),"Expired",IF(V81&lt;=TODAY()+30,"Expires within 30 days","Current")),IF(U81&lt;&gt;"","Add expiry date","Not recorded"))))</x:f>
      </x:c>
      <x:c r="AB81" s="315" t="str">
        <x:f>IF(A81="","",IF(COUNTIFS($A$6:$A$205,A81)&gt;1,"Duplicate ID",IF(B81="","Add listing title",IF(OR(C81="",COUNTIFS('Contacts'!$A$6:$A$205,C81)&lt;&gt;1),"Check Contact ID",IF(D81="","Select sale or rental",IF(M81="","Set listing status",IF(OR(NOT(ISNUMBER(L81)),L81&lt;=0),"Add positive asking price","")))))))</x:f>
      </x:c>
    </x:row>
    <x:row r="82" ht="26" customHeight="1">
      <x:c r="A82" s="317"/>
      <x:c r="B82" s="318"/>
      <x:c r="C82" s="235"/>
      <x:c r="D82" s="235"/>
      <x:c r="E82" s="235"/>
      <x:c r="F82" s="235"/>
      <x:c r="G82" s="235"/>
      <x:c r="H82" s="235"/>
      <x:c r="I82" s="235"/>
      <x:c r="J82" s="376"/>
      <x:c r="K82" s="342"/>
      <x:c r="L82" s="236"/>
      <x:c r="M82" s="235"/>
      <x:c r="N82" s="235"/>
      <x:c r="O82" s="235"/>
      <x:c r="P82" s="238"/>
      <x:c r="Q82" s="376"/>
      <x:c r="R82" s="236"/>
      <x:c r="S82" s="238"/>
      <x:c r="T82" s="235"/>
      <x:c r="U82" s="235"/>
      <x:c r="V82" s="238"/>
      <x:c r="W82" s="235"/>
      <x:c r="X82" s="235"/>
      <x:c r="Y82" s="235"/>
      <x:c r="Z82" s="315" t="str">
        <x:f>IF(A82="","",IF(M82&lt;&gt;"Available","",IF(S82="","Verify availability",IF(TODAY()-S82&gt;14,"Recheck listing",""))))</x:f>
      </x:c>
      <x:c r="AA82" s="265" t="str">
        <x:f>IF(A82="","",IF(AND(M82&lt;&gt;"Available",M82&lt;&gt;"Reserved"),"",IF(ISNUMBER(V82),IF(V82&lt;TODAY(),"Expired",IF(V82&lt;=TODAY()+30,"Expires within 30 days","Current")),IF(U82&lt;&gt;"","Add expiry date","Not recorded"))))</x:f>
      </x:c>
      <x:c r="AB82" s="315" t="str">
        <x:f>IF(A82="","",IF(COUNTIFS($A$6:$A$205,A82)&gt;1,"Duplicate ID",IF(B82="","Add listing title",IF(OR(C82="",COUNTIFS('Contacts'!$A$6:$A$205,C82)&lt;&gt;1),"Check Contact ID",IF(D82="","Select sale or rental",IF(M82="","Set listing status",IF(OR(NOT(ISNUMBER(L82)),L82&lt;=0),"Add positive asking price","")))))))</x:f>
      </x:c>
    </x:row>
    <x:row r="83" ht="26" customHeight="1">
      <x:c r="A83" s="319"/>
      <x:c r="B83" s="320"/>
      <x:c r="C83" s="274"/>
      <x:c r="D83" s="274"/>
      <x:c r="E83" s="274"/>
      <x:c r="F83" s="274"/>
      <x:c r="G83" s="274"/>
      <x:c r="H83" s="274"/>
      <x:c r="I83" s="274"/>
      <x:c r="J83" s="377"/>
      <x:c r="K83" s="344"/>
      <x:c r="L83" s="302"/>
      <x:c r="M83" s="274"/>
      <x:c r="N83" s="274"/>
      <x:c r="O83" s="274"/>
      <x:c r="P83" s="304"/>
      <x:c r="Q83" s="377"/>
      <x:c r="R83" s="302"/>
      <x:c r="S83" s="304"/>
      <x:c r="T83" s="274"/>
      <x:c r="U83" s="274"/>
      <x:c r="V83" s="304"/>
      <x:c r="W83" s="274"/>
      <x:c r="X83" s="274"/>
      <x:c r="Y83" s="274"/>
      <x:c r="Z83" s="315" t="str">
        <x:f>IF(A83="","",IF(M83&lt;&gt;"Available","",IF(S83="","Verify availability",IF(TODAY()-S83&gt;14,"Recheck listing",""))))</x:f>
      </x:c>
      <x:c r="AA83" s="265" t="str">
        <x:f>IF(A83="","",IF(AND(M83&lt;&gt;"Available",M83&lt;&gt;"Reserved"),"",IF(ISNUMBER(V83),IF(V83&lt;TODAY(),"Expired",IF(V83&lt;=TODAY()+30,"Expires within 30 days","Current")),IF(U83&lt;&gt;"","Add expiry date","Not recorded"))))</x:f>
      </x:c>
      <x:c r="AB83" s="315" t="str">
        <x:f>IF(A83="","",IF(COUNTIFS($A$6:$A$205,A83)&gt;1,"Duplicate ID",IF(B83="","Add listing title",IF(OR(C83="",COUNTIFS('Contacts'!$A$6:$A$205,C83)&lt;&gt;1),"Check Contact ID",IF(D83="","Select sale or rental",IF(M83="","Set listing status",IF(OR(NOT(ISNUMBER(L83)),L83&lt;=0),"Add positive asking price","")))))))</x:f>
      </x:c>
    </x:row>
    <x:row r="84" ht="26" customHeight="1">
      <x:c r="A84" s="317"/>
      <x:c r="B84" s="318"/>
      <x:c r="C84" s="235"/>
      <x:c r="D84" s="235"/>
      <x:c r="E84" s="235"/>
      <x:c r="F84" s="235"/>
      <x:c r="G84" s="235"/>
      <x:c r="H84" s="235"/>
      <x:c r="I84" s="235"/>
      <x:c r="J84" s="376"/>
      <x:c r="K84" s="342"/>
      <x:c r="L84" s="236"/>
      <x:c r="M84" s="235"/>
      <x:c r="N84" s="235"/>
      <x:c r="O84" s="235"/>
      <x:c r="P84" s="238"/>
      <x:c r="Q84" s="376"/>
      <x:c r="R84" s="236"/>
      <x:c r="S84" s="238"/>
      <x:c r="T84" s="235"/>
      <x:c r="U84" s="235"/>
      <x:c r="V84" s="238"/>
      <x:c r="W84" s="235"/>
      <x:c r="X84" s="235"/>
      <x:c r="Y84" s="235"/>
      <x:c r="Z84" s="315" t="str">
        <x:f>IF(A84="","",IF(M84&lt;&gt;"Available","",IF(S84="","Verify availability",IF(TODAY()-S84&gt;14,"Recheck listing",""))))</x:f>
      </x:c>
      <x:c r="AA84" s="265" t="str">
        <x:f>IF(A84="","",IF(AND(M84&lt;&gt;"Available",M84&lt;&gt;"Reserved"),"",IF(ISNUMBER(V84),IF(V84&lt;TODAY(),"Expired",IF(V84&lt;=TODAY()+30,"Expires within 30 days","Current")),IF(U84&lt;&gt;"","Add expiry date","Not recorded"))))</x:f>
      </x:c>
      <x:c r="AB84" s="315" t="str">
        <x:f>IF(A84="","",IF(COUNTIFS($A$6:$A$205,A84)&gt;1,"Duplicate ID",IF(B84="","Add listing title",IF(OR(C84="",COUNTIFS('Contacts'!$A$6:$A$205,C84)&lt;&gt;1),"Check Contact ID",IF(D84="","Select sale or rental",IF(M84="","Set listing status",IF(OR(NOT(ISNUMBER(L84)),L84&lt;=0),"Add positive asking price","")))))))</x:f>
      </x:c>
    </x:row>
    <x:row r="85" ht="26" customHeight="1">
      <x:c r="A85" s="319"/>
      <x:c r="B85" s="320"/>
      <x:c r="C85" s="274"/>
      <x:c r="D85" s="274"/>
      <x:c r="E85" s="274"/>
      <x:c r="F85" s="274"/>
      <x:c r="G85" s="274"/>
      <x:c r="H85" s="274"/>
      <x:c r="I85" s="274"/>
      <x:c r="J85" s="377"/>
      <x:c r="K85" s="344"/>
      <x:c r="L85" s="302"/>
      <x:c r="M85" s="274"/>
      <x:c r="N85" s="274"/>
      <x:c r="O85" s="274"/>
      <x:c r="P85" s="304"/>
      <x:c r="Q85" s="377"/>
      <x:c r="R85" s="302"/>
      <x:c r="S85" s="304"/>
      <x:c r="T85" s="274"/>
      <x:c r="U85" s="274"/>
      <x:c r="V85" s="304"/>
      <x:c r="W85" s="274"/>
      <x:c r="X85" s="274"/>
      <x:c r="Y85" s="274"/>
      <x:c r="Z85" s="315" t="str">
        <x:f>IF(A85="","",IF(M85&lt;&gt;"Available","",IF(S85="","Verify availability",IF(TODAY()-S85&gt;14,"Recheck listing",""))))</x:f>
      </x:c>
      <x:c r="AA85" s="265" t="str">
        <x:f>IF(A85="","",IF(AND(M85&lt;&gt;"Available",M85&lt;&gt;"Reserved"),"",IF(ISNUMBER(V85),IF(V85&lt;TODAY(),"Expired",IF(V85&lt;=TODAY()+30,"Expires within 30 days","Current")),IF(U85&lt;&gt;"","Add expiry date","Not recorded"))))</x:f>
      </x:c>
      <x:c r="AB85" s="315" t="str">
        <x:f>IF(A85="","",IF(COUNTIFS($A$6:$A$205,A85)&gt;1,"Duplicate ID",IF(B85="","Add listing title",IF(OR(C85="",COUNTIFS('Contacts'!$A$6:$A$205,C85)&lt;&gt;1),"Check Contact ID",IF(D85="","Select sale or rental",IF(M85="","Set listing status",IF(OR(NOT(ISNUMBER(L85)),L85&lt;=0),"Add positive asking price","")))))))</x:f>
      </x:c>
    </x:row>
    <x:row r="86" ht="26" customHeight="1">
      <x:c r="A86" s="317"/>
      <x:c r="B86" s="318"/>
      <x:c r="C86" s="235"/>
      <x:c r="D86" s="235"/>
      <x:c r="E86" s="235"/>
      <x:c r="F86" s="235"/>
      <x:c r="G86" s="235"/>
      <x:c r="H86" s="235"/>
      <x:c r="I86" s="235"/>
      <x:c r="J86" s="376"/>
      <x:c r="K86" s="342"/>
      <x:c r="L86" s="236"/>
      <x:c r="M86" s="235"/>
      <x:c r="N86" s="235"/>
      <x:c r="O86" s="235"/>
      <x:c r="P86" s="238"/>
      <x:c r="Q86" s="376"/>
      <x:c r="R86" s="236"/>
      <x:c r="S86" s="238"/>
      <x:c r="T86" s="235"/>
      <x:c r="U86" s="235"/>
      <x:c r="V86" s="238"/>
      <x:c r="W86" s="235"/>
      <x:c r="X86" s="235"/>
      <x:c r="Y86" s="235"/>
      <x:c r="Z86" s="315" t="str">
        <x:f>IF(A86="","",IF(M86&lt;&gt;"Available","",IF(S86="","Verify availability",IF(TODAY()-S86&gt;14,"Recheck listing",""))))</x:f>
      </x:c>
      <x:c r="AA86" s="265" t="str">
        <x:f>IF(A86="","",IF(AND(M86&lt;&gt;"Available",M86&lt;&gt;"Reserved"),"",IF(ISNUMBER(V86),IF(V86&lt;TODAY(),"Expired",IF(V86&lt;=TODAY()+30,"Expires within 30 days","Current")),IF(U86&lt;&gt;"","Add expiry date","Not recorded"))))</x:f>
      </x:c>
      <x:c r="AB86" s="315" t="str">
        <x:f>IF(A86="","",IF(COUNTIFS($A$6:$A$205,A86)&gt;1,"Duplicate ID",IF(B86="","Add listing title",IF(OR(C86="",COUNTIFS('Contacts'!$A$6:$A$205,C86)&lt;&gt;1),"Check Contact ID",IF(D86="","Select sale or rental",IF(M86="","Set listing status",IF(OR(NOT(ISNUMBER(L86)),L86&lt;=0),"Add positive asking price","")))))))</x:f>
      </x:c>
    </x:row>
    <x:row r="87" ht="26" customHeight="1">
      <x:c r="A87" s="319"/>
      <x:c r="B87" s="320"/>
      <x:c r="C87" s="274"/>
      <x:c r="D87" s="274"/>
      <x:c r="E87" s="274"/>
      <x:c r="F87" s="274"/>
      <x:c r="G87" s="274"/>
      <x:c r="H87" s="274"/>
      <x:c r="I87" s="274"/>
      <x:c r="J87" s="377"/>
      <x:c r="K87" s="344"/>
      <x:c r="L87" s="302"/>
      <x:c r="M87" s="274"/>
      <x:c r="N87" s="274"/>
      <x:c r="O87" s="274"/>
      <x:c r="P87" s="304"/>
      <x:c r="Q87" s="377"/>
      <x:c r="R87" s="302"/>
      <x:c r="S87" s="304"/>
      <x:c r="T87" s="274"/>
      <x:c r="U87" s="274"/>
      <x:c r="V87" s="304"/>
      <x:c r="W87" s="274"/>
      <x:c r="X87" s="274"/>
      <x:c r="Y87" s="274"/>
      <x:c r="Z87" s="315" t="str">
        <x:f>IF(A87="","",IF(M87&lt;&gt;"Available","",IF(S87="","Verify availability",IF(TODAY()-S87&gt;14,"Recheck listing",""))))</x:f>
      </x:c>
      <x:c r="AA87" s="265" t="str">
        <x:f>IF(A87="","",IF(AND(M87&lt;&gt;"Available",M87&lt;&gt;"Reserved"),"",IF(ISNUMBER(V87),IF(V87&lt;TODAY(),"Expired",IF(V87&lt;=TODAY()+30,"Expires within 30 days","Current")),IF(U87&lt;&gt;"","Add expiry date","Not recorded"))))</x:f>
      </x:c>
      <x:c r="AB87" s="315" t="str">
        <x:f>IF(A87="","",IF(COUNTIFS($A$6:$A$205,A87)&gt;1,"Duplicate ID",IF(B87="","Add listing title",IF(OR(C87="",COUNTIFS('Contacts'!$A$6:$A$205,C87)&lt;&gt;1),"Check Contact ID",IF(D87="","Select sale or rental",IF(M87="","Set listing status",IF(OR(NOT(ISNUMBER(L87)),L87&lt;=0),"Add positive asking price","")))))))</x:f>
      </x:c>
    </x:row>
    <x:row r="88" ht="26" customHeight="1">
      <x:c r="A88" s="317"/>
      <x:c r="B88" s="318"/>
      <x:c r="C88" s="235"/>
      <x:c r="D88" s="235"/>
      <x:c r="E88" s="235"/>
      <x:c r="F88" s="235"/>
      <x:c r="G88" s="235"/>
      <x:c r="H88" s="235"/>
      <x:c r="I88" s="235"/>
      <x:c r="J88" s="376"/>
      <x:c r="K88" s="342"/>
      <x:c r="L88" s="236"/>
      <x:c r="M88" s="235"/>
      <x:c r="N88" s="235"/>
      <x:c r="O88" s="235"/>
      <x:c r="P88" s="238"/>
      <x:c r="Q88" s="376"/>
      <x:c r="R88" s="236"/>
      <x:c r="S88" s="238"/>
      <x:c r="T88" s="235"/>
      <x:c r="U88" s="235"/>
      <x:c r="V88" s="238"/>
      <x:c r="W88" s="235"/>
      <x:c r="X88" s="235"/>
      <x:c r="Y88" s="235"/>
      <x:c r="Z88" s="315" t="str">
        <x:f>IF(A88="","",IF(M88&lt;&gt;"Available","",IF(S88="","Verify availability",IF(TODAY()-S88&gt;14,"Recheck listing",""))))</x:f>
      </x:c>
      <x:c r="AA88" s="265" t="str">
        <x:f>IF(A88="","",IF(AND(M88&lt;&gt;"Available",M88&lt;&gt;"Reserved"),"",IF(ISNUMBER(V88),IF(V88&lt;TODAY(),"Expired",IF(V88&lt;=TODAY()+30,"Expires within 30 days","Current")),IF(U88&lt;&gt;"","Add expiry date","Not recorded"))))</x:f>
      </x:c>
      <x:c r="AB88" s="315" t="str">
        <x:f>IF(A88="","",IF(COUNTIFS($A$6:$A$205,A88)&gt;1,"Duplicate ID",IF(B88="","Add listing title",IF(OR(C88="",COUNTIFS('Contacts'!$A$6:$A$205,C88)&lt;&gt;1),"Check Contact ID",IF(D88="","Select sale or rental",IF(M88="","Set listing status",IF(OR(NOT(ISNUMBER(L88)),L88&lt;=0),"Add positive asking price","")))))))</x:f>
      </x:c>
    </x:row>
    <x:row r="89" ht="26" customHeight="1">
      <x:c r="A89" s="319"/>
      <x:c r="B89" s="320"/>
      <x:c r="C89" s="274"/>
      <x:c r="D89" s="274"/>
      <x:c r="E89" s="274"/>
      <x:c r="F89" s="274"/>
      <x:c r="G89" s="274"/>
      <x:c r="H89" s="274"/>
      <x:c r="I89" s="274"/>
      <x:c r="J89" s="377"/>
      <x:c r="K89" s="344"/>
      <x:c r="L89" s="302"/>
      <x:c r="M89" s="274"/>
      <x:c r="N89" s="274"/>
      <x:c r="O89" s="274"/>
      <x:c r="P89" s="304"/>
      <x:c r="Q89" s="377"/>
      <x:c r="R89" s="302"/>
      <x:c r="S89" s="304"/>
      <x:c r="T89" s="274"/>
      <x:c r="U89" s="274"/>
      <x:c r="V89" s="304"/>
      <x:c r="W89" s="274"/>
      <x:c r="X89" s="274"/>
      <x:c r="Y89" s="274"/>
      <x:c r="Z89" s="315" t="str">
        <x:f>IF(A89="","",IF(M89&lt;&gt;"Available","",IF(S89="","Verify availability",IF(TODAY()-S89&gt;14,"Recheck listing",""))))</x:f>
      </x:c>
      <x:c r="AA89" s="265" t="str">
        <x:f>IF(A89="","",IF(AND(M89&lt;&gt;"Available",M89&lt;&gt;"Reserved"),"",IF(ISNUMBER(V89),IF(V89&lt;TODAY(),"Expired",IF(V89&lt;=TODAY()+30,"Expires within 30 days","Current")),IF(U89&lt;&gt;"","Add expiry date","Not recorded"))))</x:f>
      </x:c>
      <x:c r="AB89" s="315" t="str">
        <x:f>IF(A89="","",IF(COUNTIFS($A$6:$A$205,A89)&gt;1,"Duplicate ID",IF(B89="","Add listing title",IF(OR(C89="",COUNTIFS('Contacts'!$A$6:$A$205,C89)&lt;&gt;1),"Check Contact ID",IF(D89="","Select sale or rental",IF(M89="","Set listing status",IF(OR(NOT(ISNUMBER(L89)),L89&lt;=0),"Add positive asking price","")))))))</x:f>
      </x:c>
    </x:row>
    <x:row r="90" ht="26" customHeight="1">
      <x:c r="A90" s="317"/>
      <x:c r="B90" s="318"/>
      <x:c r="C90" s="235"/>
      <x:c r="D90" s="235"/>
      <x:c r="E90" s="235"/>
      <x:c r="F90" s="235"/>
      <x:c r="G90" s="235"/>
      <x:c r="H90" s="235"/>
      <x:c r="I90" s="235"/>
      <x:c r="J90" s="376"/>
      <x:c r="K90" s="342"/>
      <x:c r="L90" s="236"/>
      <x:c r="M90" s="235"/>
      <x:c r="N90" s="235"/>
      <x:c r="O90" s="235"/>
      <x:c r="P90" s="238"/>
      <x:c r="Q90" s="376"/>
      <x:c r="R90" s="236"/>
      <x:c r="S90" s="238"/>
      <x:c r="T90" s="235"/>
      <x:c r="U90" s="235"/>
      <x:c r="V90" s="238"/>
      <x:c r="W90" s="235"/>
      <x:c r="X90" s="235"/>
      <x:c r="Y90" s="235"/>
      <x:c r="Z90" s="315" t="str">
        <x:f>IF(A90="","",IF(M90&lt;&gt;"Available","",IF(S90="","Verify availability",IF(TODAY()-S90&gt;14,"Recheck listing",""))))</x:f>
      </x:c>
      <x:c r="AA90" s="265" t="str">
        <x:f>IF(A90="","",IF(AND(M90&lt;&gt;"Available",M90&lt;&gt;"Reserved"),"",IF(ISNUMBER(V90),IF(V90&lt;TODAY(),"Expired",IF(V90&lt;=TODAY()+30,"Expires within 30 days","Current")),IF(U90&lt;&gt;"","Add expiry date","Not recorded"))))</x:f>
      </x:c>
      <x:c r="AB90" s="315" t="str">
        <x:f>IF(A90="","",IF(COUNTIFS($A$6:$A$205,A90)&gt;1,"Duplicate ID",IF(B90="","Add listing title",IF(OR(C90="",COUNTIFS('Contacts'!$A$6:$A$205,C90)&lt;&gt;1),"Check Contact ID",IF(D90="","Select sale or rental",IF(M90="","Set listing status",IF(OR(NOT(ISNUMBER(L90)),L90&lt;=0),"Add positive asking price","")))))))</x:f>
      </x:c>
    </x:row>
    <x:row r="91" ht="26" customHeight="1">
      <x:c r="A91" s="319"/>
      <x:c r="B91" s="320"/>
      <x:c r="C91" s="274"/>
      <x:c r="D91" s="274"/>
      <x:c r="E91" s="274"/>
      <x:c r="F91" s="274"/>
      <x:c r="G91" s="274"/>
      <x:c r="H91" s="274"/>
      <x:c r="I91" s="274"/>
      <x:c r="J91" s="377"/>
      <x:c r="K91" s="344"/>
      <x:c r="L91" s="302"/>
      <x:c r="M91" s="274"/>
      <x:c r="N91" s="274"/>
      <x:c r="O91" s="274"/>
      <x:c r="P91" s="304"/>
      <x:c r="Q91" s="377"/>
      <x:c r="R91" s="302"/>
      <x:c r="S91" s="304"/>
      <x:c r="T91" s="274"/>
      <x:c r="U91" s="274"/>
      <x:c r="V91" s="304"/>
      <x:c r="W91" s="274"/>
      <x:c r="X91" s="274"/>
      <x:c r="Y91" s="274"/>
      <x:c r="Z91" s="315" t="str">
        <x:f>IF(A91="","",IF(M91&lt;&gt;"Available","",IF(S91="","Verify availability",IF(TODAY()-S91&gt;14,"Recheck listing",""))))</x:f>
      </x:c>
      <x:c r="AA91" s="265" t="str">
        <x:f>IF(A91="","",IF(AND(M91&lt;&gt;"Available",M91&lt;&gt;"Reserved"),"",IF(ISNUMBER(V91),IF(V91&lt;TODAY(),"Expired",IF(V91&lt;=TODAY()+30,"Expires within 30 days","Current")),IF(U91&lt;&gt;"","Add expiry date","Not recorded"))))</x:f>
      </x:c>
      <x:c r="AB91" s="315" t="str">
        <x:f>IF(A91="","",IF(COUNTIFS($A$6:$A$205,A91)&gt;1,"Duplicate ID",IF(B91="","Add listing title",IF(OR(C91="",COUNTIFS('Contacts'!$A$6:$A$205,C91)&lt;&gt;1),"Check Contact ID",IF(D91="","Select sale or rental",IF(M91="","Set listing status",IF(OR(NOT(ISNUMBER(L91)),L91&lt;=0),"Add positive asking price","")))))))</x:f>
      </x:c>
    </x:row>
    <x:row r="92" ht="26" customHeight="1">
      <x:c r="A92" s="317"/>
      <x:c r="B92" s="318"/>
      <x:c r="C92" s="235"/>
      <x:c r="D92" s="235"/>
      <x:c r="E92" s="235"/>
      <x:c r="F92" s="235"/>
      <x:c r="G92" s="235"/>
      <x:c r="H92" s="235"/>
      <x:c r="I92" s="235"/>
      <x:c r="J92" s="376"/>
      <x:c r="K92" s="342"/>
      <x:c r="L92" s="236"/>
      <x:c r="M92" s="235"/>
      <x:c r="N92" s="235"/>
      <x:c r="O92" s="235"/>
      <x:c r="P92" s="238"/>
      <x:c r="Q92" s="376"/>
      <x:c r="R92" s="236"/>
      <x:c r="S92" s="238"/>
      <x:c r="T92" s="235"/>
      <x:c r="U92" s="235"/>
      <x:c r="V92" s="238"/>
      <x:c r="W92" s="235"/>
      <x:c r="X92" s="235"/>
      <x:c r="Y92" s="235"/>
      <x:c r="Z92" s="315" t="str">
        <x:f>IF(A92="","",IF(M92&lt;&gt;"Available","",IF(S92="","Verify availability",IF(TODAY()-S92&gt;14,"Recheck listing",""))))</x:f>
      </x:c>
      <x:c r="AA92" s="265" t="str">
        <x:f>IF(A92="","",IF(AND(M92&lt;&gt;"Available",M92&lt;&gt;"Reserved"),"",IF(ISNUMBER(V92),IF(V92&lt;TODAY(),"Expired",IF(V92&lt;=TODAY()+30,"Expires within 30 days","Current")),IF(U92&lt;&gt;"","Add expiry date","Not recorded"))))</x:f>
      </x:c>
      <x:c r="AB92" s="315" t="str">
        <x:f>IF(A92="","",IF(COUNTIFS($A$6:$A$205,A92)&gt;1,"Duplicate ID",IF(B92="","Add listing title",IF(OR(C92="",COUNTIFS('Contacts'!$A$6:$A$205,C92)&lt;&gt;1),"Check Contact ID",IF(D92="","Select sale or rental",IF(M92="","Set listing status",IF(OR(NOT(ISNUMBER(L92)),L92&lt;=0),"Add positive asking price","")))))))</x:f>
      </x:c>
    </x:row>
    <x:row r="93" ht="26" customHeight="1">
      <x:c r="A93" s="319"/>
      <x:c r="B93" s="320"/>
      <x:c r="C93" s="274"/>
      <x:c r="D93" s="274"/>
      <x:c r="E93" s="274"/>
      <x:c r="F93" s="274"/>
      <x:c r="G93" s="274"/>
      <x:c r="H93" s="274"/>
      <x:c r="I93" s="274"/>
      <x:c r="J93" s="377"/>
      <x:c r="K93" s="344"/>
      <x:c r="L93" s="302"/>
      <x:c r="M93" s="274"/>
      <x:c r="N93" s="274"/>
      <x:c r="O93" s="274"/>
      <x:c r="P93" s="304"/>
      <x:c r="Q93" s="377"/>
      <x:c r="R93" s="302"/>
      <x:c r="S93" s="304"/>
      <x:c r="T93" s="274"/>
      <x:c r="U93" s="274"/>
      <x:c r="V93" s="304"/>
      <x:c r="W93" s="274"/>
      <x:c r="X93" s="274"/>
      <x:c r="Y93" s="274"/>
      <x:c r="Z93" s="315" t="str">
        <x:f>IF(A93="","",IF(M93&lt;&gt;"Available","",IF(S93="","Verify availability",IF(TODAY()-S93&gt;14,"Recheck listing",""))))</x:f>
      </x:c>
      <x:c r="AA93" s="265" t="str">
        <x:f>IF(A93="","",IF(AND(M93&lt;&gt;"Available",M93&lt;&gt;"Reserved"),"",IF(ISNUMBER(V93),IF(V93&lt;TODAY(),"Expired",IF(V93&lt;=TODAY()+30,"Expires within 30 days","Current")),IF(U93&lt;&gt;"","Add expiry date","Not recorded"))))</x:f>
      </x:c>
      <x:c r="AB93" s="315" t="str">
        <x:f>IF(A93="","",IF(COUNTIFS($A$6:$A$205,A93)&gt;1,"Duplicate ID",IF(B93="","Add listing title",IF(OR(C93="",COUNTIFS('Contacts'!$A$6:$A$205,C93)&lt;&gt;1),"Check Contact ID",IF(D93="","Select sale or rental",IF(M93="","Set listing status",IF(OR(NOT(ISNUMBER(L93)),L93&lt;=0),"Add positive asking price","")))))))</x:f>
      </x:c>
    </x:row>
    <x:row r="94" ht="26" customHeight="1">
      <x:c r="A94" s="317"/>
      <x:c r="B94" s="318"/>
      <x:c r="C94" s="235"/>
      <x:c r="D94" s="235"/>
      <x:c r="E94" s="235"/>
      <x:c r="F94" s="235"/>
      <x:c r="G94" s="235"/>
      <x:c r="H94" s="235"/>
      <x:c r="I94" s="235"/>
      <x:c r="J94" s="376"/>
      <x:c r="K94" s="342"/>
      <x:c r="L94" s="236"/>
      <x:c r="M94" s="235"/>
      <x:c r="N94" s="235"/>
      <x:c r="O94" s="235"/>
      <x:c r="P94" s="238"/>
      <x:c r="Q94" s="376"/>
      <x:c r="R94" s="236"/>
      <x:c r="S94" s="238"/>
      <x:c r="T94" s="235"/>
      <x:c r="U94" s="235"/>
      <x:c r="V94" s="238"/>
      <x:c r="W94" s="235"/>
      <x:c r="X94" s="235"/>
      <x:c r="Y94" s="235"/>
      <x:c r="Z94" s="315" t="str">
        <x:f>IF(A94="","",IF(M94&lt;&gt;"Available","",IF(S94="","Verify availability",IF(TODAY()-S94&gt;14,"Recheck listing",""))))</x:f>
      </x:c>
      <x:c r="AA94" s="265" t="str">
        <x:f>IF(A94="","",IF(AND(M94&lt;&gt;"Available",M94&lt;&gt;"Reserved"),"",IF(ISNUMBER(V94),IF(V94&lt;TODAY(),"Expired",IF(V94&lt;=TODAY()+30,"Expires within 30 days","Current")),IF(U94&lt;&gt;"","Add expiry date","Not recorded"))))</x:f>
      </x:c>
      <x:c r="AB94" s="315" t="str">
        <x:f>IF(A94="","",IF(COUNTIFS($A$6:$A$205,A94)&gt;1,"Duplicate ID",IF(B94="","Add listing title",IF(OR(C94="",COUNTIFS('Contacts'!$A$6:$A$205,C94)&lt;&gt;1),"Check Contact ID",IF(D94="","Select sale or rental",IF(M94="","Set listing status",IF(OR(NOT(ISNUMBER(L94)),L94&lt;=0),"Add positive asking price","")))))))</x:f>
      </x:c>
    </x:row>
    <x:row r="95" ht="26" customHeight="1">
      <x:c r="A95" s="319"/>
      <x:c r="B95" s="320"/>
      <x:c r="C95" s="274"/>
      <x:c r="D95" s="274"/>
      <x:c r="E95" s="274"/>
      <x:c r="F95" s="274"/>
      <x:c r="G95" s="274"/>
      <x:c r="H95" s="274"/>
      <x:c r="I95" s="274"/>
      <x:c r="J95" s="377"/>
      <x:c r="K95" s="344"/>
      <x:c r="L95" s="302"/>
      <x:c r="M95" s="274"/>
      <x:c r="N95" s="274"/>
      <x:c r="O95" s="274"/>
      <x:c r="P95" s="304"/>
      <x:c r="Q95" s="377"/>
      <x:c r="R95" s="302"/>
      <x:c r="S95" s="304"/>
      <x:c r="T95" s="274"/>
      <x:c r="U95" s="274"/>
      <x:c r="V95" s="304"/>
      <x:c r="W95" s="274"/>
      <x:c r="X95" s="274"/>
      <x:c r="Y95" s="274"/>
      <x:c r="Z95" s="315" t="str">
        <x:f>IF(A95="","",IF(M95&lt;&gt;"Available","",IF(S95="","Verify availability",IF(TODAY()-S95&gt;14,"Recheck listing",""))))</x:f>
      </x:c>
      <x:c r="AA95" s="265" t="str">
        <x:f>IF(A95="","",IF(AND(M95&lt;&gt;"Available",M95&lt;&gt;"Reserved"),"",IF(ISNUMBER(V95),IF(V95&lt;TODAY(),"Expired",IF(V95&lt;=TODAY()+30,"Expires within 30 days","Current")),IF(U95&lt;&gt;"","Add expiry date","Not recorded"))))</x:f>
      </x:c>
      <x:c r="AB95" s="315" t="str">
        <x:f>IF(A95="","",IF(COUNTIFS($A$6:$A$205,A95)&gt;1,"Duplicate ID",IF(B95="","Add listing title",IF(OR(C95="",COUNTIFS('Contacts'!$A$6:$A$205,C95)&lt;&gt;1),"Check Contact ID",IF(D95="","Select sale or rental",IF(M95="","Set listing status",IF(OR(NOT(ISNUMBER(L95)),L95&lt;=0),"Add positive asking price","")))))))</x:f>
      </x:c>
    </x:row>
    <x:row r="96" ht="26" customHeight="1">
      <x:c r="A96" s="317"/>
      <x:c r="B96" s="318"/>
      <x:c r="C96" s="235"/>
      <x:c r="D96" s="235"/>
      <x:c r="E96" s="235"/>
      <x:c r="F96" s="235"/>
      <x:c r="G96" s="235"/>
      <x:c r="H96" s="235"/>
      <x:c r="I96" s="235"/>
      <x:c r="J96" s="376"/>
      <x:c r="K96" s="342"/>
      <x:c r="L96" s="236"/>
      <x:c r="M96" s="235"/>
      <x:c r="N96" s="235"/>
      <x:c r="O96" s="235"/>
      <x:c r="P96" s="238"/>
      <x:c r="Q96" s="376"/>
      <x:c r="R96" s="236"/>
      <x:c r="S96" s="238"/>
      <x:c r="T96" s="235"/>
      <x:c r="U96" s="235"/>
      <x:c r="V96" s="238"/>
      <x:c r="W96" s="235"/>
      <x:c r="X96" s="235"/>
      <x:c r="Y96" s="235"/>
      <x:c r="Z96" s="315" t="str">
        <x:f>IF(A96="","",IF(M96&lt;&gt;"Available","",IF(S96="","Verify availability",IF(TODAY()-S96&gt;14,"Recheck listing",""))))</x:f>
      </x:c>
      <x:c r="AA96" s="265" t="str">
        <x:f>IF(A96="","",IF(AND(M96&lt;&gt;"Available",M96&lt;&gt;"Reserved"),"",IF(ISNUMBER(V96),IF(V96&lt;TODAY(),"Expired",IF(V96&lt;=TODAY()+30,"Expires within 30 days","Current")),IF(U96&lt;&gt;"","Add expiry date","Not recorded"))))</x:f>
      </x:c>
      <x:c r="AB96" s="315" t="str">
        <x:f>IF(A96="","",IF(COUNTIFS($A$6:$A$205,A96)&gt;1,"Duplicate ID",IF(B96="","Add listing title",IF(OR(C96="",COUNTIFS('Contacts'!$A$6:$A$205,C96)&lt;&gt;1),"Check Contact ID",IF(D96="","Select sale or rental",IF(M96="","Set listing status",IF(OR(NOT(ISNUMBER(L96)),L96&lt;=0),"Add positive asking price","")))))))</x:f>
      </x:c>
    </x:row>
    <x:row r="97" ht="26" customHeight="1">
      <x:c r="A97" s="319"/>
      <x:c r="B97" s="320"/>
      <x:c r="C97" s="274"/>
      <x:c r="D97" s="274"/>
      <x:c r="E97" s="274"/>
      <x:c r="F97" s="274"/>
      <x:c r="G97" s="274"/>
      <x:c r="H97" s="274"/>
      <x:c r="I97" s="274"/>
      <x:c r="J97" s="377"/>
      <x:c r="K97" s="344"/>
      <x:c r="L97" s="302"/>
      <x:c r="M97" s="274"/>
      <x:c r="N97" s="274"/>
      <x:c r="O97" s="274"/>
      <x:c r="P97" s="304"/>
      <x:c r="Q97" s="377"/>
      <x:c r="R97" s="302"/>
      <x:c r="S97" s="304"/>
      <x:c r="T97" s="274"/>
      <x:c r="U97" s="274"/>
      <x:c r="V97" s="304"/>
      <x:c r="W97" s="274"/>
      <x:c r="X97" s="274"/>
      <x:c r="Y97" s="274"/>
      <x:c r="Z97" s="315" t="str">
        <x:f>IF(A97="","",IF(M97&lt;&gt;"Available","",IF(S97="","Verify availability",IF(TODAY()-S97&gt;14,"Recheck listing",""))))</x:f>
      </x:c>
      <x:c r="AA97" s="265" t="str">
        <x:f>IF(A97="","",IF(AND(M97&lt;&gt;"Available",M97&lt;&gt;"Reserved"),"",IF(ISNUMBER(V97),IF(V97&lt;TODAY(),"Expired",IF(V97&lt;=TODAY()+30,"Expires within 30 days","Current")),IF(U97&lt;&gt;"","Add expiry date","Not recorded"))))</x:f>
      </x:c>
      <x:c r="AB97" s="315" t="str">
        <x:f>IF(A97="","",IF(COUNTIFS($A$6:$A$205,A97)&gt;1,"Duplicate ID",IF(B97="","Add listing title",IF(OR(C97="",COUNTIFS('Contacts'!$A$6:$A$205,C97)&lt;&gt;1),"Check Contact ID",IF(D97="","Select sale or rental",IF(M97="","Set listing status",IF(OR(NOT(ISNUMBER(L97)),L97&lt;=0),"Add positive asking price","")))))))</x:f>
      </x:c>
    </x:row>
    <x:row r="98" ht="26" customHeight="1">
      <x:c r="A98" s="317"/>
      <x:c r="B98" s="318"/>
      <x:c r="C98" s="235"/>
      <x:c r="D98" s="235"/>
      <x:c r="E98" s="235"/>
      <x:c r="F98" s="235"/>
      <x:c r="G98" s="235"/>
      <x:c r="H98" s="235"/>
      <x:c r="I98" s="235"/>
      <x:c r="J98" s="376"/>
      <x:c r="K98" s="342"/>
      <x:c r="L98" s="236"/>
      <x:c r="M98" s="235"/>
      <x:c r="N98" s="235"/>
      <x:c r="O98" s="235"/>
      <x:c r="P98" s="238"/>
      <x:c r="Q98" s="376"/>
      <x:c r="R98" s="236"/>
      <x:c r="S98" s="238"/>
      <x:c r="T98" s="235"/>
      <x:c r="U98" s="235"/>
      <x:c r="V98" s="238"/>
      <x:c r="W98" s="235"/>
      <x:c r="X98" s="235"/>
      <x:c r="Y98" s="235"/>
      <x:c r="Z98" s="315" t="str">
        <x:f>IF(A98="","",IF(M98&lt;&gt;"Available","",IF(S98="","Verify availability",IF(TODAY()-S98&gt;14,"Recheck listing",""))))</x:f>
      </x:c>
      <x:c r="AA98" s="265" t="str">
        <x:f>IF(A98="","",IF(AND(M98&lt;&gt;"Available",M98&lt;&gt;"Reserved"),"",IF(ISNUMBER(V98),IF(V98&lt;TODAY(),"Expired",IF(V98&lt;=TODAY()+30,"Expires within 30 days","Current")),IF(U98&lt;&gt;"","Add expiry date","Not recorded"))))</x:f>
      </x:c>
      <x:c r="AB98" s="315" t="str">
        <x:f>IF(A98="","",IF(COUNTIFS($A$6:$A$205,A98)&gt;1,"Duplicate ID",IF(B98="","Add listing title",IF(OR(C98="",COUNTIFS('Contacts'!$A$6:$A$205,C98)&lt;&gt;1),"Check Contact ID",IF(D98="","Select sale or rental",IF(M98="","Set listing status",IF(OR(NOT(ISNUMBER(L98)),L98&lt;=0),"Add positive asking price","")))))))</x:f>
      </x:c>
    </x:row>
    <x:row r="99" ht="26" customHeight="1">
      <x:c r="A99" s="319"/>
      <x:c r="B99" s="320"/>
      <x:c r="C99" s="274"/>
      <x:c r="D99" s="274"/>
      <x:c r="E99" s="274"/>
      <x:c r="F99" s="274"/>
      <x:c r="G99" s="274"/>
      <x:c r="H99" s="274"/>
      <x:c r="I99" s="274"/>
      <x:c r="J99" s="377"/>
      <x:c r="K99" s="344"/>
      <x:c r="L99" s="302"/>
      <x:c r="M99" s="274"/>
      <x:c r="N99" s="274"/>
      <x:c r="O99" s="274"/>
      <x:c r="P99" s="304"/>
      <x:c r="Q99" s="377"/>
      <x:c r="R99" s="302"/>
      <x:c r="S99" s="304"/>
      <x:c r="T99" s="274"/>
      <x:c r="U99" s="274"/>
      <x:c r="V99" s="304"/>
      <x:c r="W99" s="274"/>
      <x:c r="X99" s="274"/>
      <x:c r="Y99" s="274"/>
      <x:c r="Z99" s="315" t="str">
        <x:f>IF(A99="","",IF(M99&lt;&gt;"Available","",IF(S99="","Verify availability",IF(TODAY()-S99&gt;14,"Recheck listing",""))))</x:f>
      </x:c>
      <x:c r="AA99" s="265" t="str">
        <x:f>IF(A99="","",IF(AND(M99&lt;&gt;"Available",M99&lt;&gt;"Reserved"),"",IF(ISNUMBER(V99),IF(V99&lt;TODAY(),"Expired",IF(V99&lt;=TODAY()+30,"Expires within 30 days","Current")),IF(U99&lt;&gt;"","Add expiry date","Not recorded"))))</x:f>
      </x:c>
      <x:c r="AB99" s="315" t="str">
        <x:f>IF(A99="","",IF(COUNTIFS($A$6:$A$205,A99)&gt;1,"Duplicate ID",IF(B99="","Add listing title",IF(OR(C99="",COUNTIFS('Contacts'!$A$6:$A$205,C99)&lt;&gt;1),"Check Contact ID",IF(D99="","Select sale or rental",IF(M99="","Set listing status",IF(OR(NOT(ISNUMBER(L99)),L99&lt;=0),"Add positive asking price","")))))))</x:f>
      </x:c>
    </x:row>
    <x:row r="100" ht="26" customHeight="1">
      <x:c r="A100" s="317"/>
      <x:c r="B100" s="318"/>
      <x:c r="C100" s="235"/>
      <x:c r="D100" s="235"/>
      <x:c r="E100" s="235"/>
      <x:c r="F100" s="235"/>
      <x:c r="G100" s="235"/>
      <x:c r="H100" s="235"/>
      <x:c r="I100" s="235"/>
      <x:c r="J100" s="376"/>
      <x:c r="K100" s="342"/>
      <x:c r="L100" s="236"/>
      <x:c r="M100" s="235"/>
      <x:c r="N100" s="235"/>
      <x:c r="O100" s="235"/>
      <x:c r="P100" s="238"/>
      <x:c r="Q100" s="376"/>
      <x:c r="R100" s="236"/>
      <x:c r="S100" s="238"/>
      <x:c r="T100" s="235"/>
      <x:c r="U100" s="235"/>
      <x:c r="V100" s="238"/>
      <x:c r="W100" s="235"/>
      <x:c r="X100" s="235"/>
      <x:c r="Y100" s="235"/>
      <x:c r="Z100" s="315" t="str">
        <x:f>IF(A100="","",IF(M100&lt;&gt;"Available","",IF(S100="","Verify availability",IF(TODAY()-S100&gt;14,"Recheck listing",""))))</x:f>
      </x:c>
      <x:c r="AA100" s="265" t="str">
        <x:f>IF(A100="","",IF(AND(M100&lt;&gt;"Available",M100&lt;&gt;"Reserved"),"",IF(ISNUMBER(V100),IF(V100&lt;TODAY(),"Expired",IF(V100&lt;=TODAY()+30,"Expires within 30 days","Current")),IF(U100&lt;&gt;"","Add expiry date","Not recorded"))))</x:f>
      </x:c>
      <x:c r="AB100" s="315" t="str">
        <x:f>IF(A100="","",IF(COUNTIFS($A$6:$A$205,A100)&gt;1,"Duplicate ID",IF(B100="","Add listing title",IF(OR(C100="",COUNTIFS('Contacts'!$A$6:$A$205,C100)&lt;&gt;1),"Check Contact ID",IF(D100="","Select sale or rental",IF(M100="","Set listing status",IF(OR(NOT(ISNUMBER(L100)),L100&lt;=0),"Add positive asking price","")))))))</x:f>
      </x:c>
    </x:row>
    <x:row r="101" ht="26" customHeight="1">
      <x:c r="A101" s="319"/>
      <x:c r="B101" s="320"/>
      <x:c r="C101" s="274"/>
      <x:c r="D101" s="274"/>
      <x:c r="E101" s="274"/>
      <x:c r="F101" s="274"/>
      <x:c r="G101" s="274"/>
      <x:c r="H101" s="274"/>
      <x:c r="I101" s="274"/>
      <x:c r="J101" s="377"/>
      <x:c r="K101" s="344"/>
      <x:c r="L101" s="302"/>
      <x:c r="M101" s="274"/>
      <x:c r="N101" s="274"/>
      <x:c r="O101" s="274"/>
      <x:c r="P101" s="304"/>
      <x:c r="Q101" s="377"/>
      <x:c r="R101" s="302"/>
      <x:c r="S101" s="304"/>
      <x:c r="T101" s="274"/>
      <x:c r="U101" s="274"/>
      <x:c r="V101" s="304"/>
      <x:c r="W101" s="274"/>
      <x:c r="X101" s="274"/>
      <x:c r="Y101" s="274"/>
      <x:c r="Z101" s="315" t="str">
        <x:f>IF(A101="","",IF(M101&lt;&gt;"Available","",IF(S101="","Verify availability",IF(TODAY()-S101&gt;14,"Recheck listing",""))))</x:f>
      </x:c>
      <x:c r="AA101" s="265" t="str">
        <x:f>IF(A101="","",IF(AND(M101&lt;&gt;"Available",M101&lt;&gt;"Reserved"),"",IF(ISNUMBER(V101),IF(V101&lt;TODAY(),"Expired",IF(V101&lt;=TODAY()+30,"Expires within 30 days","Current")),IF(U101&lt;&gt;"","Add expiry date","Not recorded"))))</x:f>
      </x:c>
      <x:c r="AB101" s="315" t="str">
        <x:f>IF(A101="","",IF(COUNTIFS($A$6:$A$205,A101)&gt;1,"Duplicate ID",IF(B101="","Add listing title",IF(OR(C101="",COUNTIFS('Contacts'!$A$6:$A$205,C101)&lt;&gt;1),"Check Contact ID",IF(D101="","Select sale or rental",IF(M101="","Set listing status",IF(OR(NOT(ISNUMBER(L101)),L101&lt;=0),"Add positive asking price","")))))))</x:f>
      </x:c>
    </x:row>
    <x:row r="102" ht="26" customHeight="1">
      <x:c r="A102" s="317"/>
      <x:c r="B102" s="318"/>
      <x:c r="C102" s="235"/>
      <x:c r="D102" s="235"/>
      <x:c r="E102" s="235"/>
      <x:c r="F102" s="235"/>
      <x:c r="G102" s="235"/>
      <x:c r="H102" s="235"/>
      <x:c r="I102" s="235"/>
      <x:c r="J102" s="376"/>
      <x:c r="K102" s="342"/>
      <x:c r="L102" s="236"/>
      <x:c r="M102" s="235"/>
      <x:c r="N102" s="235"/>
      <x:c r="O102" s="235"/>
      <x:c r="P102" s="238"/>
      <x:c r="Q102" s="376"/>
      <x:c r="R102" s="236"/>
      <x:c r="S102" s="238"/>
      <x:c r="T102" s="235"/>
      <x:c r="U102" s="235"/>
      <x:c r="V102" s="238"/>
      <x:c r="W102" s="235"/>
      <x:c r="X102" s="235"/>
      <x:c r="Y102" s="235"/>
      <x:c r="Z102" s="315" t="str">
        <x:f>IF(A102="","",IF(M102&lt;&gt;"Available","",IF(S102="","Verify availability",IF(TODAY()-S102&gt;14,"Recheck listing",""))))</x:f>
      </x:c>
      <x:c r="AA102" s="265" t="str">
        <x:f>IF(A102="","",IF(AND(M102&lt;&gt;"Available",M102&lt;&gt;"Reserved"),"",IF(ISNUMBER(V102),IF(V102&lt;TODAY(),"Expired",IF(V102&lt;=TODAY()+30,"Expires within 30 days","Current")),IF(U102&lt;&gt;"","Add expiry date","Not recorded"))))</x:f>
      </x:c>
      <x:c r="AB102" s="315" t="str">
        <x:f>IF(A102="","",IF(COUNTIFS($A$6:$A$205,A102)&gt;1,"Duplicate ID",IF(B102="","Add listing title",IF(OR(C102="",COUNTIFS('Contacts'!$A$6:$A$205,C102)&lt;&gt;1),"Check Contact ID",IF(D102="","Select sale or rental",IF(M102="","Set listing status",IF(OR(NOT(ISNUMBER(L102)),L102&lt;=0),"Add positive asking price","")))))))</x:f>
      </x:c>
    </x:row>
    <x:row r="103" ht="26" customHeight="1">
      <x:c r="A103" s="319"/>
      <x:c r="B103" s="320"/>
      <x:c r="C103" s="274"/>
      <x:c r="D103" s="274"/>
      <x:c r="E103" s="274"/>
      <x:c r="F103" s="274"/>
      <x:c r="G103" s="274"/>
      <x:c r="H103" s="274"/>
      <x:c r="I103" s="274"/>
      <x:c r="J103" s="377"/>
      <x:c r="K103" s="344"/>
      <x:c r="L103" s="302"/>
      <x:c r="M103" s="274"/>
      <x:c r="N103" s="274"/>
      <x:c r="O103" s="274"/>
      <x:c r="P103" s="304"/>
      <x:c r="Q103" s="377"/>
      <x:c r="R103" s="302"/>
      <x:c r="S103" s="304"/>
      <x:c r="T103" s="274"/>
      <x:c r="U103" s="274"/>
      <x:c r="V103" s="304"/>
      <x:c r="W103" s="274"/>
      <x:c r="X103" s="274"/>
      <x:c r="Y103" s="274"/>
      <x:c r="Z103" s="315" t="str">
        <x:f>IF(A103="","",IF(M103&lt;&gt;"Available","",IF(S103="","Verify availability",IF(TODAY()-S103&gt;14,"Recheck listing",""))))</x:f>
      </x:c>
      <x:c r="AA103" s="265" t="str">
        <x:f>IF(A103="","",IF(AND(M103&lt;&gt;"Available",M103&lt;&gt;"Reserved"),"",IF(ISNUMBER(V103),IF(V103&lt;TODAY(),"Expired",IF(V103&lt;=TODAY()+30,"Expires within 30 days","Current")),IF(U103&lt;&gt;"","Add expiry date","Not recorded"))))</x:f>
      </x:c>
      <x:c r="AB103" s="315" t="str">
        <x:f>IF(A103="","",IF(COUNTIFS($A$6:$A$205,A103)&gt;1,"Duplicate ID",IF(B103="","Add listing title",IF(OR(C103="",COUNTIFS('Contacts'!$A$6:$A$205,C103)&lt;&gt;1),"Check Contact ID",IF(D103="","Select sale or rental",IF(M103="","Set listing status",IF(OR(NOT(ISNUMBER(L103)),L103&lt;=0),"Add positive asking price","")))))))</x:f>
      </x:c>
    </x:row>
    <x:row r="104" ht="26" customHeight="1">
      <x:c r="A104" s="317"/>
      <x:c r="B104" s="318"/>
      <x:c r="C104" s="235"/>
      <x:c r="D104" s="235"/>
      <x:c r="E104" s="235"/>
      <x:c r="F104" s="235"/>
      <x:c r="G104" s="235"/>
      <x:c r="H104" s="235"/>
      <x:c r="I104" s="235"/>
      <x:c r="J104" s="376"/>
      <x:c r="K104" s="342"/>
      <x:c r="L104" s="236"/>
      <x:c r="M104" s="235"/>
      <x:c r="N104" s="235"/>
      <x:c r="O104" s="235"/>
      <x:c r="P104" s="238"/>
      <x:c r="Q104" s="376"/>
      <x:c r="R104" s="236"/>
      <x:c r="S104" s="238"/>
      <x:c r="T104" s="235"/>
      <x:c r="U104" s="235"/>
      <x:c r="V104" s="238"/>
      <x:c r="W104" s="235"/>
      <x:c r="X104" s="235"/>
      <x:c r="Y104" s="235"/>
      <x:c r="Z104" s="315" t="str">
        <x:f>IF(A104="","",IF(M104&lt;&gt;"Available","",IF(S104="","Verify availability",IF(TODAY()-S104&gt;14,"Recheck listing",""))))</x:f>
      </x:c>
      <x:c r="AA104" s="265" t="str">
        <x:f>IF(A104="","",IF(AND(M104&lt;&gt;"Available",M104&lt;&gt;"Reserved"),"",IF(ISNUMBER(V104),IF(V104&lt;TODAY(),"Expired",IF(V104&lt;=TODAY()+30,"Expires within 30 days","Current")),IF(U104&lt;&gt;"","Add expiry date","Not recorded"))))</x:f>
      </x:c>
      <x:c r="AB104" s="315" t="str">
        <x:f>IF(A104="","",IF(COUNTIFS($A$6:$A$205,A104)&gt;1,"Duplicate ID",IF(B104="","Add listing title",IF(OR(C104="",COUNTIFS('Contacts'!$A$6:$A$205,C104)&lt;&gt;1),"Check Contact ID",IF(D104="","Select sale or rental",IF(M104="","Set listing status",IF(OR(NOT(ISNUMBER(L104)),L104&lt;=0),"Add positive asking price","")))))))</x:f>
      </x:c>
    </x:row>
    <x:row r="105" ht="26" customHeight="1">
      <x:c r="A105" s="319"/>
      <x:c r="B105" s="320"/>
      <x:c r="C105" s="274"/>
      <x:c r="D105" s="274"/>
      <x:c r="E105" s="274"/>
      <x:c r="F105" s="274"/>
      <x:c r="G105" s="274"/>
      <x:c r="H105" s="274"/>
      <x:c r="I105" s="274"/>
      <x:c r="J105" s="377"/>
      <x:c r="K105" s="344"/>
      <x:c r="L105" s="302"/>
      <x:c r="M105" s="274"/>
      <x:c r="N105" s="274"/>
      <x:c r="O105" s="274"/>
      <x:c r="P105" s="304"/>
      <x:c r="Q105" s="377"/>
      <x:c r="R105" s="302"/>
      <x:c r="S105" s="304"/>
      <x:c r="T105" s="274"/>
      <x:c r="U105" s="274"/>
      <x:c r="V105" s="304"/>
      <x:c r="W105" s="274"/>
      <x:c r="X105" s="274"/>
      <x:c r="Y105" s="274"/>
      <x:c r="Z105" s="315" t="str">
        <x:f>IF(A105="","",IF(M105&lt;&gt;"Available","",IF(S105="","Verify availability",IF(TODAY()-S105&gt;14,"Recheck listing",""))))</x:f>
      </x:c>
      <x:c r="AA105" s="265" t="str">
        <x:f>IF(A105="","",IF(AND(M105&lt;&gt;"Available",M105&lt;&gt;"Reserved"),"",IF(ISNUMBER(V105),IF(V105&lt;TODAY(),"Expired",IF(V105&lt;=TODAY()+30,"Expires within 30 days","Current")),IF(U105&lt;&gt;"","Add expiry date","Not recorded"))))</x:f>
      </x:c>
      <x:c r="AB105" s="315" t="str">
        <x:f>IF(A105="","",IF(COUNTIFS($A$6:$A$205,A105)&gt;1,"Duplicate ID",IF(B105="","Add listing title",IF(OR(C105="",COUNTIFS('Contacts'!$A$6:$A$205,C105)&lt;&gt;1),"Check Contact ID",IF(D105="","Select sale or rental",IF(M105="","Set listing status",IF(OR(NOT(ISNUMBER(L105)),L105&lt;=0),"Add positive asking price","")))))))</x:f>
      </x:c>
    </x:row>
    <x:row r="106" ht="26" customHeight="1">
      <x:c r="A106" s="317"/>
      <x:c r="B106" s="318"/>
      <x:c r="C106" s="235"/>
      <x:c r="D106" s="235"/>
      <x:c r="E106" s="235"/>
      <x:c r="F106" s="235"/>
      <x:c r="G106" s="235"/>
      <x:c r="H106" s="235"/>
      <x:c r="I106" s="235"/>
      <x:c r="J106" s="376"/>
      <x:c r="K106" s="342"/>
      <x:c r="L106" s="236"/>
      <x:c r="M106" s="235"/>
      <x:c r="N106" s="235"/>
      <x:c r="O106" s="235"/>
      <x:c r="P106" s="238"/>
      <x:c r="Q106" s="376"/>
      <x:c r="R106" s="236"/>
      <x:c r="S106" s="238"/>
      <x:c r="T106" s="235"/>
      <x:c r="U106" s="235"/>
      <x:c r="V106" s="238"/>
      <x:c r="W106" s="235"/>
      <x:c r="X106" s="235"/>
      <x:c r="Y106" s="235"/>
      <x:c r="Z106" s="315" t="str">
        <x:f>IF(A106="","",IF(M106&lt;&gt;"Available","",IF(S106="","Verify availability",IF(TODAY()-S106&gt;14,"Recheck listing",""))))</x:f>
      </x:c>
      <x:c r="AA106" s="265" t="str">
        <x:f>IF(A106="","",IF(AND(M106&lt;&gt;"Available",M106&lt;&gt;"Reserved"),"",IF(ISNUMBER(V106),IF(V106&lt;TODAY(),"Expired",IF(V106&lt;=TODAY()+30,"Expires within 30 days","Current")),IF(U106&lt;&gt;"","Add expiry date","Not recorded"))))</x:f>
      </x:c>
      <x:c r="AB106" s="315" t="str">
        <x:f>IF(A106="","",IF(COUNTIFS($A$6:$A$205,A106)&gt;1,"Duplicate ID",IF(B106="","Add listing title",IF(OR(C106="",COUNTIFS('Contacts'!$A$6:$A$205,C106)&lt;&gt;1),"Check Contact ID",IF(D106="","Select sale or rental",IF(M106="","Set listing status",IF(OR(NOT(ISNUMBER(L106)),L106&lt;=0),"Add positive asking price","")))))))</x:f>
      </x:c>
    </x:row>
    <x:row r="107" ht="26" customHeight="1">
      <x:c r="A107" s="319"/>
      <x:c r="B107" s="320"/>
      <x:c r="C107" s="274"/>
      <x:c r="D107" s="274"/>
      <x:c r="E107" s="274"/>
      <x:c r="F107" s="274"/>
      <x:c r="G107" s="274"/>
      <x:c r="H107" s="274"/>
      <x:c r="I107" s="274"/>
      <x:c r="J107" s="377"/>
      <x:c r="K107" s="344"/>
      <x:c r="L107" s="302"/>
      <x:c r="M107" s="274"/>
      <x:c r="N107" s="274"/>
      <x:c r="O107" s="274"/>
      <x:c r="P107" s="304"/>
      <x:c r="Q107" s="377"/>
      <x:c r="R107" s="302"/>
      <x:c r="S107" s="304"/>
      <x:c r="T107" s="274"/>
      <x:c r="U107" s="274"/>
      <x:c r="V107" s="304"/>
      <x:c r="W107" s="274"/>
      <x:c r="X107" s="274"/>
      <x:c r="Y107" s="274"/>
      <x:c r="Z107" s="315" t="str">
        <x:f>IF(A107="","",IF(M107&lt;&gt;"Available","",IF(S107="","Verify availability",IF(TODAY()-S107&gt;14,"Recheck listing",""))))</x:f>
      </x:c>
      <x:c r="AA107" s="265" t="str">
        <x:f>IF(A107="","",IF(AND(M107&lt;&gt;"Available",M107&lt;&gt;"Reserved"),"",IF(ISNUMBER(V107),IF(V107&lt;TODAY(),"Expired",IF(V107&lt;=TODAY()+30,"Expires within 30 days","Current")),IF(U107&lt;&gt;"","Add expiry date","Not recorded"))))</x:f>
      </x:c>
      <x:c r="AB107" s="315" t="str">
        <x:f>IF(A107="","",IF(COUNTIFS($A$6:$A$205,A107)&gt;1,"Duplicate ID",IF(B107="","Add listing title",IF(OR(C107="",COUNTIFS('Contacts'!$A$6:$A$205,C107)&lt;&gt;1),"Check Contact ID",IF(D107="","Select sale or rental",IF(M107="","Set listing status",IF(OR(NOT(ISNUMBER(L107)),L107&lt;=0),"Add positive asking price","")))))))</x:f>
      </x:c>
    </x:row>
    <x:row r="108" ht="26" customHeight="1">
      <x:c r="A108" s="317"/>
      <x:c r="B108" s="318"/>
      <x:c r="C108" s="235"/>
      <x:c r="D108" s="235"/>
      <x:c r="E108" s="235"/>
      <x:c r="F108" s="235"/>
      <x:c r="G108" s="235"/>
      <x:c r="H108" s="235"/>
      <x:c r="I108" s="235"/>
      <x:c r="J108" s="376"/>
      <x:c r="K108" s="342"/>
      <x:c r="L108" s="236"/>
      <x:c r="M108" s="235"/>
      <x:c r="N108" s="235"/>
      <x:c r="O108" s="235"/>
      <x:c r="P108" s="238"/>
      <x:c r="Q108" s="376"/>
      <x:c r="R108" s="236"/>
      <x:c r="S108" s="238"/>
      <x:c r="T108" s="235"/>
      <x:c r="U108" s="235"/>
      <x:c r="V108" s="238"/>
      <x:c r="W108" s="235"/>
      <x:c r="X108" s="235"/>
      <x:c r="Y108" s="235"/>
      <x:c r="Z108" s="315" t="str">
        <x:f>IF(A108="","",IF(M108&lt;&gt;"Available","",IF(S108="","Verify availability",IF(TODAY()-S108&gt;14,"Recheck listing",""))))</x:f>
      </x:c>
      <x:c r="AA108" s="265" t="str">
        <x:f>IF(A108="","",IF(AND(M108&lt;&gt;"Available",M108&lt;&gt;"Reserved"),"",IF(ISNUMBER(V108),IF(V108&lt;TODAY(),"Expired",IF(V108&lt;=TODAY()+30,"Expires within 30 days","Current")),IF(U108&lt;&gt;"","Add expiry date","Not recorded"))))</x:f>
      </x:c>
      <x:c r="AB108" s="315" t="str">
        <x:f>IF(A108="","",IF(COUNTIFS($A$6:$A$205,A108)&gt;1,"Duplicate ID",IF(B108="","Add listing title",IF(OR(C108="",COUNTIFS('Contacts'!$A$6:$A$205,C108)&lt;&gt;1),"Check Contact ID",IF(D108="","Select sale or rental",IF(M108="","Set listing status",IF(OR(NOT(ISNUMBER(L108)),L108&lt;=0),"Add positive asking price","")))))))</x:f>
      </x:c>
    </x:row>
    <x:row r="109" ht="26" customHeight="1">
      <x:c r="A109" s="319"/>
      <x:c r="B109" s="320"/>
      <x:c r="C109" s="274"/>
      <x:c r="D109" s="274"/>
      <x:c r="E109" s="274"/>
      <x:c r="F109" s="274"/>
      <x:c r="G109" s="274"/>
      <x:c r="H109" s="274"/>
      <x:c r="I109" s="274"/>
      <x:c r="J109" s="377"/>
      <x:c r="K109" s="344"/>
      <x:c r="L109" s="302"/>
      <x:c r="M109" s="274"/>
      <x:c r="N109" s="274"/>
      <x:c r="O109" s="274"/>
      <x:c r="P109" s="304"/>
      <x:c r="Q109" s="377"/>
      <x:c r="R109" s="302"/>
      <x:c r="S109" s="304"/>
      <x:c r="T109" s="274"/>
      <x:c r="U109" s="274"/>
      <x:c r="V109" s="304"/>
      <x:c r="W109" s="274"/>
      <x:c r="X109" s="274"/>
      <x:c r="Y109" s="274"/>
      <x:c r="Z109" s="315" t="str">
        <x:f>IF(A109="","",IF(M109&lt;&gt;"Available","",IF(S109="","Verify availability",IF(TODAY()-S109&gt;14,"Recheck listing",""))))</x:f>
      </x:c>
      <x:c r="AA109" s="265" t="str">
        <x:f>IF(A109="","",IF(AND(M109&lt;&gt;"Available",M109&lt;&gt;"Reserved"),"",IF(ISNUMBER(V109),IF(V109&lt;TODAY(),"Expired",IF(V109&lt;=TODAY()+30,"Expires within 30 days","Current")),IF(U109&lt;&gt;"","Add expiry date","Not recorded"))))</x:f>
      </x:c>
      <x:c r="AB109" s="315" t="str">
        <x:f>IF(A109="","",IF(COUNTIFS($A$6:$A$205,A109)&gt;1,"Duplicate ID",IF(B109="","Add listing title",IF(OR(C109="",COUNTIFS('Contacts'!$A$6:$A$205,C109)&lt;&gt;1),"Check Contact ID",IF(D109="","Select sale or rental",IF(M109="","Set listing status",IF(OR(NOT(ISNUMBER(L109)),L109&lt;=0),"Add positive asking price","")))))))</x:f>
      </x:c>
    </x:row>
    <x:row r="110" ht="26" customHeight="1">
      <x:c r="A110" s="317"/>
      <x:c r="B110" s="318"/>
      <x:c r="C110" s="235"/>
      <x:c r="D110" s="235"/>
      <x:c r="E110" s="235"/>
      <x:c r="F110" s="235"/>
      <x:c r="G110" s="235"/>
      <x:c r="H110" s="235"/>
      <x:c r="I110" s="235"/>
      <x:c r="J110" s="376"/>
      <x:c r="K110" s="342"/>
      <x:c r="L110" s="236"/>
      <x:c r="M110" s="235"/>
      <x:c r="N110" s="235"/>
      <x:c r="O110" s="235"/>
      <x:c r="P110" s="238"/>
      <x:c r="Q110" s="376"/>
      <x:c r="R110" s="236"/>
      <x:c r="S110" s="238"/>
      <x:c r="T110" s="235"/>
      <x:c r="U110" s="235"/>
      <x:c r="V110" s="238"/>
      <x:c r="W110" s="235"/>
      <x:c r="X110" s="235"/>
      <x:c r="Y110" s="235"/>
      <x:c r="Z110" s="315" t="str">
        <x:f>IF(A110="","",IF(M110&lt;&gt;"Available","",IF(S110="","Verify availability",IF(TODAY()-S110&gt;14,"Recheck listing",""))))</x:f>
      </x:c>
      <x:c r="AA110" s="265" t="str">
        <x:f>IF(A110="","",IF(AND(M110&lt;&gt;"Available",M110&lt;&gt;"Reserved"),"",IF(ISNUMBER(V110),IF(V110&lt;TODAY(),"Expired",IF(V110&lt;=TODAY()+30,"Expires within 30 days","Current")),IF(U110&lt;&gt;"","Add expiry date","Not recorded"))))</x:f>
      </x:c>
      <x:c r="AB110" s="315" t="str">
        <x:f>IF(A110="","",IF(COUNTIFS($A$6:$A$205,A110)&gt;1,"Duplicate ID",IF(B110="","Add listing title",IF(OR(C110="",COUNTIFS('Contacts'!$A$6:$A$205,C110)&lt;&gt;1),"Check Contact ID",IF(D110="","Select sale or rental",IF(M110="","Set listing status",IF(OR(NOT(ISNUMBER(L110)),L110&lt;=0),"Add positive asking price","")))))))</x:f>
      </x:c>
    </x:row>
    <x:row r="111" ht="26" customHeight="1">
      <x:c r="A111" s="319"/>
      <x:c r="B111" s="320"/>
      <x:c r="C111" s="274"/>
      <x:c r="D111" s="274"/>
      <x:c r="E111" s="274"/>
      <x:c r="F111" s="274"/>
      <x:c r="G111" s="274"/>
      <x:c r="H111" s="274"/>
      <x:c r="I111" s="274"/>
      <x:c r="J111" s="377"/>
      <x:c r="K111" s="344"/>
      <x:c r="L111" s="302"/>
      <x:c r="M111" s="274"/>
      <x:c r="N111" s="274"/>
      <x:c r="O111" s="274"/>
      <x:c r="P111" s="304"/>
      <x:c r="Q111" s="377"/>
      <x:c r="R111" s="302"/>
      <x:c r="S111" s="304"/>
      <x:c r="T111" s="274"/>
      <x:c r="U111" s="274"/>
      <x:c r="V111" s="304"/>
      <x:c r="W111" s="274"/>
      <x:c r="X111" s="274"/>
      <x:c r="Y111" s="274"/>
      <x:c r="Z111" s="315" t="str">
        <x:f>IF(A111="","",IF(M111&lt;&gt;"Available","",IF(S111="","Verify availability",IF(TODAY()-S111&gt;14,"Recheck listing",""))))</x:f>
      </x:c>
      <x:c r="AA111" s="265" t="str">
        <x:f>IF(A111="","",IF(AND(M111&lt;&gt;"Available",M111&lt;&gt;"Reserved"),"",IF(ISNUMBER(V111),IF(V111&lt;TODAY(),"Expired",IF(V111&lt;=TODAY()+30,"Expires within 30 days","Current")),IF(U111&lt;&gt;"","Add expiry date","Not recorded"))))</x:f>
      </x:c>
      <x:c r="AB111" s="315" t="str">
        <x:f>IF(A111="","",IF(COUNTIFS($A$6:$A$205,A111)&gt;1,"Duplicate ID",IF(B111="","Add listing title",IF(OR(C111="",COUNTIFS('Contacts'!$A$6:$A$205,C111)&lt;&gt;1),"Check Contact ID",IF(D111="","Select sale or rental",IF(M111="","Set listing status",IF(OR(NOT(ISNUMBER(L111)),L111&lt;=0),"Add positive asking price","")))))))</x:f>
      </x:c>
    </x:row>
    <x:row r="112" ht="26" customHeight="1">
      <x:c r="A112" s="317"/>
      <x:c r="B112" s="318"/>
      <x:c r="C112" s="235"/>
      <x:c r="D112" s="235"/>
      <x:c r="E112" s="235"/>
      <x:c r="F112" s="235"/>
      <x:c r="G112" s="235"/>
      <x:c r="H112" s="235"/>
      <x:c r="I112" s="235"/>
      <x:c r="J112" s="376"/>
      <x:c r="K112" s="342"/>
      <x:c r="L112" s="236"/>
      <x:c r="M112" s="235"/>
      <x:c r="N112" s="235"/>
      <x:c r="O112" s="235"/>
      <x:c r="P112" s="238"/>
      <x:c r="Q112" s="376"/>
      <x:c r="R112" s="236"/>
      <x:c r="S112" s="238"/>
      <x:c r="T112" s="235"/>
      <x:c r="U112" s="235"/>
      <x:c r="V112" s="238"/>
      <x:c r="W112" s="235"/>
      <x:c r="X112" s="235"/>
      <x:c r="Y112" s="235"/>
      <x:c r="Z112" s="315" t="str">
        <x:f>IF(A112="","",IF(M112&lt;&gt;"Available","",IF(S112="","Verify availability",IF(TODAY()-S112&gt;14,"Recheck listing",""))))</x:f>
      </x:c>
      <x:c r="AA112" s="265" t="str">
        <x:f>IF(A112="","",IF(AND(M112&lt;&gt;"Available",M112&lt;&gt;"Reserved"),"",IF(ISNUMBER(V112),IF(V112&lt;TODAY(),"Expired",IF(V112&lt;=TODAY()+30,"Expires within 30 days","Current")),IF(U112&lt;&gt;"","Add expiry date","Not recorded"))))</x:f>
      </x:c>
      <x:c r="AB112" s="315" t="str">
        <x:f>IF(A112="","",IF(COUNTIFS($A$6:$A$205,A112)&gt;1,"Duplicate ID",IF(B112="","Add listing title",IF(OR(C112="",COUNTIFS('Contacts'!$A$6:$A$205,C112)&lt;&gt;1),"Check Contact ID",IF(D112="","Select sale or rental",IF(M112="","Set listing status",IF(OR(NOT(ISNUMBER(L112)),L112&lt;=0),"Add positive asking price","")))))))</x:f>
      </x:c>
    </x:row>
    <x:row r="113" ht="26" customHeight="1">
      <x:c r="A113" s="319"/>
      <x:c r="B113" s="320"/>
      <x:c r="C113" s="274"/>
      <x:c r="D113" s="274"/>
      <x:c r="E113" s="274"/>
      <x:c r="F113" s="274"/>
      <x:c r="G113" s="274"/>
      <x:c r="H113" s="274"/>
      <x:c r="I113" s="274"/>
      <x:c r="J113" s="377"/>
      <x:c r="K113" s="344"/>
      <x:c r="L113" s="302"/>
      <x:c r="M113" s="274"/>
      <x:c r="N113" s="274"/>
      <x:c r="O113" s="274"/>
      <x:c r="P113" s="304"/>
      <x:c r="Q113" s="377"/>
      <x:c r="R113" s="302"/>
      <x:c r="S113" s="304"/>
      <x:c r="T113" s="274"/>
      <x:c r="U113" s="274"/>
      <x:c r="V113" s="304"/>
      <x:c r="W113" s="274"/>
      <x:c r="X113" s="274"/>
      <x:c r="Y113" s="274"/>
      <x:c r="Z113" s="315" t="str">
        <x:f>IF(A113="","",IF(M113&lt;&gt;"Available","",IF(S113="","Verify availability",IF(TODAY()-S113&gt;14,"Recheck listing",""))))</x:f>
      </x:c>
      <x:c r="AA113" s="265" t="str">
        <x:f>IF(A113="","",IF(AND(M113&lt;&gt;"Available",M113&lt;&gt;"Reserved"),"",IF(ISNUMBER(V113),IF(V113&lt;TODAY(),"Expired",IF(V113&lt;=TODAY()+30,"Expires within 30 days","Current")),IF(U113&lt;&gt;"","Add expiry date","Not recorded"))))</x:f>
      </x:c>
      <x:c r="AB113" s="315" t="str">
        <x:f>IF(A113="","",IF(COUNTIFS($A$6:$A$205,A113)&gt;1,"Duplicate ID",IF(B113="","Add listing title",IF(OR(C113="",COUNTIFS('Contacts'!$A$6:$A$205,C113)&lt;&gt;1),"Check Contact ID",IF(D113="","Select sale or rental",IF(M113="","Set listing status",IF(OR(NOT(ISNUMBER(L113)),L113&lt;=0),"Add positive asking price","")))))))</x:f>
      </x:c>
    </x:row>
    <x:row r="114" ht="26" customHeight="1">
      <x:c r="A114" s="317"/>
      <x:c r="B114" s="318"/>
      <x:c r="C114" s="235"/>
      <x:c r="D114" s="235"/>
      <x:c r="E114" s="235"/>
      <x:c r="F114" s="235"/>
      <x:c r="G114" s="235"/>
      <x:c r="H114" s="235"/>
      <x:c r="I114" s="235"/>
      <x:c r="J114" s="376"/>
      <x:c r="K114" s="342"/>
      <x:c r="L114" s="236"/>
      <x:c r="M114" s="235"/>
      <x:c r="N114" s="235"/>
      <x:c r="O114" s="235"/>
      <x:c r="P114" s="238"/>
      <x:c r="Q114" s="376"/>
      <x:c r="R114" s="236"/>
      <x:c r="S114" s="238"/>
      <x:c r="T114" s="235"/>
      <x:c r="U114" s="235"/>
      <x:c r="V114" s="238"/>
      <x:c r="W114" s="235"/>
      <x:c r="X114" s="235"/>
      <x:c r="Y114" s="235"/>
      <x:c r="Z114" s="315" t="str">
        <x:f>IF(A114="","",IF(M114&lt;&gt;"Available","",IF(S114="","Verify availability",IF(TODAY()-S114&gt;14,"Recheck listing",""))))</x:f>
      </x:c>
      <x:c r="AA114" s="265" t="str">
        <x:f>IF(A114="","",IF(AND(M114&lt;&gt;"Available",M114&lt;&gt;"Reserved"),"",IF(ISNUMBER(V114),IF(V114&lt;TODAY(),"Expired",IF(V114&lt;=TODAY()+30,"Expires within 30 days","Current")),IF(U114&lt;&gt;"","Add expiry date","Not recorded"))))</x:f>
      </x:c>
      <x:c r="AB114" s="315" t="str">
        <x:f>IF(A114="","",IF(COUNTIFS($A$6:$A$205,A114)&gt;1,"Duplicate ID",IF(B114="","Add listing title",IF(OR(C114="",COUNTIFS('Contacts'!$A$6:$A$205,C114)&lt;&gt;1),"Check Contact ID",IF(D114="","Select sale or rental",IF(M114="","Set listing status",IF(OR(NOT(ISNUMBER(L114)),L114&lt;=0),"Add positive asking price","")))))))</x:f>
      </x:c>
    </x:row>
    <x:row r="115" ht="26" customHeight="1">
      <x:c r="A115" s="319"/>
      <x:c r="B115" s="320"/>
      <x:c r="C115" s="274"/>
      <x:c r="D115" s="274"/>
      <x:c r="E115" s="274"/>
      <x:c r="F115" s="274"/>
      <x:c r="G115" s="274"/>
      <x:c r="H115" s="274"/>
      <x:c r="I115" s="274"/>
      <x:c r="J115" s="377"/>
      <x:c r="K115" s="344"/>
      <x:c r="L115" s="302"/>
      <x:c r="M115" s="274"/>
      <x:c r="N115" s="274"/>
      <x:c r="O115" s="274"/>
      <x:c r="P115" s="304"/>
      <x:c r="Q115" s="377"/>
      <x:c r="R115" s="302"/>
      <x:c r="S115" s="304"/>
      <x:c r="T115" s="274"/>
      <x:c r="U115" s="274"/>
      <x:c r="V115" s="304"/>
      <x:c r="W115" s="274"/>
      <x:c r="X115" s="274"/>
      <x:c r="Y115" s="274"/>
      <x:c r="Z115" s="315" t="str">
        <x:f>IF(A115="","",IF(M115&lt;&gt;"Available","",IF(S115="","Verify availability",IF(TODAY()-S115&gt;14,"Recheck listing",""))))</x:f>
      </x:c>
      <x:c r="AA115" s="265" t="str">
        <x:f>IF(A115="","",IF(AND(M115&lt;&gt;"Available",M115&lt;&gt;"Reserved"),"",IF(ISNUMBER(V115),IF(V115&lt;TODAY(),"Expired",IF(V115&lt;=TODAY()+30,"Expires within 30 days","Current")),IF(U115&lt;&gt;"","Add expiry date","Not recorded"))))</x:f>
      </x:c>
      <x:c r="AB115" s="315" t="str">
        <x:f>IF(A115="","",IF(COUNTIFS($A$6:$A$205,A115)&gt;1,"Duplicate ID",IF(B115="","Add listing title",IF(OR(C115="",COUNTIFS('Contacts'!$A$6:$A$205,C115)&lt;&gt;1),"Check Contact ID",IF(D115="","Select sale or rental",IF(M115="","Set listing status",IF(OR(NOT(ISNUMBER(L115)),L115&lt;=0),"Add positive asking price","")))))))</x:f>
      </x:c>
    </x:row>
    <x:row r="116" ht="26" customHeight="1">
      <x:c r="A116" s="317"/>
      <x:c r="B116" s="318"/>
      <x:c r="C116" s="235"/>
      <x:c r="D116" s="235"/>
      <x:c r="E116" s="235"/>
      <x:c r="F116" s="235"/>
      <x:c r="G116" s="235"/>
      <x:c r="H116" s="235"/>
      <x:c r="I116" s="235"/>
      <x:c r="J116" s="376"/>
      <x:c r="K116" s="342"/>
      <x:c r="L116" s="236"/>
      <x:c r="M116" s="235"/>
      <x:c r="N116" s="235"/>
      <x:c r="O116" s="235"/>
      <x:c r="P116" s="238"/>
      <x:c r="Q116" s="376"/>
      <x:c r="R116" s="236"/>
      <x:c r="S116" s="238"/>
      <x:c r="T116" s="235"/>
      <x:c r="U116" s="235"/>
      <x:c r="V116" s="238"/>
      <x:c r="W116" s="235"/>
      <x:c r="X116" s="235"/>
      <x:c r="Y116" s="235"/>
      <x:c r="Z116" s="315" t="str">
        <x:f>IF(A116="","",IF(M116&lt;&gt;"Available","",IF(S116="","Verify availability",IF(TODAY()-S116&gt;14,"Recheck listing",""))))</x:f>
      </x:c>
      <x:c r="AA116" s="265" t="str">
        <x:f>IF(A116="","",IF(AND(M116&lt;&gt;"Available",M116&lt;&gt;"Reserved"),"",IF(ISNUMBER(V116),IF(V116&lt;TODAY(),"Expired",IF(V116&lt;=TODAY()+30,"Expires within 30 days","Current")),IF(U116&lt;&gt;"","Add expiry date","Not recorded"))))</x:f>
      </x:c>
      <x:c r="AB116" s="315" t="str">
        <x:f>IF(A116="","",IF(COUNTIFS($A$6:$A$205,A116)&gt;1,"Duplicate ID",IF(B116="","Add listing title",IF(OR(C116="",COUNTIFS('Contacts'!$A$6:$A$205,C116)&lt;&gt;1),"Check Contact ID",IF(D116="","Select sale or rental",IF(M116="","Set listing status",IF(OR(NOT(ISNUMBER(L116)),L116&lt;=0),"Add positive asking price","")))))))</x:f>
      </x:c>
    </x:row>
    <x:row r="117" ht="26" customHeight="1">
      <x:c r="A117" s="319"/>
      <x:c r="B117" s="320"/>
      <x:c r="C117" s="274"/>
      <x:c r="D117" s="274"/>
      <x:c r="E117" s="274"/>
      <x:c r="F117" s="274"/>
      <x:c r="G117" s="274"/>
      <x:c r="H117" s="274"/>
      <x:c r="I117" s="274"/>
      <x:c r="J117" s="377"/>
      <x:c r="K117" s="344"/>
      <x:c r="L117" s="302"/>
      <x:c r="M117" s="274"/>
      <x:c r="N117" s="274"/>
      <x:c r="O117" s="274"/>
      <x:c r="P117" s="304"/>
      <x:c r="Q117" s="377"/>
      <x:c r="R117" s="302"/>
      <x:c r="S117" s="304"/>
      <x:c r="T117" s="274"/>
      <x:c r="U117" s="274"/>
      <x:c r="V117" s="304"/>
      <x:c r="W117" s="274"/>
      <x:c r="X117" s="274"/>
      <x:c r="Y117" s="274"/>
      <x:c r="Z117" s="315" t="str">
        <x:f>IF(A117="","",IF(M117&lt;&gt;"Available","",IF(S117="","Verify availability",IF(TODAY()-S117&gt;14,"Recheck listing",""))))</x:f>
      </x:c>
      <x:c r="AA117" s="265" t="str">
        <x:f>IF(A117="","",IF(AND(M117&lt;&gt;"Available",M117&lt;&gt;"Reserved"),"",IF(ISNUMBER(V117),IF(V117&lt;TODAY(),"Expired",IF(V117&lt;=TODAY()+30,"Expires within 30 days","Current")),IF(U117&lt;&gt;"","Add expiry date","Not recorded"))))</x:f>
      </x:c>
      <x:c r="AB117" s="315" t="str">
        <x:f>IF(A117="","",IF(COUNTIFS($A$6:$A$205,A117)&gt;1,"Duplicate ID",IF(B117="","Add listing title",IF(OR(C117="",COUNTIFS('Contacts'!$A$6:$A$205,C117)&lt;&gt;1),"Check Contact ID",IF(D117="","Select sale or rental",IF(M117="","Set listing status",IF(OR(NOT(ISNUMBER(L117)),L117&lt;=0),"Add positive asking price","")))))))</x:f>
      </x:c>
    </x:row>
    <x:row r="118" ht="26" customHeight="1">
      <x:c r="A118" s="317"/>
      <x:c r="B118" s="318"/>
      <x:c r="C118" s="235"/>
      <x:c r="D118" s="235"/>
      <x:c r="E118" s="235"/>
      <x:c r="F118" s="235"/>
      <x:c r="G118" s="235"/>
      <x:c r="H118" s="235"/>
      <x:c r="I118" s="235"/>
      <x:c r="J118" s="376"/>
      <x:c r="K118" s="342"/>
      <x:c r="L118" s="236"/>
      <x:c r="M118" s="235"/>
      <x:c r="N118" s="235"/>
      <x:c r="O118" s="235"/>
      <x:c r="P118" s="238"/>
      <x:c r="Q118" s="376"/>
      <x:c r="R118" s="236"/>
      <x:c r="S118" s="238"/>
      <x:c r="T118" s="235"/>
      <x:c r="U118" s="235"/>
      <x:c r="V118" s="238"/>
      <x:c r="W118" s="235"/>
      <x:c r="X118" s="235"/>
      <x:c r="Y118" s="235"/>
      <x:c r="Z118" s="315" t="str">
        <x:f>IF(A118="","",IF(M118&lt;&gt;"Available","",IF(S118="","Verify availability",IF(TODAY()-S118&gt;14,"Recheck listing",""))))</x:f>
      </x:c>
      <x:c r="AA118" s="265" t="str">
        <x:f>IF(A118="","",IF(AND(M118&lt;&gt;"Available",M118&lt;&gt;"Reserved"),"",IF(ISNUMBER(V118),IF(V118&lt;TODAY(),"Expired",IF(V118&lt;=TODAY()+30,"Expires within 30 days","Current")),IF(U118&lt;&gt;"","Add expiry date","Not recorded"))))</x:f>
      </x:c>
      <x:c r="AB118" s="315" t="str">
        <x:f>IF(A118="","",IF(COUNTIFS($A$6:$A$205,A118)&gt;1,"Duplicate ID",IF(B118="","Add listing title",IF(OR(C118="",COUNTIFS('Contacts'!$A$6:$A$205,C118)&lt;&gt;1),"Check Contact ID",IF(D118="","Select sale or rental",IF(M118="","Set listing status",IF(OR(NOT(ISNUMBER(L118)),L118&lt;=0),"Add positive asking price","")))))))</x:f>
      </x:c>
    </x:row>
    <x:row r="119" ht="26" customHeight="1">
      <x:c r="A119" s="319"/>
      <x:c r="B119" s="320"/>
      <x:c r="C119" s="274"/>
      <x:c r="D119" s="274"/>
      <x:c r="E119" s="274"/>
      <x:c r="F119" s="274"/>
      <x:c r="G119" s="274"/>
      <x:c r="H119" s="274"/>
      <x:c r="I119" s="274"/>
      <x:c r="J119" s="377"/>
      <x:c r="K119" s="344"/>
      <x:c r="L119" s="302"/>
      <x:c r="M119" s="274"/>
      <x:c r="N119" s="274"/>
      <x:c r="O119" s="274"/>
      <x:c r="P119" s="304"/>
      <x:c r="Q119" s="377"/>
      <x:c r="R119" s="302"/>
      <x:c r="S119" s="304"/>
      <x:c r="T119" s="274"/>
      <x:c r="U119" s="274"/>
      <x:c r="V119" s="304"/>
      <x:c r="W119" s="274"/>
      <x:c r="X119" s="274"/>
      <x:c r="Y119" s="274"/>
      <x:c r="Z119" s="315" t="str">
        <x:f>IF(A119="","",IF(M119&lt;&gt;"Available","",IF(S119="","Verify availability",IF(TODAY()-S119&gt;14,"Recheck listing",""))))</x:f>
      </x:c>
      <x:c r="AA119" s="265" t="str">
        <x:f>IF(A119="","",IF(AND(M119&lt;&gt;"Available",M119&lt;&gt;"Reserved"),"",IF(ISNUMBER(V119),IF(V119&lt;TODAY(),"Expired",IF(V119&lt;=TODAY()+30,"Expires within 30 days","Current")),IF(U119&lt;&gt;"","Add expiry date","Not recorded"))))</x:f>
      </x:c>
      <x:c r="AB119" s="315" t="str">
        <x:f>IF(A119="","",IF(COUNTIFS($A$6:$A$205,A119)&gt;1,"Duplicate ID",IF(B119="","Add listing title",IF(OR(C119="",COUNTIFS('Contacts'!$A$6:$A$205,C119)&lt;&gt;1),"Check Contact ID",IF(D119="","Select sale or rental",IF(M119="","Set listing status",IF(OR(NOT(ISNUMBER(L119)),L119&lt;=0),"Add positive asking price","")))))))</x:f>
      </x:c>
    </x:row>
    <x:row r="120" ht="26" customHeight="1">
      <x:c r="A120" s="317"/>
      <x:c r="B120" s="318"/>
      <x:c r="C120" s="235"/>
      <x:c r="D120" s="235"/>
      <x:c r="E120" s="235"/>
      <x:c r="F120" s="235"/>
      <x:c r="G120" s="235"/>
      <x:c r="H120" s="235"/>
      <x:c r="I120" s="235"/>
      <x:c r="J120" s="376"/>
      <x:c r="K120" s="342"/>
      <x:c r="L120" s="236"/>
      <x:c r="M120" s="235"/>
      <x:c r="N120" s="235"/>
      <x:c r="O120" s="235"/>
      <x:c r="P120" s="238"/>
      <x:c r="Q120" s="376"/>
      <x:c r="R120" s="236"/>
      <x:c r="S120" s="238"/>
      <x:c r="T120" s="235"/>
      <x:c r="U120" s="235"/>
      <x:c r="V120" s="238"/>
      <x:c r="W120" s="235"/>
      <x:c r="X120" s="235"/>
      <x:c r="Y120" s="235"/>
      <x:c r="Z120" s="315" t="str">
        <x:f>IF(A120="","",IF(M120&lt;&gt;"Available","",IF(S120="","Verify availability",IF(TODAY()-S120&gt;14,"Recheck listing",""))))</x:f>
      </x:c>
      <x:c r="AA120" s="265" t="str">
        <x:f>IF(A120="","",IF(AND(M120&lt;&gt;"Available",M120&lt;&gt;"Reserved"),"",IF(ISNUMBER(V120),IF(V120&lt;TODAY(),"Expired",IF(V120&lt;=TODAY()+30,"Expires within 30 days","Current")),IF(U120&lt;&gt;"","Add expiry date","Not recorded"))))</x:f>
      </x:c>
      <x:c r="AB120" s="315" t="str">
        <x:f>IF(A120="","",IF(COUNTIFS($A$6:$A$205,A120)&gt;1,"Duplicate ID",IF(B120="","Add listing title",IF(OR(C120="",COUNTIFS('Contacts'!$A$6:$A$205,C120)&lt;&gt;1),"Check Contact ID",IF(D120="","Select sale or rental",IF(M120="","Set listing status",IF(OR(NOT(ISNUMBER(L120)),L120&lt;=0),"Add positive asking price","")))))))</x:f>
      </x:c>
    </x:row>
    <x:row r="121" ht="26" customHeight="1">
      <x:c r="A121" s="319"/>
      <x:c r="B121" s="320"/>
      <x:c r="C121" s="274"/>
      <x:c r="D121" s="274"/>
      <x:c r="E121" s="274"/>
      <x:c r="F121" s="274"/>
      <x:c r="G121" s="274"/>
      <x:c r="H121" s="274"/>
      <x:c r="I121" s="274"/>
      <x:c r="J121" s="377"/>
      <x:c r="K121" s="344"/>
      <x:c r="L121" s="302"/>
      <x:c r="M121" s="274"/>
      <x:c r="N121" s="274"/>
      <x:c r="O121" s="274"/>
      <x:c r="P121" s="304"/>
      <x:c r="Q121" s="377"/>
      <x:c r="R121" s="302"/>
      <x:c r="S121" s="304"/>
      <x:c r="T121" s="274"/>
      <x:c r="U121" s="274"/>
      <x:c r="V121" s="304"/>
      <x:c r="W121" s="274"/>
      <x:c r="X121" s="274"/>
      <x:c r="Y121" s="274"/>
      <x:c r="Z121" s="315" t="str">
        <x:f>IF(A121="","",IF(M121&lt;&gt;"Available","",IF(S121="","Verify availability",IF(TODAY()-S121&gt;14,"Recheck listing",""))))</x:f>
      </x:c>
      <x:c r="AA121" s="265" t="str">
        <x:f>IF(A121="","",IF(AND(M121&lt;&gt;"Available",M121&lt;&gt;"Reserved"),"",IF(ISNUMBER(V121),IF(V121&lt;TODAY(),"Expired",IF(V121&lt;=TODAY()+30,"Expires within 30 days","Current")),IF(U121&lt;&gt;"","Add expiry date","Not recorded"))))</x:f>
      </x:c>
      <x:c r="AB121" s="315" t="str">
        <x:f>IF(A121="","",IF(COUNTIFS($A$6:$A$205,A121)&gt;1,"Duplicate ID",IF(B121="","Add listing title",IF(OR(C121="",COUNTIFS('Contacts'!$A$6:$A$205,C121)&lt;&gt;1),"Check Contact ID",IF(D121="","Select sale or rental",IF(M121="","Set listing status",IF(OR(NOT(ISNUMBER(L121)),L121&lt;=0),"Add positive asking price","")))))))</x:f>
      </x:c>
    </x:row>
    <x:row r="122" ht="26" customHeight="1">
      <x:c r="A122" s="317"/>
      <x:c r="B122" s="318"/>
      <x:c r="C122" s="235"/>
      <x:c r="D122" s="235"/>
      <x:c r="E122" s="235"/>
      <x:c r="F122" s="235"/>
      <x:c r="G122" s="235"/>
      <x:c r="H122" s="235"/>
      <x:c r="I122" s="235"/>
      <x:c r="J122" s="376"/>
      <x:c r="K122" s="342"/>
      <x:c r="L122" s="236"/>
      <x:c r="M122" s="235"/>
      <x:c r="N122" s="235"/>
      <x:c r="O122" s="235"/>
      <x:c r="P122" s="238"/>
      <x:c r="Q122" s="376"/>
      <x:c r="R122" s="236"/>
      <x:c r="S122" s="238"/>
      <x:c r="T122" s="235"/>
      <x:c r="U122" s="235"/>
      <x:c r="V122" s="238"/>
      <x:c r="W122" s="235"/>
      <x:c r="X122" s="235"/>
      <x:c r="Y122" s="235"/>
      <x:c r="Z122" s="315" t="str">
        <x:f>IF(A122="","",IF(M122&lt;&gt;"Available","",IF(S122="","Verify availability",IF(TODAY()-S122&gt;14,"Recheck listing",""))))</x:f>
      </x:c>
      <x:c r="AA122" s="265" t="str">
        <x:f>IF(A122="","",IF(AND(M122&lt;&gt;"Available",M122&lt;&gt;"Reserved"),"",IF(ISNUMBER(V122),IF(V122&lt;TODAY(),"Expired",IF(V122&lt;=TODAY()+30,"Expires within 30 days","Current")),IF(U122&lt;&gt;"","Add expiry date","Not recorded"))))</x:f>
      </x:c>
      <x:c r="AB122" s="315" t="str">
        <x:f>IF(A122="","",IF(COUNTIFS($A$6:$A$205,A122)&gt;1,"Duplicate ID",IF(B122="","Add listing title",IF(OR(C122="",COUNTIFS('Contacts'!$A$6:$A$205,C122)&lt;&gt;1),"Check Contact ID",IF(D122="","Select sale or rental",IF(M122="","Set listing status",IF(OR(NOT(ISNUMBER(L122)),L122&lt;=0),"Add positive asking price","")))))))</x:f>
      </x:c>
    </x:row>
    <x:row r="123" ht="26" customHeight="1">
      <x:c r="A123" s="319"/>
      <x:c r="B123" s="320"/>
      <x:c r="C123" s="274"/>
      <x:c r="D123" s="274"/>
      <x:c r="E123" s="274"/>
      <x:c r="F123" s="274"/>
      <x:c r="G123" s="274"/>
      <x:c r="H123" s="274"/>
      <x:c r="I123" s="274"/>
      <x:c r="J123" s="377"/>
      <x:c r="K123" s="344"/>
      <x:c r="L123" s="302"/>
      <x:c r="M123" s="274"/>
      <x:c r="N123" s="274"/>
      <x:c r="O123" s="274"/>
      <x:c r="P123" s="304"/>
      <x:c r="Q123" s="377"/>
      <x:c r="R123" s="302"/>
      <x:c r="S123" s="304"/>
      <x:c r="T123" s="274"/>
      <x:c r="U123" s="274"/>
      <x:c r="V123" s="304"/>
      <x:c r="W123" s="274"/>
      <x:c r="X123" s="274"/>
      <x:c r="Y123" s="274"/>
      <x:c r="Z123" s="315" t="str">
        <x:f>IF(A123="","",IF(M123&lt;&gt;"Available","",IF(S123="","Verify availability",IF(TODAY()-S123&gt;14,"Recheck listing",""))))</x:f>
      </x:c>
      <x:c r="AA123" s="265" t="str">
        <x:f>IF(A123="","",IF(AND(M123&lt;&gt;"Available",M123&lt;&gt;"Reserved"),"",IF(ISNUMBER(V123),IF(V123&lt;TODAY(),"Expired",IF(V123&lt;=TODAY()+30,"Expires within 30 days","Current")),IF(U123&lt;&gt;"","Add expiry date","Not recorded"))))</x:f>
      </x:c>
      <x:c r="AB123" s="315" t="str">
        <x:f>IF(A123="","",IF(COUNTIFS($A$6:$A$205,A123)&gt;1,"Duplicate ID",IF(B123="","Add listing title",IF(OR(C123="",COUNTIFS('Contacts'!$A$6:$A$205,C123)&lt;&gt;1),"Check Contact ID",IF(D123="","Select sale or rental",IF(M123="","Set listing status",IF(OR(NOT(ISNUMBER(L123)),L123&lt;=0),"Add positive asking price","")))))))</x:f>
      </x:c>
    </x:row>
    <x:row r="124" ht="26" customHeight="1">
      <x:c r="A124" s="317"/>
      <x:c r="B124" s="318"/>
      <x:c r="C124" s="235"/>
      <x:c r="D124" s="235"/>
      <x:c r="E124" s="235"/>
      <x:c r="F124" s="235"/>
      <x:c r="G124" s="235"/>
      <x:c r="H124" s="235"/>
      <x:c r="I124" s="235"/>
      <x:c r="J124" s="376"/>
      <x:c r="K124" s="342"/>
      <x:c r="L124" s="236"/>
      <x:c r="M124" s="235"/>
      <x:c r="N124" s="235"/>
      <x:c r="O124" s="235"/>
      <x:c r="P124" s="238"/>
      <x:c r="Q124" s="376"/>
      <x:c r="R124" s="236"/>
      <x:c r="S124" s="238"/>
      <x:c r="T124" s="235"/>
      <x:c r="U124" s="235"/>
      <x:c r="V124" s="238"/>
      <x:c r="W124" s="235"/>
      <x:c r="X124" s="235"/>
      <x:c r="Y124" s="235"/>
      <x:c r="Z124" s="315" t="str">
        <x:f>IF(A124="","",IF(M124&lt;&gt;"Available","",IF(S124="","Verify availability",IF(TODAY()-S124&gt;14,"Recheck listing",""))))</x:f>
      </x:c>
      <x:c r="AA124" s="265" t="str">
        <x:f>IF(A124="","",IF(AND(M124&lt;&gt;"Available",M124&lt;&gt;"Reserved"),"",IF(ISNUMBER(V124),IF(V124&lt;TODAY(),"Expired",IF(V124&lt;=TODAY()+30,"Expires within 30 days","Current")),IF(U124&lt;&gt;"","Add expiry date","Not recorded"))))</x:f>
      </x:c>
      <x:c r="AB124" s="315" t="str">
        <x:f>IF(A124="","",IF(COUNTIFS($A$6:$A$205,A124)&gt;1,"Duplicate ID",IF(B124="","Add listing title",IF(OR(C124="",COUNTIFS('Contacts'!$A$6:$A$205,C124)&lt;&gt;1),"Check Contact ID",IF(D124="","Select sale or rental",IF(M124="","Set listing status",IF(OR(NOT(ISNUMBER(L124)),L124&lt;=0),"Add positive asking price","")))))))</x:f>
      </x:c>
    </x:row>
    <x:row r="125" ht="26" customHeight="1">
      <x:c r="A125" s="319"/>
      <x:c r="B125" s="320"/>
      <x:c r="C125" s="274"/>
      <x:c r="D125" s="274"/>
      <x:c r="E125" s="274"/>
      <x:c r="F125" s="274"/>
      <x:c r="G125" s="274"/>
      <x:c r="H125" s="274"/>
      <x:c r="I125" s="274"/>
      <x:c r="J125" s="377"/>
      <x:c r="K125" s="344"/>
      <x:c r="L125" s="302"/>
      <x:c r="M125" s="274"/>
      <x:c r="N125" s="274"/>
      <x:c r="O125" s="274"/>
      <x:c r="P125" s="304"/>
      <x:c r="Q125" s="377"/>
      <x:c r="R125" s="302"/>
      <x:c r="S125" s="304"/>
      <x:c r="T125" s="274"/>
      <x:c r="U125" s="274"/>
      <x:c r="V125" s="304"/>
      <x:c r="W125" s="274"/>
      <x:c r="X125" s="274"/>
      <x:c r="Y125" s="274"/>
      <x:c r="Z125" s="315" t="str">
        <x:f>IF(A125="","",IF(M125&lt;&gt;"Available","",IF(S125="","Verify availability",IF(TODAY()-S125&gt;14,"Recheck listing",""))))</x:f>
      </x:c>
      <x:c r="AA125" s="265" t="str">
        <x:f>IF(A125="","",IF(AND(M125&lt;&gt;"Available",M125&lt;&gt;"Reserved"),"",IF(ISNUMBER(V125),IF(V125&lt;TODAY(),"Expired",IF(V125&lt;=TODAY()+30,"Expires within 30 days","Current")),IF(U125&lt;&gt;"","Add expiry date","Not recorded"))))</x:f>
      </x:c>
      <x:c r="AB125" s="315" t="str">
        <x:f>IF(A125="","",IF(COUNTIFS($A$6:$A$205,A125)&gt;1,"Duplicate ID",IF(B125="","Add listing title",IF(OR(C125="",COUNTIFS('Contacts'!$A$6:$A$205,C125)&lt;&gt;1),"Check Contact ID",IF(D125="","Select sale or rental",IF(M125="","Set listing status",IF(OR(NOT(ISNUMBER(L125)),L125&lt;=0),"Add positive asking price","")))))))</x:f>
      </x:c>
    </x:row>
    <x:row r="126" ht="26" customHeight="1">
      <x:c r="A126" s="317"/>
      <x:c r="B126" s="318"/>
      <x:c r="C126" s="235"/>
      <x:c r="D126" s="235"/>
      <x:c r="E126" s="235"/>
      <x:c r="F126" s="235"/>
      <x:c r="G126" s="235"/>
      <x:c r="H126" s="235"/>
      <x:c r="I126" s="235"/>
      <x:c r="J126" s="376"/>
      <x:c r="K126" s="342"/>
      <x:c r="L126" s="236"/>
      <x:c r="M126" s="235"/>
      <x:c r="N126" s="235"/>
      <x:c r="O126" s="235"/>
      <x:c r="P126" s="238"/>
      <x:c r="Q126" s="376"/>
      <x:c r="R126" s="236"/>
      <x:c r="S126" s="238"/>
      <x:c r="T126" s="235"/>
      <x:c r="U126" s="235"/>
      <x:c r="V126" s="238"/>
      <x:c r="W126" s="235"/>
      <x:c r="X126" s="235"/>
      <x:c r="Y126" s="235"/>
      <x:c r="Z126" s="315" t="str">
        <x:f>IF(A126="","",IF(M126&lt;&gt;"Available","",IF(S126="","Verify availability",IF(TODAY()-S126&gt;14,"Recheck listing",""))))</x:f>
      </x:c>
      <x:c r="AA126" s="265" t="str">
        <x:f>IF(A126="","",IF(AND(M126&lt;&gt;"Available",M126&lt;&gt;"Reserved"),"",IF(ISNUMBER(V126),IF(V126&lt;TODAY(),"Expired",IF(V126&lt;=TODAY()+30,"Expires within 30 days","Current")),IF(U126&lt;&gt;"","Add expiry date","Not recorded"))))</x:f>
      </x:c>
      <x:c r="AB126" s="315" t="str">
        <x:f>IF(A126="","",IF(COUNTIFS($A$6:$A$205,A126)&gt;1,"Duplicate ID",IF(B126="","Add listing title",IF(OR(C126="",COUNTIFS('Contacts'!$A$6:$A$205,C126)&lt;&gt;1),"Check Contact ID",IF(D126="","Select sale or rental",IF(M126="","Set listing status",IF(OR(NOT(ISNUMBER(L126)),L126&lt;=0),"Add positive asking price","")))))))</x:f>
      </x:c>
    </x:row>
    <x:row r="127" ht="26" customHeight="1">
      <x:c r="A127" s="319"/>
      <x:c r="B127" s="320"/>
      <x:c r="C127" s="274"/>
      <x:c r="D127" s="274"/>
      <x:c r="E127" s="274"/>
      <x:c r="F127" s="274"/>
      <x:c r="G127" s="274"/>
      <x:c r="H127" s="274"/>
      <x:c r="I127" s="274"/>
      <x:c r="J127" s="377"/>
      <x:c r="K127" s="344"/>
      <x:c r="L127" s="302"/>
      <x:c r="M127" s="274"/>
      <x:c r="N127" s="274"/>
      <x:c r="O127" s="274"/>
      <x:c r="P127" s="304"/>
      <x:c r="Q127" s="377"/>
      <x:c r="R127" s="302"/>
      <x:c r="S127" s="304"/>
      <x:c r="T127" s="274"/>
      <x:c r="U127" s="274"/>
      <x:c r="V127" s="304"/>
      <x:c r="W127" s="274"/>
      <x:c r="X127" s="274"/>
      <x:c r="Y127" s="274"/>
      <x:c r="Z127" s="315" t="str">
        <x:f>IF(A127="","",IF(M127&lt;&gt;"Available","",IF(S127="","Verify availability",IF(TODAY()-S127&gt;14,"Recheck listing",""))))</x:f>
      </x:c>
      <x:c r="AA127" s="265" t="str">
        <x:f>IF(A127="","",IF(AND(M127&lt;&gt;"Available",M127&lt;&gt;"Reserved"),"",IF(ISNUMBER(V127),IF(V127&lt;TODAY(),"Expired",IF(V127&lt;=TODAY()+30,"Expires within 30 days","Current")),IF(U127&lt;&gt;"","Add expiry date","Not recorded"))))</x:f>
      </x:c>
      <x:c r="AB127" s="315" t="str">
        <x:f>IF(A127="","",IF(COUNTIFS($A$6:$A$205,A127)&gt;1,"Duplicate ID",IF(B127="","Add listing title",IF(OR(C127="",COUNTIFS('Contacts'!$A$6:$A$205,C127)&lt;&gt;1),"Check Contact ID",IF(D127="","Select sale or rental",IF(M127="","Set listing status",IF(OR(NOT(ISNUMBER(L127)),L127&lt;=0),"Add positive asking price","")))))))</x:f>
      </x:c>
    </x:row>
    <x:row r="128" ht="26" customHeight="1">
      <x:c r="A128" s="317"/>
      <x:c r="B128" s="318"/>
      <x:c r="C128" s="235"/>
      <x:c r="D128" s="235"/>
      <x:c r="E128" s="235"/>
      <x:c r="F128" s="235"/>
      <x:c r="G128" s="235"/>
      <x:c r="H128" s="235"/>
      <x:c r="I128" s="235"/>
      <x:c r="J128" s="376"/>
      <x:c r="K128" s="342"/>
      <x:c r="L128" s="236"/>
      <x:c r="M128" s="235"/>
      <x:c r="N128" s="235"/>
      <x:c r="O128" s="235"/>
      <x:c r="P128" s="238"/>
      <x:c r="Q128" s="376"/>
      <x:c r="R128" s="236"/>
      <x:c r="S128" s="238"/>
      <x:c r="T128" s="235"/>
      <x:c r="U128" s="235"/>
      <x:c r="V128" s="238"/>
      <x:c r="W128" s="235"/>
      <x:c r="X128" s="235"/>
      <x:c r="Y128" s="235"/>
      <x:c r="Z128" s="315" t="str">
        <x:f>IF(A128="","",IF(M128&lt;&gt;"Available","",IF(S128="","Verify availability",IF(TODAY()-S128&gt;14,"Recheck listing",""))))</x:f>
      </x:c>
      <x:c r="AA128" s="265" t="str">
        <x:f>IF(A128="","",IF(AND(M128&lt;&gt;"Available",M128&lt;&gt;"Reserved"),"",IF(ISNUMBER(V128),IF(V128&lt;TODAY(),"Expired",IF(V128&lt;=TODAY()+30,"Expires within 30 days","Current")),IF(U128&lt;&gt;"","Add expiry date","Not recorded"))))</x:f>
      </x:c>
      <x:c r="AB128" s="315" t="str">
        <x:f>IF(A128="","",IF(COUNTIFS($A$6:$A$205,A128)&gt;1,"Duplicate ID",IF(B128="","Add listing title",IF(OR(C128="",COUNTIFS('Contacts'!$A$6:$A$205,C128)&lt;&gt;1),"Check Contact ID",IF(D128="","Select sale or rental",IF(M128="","Set listing status",IF(OR(NOT(ISNUMBER(L128)),L128&lt;=0),"Add positive asking price","")))))))</x:f>
      </x:c>
    </x:row>
    <x:row r="129" ht="26" customHeight="1">
      <x:c r="A129" s="319"/>
      <x:c r="B129" s="320"/>
      <x:c r="C129" s="274"/>
      <x:c r="D129" s="274"/>
      <x:c r="E129" s="274"/>
      <x:c r="F129" s="274"/>
      <x:c r="G129" s="274"/>
      <x:c r="H129" s="274"/>
      <x:c r="I129" s="274"/>
      <x:c r="J129" s="377"/>
      <x:c r="K129" s="344"/>
      <x:c r="L129" s="302"/>
      <x:c r="M129" s="274"/>
      <x:c r="N129" s="274"/>
      <x:c r="O129" s="274"/>
      <x:c r="P129" s="304"/>
      <x:c r="Q129" s="377"/>
      <x:c r="R129" s="302"/>
      <x:c r="S129" s="304"/>
      <x:c r="T129" s="274"/>
      <x:c r="U129" s="274"/>
      <x:c r="V129" s="304"/>
      <x:c r="W129" s="274"/>
      <x:c r="X129" s="274"/>
      <x:c r="Y129" s="274"/>
      <x:c r="Z129" s="315" t="str">
        <x:f>IF(A129="","",IF(M129&lt;&gt;"Available","",IF(S129="","Verify availability",IF(TODAY()-S129&gt;14,"Recheck listing",""))))</x:f>
      </x:c>
      <x:c r="AA129" s="265" t="str">
        <x:f>IF(A129="","",IF(AND(M129&lt;&gt;"Available",M129&lt;&gt;"Reserved"),"",IF(ISNUMBER(V129),IF(V129&lt;TODAY(),"Expired",IF(V129&lt;=TODAY()+30,"Expires within 30 days","Current")),IF(U129&lt;&gt;"","Add expiry date","Not recorded"))))</x:f>
      </x:c>
      <x:c r="AB129" s="315" t="str">
        <x:f>IF(A129="","",IF(COUNTIFS($A$6:$A$205,A129)&gt;1,"Duplicate ID",IF(B129="","Add listing title",IF(OR(C129="",COUNTIFS('Contacts'!$A$6:$A$205,C129)&lt;&gt;1),"Check Contact ID",IF(D129="","Select sale or rental",IF(M129="","Set listing status",IF(OR(NOT(ISNUMBER(L129)),L129&lt;=0),"Add positive asking price","")))))))</x:f>
      </x:c>
    </x:row>
    <x:row r="130" ht="26" customHeight="1">
      <x:c r="A130" s="317"/>
      <x:c r="B130" s="318"/>
      <x:c r="C130" s="235"/>
      <x:c r="D130" s="235"/>
      <x:c r="E130" s="235"/>
      <x:c r="F130" s="235"/>
      <x:c r="G130" s="235"/>
      <x:c r="H130" s="235"/>
      <x:c r="I130" s="235"/>
      <x:c r="J130" s="376"/>
      <x:c r="K130" s="342"/>
      <x:c r="L130" s="236"/>
      <x:c r="M130" s="235"/>
      <x:c r="N130" s="235"/>
      <x:c r="O130" s="235"/>
      <x:c r="P130" s="238"/>
      <x:c r="Q130" s="376"/>
      <x:c r="R130" s="236"/>
      <x:c r="S130" s="238"/>
      <x:c r="T130" s="235"/>
      <x:c r="U130" s="235"/>
      <x:c r="V130" s="238"/>
      <x:c r="W130" s="235"/>
      <x:c r="X130" s="235"/>
      <x:c r="Y130" s="235"/>
      <x:c r="Z130" s="315" t="str">
        <x:f>IF(A130="","",IF(M130&lt;&gt;"Available","",IF(S130="","Verify availability",IF(TODAY()-S130&gt;14,"Recheck listing",""))))</x:f>
      </x:c>
      <x:c r="AA130" s="265" t="str">
        <x:f>IF(A130="","",IF(AND(M130&lt;&gt;"Available",M130&lt;&gt;"Reserved"),"",IF(ISNUMBER(V130),IF(V130&lt;TODAY(),"Expired",IF(V130&lt;=TODAY()+30,"Expires within 30 days","Current")),IF(U130&lt;&gt;"","Add expiry date","Not recorded"))))</x:f>
      </x:c>
      <x:c r="AB130" s="315" t="str">
        <x:f>IF(A130="","",IF(COUNTIFS($A$6:$A$205,A130)&gt;1,"Duplicate ID",IF(B130="","Add listing title",IF(OR(C130="",COUNTIFS('Contacts'!$A$6:$A$205,C130)&lt;&gt;1),"Check Contact ID",IF(D130="","Select sale or rental",IF(M130="","Set listing status",IF(OR(NOT(ISNUMBER(L130)),L130&lt;=0),"Add positive asking price","")))))))</x:f>
      </x:c>
    </x:row>
    <x:row r="131" ht="26" customHeight="1">
      <x:c r="A131" s="319"/>
      <x:c r="B131" s="320"/>
      <x:c r="C131" s="274"/>
      <x:c r="D131" s="274"/>
      <x:c r="E131" s="274"/>
      <x:c r="F131" s="274"/>
      <x:c r="G131" s="274"/>
      <x:c r="H131" s="274"/>
      <x:c r="I131" s="274"/>
      <x:c r="J131" s="377"/>
      <x:c r="K131" s="344"/>
      <x:c r="L131" s="302"/>
      <x:c r="M131" s="274"/>
      <x:c r="N131" s="274"/>
      <x:c r="O131" s="274"/>
      <x:c r="P131" s="304"/>
      <x:c r="Q131" s="377"/>
      <x:c r="R131" s="302"/>
      <x:c r="S131" s="304"/>
      <x:c r="T131" s="274"/>
      <x:c r="U131" s="274"/>
      <x:c r="V131" s="304"/>
      <x:c r="W131" s="274"/>
      <x:c r="X131" s="274"/>
      <x:c r="Y131" s="274"/>
      <x:c r="Z131" s="315" t="str">
        <x:f>IF(A131="","",IF(M131&lt;&gt;"Available","",IF(S131="","Verify availability",IF(TODAY()-S131&gt;14,"Recheck listing",""))))</x:f>
      </x:c>
      <x:c r="AA131" s="265" t="str">
        <x:f>IF(A131="","",IF(AND(M131&lt;&gt;"Available",M131&lt;&gt;"Reserved"),"",IF(ISNUMBER(V131),IF(V131&lt;TODAY(),"Expired",IF(V131&lt;=TODAY()+30,"Expires within 30 days","Current")),IF(U131&lt;&gt;"","Add expiry date","Not recorded"))))</x:f>
      </x:c>
      <x:c r="AB131" s="315" t="str">
        <x:f>IF(A131="","",IF(COUNTIFS($A$6:$A$205,A131)&gt;1,"Duplicate ID",IF(B131="","Add listing title",IF(OR(C131="",COUNTIFS('Contacts'!$A$6:$A$205,C131)&lt;&gt;1),"Check Contact ID",IF(D131="","Select sale or rental",IF(M131="","Set listing status",IF(OR(NOT(ISNUMBER(L131)),L131&lt;=0),"Add positive asking price","")))))))</x:f>
      </x:c>
    </x:row>
    <x:row r="132" ht="26" customHeight="1">
      <x:c r="A132" s="317"/>
      <x:c r="B132" s="318"/>
      <x:c r="C132" s="235"/>
      <x:c r="D132" s="235"/>
      <x:c r="E132" s="235"/>
      <x:c r="F132" s="235"/>
      <x:c r="G132" s="235"/>
      <x:c r="H132" s="235"/>
      <x:c r="I132" s="235"/>
      <x:c r="J132" s="376"/>
      <x:c r="K132" s="342"/>
      <x:c r="L132" s="236"/>
      <x:c r="M132" s="235"/>
      <x:c r="N132" s="235"/>
      <x:c r="O132" s="235"/>
      <x:c r="P132" s="238"/>
      <x:c r="Q132" s="376"/>
      <x:c r="R132" s="236"/>
      <x:c r="S132" s="238"/>
      <x:c r="T132" s="235"/>
      <x:c r="U132" s="235"/>
      <x:c r="V132" s="238"/>
      <x:c r="W132" s="235"/>
      <x:c r="X132" s="235"/>
      <x:c r="Y132" s="235"/>
      <x:c r="Z132" s="315" t="str">
        <x:f>IF(A132="","",IF(M132&lt;&gt;"Available","",IF(S132="","Verify availability",IF(TODAY()-S132&gt;14,"Recheck listing",""))))</x:f>
      </x:c>
      <x:c r="AA132" s="265" t="str">
        <x:f>IF(A132="","",IF(AND(M132&lt;&gt;"Available",M132&lt;&gt;"Reserved"),"",IF(ISNUMBER(V132),IF(V132&lt;TODAY(),"Expired",IF(V132&lt;=TODAY()+30,"Expires within 30 days","Current")),IF(U132&lt;&gt;"","Add expiry date","Not recorded"))))</x:f>
      </x:c>
      <x:c r="AB132" s="315" t="str">
        <x:f>IF(A132="","",IF(COUNTIFS($A$6:$A$205,A132)&gt;1,"Duplicate ID",IF(B132="","Add listing title",IF(OR(C132="",COUNTIFS('Contacts'!$A$6:$A$205,C132)&lt;&gt;1),"Check Contact ID",IF(D132="","Select sale or rental",IF(M132="","Set listing status",IF(OR(NOT(ISNUMBER(L132)),L132&lt;=0),"Add positive asking price","")))))))</x:f>
      </x:c>
    </x:row>
    <x:row r="133" ht="26" customHeight="1">
      <x:c r="A133" s="319"/>
      <x:c r="B133" s="320"/>
      <x:c r="C133" s="274"/>
      <x:c r="D133" s="274"/>
      <x:c r="E133" s="274"/>
      <x:c r="F133" s="274"/>
      <x:c r="G133" s="274"/>
      <x:c r="H133" s="274"/>
      <x:c r="I133" s="274"/>
      <x:c r="J133" s="377"/>
      <x:c r="K133" s="344"/>
      <x:c r="L133" s="302"/>
      <x:c r="M133" s="274"/>
      <x:c r="N133" s="274"/>
      <x:c r="O133" s="274"/>
      <x:c r="P133" s="304"/>
      <x:c r="Q133" s="377"/>
      <x:c r="R133" s="302"/>
      <x:c r="S133" s="304"/>
      <x:c r="T133" s="274"/>
      <x:c r="U133" s="274"/>
      <x:c r="V133" s="304"/>
      <x:c r="W133" s="274"/>
      <x:c r="X133" s="274"/>
      <x:c r="Y133" s="274"/>
      <x:c r="Z133" s="315" t="str">
        <x:f>IF(A133="","",IF(M133&lt;&gt;"Available","",IF(S133="","Verify availability",IF(TODAY()-S133&gt;14,"Recheck listing",""))))</x:f>
      </x:c>
      <x:c r="AA133" s="265" t="str">
        <x:f>IF(A133="","",IF(AND(M133&lt;&gt;"Available",M133&lt;&gt;"Reserved"),"",IF(ISNUMBER(V133),IF(V133&lt;TODAY(),"Expired",IF(V133&lt;=TODAY()+30,"Expires within 30 days","Current")),IF(U133&lt;&gt;"","Add expiry date","Not recorded"))))</x:f>
      </x:c>
      <x:c r="AB133" s="315" t="str">
        <x:f>IF(A133="","",IF(COUNTIFS($A$6:$A$205,A133)&gt;1,"Duplicate ID",IF(B133="","Add listing title",IF(OR(C133="",COUNTIFS('Contacts'!$A$6:$A$205,C133)&lt;&gt;1),"Check Contact ID",IF(D133="","Select sale or rental",IF(M133="","Set listing status",IF(OR(NOT(ISNUMBER(L133)),L133&lt;=0),"Add positive asking price","")))))))</x:f>
      </x:c>
    </x:row>
    <x:row r="134" ht="26" customHeight="1">
      <x:c r="A134" s="317"/>
      <x:c r="B134" s="318"/>
      <x:c r="C134" s="235"/>
      <x:c r="D134" s="235"/>
      <x:c r="E134" s="235"/>
      <x:c r="F134" s="235"/>
      <x:c r="G134" s="235"/>
      <x:c r="H134" s="235"/>
      <x:c r="I134" s="235"/>
      <x:c r="J134" s="376"/>
      <x:c r="K134" s="342"/>
      <x:c r="L134" s="236"/>
      <x:c r="M134" s="235"/>
      <x:c r="N134" s="235"/>
      <x:c r="O134" s="235"/>
      <x:c r="P134" s="238"/>
      <x:c r="Q134" s="376"/>
      <x:c r="R134" s="236"/>
      <x:c r="S134" s="238"/>
      <x:c r="T134" s="235"/>
      <x:c r="U134" s="235"/>
      <x:c r="V134" s="238"/>
      <x:c r="W134" s="235"/>
      <x:c r="X134" s="235"/>
      <x:c r="Y134" s="235"/>
      <x:c r="Z134" s="315" t="str">
        <x:f>IF(A134="","",IF(M134&lt;&gt;"Available","",IF(S134="","Verify availability",IF(TODAY()-S134&gt;14,"Recheck listing",""))))</x:f>
      </x:c>
      <x:c r="AA134" s="265" t="str">
        <x:f>IF(A134="","",IF(AND(M134&lt;&gt;"Available",M134&lt;&gt;"Reserved"),"",IF(ISNUMBER(V134),IF(V134&lt;TODAY(),"Expired",IF(V134&lt;=TODAY()+30,"Expires within 30 days","Current")),IF(U134&lt;&gt;"","Add expiry date","Not recorded"))))</x:f>
      </x:c>
      <x:c r="AB134" s="315" t="str">
        <x:f>IF(A134="","",IF(COUNTIFS($A$6:$A$205,A134)&gt;1,"Duplicate ID",IF(B134="","Add listing title",IF(OR(C134="",COUNTIFS('Contacts'!$A$6:$A$205,C134)&lt;&gt;1),"Check Contact ID",IF(D134="","Select sale or rental",IF(M134="","Set listing status",IF(OR(NOT(ISNUMBER(L134)),L134&lt;=0),"Add positive asking price","")))))))</x:f>
      </x:c>
    </x:row>
    <x:row r="135" ht="26" customHeight="1">
      <x:c r="A135" s="319"/>
      <x:c r="B135" s="320"/>
      <x:c r="C135" s="274"/>
      <x:c r="D135" s="274"/>
      <x:c r="E135" s="274"/>
      <x:c r="F135" s="274"/>
      <x:c r="G135" s="274"/>
      <x:c r="H135" s="274"/>
      <x:c r="I135" s="274"/>
      <x:c r="J135" s="377"/>
      <x:c r="K135" s="344"/>
      <x:c r="L135" s="302"/>
      <x:c r="M135" s="274"/>
      <x:c r="N135" s="274"/>
      <x:c r="O135" s="274"/>
      <x:c r="P135" s="304"/>
      <x:c r="Q135" s="377"/>
      <x:c r="R135" s="302"/>
      <x:c r="S135" s="304"/>
      <x:c r="T135" s="274"/>
      <x:c r="U135" s="274"/>
      <x:c r="V135" s="304"/>
      <x:c r="W135" s="274"/>
      <x:c r="X135" s="274"/>
      <x:c r="Y135" s="274"/>
      <x:c r="Z135" s="315" t="str">
        <x:f>IF(A135="","",IF(M135&lt;&gt;"Available","",IF(S135="","Verify availability",IF(TODAY()-S135&gt;14,"Recheck listing",""))))</x:f>
      </x:c>
      <x:c r="AA135" s="265" t="str">
        <x:f>IF(A135="","",IF(AND(M135&lt;&gt;"Available",M135&lt;&gt;"Reserved"),"",IF(ISNUMBER(V135),IF(V135&lt;TODAY(),"Expired",IF(V135&lt;=TODAY()+30,"Expires within 30 days","Current")),IF(U135&lt;&gt;"","Add expiry date","Not recorded"))))</x:f>
      </x:c>
      <x:c r="AB135" s="315" t="str">
        <x:f>IF(A135="","",IF(COUNTIFS($A$6:$A$205,A135)&gt;1,"Duplicate ID",IF(B135="","Add listing title",IF(OR(C135="",COUNTIFS('Contacts'!$A$6:$A$205,C135)&lt;&gt;1),"Check Contact ID",IF(D135="","Select sale or rental",IF(M135="","Set listing status",IF(OR(NOT(ISNUMBER(L135)),L135&lt;=0),"Add positive asking price","")))))))</x:f>
      </x:c>
    </x:row>
    <x:row r="136" ht="26" customHeight="1">
      <x:c r="A136" s="317"/>
      <x:c r="B136" s="318"/>
      <x:c r="C136" s="235"/>
      <x:c r="D136" s="235"/>
      <x:c r="E136" s="235"/>
      <x:c r="F136" s="235"/>
      <x:c r="G136" s="235"/>
      <x:c r="H136" s="235"/>
      <x:c r="I136" s="235"/>
      <x:c r="J136" s="376"/>
      <x:c r="K136" s="342"/>
      <x:c r="L136" s="236"/>
      <x:c r="M136" s="235"/>
      <x:c r="N136" s="235"/>
      <x:c r="O136" s="235"/>
      <x:c r="P136" s="238"/>
      <x:c r="Q136" s="376"/>
      <x:c r="R136" s="236"/>
      <x:c r="S136" s="238"/>
      <x:c r="T136" s="235"/>
      <x:c r="U136" s="235"/>
      <x:c r="V136" s="238"/>
      <x:c r="W136" s="235"/>
      <x:c r="X136" s="235"/>
      <x:c r="Y136" s="235"/>
      <x:c r="Z136" s="315" t="str">
        <x:f>IF(A136="","",IF(M136&lt;&gt;"Available","",IF(S136="","Verify availability",IF(TODAY()-S136&gt;14,"Recheck listing",""))))</x:f>
      </x:c>
      <x:c r="AA136" s="265" t="str">
        <x:f>IF(A136="","",IF(AND(M136&lt;&gt;"Available",M136&lt;&gt;"Reserved"),"",IF(ISNUMBER(V136),IF(V136&lt;TODAY(),"Expired",IF(V136&lt;=TODAY()+30,"Expires within 30 days","Current")),IF(U136&lt;&gt;"","Add expiry date","Not recorded"))))</x:f>
      </x:c>
      <x:c r="AB136" s="315" t="str">
        <x:f>IF(A136="","",IF(COUNTIFS($A$6:$A$205,A136)&gt;1,"Duplicate ID",IF(B136="","Add listing title",IF(OR(C136="",COUNTIFS('Contacts'!$A$6:$A$205,C136)&lt;&gt;1),"Check Contact ID",IF(D136="","Select sale or rental",IF(M136="","Set listing status",IF(OR(NOT(ISNUMBER(L136)),L136&lt;=0),"Add positive asking price","")))))))</x:f>
      </x:c>
    </x:row>
    <x:row r="137" ht="26" customHeight="1">
      <x:c r="A137" s="319"/>
      <x:c r="B137" s="320"/>
      <x:c r="C137" s="274"/>
      <x:c r="D137" s="274"/>
      <x:c r="E137" s="274"/>
      <x:c r="F137" s="274"/>
      <x:c r="G137" s="274"/>
      <x:c r="H137" s="274"/>
      <x:c r="I137" s="274"/>
      <x:c r="J137" s="377"/>
      <x:c r="K137" s="344"/>
      <x:c r="L137" s="302"/>
      <x:c r="M137" s="274"/>
      <x:c r="N137" s="274"/>
      <x:c r="O137" s="274"/>
      <x:c r="P137" s="304"/>
      <x:c r="Q137" s="377"/>
      <x:c r="R137" s="302"/>
      <x:c r="S137" s="304"/>
      <x:c r="T137" s="274"/>
      <x:c r="U137" s="274"/>
      <x:c r="V137" s="304"/>
      <x:c r="W137" s="274"/>
      <x:c r="X137" s="274"/>
      <x:c r="Y137" s="274"/>
      <x:c r="Z137" s="315" t="str">
        <x:f>IF(A137="","",IF(M137&lt;&gt;"Available","",IF(S137="","Verify availability",IF(TODAY()-S137&gt;14,"Recheck listing",""))))</x:f>
      </x:c>
      <x:c r="AA137" s="265" t="str">
        <x:f>IF(A137="","",IF(AND(M137&lt;&gt;"Available",M137&lt;&gt;"Reserved"),"",IF(ISNUMBER(V137),IF(V137&lt;TODAY(),"Expired",IF(V137&lt;=TODAY()+30,"Expires within 30 days","Current")),IF(U137&lt;&gt;"","Add expiry date","Not recorded"))))</x:f>
      </x:c>
      <x:c r="AB137" s="315" t="str">
        <x:f>IF(A137="","",IF(COUNTIFS($A$6:$A$205,A137)&gt;1,"Duplicate ID",IF(B137="","Add listing title",IF(OR(C137="",COUNTIFS('Contacts'!$A$6:$A$205,C137)&lt;&gt;1),"Check Contact ID",IF(D137="","Select sale or rental",IF(M137="","Set listing status",IF(OR(NOT(ISNUMBER(L137)),L137&lt;=0),"Add positive asking price","")))))))</x:f>
      </x:c>
    </x:row>
    <x:row r="138" ht="26" customHeight="1">
      <x:c r="A138" s="317"/>
      <x:c r="B138" s="318"/>
      <x:c r="C138" s="235"/>
      <x:c r="D138" s="235"/>
      <x:c r="E138" s="235"/>
      <x:c r="F138" s="235"/>
      <x:c r="G138" s="235"/>
      <x:c r="H138" s="235"/>
      <x:c r="I138" s="235"/>
      <x:c r="J138" s="376"/>
      <x:c r="K138" s="342"/>
      <x:c r="L138" s="236"/>
      <x:c r="M138" s="235"/>
      <x:c r="N138" s="235"/>
      <x:c r="O138" s="235"/>
      <x:c r="P138" s="238"/>
      <x:c r="Q138" s="376"/>
      <x:c r="R138" s="236"/>
      <x:c r="S138" s="238"/>
      <x:c r="T138" s="235"/>
      <x:c r="U138" s="235"/>
      <x:c r="V138" s="238"/>
      <x:c r="W138" s="235"/>
      <x:c r="X138" s="235"/>
      <x:c r="Y138" s="235"/>
      <x:c r="Z138" s="315" t="str">
        <x:f>IF(A138="","",IF(M138&lt;&gt;"Available","",IF(S138="","Verify availability",IF(TODAY()-S138&gt;14,"Recheck listing",""))))</x:f>
      </x:c>
      <x:c r="AA138" s="265" t="str">
        <x:f>IF(A138="","",IF(AND(M138&lt;&gt;"Available",M138&lt;&gt;"Reserved"),"",IF(ISNUMBER(V138),IF(V138&lt;TODAY(),"Expired",IF(V138&lt;=TODAY()+30,"Expires within 30 days","Current")),IF(U138&lt;&gt;"","Add expiry date","Not recorded"))))</x:f>
      </x:c>
      <x:c r="AB138" s="315" t="str">
        <x:f>IF(A138="","",IF(COUNTIFS($A$6:$A$205,A138)&gt;1,"Duplicate ID",IF(B138="","Add listing title",IF(OR(C138="",COUNTIFS('Contacts'!$A$6:$A$205,C138)&lt;&gt;1),"Check Contact ID",IF(D138="","Select sale or rental",IF(M138="","Set listing status",IF(OR(NOT(ISNUMBER(L138)),L138&lt;=0),"Add positive asking price","")))))))</x:f>
      </x:c>
    </x:row>
    <x:row r="139" ht="26" customHeight="1">
      <x:c r="A139" s="319"/>
      <x:c r="B139" s="320"/>
      <x:c r="C139" s="274"/>
      <x:c r="D139" s="274"/>
      <x:c r="E139" s="274"/>
      <x:c r="F139" s="274"/>
      <x:c r="G139" s="274"/>
      <x:c r="H139" s="274"/>
      <x:c r="I139" s="274"/>
      <x:c r="J139" s="377"/>
      <x:c r="K139" s="344"/>
      <x:c r="L139" s="302"/>
      <x:c r="M139" s="274"/>
      <x:c r="N139" s="274"/>
      <x:c r="O139" s="274"/>
      <x:c r="P139" s="304"/>
      <x:c r="Q139" s="377"/>
      <x:c r="R139" s="302"/>
      <x:c r="S139" s="304"/>
      <x:c r="T139" s="274"/>
      <x:c r="U139" s="274"/>
      <x:c r="V139" s="304"/>
      <x:c r="W139" s="274"/>
      <x:c r="X139" s="274"/>
      <x:c r="Y139" s="274"/>
      <x:c r="Z139" s="315" t="str">
        <x:f>IF(A139="","",IF(M139&lt;&gt;"Available","",IF(S139="","Verify availability",IF(TODAY()-S139&gt;14,"Recheck listing",""))))</x:f>
      </x:c>
      <x:c r="AA139" s="265" t="str">
        <x:f>IF(A139="","",IF(AND(M139&lt;&gt;"Available",M139&lt;&gt;"Reserved"),"",IF(ISNUMBER(V139),IF(V139&lt;TODAY(),"Expired",IF(V139&lt;=TODAY()+30,"Expires within 30 days","Current")),IF(U139&lt;&gt;"","Add expiry date","Not recorded"))))</x:f>
      </x:c>
      <x:c r="AB139" s="315" t="str">
        <x:f>IF(A139="","",IF(COUNTIFS($A$6:$A$205,A139)&gt;1,"Duplicate ID",IF(B139="","Add listing title",IF(OR(C139="",COUNTIFS('Contacts'!$A$6:$A$205,C139)&lt;&gt;1),"Check Contact ID",IF(D139="","Select sale or rental",IF(M139="","Set listing status",IF(OR(NOT(ISNUMBER(L139)),L139&lt;=0),"Add positive asking price","")))))))</x:f>
      </x:c>
    </x:row>
    <x:row r="140" ht="26" customHeight="1">
      <x:c r="A140" s="317"/>
      <x:c r="B140" s="318"/>
      <x:c r="C140" s="235"/>
      <x:c r="D140" s="235"/>
      <x:c r="E140" s="235"/>
      <x:c r="F140" s="235"/>
      <x:c r="G140" s="235"/>
      <x:c r="H140" s="235"/>
      <x:c r="I140" s="235"/>
      <x:c r="J140" s="376"/>
      <x:c r="K140" s="342"/>
      <x:c r="L140" s="236"/>
      <x:c r="M140" s="235"/>
      <x:c r="N140" s="235"/>
      <x:c r="O140" s="235"/>
      <x:c r="P140" s="238"/>
      <x:c r="Q140" s="376"/>
      <x:c r="R140" s="236"/>
      <x:c r="S140" s="238"/>
      <x:c r="T140" s="235"/>
      <x:c r="U140" s="235"/>
      <x:c r="V140" s="238"/>
      <x:c r="W140" s="235"/>
      <x:c r="X140" s="235"/>
      <x:c r="Y140" s="235"/>
      <x:c r="Z140" s="315" t="str">
        <x:f>IF(A140="","",IF(M140&lt;&gt;"Available","",IF(S140="","Verify availability",IF(TODAY()-S140&gt;14,"Recheck listing",""))))</x:f>
      </x:c>
      <x:c r="AA140" s="265" t="str">
        <x:f>IF(A140="","",IF(AND(M140&lt;&gt;"Available",M140&lt;&gt;"Reserved"),"",IF(ISNUMBER(V140),IF(V140&lt;TODAY(),"Expired",IF(V140&lt;=TODAY()+30,"Expires within 30 days","Current")),IF(U140&lt;&gt;"","Add expiry date","Not recorded"))))</x:f>
      </x:c>
      <x:c r="AB140" s="315" t="str">
        <x:f>IF(A140="","",IF(COUNTIFS($A$6:$A$205,A140)&gt;1,"Duplicate ID",IF(B140="","Add listing title",IF(OR(C140="",COUNTIFS('Contacts'!$A$6:$A$205,C140)&lt;&gt;1),"Check Contact ID",IF(D140="","Select sale or rental",IF(M140="","Set listing status",IF(OR(NOT(ISNUMBER(L140)),L140&lt;=0),"Add positive asking price","")))))))</x:f>
      </x:c>
    </x:row>
    <x:row r="141" ht="26" customHeight="1">
      <x:c r="A141" s="319"/>
      <x:c r="B141" s="320"/>
      <x:c r="C141" s="274"/>
      <x:c r="D141" s="274"/>
      <x:c r="E141" s="274"/>
      <x:c r="F141" s="274"/>
      <x:c r="G141" s="274"/>
      <x:c r="H141" s="274"/>
      <x:c r="I141" s="274"/>
      <x:c r="J141" s="377"/>
      <x:c r="K141" s="344"/>
      <x:c r="L141" s="302"/>
      <x:c r="M141" s="274"/>
      <x:c r="N141" s="274"/>
      <x:c r="O141" s="274"/>
      <x:c r="P141" s="304"/>
      <x:c r="Q141" s="377"/>
      <x:c r="R141" s="302"/>
      <x:c r="S141" s="304"/>
      <x:c r="T141" s="274"/>
      <x:c r="U141" s="274"/>
      <x:c r="V141" s="304"/>
      <x:c r="W141" s="274"/>
      <x:c r="X141" s="274"/>
      <x:c r="Y141" s="274"/>
      <x:c r="Z141" s="315" t="str">
        <x:f>IF(A141="","",IF(M141&lt;&gt;"Available","",IF(S141="","Verify availability",IF(TODAY()-S141&gt;14,"Recheck listing",""))))</x:f>
      </x:c>
      <x:c r="AA141" s="265" t="str">
        <x:f>IF(A141="","",IF(AND(M141&lt;&gt;"Available",M141&lt;&gt;"Reserved"),"",IF(ISNUMBER(V141),IF(V141&lt;TODAY(),"Expired",IF(V141&lt;=TODAY()+30,"Expires within 30 days","Current")),IF(U141&lt;&gt;"","Add expiry date","Not recorded"))))</x:f>
      </x:c>
      <x:c r="AB141" s="315" t="str">
        <x:f>IF(A141="","",IF(COUNTIFS($A$6:$A$205,A141)&gt;1,"Duplicate ID",IF(B141="","Add listing title",IF(OR(C141="",COUNTIFS('Contacts'!$A$6:$A$205,C141)&lt;&gt;1),"Check Contact ID",IF(D141="","Select sale or rental",IF(M141="","Set listing status",IF(OR(NOT(ISNUMBER(L141)),L141&lt;=0),"Add positive asking price","")))))))</x:f>
      </x:c>
    </x:row>
    <x:row r="142" ht="26" customHeight="1">
      <x:c r="A142" s="317"/>
      <x:c r="B142" s="318"/>
      <x:c r="C142" s="235"/>
      <x:c r="D142" s="235"/>
      <x:c r="E142" s="235"/>
      <x:c r="F142" s="235"/>
      <x:c r="G142" s="235"/>
      <x:c r="H142" s="235"/>
      <x:c r="I142" s="235"/>
      <x:c r="J142" s="376"/>
      <x:c r="K142" s="342"/>
      <x:c r="L142" s="236"/>
      <x:c r="M142" s="235"/>
      <x:c r="N142" s="235"/>
      <x:c r="O142" s="235"/>
      <x:c r="P142" s="238"/>
      <x:c r="Q142" s="376"/>
      <x:c r="R142" s="236"/>
      <x:c r="S142" s="238"/>
      <x:c r="T142" s="235"/>
      <x:c r="U142" s="235"/>
      <x:c r="V142" s="238"/>
      <x:c r="W142" s="235"/>
      <x:c r="X142" s="235"/>
      <x:c r="Y142" s="235"/>
      <x:c r="Z142" s="315" t="str">
        <x:f>IF(A142="","",IF(M142&lt;&gt;"Available","",IF(S142="","Verify availability",IF(TODAY()-S142&gt;14,"Recheck listing",""))))</x:f>
      </x:c>
      <x:c r="AA142" s="265" t="str">
        <x:f>IF(A142="","",IF(AND(M142&lt;&gt;"Available",M142&lt;&gt;"Reserved"),"",IF(ISNUMBER(V142),IF(V142&lt;TODAY(),"Expired",IF(V142&lt;=TODAY()+30,"Expires within 30 days","Current")),IF(U142&lt;&gt;"","Add expiry date","Not recorded"))))</x:f>
      </x:c>
      <x:c r="AB142" s="315" t="str">
        <x:f>IF(A142="","",IF(COUNTIFS($A$6:$A$205,A142)&gt;1,"Duplicate ID",IF(B142="","Add listing title",IF(OR(C142="",COUNTIFS('Contacts'!$A$6:$A$205,C142)&lt;&gt;1),"Check Contact ID",IF(D142="","Select sale or rental",IF(M142="","Set listing status",IF(OR(NOT(ISNUMBER(L142)),L142&lt;=0),"Add positive asking price","")))))))</x:f>
      </x:c>
    </x:row>
    <x:row r="143" ht="26" customHeight="1">
      <x:c r="A143" s="319"/>
      <x:c r="B143" s="320"/>
      <x:c r="C143" s="274"/>
      <x:c r="D143" s="274"/>
      <x:c r="E143" s="274"/>
      <x:c r="F143" s="274"/>
      <x:c r="G143" s="274"/>
      <x:c r="H143" s="274"/>
      <x:c r="I143" s="274"/>
      <x:c r="J143" s="377"/>
      <x:c r="K143" s="344"/>
      <x:c r="L143" s="302"/>
      <x:c r="M143" s="274"/>
      <x:c r="N143" s="274"/>
      <x:c r="O143" s="274"/>
      <x:c r="P143" s="304"/>
      <x:c r="Q143" s="377"/>
      <x:c r="R143" s="302"/>
      <x:c r="S143" s="304"/>
      <x:c r="T143" s="274"/>
      <x:c r="U143" s="274"/>
      <x:c r="V143" s="304"/>
      <x:c r="W143" s="274"/>
      <x:c r="X143" s="274"/>
      <x:c r="Y143" s="274"/>
      <x:c r="Z143" s="315" t="str">
        <x:f>IF(A143="","",IF(M143&lt;&gt;"Available","",IF(S143="","Verify availability",IF(TODAY()-S143&gt;14,"Recheck listing",""))))</x:f>
      </x:c>
      <x:c r="AA143" s="265" t="str">
        <x:f>IF(A143="","",IF(AND(M143&lt;&gt;"Available",M143&lt;&gt;"Reserved"),"",IF(ISNUMBER(V143),IF(V143&lt;TODAY(),"Expired",IF(V143&lt;=TODAY()+30,"Expires within 30 days","Current")),IF(U143&lt;&gt;"","Add expiry date","Not recorded"))))</x:f>
      </x:c>
      <x:c r="AB143" s="315" t="str">
        <x:f>IF(A143="","",IF(COUNTIFS($A$6:$A$205,A143)&gt;1,"Duplicate ID",IF(B143="","Add listing title",IF(OR(C143="",COUNTIFS('Contacts'!$A$6:$A$205,C143)&lt;&gt;1),"Check Contact ID",IF(D143="","Select sale or rental",IF(M143="","Set listing status",IF(OR(NOT(ISNUMBER(L143)),L143&lt;=0),"Add positive asking price","")))))))</x:f>
      </x:c>
    </x:row>
    <x:row r="144" ht="26" customHeight="1">
      <x:c r="A144" s="317"/>
      <x:c r="B144" s="318"/>
      <x:c r="C144" s="235"/>
      <x:c r="D144" s="235"/>
      <x:c r="E144" s="235"/>
      <x:c r="F144" s="235"/>
      <x:c r="G144" s="235"/>
      <x:c r="H144" s="235"/>
      <x:c r="I144" s="235"/>
      <x:c r="J144" s="376"/>
      <x:c r="K144" s="342"/>
      <x:c r="L144" s="236"/>
      <x:c r="M144" s="235"/>
      <x:c r="N144" s="235"/>
      <x:c r="O144" s="235"/>
      <x:c r="P144" s="238"/>
      <x:c r="Q144" s="376"/>
      <x:c r="R144" s="236"/>
      <x:c r="S144" s="238"/>
      <x:c r="T144" s="235"/>
      <x:c r="U144" s="235"/>
      <x:c r="V144" s="238"/>
      <x:c r="W144" s="235"/>
      <x:c r="X144" s="235"/>
      <x:c r="Y144" s="235"/>
      <x:c r="Z144" s="315" t="str">
        <x:f>IF(A144="","",IF(M144&lt;&gt;"Available","",IF(S144="","Verify availability",IF(TODAY()-S144&gt;14,"Recheck listing",""))))</x:f>
      </x:c>
      <x:c r="AA144" s="265" t="str">
        <x:f>IF(A144="","",IF(AND(M144&lt;&gt;"Available",M144&lt;&gt;"Reserved"),"",IF(ISNUMBER(V144),IF(V144&lt;TODAY(),"Expired",IF(V144&lt;=TODAY()+30,"Expires within 30 days","Current")),IF(U144&lt;&gt;"","Add expiry date","Not recorded"))))</x:f>
      </x:c>
      <x:c r="AB144" s="315" t="str">
        <x:f>IF(A144="","",IF(COUNTIFS($A$6:$A$205,A144)&gt;1,"Duplicate ID",IF(B144="","Add listing title",IF(OR(C144="",COUNTIFS('Contacts'!$A$6:$A$205,C144)&lt;&gt;1),"Check Contact ID",IF(D144="","Select sale or rental",IF(M144="","Set listing status",IF(OR(NOT(ISNUMBER(L144)),L144&lt;=0),"Add positive asking price","")))))))</x:f>
      </x:c>
    </x:row>
    <x:row r="145" ht="26" customHeight="1">
      <x:c r="A145" s="319"/>
      <x:c r="B145" s="320"/>
      <x:c r="C145" s="274"/>
      <x:c r="D145" s="274"/>
      <x:c r="E145" s="274"/>
      <x:c r="F145" s="274"/>
      <x:c r="G145" s="274"/>
      <x:c r="H145" s="274"/>
      <x:c r="I145" s="274"/>
      <x:c r="J145" s="377"/>
      <x:c r="K145" s="344"/>
      <x:c r="L145" s="302"/>
      <x:c r="M145" s="274"/>
      <x:c r="N145" s="274"/>
      <x:c r="O145" s="274"/>
      <x:c r="P145" s="304"/>
      <x:c r="Q145" s="377"/>
      <x:c r="R145" s="302"/>
      <x:c r="S145" s="304"/>
      <x:c r="T145" s="274"/>
      <x:c r="U145" s="274"/>
      <x:c r="V145" s="304"/>
      <x:c r="W145" s="274"/>
      <x:c r="X145" s="274"/>
      <x:c r="Y145" s="274"/>
      <x:c r="Z145" s="315" t="str">
        <x:f>IF(A145="","",IF(M145&lt;&gt;"Available","",IF(S145="","Verify availability",IF(TODAY()-S145&gt;14,"Recheck listing",""))))</x:f>
      </x:c>
      <x:c r="AA145" s="265" t="str">
        <x:f>IF(A145="","",IF(AND(M145&lt;&gt;"Available",M145&lt;&gt;"Reserved"),"",IF(ISNUMBER(V145),IF(V145&lt;TODAY(),"Expired",IF(V145&lt;=TODAY()+30,"Expires within 30 days","Current")),IF(U145&lt;&gt;"","Add expiry date","Not recorded"))))</x:f>
      </x:c>
      <x:c r="AB145" s="315" t="str">
        <x:f>IF(A145="","",IF(COUNTIFS($A$6:$A$205,A145)&gt;1,"Duplicate ID",IF(B145="","Add listing title",IF(OR(C145="",COUNTIFS('Contacts'!$A$6:$A$205,C145)&lt;&gt;1),"Check Contact ID",IF(D145="","Select sale or rental",IF(M145="","Set listing status",IF(OR(NOT(ISNUMBER(L145)),L145&lt;=0),"Add positive asking price","")))))))</x:f>
      </x:c>
    </x:row>
    <x:row r="146" ht="26" customHeight="1">
      <x:c r="A146" s="317"/>
      <x:c r="B146" s="318"/>
      <x:c r="C146" s="235"/>
      <x:c r="D146" s="235"/>
      <x:c r="E146" s="235"/>
      <x:c r="F146" s="235"/>
      <x:c r="G146" s="235"/>
      <x:c r="H146" s="235"/>
      <x:c r="I146" s="235"/>
      <x:c r="J146" s="376"/>
      <x:c r="K146" s="342"/>
      <x:c r="L146" s="236"/>
      <x:c r="M146" s="235"/>
      <x:c r="N146" s="235"/>
      <x:c r="O146" s="235"/>
      <x:c r="P146" s="238"/>
      <x:c r="Q146" s="376"/>
      <x:c r="R146" s="236"/>
      <x:c r="S146" s="238"/>
      <x:c r="T146" s="235"/>
      <x:c r="U146" s="235"/>
      <x:c r="V146" s="238"/>
      <x:c r="W146" s="235"/>
      <x:c r="X146" s="235"/>
      <x:c r="Y146" s="235"/>
      <x:c r="Z146" s="315" t="str">
        <x:f>IF(A146="","",IF(M146&lt;&gt;"Available","",IF(S146="","Verify availability",IF(TODAY()-S146&gt;14,"Recheck listing",""))))</x:f>
      </x:c>
      <x:c r="AA146" s="265" t="str">
        <x:f>IF(A146="","",IF(AND(M146&lt;&gt;"Available",M146&lt;&gt;"Reserved"),"",IF(ISNUMBER(V146),IF(V146&lt;TODAY(),"Expired",IF(V146&lt;=TODAY()+30,"Expires within 30 days","Current")),IF(U146&lt;&gt;"","Add expiry date","Not recorded"))))</x:f>
      </x:c>
      <x:c r="AB146" s="315" t="str">
        <x:f>IF(A146="","",IF(COUNTIFS($A$6:$A$205,A146)&gt;1,"Duplicate ID",IF(B146="","Add listing title",IF(OR(C146="",COUNTIFS('Contacts'!$A$6:$A$205,C146)&lt;&gt;1),"Check Contact ID",IF(D146="","Select sale or rental",IF(M146="","Set listing status",IF(OR(NOT(ISNUMBER(L146)),L146&lt;=0),"Add positive asking price","")))))))</x:f>
      </x:c>
    </x:row>
    <x:row r="147" ht="26" customHeight="1">
      <x:c r="A147" s="319"/>
      <x:c r="B147" s="320"/>
      <x:c r="C147" s="274"/>
      <x:c r="D147" s="274"/>
      <x:c r="E147" s="274"/>
      <x:c r="F147" s="274"/>
      <x:c r="G147" s="274"/>
      <x:c r="H147" s="274"/>
      <x:c r="I147" s="274"/>
      <x:c r="J147" s="377"/>
      <x:c r="K147" s="344"/>
      <x:c r="L147" s="302"/>
      <x:c r="M147" s="274"/>
      <x:c r="N147" s="274"/>
      <x:c r="O147" s="274"/>
      <x:c r="P147" s="304"/>
      <x:c r="Q147" s="377"/>
      <x:c r="R147" s="302"/>
      <x:c r="S147" s="304"/>
      <x:c r="T147" s="274"/>
      <x:c r="U147" s="274"/>
      <x:c r="V147" s="304"/>
      <x:c r="W147" s="274"/>
      <x:c r="X147" s="274"/>
      <x:c r="Y147" s="274"/>
      <x:c r="Z147" s="315" t="str">
        <x:f>IF(A147="","",IF(M147&lt;&gt;"Available","",IF(S147="","Verify availability",IF(TODAY()-S147&gt;14,"Recheck listing",""))))</x:f>
      </x:c>
      <x:c r="AA147" s="265" t="str">
        <x:f>IF(A147="","",IF(AND(M147&lt;&gt;"Available",M147&lt;&gt;"Reserved"),"",IF(ISNUMBER(V147),IF(V147&lt;TODAY(),"Expired",IF(V147&lt;=TODAY()+30,"Expires within 30 days","Current")),IF(U147&lt;&gt;"","Add expiry date","Not recorded"))))</x:f>
      </x:c>
      <x:c r="AB147" s="315" t="str">
        <x:f>IF(A147="","",IF(COUNTIFS($A$6:$A$205,A147)&gt;1,"Duplicate ID",IF(B147="","Add listing title",IF(OR(C147="",COUNTIFS('Contacts'!$A$6:$A$205,C147)&lt;&gt;1),"Check Contact ID",IF(D147="","Select sale or rental",IF(M147="","Set listing status",IF(OR(NOT(ISNUMBER(L147)),L147&lt;=0),"Add positive asking price","")))))))</x:f>
      </x:c>
    </x:row>
    <x:row r="148" ht="26" customHeight="1">
      <x:c r="A148" s="317"/>
      <x:c r="B148" s="318"/>
      <x:c r="C148" s="235"/>
      <x:c r="D148" s="235"/>
      <x:c r="E148" s="235"/>
      <x:c r="F148" s="235"/>
      <x:c r="G148" s="235"/>
      <x:c r="H148" s="235"/>
      <x:c r="I148" s="235"/>
      <x:c r="J148" s="376"/>
      <x:c r="K148" s="342"/>
      <x:c r="L148" s="236"/>
      <x:c r="M148" s="235"/>
      <x:c r="N148" s="235"/>
      <x:c r="O148" s="235"/>
      <x:c r="P148" s="238"/>
      <x:c r="Q148" s="376"/>
      <x:c r="R148" s="236"/>
      <x:c r="S148" s="238"/>
      <x:c r="T148" s="235"/>
      <x:c r="U148" s="235"/>
      <x:c r="V148" s="238"/>
      <x:c r="W148" s="235"/>
      <x:c r="X148" s="235"/>
      <x:c r="Y148" s="235"/>
      <x:c r="Z148" s="315" t="str">
        <x:f>IF(A148="","",IF(M148&lt;&gt;"Available","",IF(S148="","Verify availability",IF(TODAY()-S148&gt;14,"Recheck listing",""))))</x:f>
      </x:c>
      <x:c r="AA148" s="265" t="str">
        <x:f>IF(A148="","",IF(AND(M148&lt;&gt;"Available",M148&lt;&gt;"Reserved"),"",IF(ISNUMBER(V148),IF(V148&lt;TODAY(),"Expired",IF(V148&lt;=TODAY()+30,"Expires within 30 days","Current")),IF(U148&lt;&gt;"","Add expiry date","Not recorded"))))</x:f>
      </x:c>
      <x:c r="AB148" s="315" t="str">
        <x:f>IF(A148="","",IF(COUNTIFS($A$6:$A$205,A148)&gt;1,"Duplicate ID",IF(B148="","Add listing title",IF(OR(C148="",COUNTIFS('Contacts'!$A$6:$A$205,C148)&lt;&gt;1),"Check Contact ID",IF(D148="","Select sale or rental",IF(M148="","Set listing status",IF(OR(NOT(ISNUMBER(L148)),L148&lt;=0),"Add positive asking price","")))))))</x:f>
      </x:c>
    </x:row>
    <x:row r="149" ht="26" customHeight="1">
      <x:c r="A149" s="319"/>
      <x:c r="B149" s="320"/>
      <x:c r="C149" s="274"/>
      <x:c r="D149" s="274"/>
      <x:c r="E149" s="274"/>
      <x:c r="F149" s="274"/>
      <x:c r="G149" s="274"/>
      <x:c r="H149" s="274"/>
      <x:c r="I149" s="274"/>
      <x:c r="J149" s="377"/>
      <x:c r="K149" s="344"/>
      <x:c r="L149" s="302"/>
      <x:c r="M149" s="274"/>
      <x:c r="N149" s="274"/>
      <x:c r="O149" s="274"/>
      <x:c r="P149" s="304"/>
      <x:c r="Q149" s="377"/>
      <x:c r="R149" s="302"/>
      <x:c r="S149" s="304"/>
      <x:c r="T149" s="274"/>
      <x:c r="U149" s="274"/>
      <x:c r="V149" s="304"/>
      <x:c r="W149" s="274"/>
      <x:c r="X149" s="274"/>
      <x:c r="Y149" s="274"/>
      <x:c r="Z149" s="315" t="str">
        <x:f>IF(A149="","",IF(M149&lt;&gt;"Available","",IF(S149="","Verify availability",IF(TODAY()-S149&gt;14,"Recheck listing",""))))</x:f>
      </x:c>
      <x:c r="AA149" s="265" t="str">
        <x:f>IF(A149="","",IF(AND(M149&lt;&gt;"Available",M149&lt;&gt;"Reserved"),"",IF(ISNUMBER(V149),IF(V149&lt;TODAY(),"Expired",IF(V149&lt;=TODAY()+30,"Expires within 30 days","Current")),IF(U149&lt;&gt;"","Add expiry date","Not recorded"))))</x:f>
      </x:c>
      <x:c r="AB149" s="315" t="str">
        <x:f>IF(A149="","",IF(COUNTIFS($A$6:$A$205,A149)&gt;1,"Duplicate ID",IF(B149="","Add listing title",IF(OR(C149="",COUNTIFS('Contacts'!$A$6:$A$205,C149)&lt;&gt;1),"Check Contact ID",IF(D149="","Select sale or rental",IF(M149="","Set listing status",IF(OR(NOT(ISNUMBER(L149)),L149&lt;=0),"Add positive asking price","")))))))</x:f>
      </x:c>
    </x:row>
    <x:row r="150" ht="26" customHeight="1">
      <x:c r="A150" s="317"/>
      <x:c r="B150" s="318"/>
      <x:c r="C150" s="235"/>
      <x:c r="D150" s="235"/>
      <x:c r="E150" s="235"/>
      <x:c r="F150" s="235"/>
      <x:c r="G150" s="235"/>
      <x:c r="H150" s="235"/>
      <x:c r="I150" s="235"/>
      <x:c r="J150" s="376"/>
      <x:c r="K150" s="342"/>
      <x:c r="L150" s="236"/>
      <x:c r="M150" s="235"/>
      <x:c r="N150" s="235"/>
      <x:c r="O150" s="235"/>
      <x:c r="P150" s="238"/>
      <x:c r="Q150" s="376"/>
      <x:c r="R150" s="236"/>
      <x:c r="S150" s="238"/>
      <x:c r="T150" s="235"/>
      <x:c r="U150" s="235"/>
      <x:c r="V150" s="238"/>
      <x:c r="W150" s="235"/>
      <x:c r="X150" s="235"/>
      <x:c r="Y150" s="235"/>
      <x:c r="Z150" s="315" t="str">
        <x:f>IF(A150="","",IF(M150&lt;&gt;"Available","",IF(S150="","Verify availability",IF(TODAY()-S150&gt;14,"Recheck listing",""))))</x:f>
      </x:c>
      <x:c r="AA150" s="265" t="str">
        <x:f>IF(A150="","",IF(AND(M150&lt;&gt;"Available",M150&lt;&gt;"Reserved"),"",IF(ISNUMBER(V150),IF(V150&lt;TODAY(),"Expired",IF(V150&lt;=TODAY()+30,"Expires within 30 days","Current")),IF(U150&lt;&gt;"","Add expiry date","Not recorded"))))</x:f>
      </x:c>
      <x:c r="AB150" s="315" t="str">
        <x:f>IF(A150="","",IF(COUNTIFS($A$6:$A$205,A150)&gt;1,"Duplicate ID",IF(B150="","Add listing title",IF(OR(C150="",COUNTIFS('Contacts'!$A$6:$A$205,C150)&lt;&gt;1),"Check Contact ID",IF(D150="","Select sale or rental",IF(M150="","Set listing status",IF(OR(NOT(ISNUMBER(L150)),L150&lt;=0),"Add positive asking price","")))))))</x:f>
      </x:c>
    </x:row>
    <x:row r="151" ht="26" customHeight="1">
      <x:c r="A151" s="319"/>
      <x:c r="B151" s="320"/>
      <x:c r="C151" s="274"/>
      <x:c r="D151" s="274"/>
      <x:c r="E151" s="274"/>
      <x:c r="F151" s="274"/>
      <x:c r="G151" s="274"/>
      <x:c r="H151" s="274"/>
      <x:c r="I151" s="274"/>
      <x:c r="J151" s="377"/>
      <x:c r="K151" s="344"/>
      <x:c r="L151" s="302"/>
      <x:c r="M151" s="274"/>
      <x:c r="N151" s="274"/>
      <x:c r="O151" s="274"/>
      <x:c r="P151" s="304"/>
      <x:c r="Q151" s="377"/>
      <x:c r="R151" s="302"/>
      <x:c r="S151" s="304"/>
      <x:c r="T151" s="274"/>
      <x:c r="U151" s="274"/>
      <x:c r="V151" s="304"/>
      <x:c r="W151" s="274"/>
      <x:c r="X151" s="274"/>
      <x:c r="Y151" s="274"/>
      <x:c r="Z151" s="315" t="str">
        <x:f>IF(A151="","",IF(M151&lt;&gt;"Available","",IF(S151="","Verify availability",IF(TODAY()-S151&gt;14,"Recheck listing",""))))</x:f>
      </x:c>
      <x:c r="AA151" s="265" t="str">
        <x:f>IF(A151="","",IF(AND(M151&lt;&gt;"Available",M151&lt;&gt;"Reserved"),"",IF(ISNUMBER(V151),IF(V151&lt;TODAY(),"Expired",IF(V151&lt;=TODAY()+30,"Expires within 30 days","Current")),IF(U151&lt;&gt;"","Add expiry date","Not recorded"))))</x:f>
      </x:c>
      <x:c r="AB151" s="315" t="str">
        <x:f>IF(A151="","",IF(COUNTIFS($A$6:$A$205,A151)&gt;1,"Duplicate ID",IF(B151="","Add listing title",IF(OR(C151="",COUNTIFS('Contacts'!$A$6:$A$205,C151)&lt;&gt;1),"Check Contact ID",IF(D151="","Select sale or rental",IF(M151="","Set listing status",IF(OR(NOT(ISNUMBER(L151)),L151&lt;=0),"Add positive asking price","")))))))</x:f>
      </x:c>
    </x:row>
    <x:row r="152" ht="26" customHeight="1">
      <x:c r="A152" s="317"/>
      <x:c r="B152" s="318"/>
      <x:c r="C152" s="235"/>
      <x:c r="D152" s="235"/>
      <x:c r="E152" s="235"/>
      <x:c r="F152" s="235"/>
      <x:c r="G152" s="235"/>
      <x:c r="H152" s="235"/>
      <x:c r="I152" s="235"/>
      <x:c r="J152" s="376"/>
      <x:c r="K152" s="342"/>
      <x:c r="L152" s="236"/>
      <x:c r="M152" s="235"/>
      <x:c r="N152" s="235"/>
      <x:c r="O152" s="235"/>
      <x:c r="P152" s="238"/>
      <x:c r="Q152" s="376"/>
      <x:c r="R152" s="236"/>
      <x:c r="S152" s="238"/>
      <x:c r="T152" s="235"/>
      <x:c r="U152" s="235"/>
      <x:c r="V152" s="238"/>
      <x:c r="W152" s="235"/>
      <x:c r="X152" s="235"/>
      <x:c r="Y152" s="235"/>
      <x:c r="Z152" s="315" t="str">
        <x:f>IF(A152="","",IF(M152&lt;&gt;"Available","",IF(S152="","Verify availability",IF(TODAY()-S152&gt;14,"Recheck listing",""))))</x:f>
      </x:c>
      <x:c r="AA152" s="265" t="str">
        <x:f>IF(A152="","",IF(AND(M152&lt;&gt;"Available",M152&lt;&gt;"Reserved"),"",IF(ISNUMBER(V152),IF(V152&lt;TODAY(),"Expired",IF(V152&lt;=TODAY()+30,"Expires within 30 days","Current")),IF(U152&lt;&gt;"","Add expiry date","Not recorded"))))</x:f>
      </x:c>
      <x:c r="AB152" s="315" t="str">
        <x:f>IF(A152="","",IF(COUNTIFS($A$6:$A$205,A152)&gt;1,"Duplicate ID",IF(B152="","Add listing title",IF(OR(C152="",COUNTIFS('Contacts'!$A$6:$A$205,C152)&lt;&gt;1),"Check Contact ID",IF(D152="","Select sale or rental",IF(M152="","Set listing status",IF(OR(NOT(ISNUMBER(L152)),L152&lt;=0),"Add positive asking price","")))))))</x:f>
      </x:c>
    </x:row>
    <x:row r="153" ht="26" customHeight="1">
      <x:c r="A153" s="319"/>
      <x:c r="B153" s="320"/>
      <x:c r="C153" s="274"/>
      <x:c r="D153" s="274"/>
      <x:c r="E153" s="274"/>
      <x:c r="F153" s="274"/>
      <x:c r="G153" s="274"/>
      <x:c r="H153" s="274"/>
      <x:c r="I153" s="274"/>
      <x:c r="J153" s="377"/>
      <x:c r="K153" s="344"/>
      <x:c r="L153" s="302"/>
      <x:c r="M153" s="274"/>
      <x:c r="N153" s="274"/>
      <x:c r="O153" s="274"/>
      <x:c r="P153" s="304"/>
      <x:c r="Q153" s="377"/>
      <x:c r="R153" s="302"/>
      <x:c r="S153" s="304"/>
      <x:c r="T153" s="274"/>
      <x:c r="U153" s="274"/>
      <x:c r="V153" s="304"/>
      <x:c r="W153" s="274"/>
      <x:c r="X153" s="274"/>
      <x:c r="Y153" s="274"/>
      <x:c r="Z153" s="315" t="str">
        <x:f>IF(A153="","",IF(M153&lt;&gt;"Available","",IF(S153="","Verify availability",IF(TODAY()-S153&gt;14,"Recheck listing",""))))</x:f>
      </x:c>
      <x:c r="AA153" s="265" t="str">
        <x:f>IF(A153="","",IF(AND(M153&lt;&gt;"Available",M153&lt;&gt;"Reserved"),"",IF(ISNUMBER(V153),IF(V153&lt;TODAY(),"Expired",IF(V153&lt;=TODAY()+30,"Expires within 30 days","Current")),IF(U153&lt;&gt;"","Add expiry date","Not recorded"))))</x:f>
      </x:c>
      <x:c r="AB153" s="315" t="str">
        <x:f>IF(A153="","",IF(COUNTIFS($A$6:$A$205,A153)&gt;1,"Duplicate ID",IF(B153="","Add listing title",IF(OR(C153="",COUNTIFS('Contacts'!$A$6:$A$205,C153)&lt;&gt;1),"Check Contact ID",IF(D153="","Select sale or rental",IF(M153="","Set listing status",IF(OR(NOT(ISNUMBER(L153)),L153&lt;=0),"Add positive asking price","")))))))</x:f>
      </x:c>
    </x:row>
    <x:row r="154" ht="26" customHeight="1">
      <x:c r="A154" s="317"/>
      <x:c r="B154" s="318"/>
      <x:c r="C154" s="235"/>
      <x:c r="D154" s="235"/>
      <x:c r="E154" s="235"/>
      <x:c r="F154" s="235"/>
      <x:c r="G154" s="235"/>
      <x:c r="H154" s="235"/>
      <x:c r="I154" s="235"/>
      <x:c r="J154" s="376"/>
      <x:c r="K154" s="342"/>
      <x:c r="L154" s="236"/>
      <x:c r="M154" s="235"/>
      <x:c r="N154" s="235"/>
      <x:c r="O154" s="235"/>
      <x:c r="P154" s="238"/>
      <x:c r="Q154" s="376"/>
      <x:c r="R154" s="236"/>
      <x:c r="S154" s="238"/>
      <x:c r="T154" s="235"/>
      <x:c r="U154" s="235"/>
      <x:c r="V154" s="238"/>
      <x:c r="W154" s="235"/>
      <x:c r="X154" s="235"/>
      <x:c r="Y154" s="235"/>
      <x:c r="Z154" s="315" t="str">
        <x:f>IF(A154="","",IF(M154&lt;&gt;"Available","",IF(S154="","Verify availability",IF(TODAY()-S154&gt;14,"Recheck listing",""))))</x:f>
      </x:c>
      <x:c r="AA154" s="265" t="str">
        <x:f>IF(A154="","",IF(AND(M154&lt;&gt;"Available",M154&lt;&gt;"Reserved"),"",IF(ISNUMBER(V154),IF(V154&lt;TODAY(),"Expired",IF(V154&lt;=TODAY()+30,"Expires within 30 days","Current")),IF(U154&lt;&gt;"","Add expiry date","Not recorded"))))</x:f>
      </x:c>
      <x:c r="AB154" s="315" t="str">
        <x:f>IF(A154="","",IF(COUNTIFS($A$6:$A$205,A154)&gt;1,"Duplicate ID",IF(B154="","Add listing title",IF(OR(C154="",COUNTIFS('Contacts'!$A$6:$A$205,C154)&lt;&gt;1),"Check Contact ID",IF(D154="","Select sale or rental",IF(M154="","Set listing status",IF(OR(NOT(ISNUMBER(L154)),L154&lt;=0),"Add positive asking price","")))))))</x:f>
      </x:c>
    </x:row>
    <x:row r="155" ht="26" customHeight="1">
      <x:c r="A155" s="319"/>
      <x:c r="B155" s="320"/>
      <x:c r="C155" s="274"/>
      <x:c r="D155" s="274"/>
      <x:c r="E155" s="274"/>
      <x:c r="F155" s="274"/>
      <x:c r="G155" s="274"/>
      <x:c r="H155" s="274"/>
      <x:c r="I155" s="274"/>
      <x:c r="J155" s="377"/>
      <x:c r="K155" s="344"/>
      <x:c r="L155" s="302"/>
      <x:c r="M155" s="274"/>
      <x:c r="N155" s="274"/>
      <x:c r="O155" s="274"/>
      <x:c r="P155" s="304"/>
      <x:c r="Q155" s="377"/>
      <x:c r="R155" s="302"/>
      <x:c r="S155" s="304"/>
      <x:c r="T155" s="274"/>
      <x:c r="U155" s="274"/>
      <x:c r="V155" s="304"/>
      <x:c r="W155" s="274"/>
      <x:c r="X155" s="274"/>
      <x:c r="Y155" s="274"/>
      <x:c r="Z155" s="315" t="str">
        <x:f>IF(A155="","",IF(M155&lt;&gt;"Available","",IF(S155="","Verify availability",IF(TODAY()-S155&gt;14,"Recheck listing",""))))</x:f>
      </x:c>
      <x:c r="AA155" s="265" t="str">
        <x:f>IF(A155="","",IF(AND(M155&lt;&gt;"Available",M155&lt;&gt;"Reserved"),"",IF(ISNUMBER(V155),IF(V155&lt;TODAY(),"Expired",IF(V155&lt;=TODAY()+30,"Expires within 30 days","Current")),IF(U155&lt;&gt;"","Add expiry date","Not recorded"))))</x:f>
      </x:c>
      <x:c r="AB155" s="315" t="str">
        <x:f>IF(A155="","",IF(COUNTIFS($A$6:$A$205,A155)&gt;1,"Duplicate ID",IF(B155="","Add listing title",IF(OR(C155="",COUNTIFS('Contacts'!$A$6:$A$205,C155)&lt;&gt;1),"Check Contact ID",IF(D155="","Select sale or rental",IF(M155="","Set listing status",IF(OR(NOT(ISNUMBER(L155)),L155&lt;=0),"Add positive asking price","")))))))</x:f>
      </x:c>
    </x:row>
    <x:row r="156" ht="26" customHeight="1">
      <x:c r="A156" s="317"/>
      <x:c r="B156" s="318"/>
      <x:c r="C156" s="235"/>
      <x:c r="D156" s="235"/>
      <x:c r="E156" s="235"/>
      <x:c r="F156" s="235"/>
      <x:c r="G156" s="235"/>
      <x:c r="H156" s="235"/>
      <x:c r="I156" s="235"/>
      <x:c r="J156" s="376"/>
      <x:c r="K156" s="342"/>
      <x:c r="L156" s="236"/>
      <x:c r="M156" s="235"/>
      <x:c r="N156" s="235"/>
      <x:c r="O156" s="235"/>
      <x:c r="P156" s="238"/>
      <x:c r="Q156" s="376"/>
      <x:c r="R156" s="236"/>
      <x:c r="S156" s="238"/>
      <x:c r="T156" s="235"/>
      <x:c r="U156" s="235"/>
      <x:c r="V156" s="238"/>
      <x:c r="W156" s="235"/>
      <x:c r="X156" s="235"/>
      <x:c r="Y156" s="235"/>
      <x:c r="Z156" s="315" t="str">
        <x:f>IF(A156="","",IF(M156&lt;&gt;"Available","",IF(S156="","Verify availability",IF(TODAY()-S156&gt;14,"Recheck listing",""))))</x:f>
      </x:c>
      <x:c r="AA156" s="265" t="str">
        <x:f>IF(A156="","",IF(AND(M156&lt;&gt;"Available",M156&lt;&gt;"Reserved"),"",IF(ISNUMBER(V156),IF(V156&lt;TODAY(),"Expired",IF(V156&lt;=TODAY()+30,"Expires within 30 days","Current")),IF(U156&lt;&gt;"","Add expiry date","Not recorded"))))</x:f>
      </x:c>
      <x:c r="AB156" s="315" t="str">
        <x:f>IF(A156="","",IF(COUNTIFS($A$6:$A$205,A156)&gt;1,"Duplicate ID",IF(B156="","Add listing title",IF(OR(C156="",COUNTIFS('Contacts'!$A$6:$A$205,C156)&lt;&gt;1),"Check Contact ID",IF(D156="","Select sale or rental",IF(M156="","Set listing status",IF(OR(NOT(ISNUMBER(L156)),L156&lt;=0),"Add positive asking price","")))))))</x:f>
      </x:c>
    </x:row>
    <x:row r="157" ht="26" customHeight="1">
      <x:c r="A157" s="319"/>
      <x:c r="B157" s="320"/>
      <x:c r="C157" s="274"/>
      <x:c r="D157" s="274"/>
      <x:c r="E157" s="274"/>
      <x:c r="F157" s="274"/>
      <x:c r="G157" s="274"/>
      <x:c r="H157" s="274"/>
      <x:c r="I157" s="274"/>
      <x:c r="J157" s="377"/>
      <x:c r="K157" s="344"/>
      <x:c r="L157" s="302"/>
      <x:c r="M157" s="274"/>
      <x:c r="N157" s="274"/>
      <x:c r="O157" s="274"/>
      <x:c r="P157" s="304"/>
      <x:c r="Q157" s="377"/>
      <x:c r="R157" s="302"/>
      <x:c r="S157" s="304"/>
      <x:c r="T157" s="274"/>
      <x:c r="U157" s="274"/>
      <x:c r="V157" s="304"/>
      <x:c r="W157" s="274"/>
      <x:c r="X157" s="274"/>
      <x:c r="Y157" s="274"/>
      <x:c r="Z157" s="315" t="str">
        <x:f>IF(A157="","",IF(M157&lt;&gt;"Available","",IF(S157="","Verify availability",IF(TODAY()-S157&gt;14,"Recheck listing",""))))</x:f>
      </x:c>
      <x:c r="AA157" s="265" t="str">
        <x:f>IF(A157="","",IF(AND(M157&lt;&gt;"Available",M157&lt;&gt;"Reserved"),"",IF(ISNUMBER(V157),IF(V157&lt;TODAY(),"Expired",IF(V157&lt;=TODAY()+30,"Expires within 30 days","Current")),IF(U157&lt;&gt;"","Add expiry date","Not recorded"))))</x:f>
      </x:c>
      <x:c r="AB157" s="315" t="str">
        <x:f>IF(A157="","",IF(COUNTIFS($A$6:$A$205,A157)&gt;1,"Duplicate ID",IF(B157="","Add listing title",IF(OR(C157="",COUNTIFS('Contacts'!$A$6:$A$205,C157)&lt;&gt;1),"Check Contact ID",IF(D157="","Select sale or rental",IF(M157="","Set listing status",IF(OR(NOT(ISNUMBER(L157)),L157&lt;=0),"Add positive asking price","")))))))</x:f>
      </x:c>
    </x:row>
    <x:row r="158" ht="26" customHeight="1">
      <x:c r="A158" s="317"/>
      <x:c r="B158" s="318"/>
      <x:c r="C158" s="235"/>
      <x:c r="D158" s="235"/>
      <x:c r="E158" s="235"/>
      <x:c r="F158" s="235"/>
      <x:c r="G158" s="235"/>
      <x:c r="H158" s="235"/>
      <x:c r="I158" s="235"/>
      <x:c r="J158" s="376"/>
      <x:c r="K158" s="342"/>
      <x:c r="L158" s="236"/>
      <x:c r="M158" s="235"/>
      <x:c r="N158" s="235"/>
      <x:c r="O158" s="235"/>
      <x:c r="P158" s="238"/>
      <x:c r="Q158" s="376"/>
      <x:c r="R158" s="236"/>
      <x:c r="S158" s="238"/>
      <x:c r="T158" s="235"/>
      <x:c r="U158" s="235"/>
      <x:c r="V158" s="238"/>
      <x:c r="W158" s="235"/>
      <x:c r="X158" s="235"/>
      <x:c r="Y158" s="235"/>
      <x:c r="Z158" s="315" t="str">
        <x:f>IF(A158="","",IF(M158&lt;&gt;"Available","",IF(S158="","Verify availability",IF(TODAY()-S158&gt;14,"Recheck listing",""))))</x:f>
      </x:c>
      <x:c r="AA158" s="265" t="str">
        <x:f>IF(A158="","",IF(AND(M158&lt;&gt;"Available",M158&lt;&gt;"Reserved"),"",IF(ISNUMBER(V158),IF(V158&lt;TODAY(),"Expired",IF(V158&lt;=TODAY()+30,"Expires within 30 days","Current")),IF(U158&lt;&gt;"","Add expiry date","Not recorded"))))</x:f>
      </x:c>
      <x:c r="AB158" s="315" t="str">
        <x:f>IF(A158="","",IF(COUNTIFS($A$6:$A$205,A158)&gt;1,"Duplicate ID",IF(B158="","Add listing title",IF(OR(C158="",COUNTIFS('Contacts'!$A$6:$A$205,C158)&lt;&gt;1),"Check Contact ID",IF(D158="","Select sale or rental",IF(M158="","Set listing status",IF(OR(NOT(ISNUMBER(L158)),L158&lt;=0),"Add positive asking price","")))))))</x:f>
      </x:c>
    </x:row>
    <x:row r="159" ht="26" customHeight="1">
      <x:c r="A159" s="319"/>
      <x:c r="B159" s="320"/>
      <x:c r="C159" s="274"/>
      <x:c r="D159" s="274"/>
      <x:c r="E159" s="274"/>
      <x:c r="F159" s="274"/>
      <x:c r="G159" s="274"/>
      <x:c r="H159" s="274"/>
      <x:c r="I159" s="274"/>
      <x:c r="J159" s="377"/>
      <x:c r="K159" s="344"/>
      <x:c r="L159" s="302"/>
      <x:c r="M159" s="274"/>
      <x:c r="N159" s="274"/>
      <x:c r="O159" s="274"/>
      <x:c r="P159" s="304"/>
      <x:c r="Q159" s="377"/>
      <x:c r="R159" s="302"/>
      <x:c r="S159" s="304"/>
      <x:c r="T159" s="274"/>
      <x:c r="U159" s="274"/>
      <x:c r="V159" s="304"/>
      <x:c r="W159" s="274"/>
      <x:c r="X159" s="274"/>
      <x:c r="Y159" s="274"/>
      <x:c r="Z159" s="315" t="str">
        <x:f>IF(A159="","",IF(M159&lt;&gt;"Available","",IF(S159="","Verify availability",IF(TODAY()-S159&gt;14,"Recheck listing",""))))</x:f>
      </x:c>
      <x:c r="AA159" s="265" t="str">
        <x:f>IF(A159="","",IF(AND(M159&lt;&gt;"Available",M159&lt;&gt;"Reserved"),"",IF(ISNUMBER(V159),IF(V159&lt;TODAY(),"Expired",IF(V159&lt;=TODAY()+30,"Expires within 30 days","Current")),IF(U159&lt;&gt;"","Add expiry date","Not recorded"))))</x:f>
      </x:c>
      <x:c r="AB159" s="315" t="str">
        <x:f>IF(A159="","",IF(COUNTIFS($A$6:$A$205,A159)&gt;1,"Duplicate ID",IF(B159="","Add listing title",IF(OR(C159="",COUNTIFS('Contacts'!$A$6:$A$205,C159)&lt;&gt;1),"Check Contact ID",IF(D159="","Select sale or rental",IF(M159="","Set listing status",IF(OR(NOT(ISNUMBER(L159)),L159&lt;=0),"Add positive asking price","")))))))</x:f>
      </x:c>
    </x:row>
    <x:row r="160" ht="26" customHeight="1">
      <x:c r="A160" s="317"/>
      <x:c r="B160" s="318"/>
      <x:c r="C160" s="235"/>
      <x:c r="D160" s="235"/>
      <x:c r="E160" s="235"/>
      <x:c r="F160" s="235"/>
      <x:c r="G160" s="235"/>
      <x:c r="H160" s="235"/>
      <x:c r="I160" s="235"/>
      <x:c r="J160" s="376"/>
      <x:c r="K160" s="342"/>
      <x:c r="L160" s="236"/>
      <x:c r="M160" s="235"/>
      <x:c r="N160" s="235"/>
      <x:c r="O160" s="235"/>
      <x:c r="P160" s="238"/>
      <x:c r="Q160" s="376"/>
      <x:c r="R160" s="236"/>
      <x:c r="S160" s="238"/>
      <x:c r="T160" s="235"/>
      <x:c r="U160" s="235"/>
      <x:c r="V160" s="238"/>
      <x:c r="W160" s="235"/>
      <x:c r="X160" s="235"/>
      <x:c r="Y160" s="235"/>
      <x:c r="Z160" s="315" t="str">
        <x:f>IF(A160="","",IF(M160&lt;&gt;"Available","",IF(S160="","Verify availability",IF(TODAY()-S160&gt;14,"Recheck listing",""))))</x:f>
      </x:c>
      <x:c r="AA160" s="265" t="str">
        <x:f>IF(A160="","",IF(AND(M160&lt;&gt;"Available",M160&lt;&gt;"Reserved"),"",IF(ISNUMBER(V160),IF(V160&lt;TODAY(),"Expired",IF(V160&lt;=TODAY()+30,"Expires within 30 days","Current")),IF(U160&lt;&gt;"","Add expiry date","Not recorded"))))</x:f>
      </x:c>
      <x:c r="AB160" s="315" t="str">
        <x:f>IF(A160="","",IF(COUNTIFS($A$6:$A$205,A160)&gt;1,"Duplicate ID",IF(B160="","Add listing title",IF(OR(C160="",COUNTIFS('Contacts'!$A$6:$A$205,C160)&lt;&gt;1),"Check Contact ID",IF(D160="","Select sale or rental",IF(M160="","Set listing status",IF(OR(NOT(ISNUMBER(L160)),L160&lt;=0),"Add positive asking price","")))))))</x:f>
      </x:c>
    </x:row>
    <x:row r="161" ht="26" customHeight="1">
      <x:c r="A161" s="319"/>
      <x:c r="B161" s="320"/>
      <x:c r="C161" s="274"/>
      <x:c r="D161" s="274"/>
      <x:c r="E161" s="274"/>
      <x:c r="F161" s="274"/>
      <x:c r="G161" s="274"/>
      <x:c r="H161" s="274"/>
      <x:c r="I161" s="274"/>
      <x:c r="J161" s="377"/>
      <x:c r="K161" s="344"/>
      <x:c r="L161" s="302"/>
      <x:c r="M161" s="274"/>
      <x:c r="N161" s="274"/>
      <x:c r="O161" s="274"/>
      <x:c r="P161" s="304"/>
      <x:c r="Q161" s="377"/>
      <x:c r="R161" s="302"/>
      <x:c r="S161" s="304"/>
      <x:c r="T161" s="274"/>
      <x:c r="U161" s="274"/>
      <x:c r="V161" s="304"/>
      <x:c r="W161" s="274"/>
      <x:c r="X161" s="274"/>
      <x:c r="Y161" s="274"/>
      <x:c r="Z161" s="315" t="str">
        <x:f>IF(A161="","",IF(M161&lt;&gt;"Available","",IF(S161="","Verify availability",IF(TODAY()-S161&gt;14,"Recheck listing",""))))</x:f>
      </x:c>
      <x:c r="AA161" s="265" t="str">
        <x:f>IF(A161="","",IF(AND(M161&lt;&gt;"Available",M161&lt;&gt;"Reserved"),"",IF(ISNUMBER(V161),IF(V161&lt;TODAY(),"Expired",IF(V161&lt;=TODAY()+30,"Expires within 30 days","Current")),IF(U161&lt;&gt;"","Add expiry date","Not recorded"))))</x:f>
      </x:c>
      <x:c r="AB161" s="315" t="str">
        <x:f>IF(A161="","",IF(COUNTIFS($A$6:$A$205,A161)&gt;1,"Duplicate ID",IF(B161="","Add listing title",IF(OR(C161="",COUNTIFS('Contacts'!$A$6:$A$205,C161)&lt;&gt;1),"Check Contact ID",IF(D161="","Select sale or rental",IF(M161="","Set listing status",IF(OR(NOT(ISNUMBER(L161)),L161&lt;=0),"Add positive asking price","")))))))</x:f>
      </x:c>
    </x:row>
    <x:row r="162" ht="26" customHeight="1">
      <x:c r="A162" s="317"/>
      <x:c r="B162" s="318"/>
      <x:c r="C162" s="235"/>
      <x:c r="D162" s="235"/>
      <x:c r="E162" s="235"/>
      <x:c r="F162" s="235"/>
      <x:c r="G162" s="235"/>
      <x:c r="H162" s="235"/>
      <x:c r="I162" s="235"/>
      <x:c r="J162" s="376"/>
      <x:c r="K162" s="342"/>
      <x:c r="L162" s="236"/>
      <x:c r="M162" s="235"/>
      <x:c r="N162" s="235"/>
      <x:c r="O162" s="235"/>
      <x:c r="P162" s="238"/>
      <x:c r="Q162" s="376"/>
      <x:c r="R162" s="236"/>
      <x:c r="S162" s="238"/>
      <x:c r="T162" s="235"/>
      <x:c r="U162" s="235"/>
      <x:c r="V162" s="238"/>
      <x:c r="W162" s="235"/>
      <x:c r="X162" s="235"/>
      <x:c r="Y162" s="235"/>
      <x:c r="Z162" s="315" t="str">
        <x:f>IF(A162="","",IF(M162&lt;&gt;"Available","",IF(S162="","Verify availability",IF(TODAY()-S162&gt;14,"Recheck listing",""))))</x:f>
      </x:c>
      <x:c r="AA162" s="265" t="str">
        <x:f>IF(A162="","",IF(AND(M162&lt;&gt;"Available",M162&lt;&gt;"Reserved"),"",IF(ISNUMBER(V162),IF(V162&lt;TODAY(),"Expired",IF(V162&lt;=TODAY()+30,"Expires within 30 days","Current")),IF(U162&lt;&gt;"","Add expiry date","Not recorded"))))</x:f>
      </x:c>
      <x:c r="AB162" s="315" t="str">
        <x:f>IF(A162="","",IF(COUNTIFS($A$6:$A$205,A162)&gt;1,"Duplicate ID",IF(B162="","Add listing title",IF(OR(C162="",COUNTIFS('Contacts'!$A$6:$A$205,C162)&lt;&gt;1),"Check Contact ID",IF(D162="","Select sale or rental",IF(M162="","Set listing status",IF(OR(NOT(ISNUMBER(L162)),L162&lt;=0),"Add positive asking price","")))))))</x:f>
      </x:c>
    </x:row>
    <x:row r="163" ht="26" customHeight="1">
      <x:c r="A163" s="319"/>
      <x:c r="B163" s="320"/>
      <x:c r="C163" s="274"/>
      <x:c r="D163" s="274"/>
      <x:c r="E163" s="274"/>
      <x:c r="F163" s="274"/>
      <x:c r="G163" s="274"/>
      <x:c r="H163" s="274"/>
      <x:c r="I163" s="274"/>
      <x:c r="J163" s="377"/>
      <x:c r="K163" s="344"/>
      <x:c r="L163" s="302"/>
      <x:c r="M163" s="274"/>
      <x:c r="N163" s="274"/>
      <x:c r="O163" s="274"/>
      <x:c r="P163" s="304"/>
      <x:c r="Q163" s="377"/>
      <x:c r="R163" s="302"/>
      <x:c r="S163" s="304"/>
      <x:c r="T163" s="274"/>
      <x:c r="U163" s="274"/>
      <x:c r="V163" s="304"/>
      <x:c r="W163" s="274"/>
      <x:c r="X163" s="274"/>
      <x:c r="Y163" s="274"/>
      <x:c r="Z163" s="315" t="str">
        <x:f>IF(A163="","",IF(M163&lt;&gt;"Available","",IF(S163="","Verify availability",IF(TODAY()-S163&gt;14,"Recheck listing",""))))</x:f>
      </x:c>
      <x:c r="AA163" s="265" t="str">
        <x:f>IF(A163="","",IF(AND(M163&lt;&gt;"Available",M163&lt;&gt;"Reserved"),"",IF(ISNUMBER(V163),IF(V163&lt;TODAY(),"Expired",IF(V163&lt;=TODAY()+30,"Expires within 30 days","Current")),IF(U163&lt;&gt;"","Add expiry date","Not recorded"))))</x:f>
      </x:c>
      <x:c r="AB163" s="315" t="str">
        <x:f>IF(A163="","",IF(COUNTIFS($A$6:$A$205,A163)&gt;1,"Duplicate ID",IF(B163="","Add listing title",IF(OR(C163="",COUNTIFS('Contacts'!$A$6:$A$205,C163)&lt;&gt;1),"Check Contact ID",IF(D163="","Select sale or rental",IF(M163="","Set listing status",IF(OR(NOT(ISNUMBER(L163)),L163&lt;=0),"Add positive asking price","")))))))</x:f>
      </x:c>
    </x:row>
    <x:row r="164" ht="26" customHeight="1">
      <x:c r="A164" s="317"/>
      <x:c r="B164" s="318"/>
      <x:c r="C164" s="235"/>
      <x:c r="D164" s="235"/>
      <x:c r="E164" s="235"/>
      <x:c r="F164" s="235"/>
      <x:c r="G164" s="235"/>
      <x:c r="H164" s="235"/>
      <x:c r="I164" s="235"/>
      <x:c r="J164" s="376"/>
      <x:c r="K164" s="342"/>
      <x:c r="L164" s="236"/>
      <x:c r="M164" s="235"/>
      <x:c r="N164" s="235"/>
      <x:c r="O164" s="235"/>
      <x:c r="P164" s="238"/>
      <x:c r="Q164" s="376"/>
      <x:c r="R164" s="236"/>
      <x:c r="S164" s="238"/>
      <x:c r="T164" s="235"/>
      <x:c r="U164" s="235"/>
      <x:c r="V164" s="238"/>
      <x:c r="W164" s="235"/>
      <x:c r="X164" s="235"/>
      <x:c r="Y164" s="235"/>
      <x:c r="Z164" s="315" t="str">
        <x:f>IF(A164="","",IF(M164&lt;&gt;"Available","",IF(S164="","Verify availability",IF(TODAY()-S164&gt;14,"Recheck listing",""))))</x:f>
      </x:c>
      <x:c r="AA164" s="265" t="str">
        <x:f>IF(A164="","",IF(AND(M164&lt;&gt;"Available",M164&lt;&gt;"Reserved"),"",IF(ISNUMBER(V164),IF(V164&lt;TODAY(),"Expired",IF(V164&lt;=TODAY()+30,"Expires within 30 days","Current")),IF(U164&lt;&gt;"","Add expiry date","Not recorded"))))</x:f>
      </x:c>
      <x:c r="AB164" s="315" t="str">
        <x:f>IF(A164="","",IF(COUNTIFS($A$6:$A$205,A164)&gt;1,"Duplicate ID",IF(B164="","Add listing title",IF(OR(C164="",COUNTIFS('Contacts'!$A$6:$A$205,C164)&lt;&gt;1),"Check Contact ID",IF(D164="","Select sale or rental",IF(M164="","Set listing status",IF(OR(NOT(ISNUMBER(L164)),L164&lt;=0),"Add positive asking price","")))))))</x:f>
      </x:c>
    </x:row>
    <x:row r="165" ht="26" customHeight="1">
      <x:c r="A165" s="319"/>
      <x:c r="B165" s="320"/>
      <x:c r="C165" s="274"/>
      <x:c r="D165" s="274"/>
      <x:c r="E165" s="274"/>
      <x:c r="F165" s="274"/>
      <x:c r="G165" s="274"/>
      <x:c r="H165" s="274"/>
      <x:c r="I165" s="274"/>
      <x:c r="J165" s="377"/>
      <x:c r="K165" s="344"/>
      <x:c r="L165" s="302"/>
      <x:c r="M165" s="274"/>
      <x:c r="N165" s="274"/>
      <x:c r="O165" s="274"/>
      <x:c r="P165" s="304"/>
      <x:c r="Q165" s="377"/>
      <x:c r="R165" s="302"/>
      <x:c r="S165" s="304"/>
      <x:c r="T165" s="274"/>
      <x:c r="U165" s="274"/>
      <x:c r="V165" s="304"/>
      <x:c r="W165" s="274"/>
      <x:c r="X165" s="274"/>
      <x:c r="Y165" s="274"/>
      <x:c r="Z165" s="315" t="str">
        <x:f>IF(A165="","",IF(M165&lt;&gt;"Available","",IF(S165="","Verify availability",IF(TODAY()-S165&gt;14,"Recheck listing",""))))</x:f>
      </x:c>
      <x:c r="AA165" s="265" t="str">
        <x:f>IF(A165="","",IF(AND(M165&lt;&gt;"Available",M165&lt;&gt;"Reserved"),"",IF(ISNUMBER(V165),IF(V165&lt;TODAY(),"Expired",IF(V165&lt;=TODAY()+30,"Expires within 30 days","Current")),IF(U165&lt;&gt;"","Add expiry date","Not recorded"))))</x:f>
      </x:c>
      <x:c r="AB165" s="315" t="str">
        <x:f>IF(A165="","",IF(COUNTIFS($A$6:$A$205,A165)&gt;1,"Duplicate ID",IF(B165="","Add listing title",IF(OR(C165="",COUNTIFS('Contacts'!$A$6:$A$205,C165)&lt;&gt;1),"Check Contact ID",IF(D165="","Select sale or rental",IF(M165="","Set listing status",IF(OR(NOT(ISNUMBER(L165)),L165&lt;=0),"Add positive asking price","")))))))</x:f>
      </x:c>
    </x:row>
    <x:row r="166" ht="26" customHeight="1">
      <x:c r="A166" s="317"/>
      <x:c r="B166" s="318"/>
      <x:c r="C166" s="235"/>
      <x:c r="D166" s="235"/>
      <x:c r="E166" s="235"/>
      <x:c r="F166" s="235"/>
      <x:c r="G166" s="235"/>
      <x:c r="H166" s="235"/>
      <x:c r="I166" s="235"/>
      <x:c r="J166" s="376"/>
      <x:c r="K166" s="342"/>
      <x:c r="L166" s="236"/>
      <x:c r="M166" s="235"/>
      <x:c r="N166" s="235"/>
      <x:c r="O166" s="235"/>
      <x:c r="P166" s="238"/>
      <x:c r="Q166" s="376"/>
      <x:c r="R166" s="236"/>
      <x:c r="S166" s="238"/>
      <x:c r="T166" s="235"/>
      <x:c r="U166" s="235"/>
      <x:c r="V166" s="238"/>
      <x:c r="W166" s="235"/>
      <x:c r="X166" s="235"/>
      <x:c r="Y166" s="235"/>
      <x:c r="Z166" s="315" t="str">
        <x:f>IF(A166="","",IF(M166&lt;&gt;"Available","",IF(S166="","Verify availability",IF(TODAY()-S166&gt;14,"Recheck listing",""))))</x:f>
      </x:c>
      <x:c r="AA166" s="265" t="str">
        <x:f>IF(A166="","",IF(AND(M166&lt;&gt;"Available",M166&lt;&gt;"Reserved"),"",IF(ISNUMBER(V166),IF(V166&lt;TODAY(),"Expired",IF(V166&lt;=TODAY()+30,"Expires within 30 days","Current")),IF(U166&lt;&gt;"","Add expiry date","Not recorded"))))</x:f>
      </x:c>
      <x:c r="AB166" s="315" t="str">
        <x:f>IF(A166="","",IF(COUNTIFS($A$6:$A$205,A166)&gt;1,"Duplicate ID",IF(B166="","Add listing title",IF(OR(C166="",COUNTIFS('Contacts'!$A$6:$A$205,C166)&lt;&gt;1),"Check Contact ID",IF(D166="","Select sale or rental",IF(M166="","Set listing status",IF(OR(NOT(ISNUMBER(L166)),L166&lt;=0),"Add positive asking price","")))))))</x:f>
      </x:c>
    </x:row>
    <x:row r="167" ht="26" customHeight="1">
      <x:c r="A167" s="319"/>
      <x:c r="B167" s="320"/>
      <x:c r="C167" s="274"/>
      <x:c r="D167" s="274"/>
      <x:c r="E167" s="274"/>
      <x:c r="F167" s="274"/>
      <x:c r="G167" s="274"/>
      <x:c r="H167" s="274"/>
      <x:c r="I167" s="274"/>
      <x:c r="J167" s="377"/>
      <x:c r="K167" s="344"/>
      <x:c r="L167" s="302"/>
      <x:c r="M167" s="274"/>
      <x:c r="N167" s="274"/>
      <x:c r="O167" s="274"/>
      <x:c r="P167" s="304"/>
      <x:c r="Q167" s="377"/>
      <x:c r="R167" s="302"/>
      <x:c r="S167" s="304"/>
      <x:c r="T167" s="274"/>
      <x:c r="U167" s="274"/>
      <x:c r="V167" s="304"/>
      <x:c r="W167" s="274"/>
      <x:c r="X167" s="274"/>
      <x:c r="Y167" s="274"/>
      <x:c r="Z167" s="315" t="str">
        <x:f>IF(A167="","",IF(M167&lt;&gt;"Available","",IF(S167="","Verify availability",IF(TODAY()-S167&gt;14,"Recheck listing",""))))</x:f>
      </x:c>
      <x:c r="AA167" s="265" t="str">
        <x:f>IF(A167="","",IF(AND(M167&lt;&gt;"Available",M167&lt;&gt;"Reserved"),"",IF(ISNUMBER(V167),IF(V167&lt;TODAY(),"Expired",IF(V167&lt;=TODAY()+30,"Expires within 30 days","Current")),IF(U167&lt;&gt;"","Add expiry date","Not recorded"))))</x:f>
      </x:c>
      <x:c r="AB167" s="315" t="str">
        <x:f>IF(A167="","",IF(COUNTIFS($A$6:$A$205,A167)&gt;1,"Duplicate ID",IF(B167="","Add listing title",IF(OR(C167="",COUNTIFS('Contacts'!$A$6:$A$205,C167)&lt;&gt;1),"Check Contact ID",IF(D167="","Select sale or rental",IF(M167="","Set listing status",IF(OR(NOT(ISNUMBER(L167)),L167&lt;=0),"Add positive asking price","")))))))</x:f>
      </x:c>
    </x:row>
    <x:row r="168" ht="26" customHeight="1">
      <x:c r="A168" s="317"/>
      <x:c r="B168" s="318"/>
      <x:c r="C168" s="235"/>
      <x:c r="D168" s="235"/>
      <x:c r="E168" s="235"/>
      <x:c r="F168" s="235"/>
      <x:c r="G168" s="235"/>
      <x:c r="H168" s="235"/>
      <x:c r="I168" s="235"/>
      <x:c r="J168" s="376"/>
      <x:c r="K168" s="342"/>
      <x:c r="L168" s="236"/>
      <x:c r="M168" s="235"/>
      <x:c r="N168" s="235"/>
      <x:c r="O168" s="235"/>
      <x:c r="P168" s="238"/>
      <x:c r="Q168" s="376"/>
      <x:c r="R168" s="236"/>
      <x:c r="S168" s="238"/>
      <x:c r="T168" s="235"/>
      <x:c r="U168" s="235"/>
      <x:c r="V168" s="238"/>
      <x:c r="W168" s="235"/>
      <x:c r="X168" s="235"/>
      <x:c r="Y168" s="235"/>
      <x:c r="Z168" s="315" t="str">
        <x:f>IF(A168="","",IF(M168&lt;&gt;"Available","",IF(S168="","Verify availability",IF(TODAY()-S168&gt;14,"Recheck listing",""))))</x:f>
      </x:c>
      <x:c r="AA168" s="265" t="str">
        <x:f>IF(A168="","",IF(AND(M168&lt;&gt;"Available",M168&lt;&gt;"Reserved"),"",IF(ISNUMBER(V168),IF(V168&lt;TODAY(),"Expired",IF(V168&lt;=TODAY()+30,"Expires within 30 days","Current")),IF(U168&lt;&gt;"","Add expiry date","Not recorded"))))</x:f>
      </x:c>
      <x:c r="AB168" s="315" t="str">
        <x:f>IF(A168="","",IF(COUNTIFS($A$6:$A$205,A168)&gt;1,"Duplicate ID",IF(B168="","Add listing title",IF(OR(C168="",COUNTIFS('Contacts'!$A$6:$A$205,C168)&lt;&gt;1),"Check Contact ID",IF(D168="","Select sale or rental",IF(M168="","Set listing status",IF(OR(NOT(ISNUMBER(L168)),L168&lt;=0),"Add positive asking price","")))))))</x:f>
      </x:c>
    </x:row>
    <x:row r="169" ht="26" customHeight="1">
      <x:c r="A169" s="319"/>
      <x:c r="B169" s="320"/>
      <x:c r="C169" s="274"/>
      <x:c r="D169" s="274"/>
      <x:c r="E169" s="274"/>
      <x:c r="F169" s="274"/>
      <x:c r="G169" s="274"/>
      <x:c r="H169" s="274"/>
      <x:c r="I169" s="274"/>
      <x:c r="J169" s="377"/>
      <x:c r="K169" s="344"/>
      <x:c r="L169" s="302"/>
      <x:c r="M169" s="274"/>
      <x:c r="N169" s="274"/>
      <x:c r="O169" s="274"/>
      <x:c r="P169" s="304"/>
      <x:c r="Q169" s="377"/>
      <x:c r="R169" s="302"/>
      <x:c r="S169" s="304"/>
      <x:c r="T169" s="274"/>
      <x:c r="U169" s="274"/>
      <x:c r="V169" s="304"/>
      <x:c r="W169" s="274"/>
      <x:c r="X169" s="274"/>
      <x:c r="Y169" s="274"/>
      <x:c r="Z169" s="315" t="str">
        <x:f>IF(A169="","",IF(M169&lt;&gt;"Available","",IF(S169="","Verify availability",IF(TODAY()-S169&gt;14,"Recheck listing",""))))</x:f>
      </x:c>
      <x:c r="AA169" s="265" t="str">
        <x:f>IF(A169="","",IF(AND(M169&lt;&gt;"Available",M169&lt;&gt;"Reserved"),"",IF(ISNUMBER(V169),IF(V169&lt;TODAY(),"Expired",IF(V169&lt;=TODAY()+30,"Expires within 30 days","Current")),IF(U169&lt;&gt;"","Add expiry date","Not recorded"))))</x:f>
      </x:c>
      <x:c r="AB169" s="315" t="str">
        <x:f>IF(A169="","",IF(COUNTIFS($A$6:$A$205,A169)&gt;1,"Duplicate ID",IF(B169="","Add listing title",IF(OR(C169="",COUNTIFS('Contacts'!$A$6:$A$205,C169)&lt;&gt;1),"Check Contact ID",IF(D169="","Select sale or rental",IF(M169="","Set listing status",IF(OR(NOT(ISNUMBER(L169)),L169&lt;=0),"Add positive asking price","")))))))</x:f>
      </x:c>
    </x:row>
    <x:row r="170" ht="26" customHeight="1">
      <x:c r="A170" s="317"/>
      <x:c r="B170" s="318"/>
      <x:c r="C170" s="235"/>
      <x:c r="D170" s="235"/>
      <x:c r="E170" s="235"/>
      <x:c r="F170" s="235"/>
      <x:c r="G170" s="235"/>
      <x:c r="H170" s="235"/>
      <x:c r="I170" s="235"/>
      <x:c r="J170" s="376"/>
      <x:c r="K170" s="342"/>
      <x:c r="L170" s="236"/>
      <x:c r="M170" s="235"/>
      <x:c r="N170" s="235"/>
      <x:c r="O170" s="235"/>
      <x:c r="P170" s="238"/>
      <x:c r="Q170" s="376"/>
      <x:c r="R170" s="236"/>
      <x:c r="S170" s="238"/>
      <x:c r="T170" s="235"/>
      <x:c r="U170" s="235"/>
      <x:c r="V170" s="238"/>
      <x:c r="W170" s="235"/>
      <x:c r="X170" s="235"/>
      <x:c r="Y170" s="235"/>
      <x:c r="Z170" s="315" t="str">
        <x:f>IF(A170="","",IF(M170&lt;&gt;"Available","",IF(S170="","Verify availability",IF(TODAY()-S170&gt;14,"Recheck listing",""))))</x:f>
      </x:c>
      <x:c r="AA170" s="265" t="str">
        <x:f>IF(A170="","",IF(AND(M170&lt;&gt;"Available",M170&lt;&gt;"Reserved"),"",IF(ISNUMBER(V170),IF(V170&lt;TODAY(),"Expired",IF(V170&lt;=TODAY()+30,"Expires within 30 days","Current")),IF(U170&lt;&gt;"","Add expiry date","Not recorded"))))</x:f>
      </x:c>
      <x:c r="AB170" s="315" t="str">
        <x:f>IF(A170="","",IF(COUNTIFS($A$6:$A$205,A170)&gt;1,"Duplicate ID",IF(B170="","Add listing title",IF(OR(C170="",COUNTIFS('Contacts'!$A$6:$A$205,C170)&lt;&gt;1),"Check Contact ID",IF(D170="","Select sale or rental",IF(M170="","Set listing status",IF(OR(NOT(ISNUMBER(L170)),L170&lt;=0),"Add positive asking price","")))))))</x:f>
      </x:c>
    </x:row>
    <x:row r="171" ht="26" customHeight="1">
      <x:c r="A171" s="319"/>
      <x:c r="B171" s="320"/>
      <x:c r="C171" s="274"/>
      <x:c r="D171" s="274"/>
      <x:c r="E171" s="274"/>
      <x:c r="F171" s="274"/>
      <x:c r="G171" s="274"/>
      <x:c r="H171" s="274"/>
      <x:c r="I171" s="274"/>
      <x:c r="J171" s="377"/>
      <x:c r="K171" s="344"/>
      <x:c r="L171" s="302"/>
      <x:c r="M171" s="274"/>
      <x:c r="N171" s="274"/>
      <x:c r="O171" s="274"/>
      <x:c r="P171" s="304"/>
      <x:c r="Q171" s="377"/>
      <x:c r="R171" s="302"/>
      <x:c r="S171" s="304"/>
      <x:c r="T171" s="274"/>
      <x:c r="U171" s="274"/>
      <x:c r="V171" s="304"/>
      <x:c r="W171" s="274"/>
      <x:c r="X171" s="274"/>
      <x:c r="Y171" s="274"/>
      <x:c r="Z171" s="315" t="str">
        <x:f>IF(A171="","",IF(M171&lt;&gt;"Available","",IF(S171="","Verify availability",IF(TODAY()-S171&gt;14,"Recheck listing",""))))</x:f>
      </x:c>
      <x:c r="AA171" s="265" t="str">
        <x:f>IF(A171="","",IF(AND(M171&lt;&gt;"Available",M171&lt;&gt;"Reserved"),"",IF(ISNUMBER(V171),IF(V171&lt;TODAY(),"Expired",IF(V171&lt;=TODAY()+30,"Expires within 30 days","Current")),IF(U171&lt;&gt;"","Add expiry date","Not recorded"))))</x:f>
      </x:c>
      <x:c r="AB171" s="315" t="str">
        <x:f>IF(A171="","",IF(COUNTIFS($A$6:$A$205,A171)&gt;1,"Duplicate ID",IF(B171="","Add listing title",IF(OR(C171="",COUNTIFS('Contacts'!$A$6:$A$205,C171)&lt;&gt;1),"Check Contact ID",IF(D171="","Select sale or rental",IF(M171="","Set listing status",IF(OR(NOT(ISNUMBER(L171)),L171&lt;=0),"Add positive asking price","")))))))</x:f>
      </x:c>
    </x:row>
    <x:row r="172" ht="26" customHeight="1">
      <x:c r="A172" s="317"/>
      <x:c r="B172" s="318"/>
      <x:c r="C172" s="235"/>
      <x:c r="D172" s="235"/>
      <x:c r="E172" s="235"/>
      <x:c r="F172" s="235"/>
      <x:c r="G172" s="235"/>
      <x:c r="H172" s="235"/>
      <x:c r="I172" s="235"/>
      <x:c r="J172" s="376"/>
      <x:c r="K172" s="342"/>
      <x:c r="L172" s="236"/>
      <x:c r="M172" s="235"/>
      <x:c r="N172" s="235"/>
      <x:c r="O172" s="235"/>
      <x:c r="P172" s="238"/>
      <x:c r="Q172" s="376"/>
      <x:c r="R172" s="236"/>
      <x:c r="S172" s="238"/>
      <x:c r="T172" s="235"/>
      <x:c r="U172" s="235"/>
      <x:c r="V172" s="238"/>
      <x:c r="W172" s="235"/>
      <x:c r="X172" s="235"/>
      <x:c r="Y172" s="235"/>
      <x:c r="Z172" s="315" t="str">
        <x:f>IF(A172="","",IF(M172&lt;&gt;"Available","",IF(S172="","Verify availability",IF(TODAY()-S172&gt;14,"Recheck listing",""))))</x:f>
      </x:c>
      <x:c r="AA172" s="265" t="str">
        <x:f>IF(A172="","",IF(AND(M172&lt;&gt;"Available",M172&lt;&gt;"Reserved"),"",IF(ISNUMBER(V172),IF(V172&lt;TODAY(),"Expired",IF(V172&lt;=TODAY()+30,"Expires within 30 days","Current")),IF(U172&lt;&gt;"","Add expiry date","Not recorded"))))</x:f>
      </x:c>
      <x:c r="AB172" s="315" t="str">
        <x:f>IF(A172="","",IF(COUNTIFS($A$6:$A$205,A172)&gt;1,"Duplicate ID",IF(B172="","Add listing title",IF(OR(C172="",COUNTIFS('Contacts'!$A$6:$A$205,C172)&lt;&gt;1),"Check Contact ID",IF(D172="","Select sale or rental",IF(M172="","Set listing status",IF(OR(NOT(ISNUMBER(L172)),L172&lt;=0),"Add positive asking price","")))))))</x:f>
      </x:c>
    </x:row>
    <x:row r="173" ht="26" customHeight="1">
      <x:c r="A173" s="319"/>
      <x:c r="B173" s="320"/>
      <x:c r="C173" s="274"/>
      <x:c r="D173" s="274"/>
      <x:c r="E173" s="274"/>
      <x:c r="F173" s="274"/>
      <x:c r="G173" s="274"/>
      <x:c r="H173" s="274"/>
      <x:c r="I173" s="274"/>
      <x:c r="J173" s="377"/>
      <x:c r="K173" s="344"/>
      <x:c r="L173" s="302"/>
      <x:c r="M173" s="274"/>
      <x:c r="N173" s="274"/>
      <x:c r="O173" s="274"/>
      <x:c r="P173" s="304"/>
      <x:c r="Q173" s="377"/>
      <x:c r="R173" s="302"/>
      <x:c r="S173" s="304"/>
      <x:c r="T173" s="274"/>
      <x:c r="U173" s="274"/>
      <x:c r="V173" s="304"/>
      <x:c r="W173" s="274"/>
      <x:c r="X173" s="274"/>
      <x:c r="Y173" s="274"/>
      <x:c r="Z173" s="315" t="str">
        <x:f>IF(A173="","",IF(M173&lt;&gt;"Available","",IF(S173="","Verify availability",IF(TODAY()-S173&gt;14,"Recheck listing",""))))</x:f>
      </x:c>
      <x:c r="AA173" s="265" t="str">
        <x:f>IF(A173="","",IF(AND(M173&lt;&gt;"Available",M173&lt;&gt;"Reserved"),"",IF(ISNUMBER(V173),IF(V173&lt;TODAY(),"Expired",IF(V173&lt;=TODAY()+30,"Expires within 30 days","Current")),IF(U173&lt;&gt;"","Add expiry date","Not recorded"))))</x:f>
      </x:c>
      <x:c r="AB173" s="315" t="str">
        <x:f>IF(A173="","",IF(COUNTIFS($A$6:$A$205,A173)&gt;1,"Duplicate ID",IF(B173="","Add listing title",IF(OR(C173="",COUNTIFS('Contacts'!$A$6:$A$205,C173)&lt;&gt;1),"Check Contact ID",IF(D173="","Select sale or rental",IF(M173="","Set listing status",IF(OR(NOT(ISNUMBER(L173)),L173&lt;=0),"Add positive asking price","")))))))</x:f>
      </x:c>
    </x:row>
    <x:row r="174" ht="26" customHeight="1">
      <x:c r="A174" s="317"/>
      <x:c r="B174" s="318"/>
      <x:c r="C174" s="235"/>
      <x:c r="D174" s="235"/>
      <x:c r="E174" s="235"/>
      <x:c r="F174" s="235"/>
      <x:c r="G174" s="235"/>
      <x:c r="H174" s="235"/>
      <x:c r="I174" s="235"/>
      <x:c r="J174" s="376"/>
      <x:c r="K174" s="342"/>
      <x:c r="L174" s="236"/>
      <x:c r="M174" s="235"/>
      <x:c r="N174" s="235"/>
      <x:c r="O174" s="235"/>
      <x:c r="P174" s="238"/>
      <x:c r="Q174" s="376"/>
      <x:c r="R174" s="236"/>
      <x:c r="S174" s="238"/>
      <x:c r="T174" s="235"/>
      <x:c r="U174" s="235"/>
      <x:c r="V174" s="238"/>
      <x:c r="W174" s="235"/>
      <x:c r="X174" s="235"/>
      <x:c r="Y174" s="235"/>
      <x:c r="Z174" s="315" t="str">
        <x:f>IF(A174="","",IF(M174&lt;&gt;"Available","",IF(S174="","Verify availability",IF(TODAY()-S174&gt;14,"Recheck listing",""))))</x:f>
      </x:c>
      <x:c r="AA174" s="265" t="str">
        <x:f>IF(A174="","",IF(AND(M174&lt;&gt;"Available",M174&lt;&gt;"Reserved"),"",IF(ISNUMBER(V174),IF(V174&lt;TODAY(),"Expired",IF(V174&lt;=TODAY()+30,"Expires within 30 days","Current")),IF(U174&lt;&gt;"","Add expiry date","Not recorded"))))</x:f>
      </x:c>
      <x:c r="AB174" s="315" t="str">
        <x:f>IF(A174="","",IF(COUNTIFS($A$6:$A$205,A174)&gt;1,"Duplicate ID",IF(B174="","Add listing title",IF(OR(C174="",COUNTIFS('Contacts'!$A$6:$A$205,C174)&lt;&gt;1),"Check Contact ID",IF(D174="","Select sale or rental",IF(M174="","Set listing status",IF(OR(NOT(ISNUMBER(L174)),L174&lt;=0),"Add positive asking price","")))))))</x:f>
      </x:c>
    </x:row>
    <x:row r="175" ht="26" customHeight="1">
      <x:c r="A175" s="319"/>
      <x:c r="B175" s="320"/>
      <x:c r="C175" s="274"/>
      <x:c r="D175" s="274"/>
      <x:c r="E175" s="274"/>
      <x:c r="F175" s="274"/>
      <x:c r="G175" s="274"/>
      <x:c r="H175" s="274"/>
      <x:c r="I175" s="274"/>
      <x:c r="J175" s="377"/>
      <x:c r="K175" s="344"/>
      <x:c r="L175" s="302"/>
      <x:c r="M175" s="274"/>
      <x:c r="N175" s="274"/>
      <x:c r="O175" s="274"/>
      <x:c r="P175" s="304"/>
      <x:c r="Q175" s="377"/>
      <x:c r="R175" s="302"/>
      <x:c r="S175" s="304"/>
      <x:c r="T175" s="274"/>
      <x:c r="U175" s="274"/>
      <x:c r="V175" s="304"/>
      <x:c r="W175" s="274"/>
      <x:c r="X175" s="274"/>
      <x:c r="Y175" s="274"/>
      <x:c r="Z175" s="315" t="str">
        <x:f>IF(A175="","",IF(M175&lt;&gt;"Available","",IF(S175="","Verify availability",IF(TODAY()-S175&gt;14,"Recheck listing",""))))</x:f>
      </x:c>
      <x:c r="AA175" s="265" t="str">
        <x:f>IF(A175="","",IF(AND(M175&lt;&gt;"Available",M175&lt;&gt;"Reserved"),"",IF(ISNUMBER(V175),IF(V175&lt;TODAY(),"Expired",IF(V175&lt;=TODAY()+30,"Expires within 30 days","Current")),IF(U175&lt;&gt;"","Add expiry date","Not recorded"))))</x:f>
      </x:c>
      <x:c r="AB175" s="315" t="str">
        <x:f>IF(A175="","",IF(COUNTIFS($A$6:$A$205,A175)&gt;1,"Duplicate ID",IF(B175="","Add listing title",IF(OR(C175="",COUNTIFS('Contacts'!$A$6:$A$205,C175)&lt;&gt;1),"Check Contact ID",IF(D175="","Select sale or rental",IF(M175="","Set listing status",IF(OR(NOT(ISNUMBER(L175)),L175&lt;=0),"Add positive asking price","")))))))</x:f>
      </x:c>
    </x:row>
    <x:row r="176" ht="26" customHeight="1">
      <x:c r="A176" s="317"/>
      <x:c r="B176" s="318"/>
      <x:c r="C176" s="235"/>
      <x:c r="D176" s="235"/>
      <x:c r="E176" s="235"/>
      <x:c r="F176" s="235"/>
      <x:c r="G176" s="235"/>
      <x:c r="H176" s="235"/>
      <x:c r="I176" s="235"/>
      <x:c r="J176" s="376"/>
      <x:c r="K176" s="342"/>
      <x:c r="L176" s="236"/>
      <x:c r="M176" s="235"/>
      <x:c r="N176" s="235"/>
      <x:c r="O176" s="235"/>
      <x:c r="P176" s="238"/>
      <x:c r="Q176" s="376"/>
      <x:c r="R176" s="236"/>
      <x:c r="S176" s="238"/>
      <x:c r="T176" s="235"/>
      <x:c r="U176" s="235"/>
      <x:c r="V176" s="238"/>
      <x:c r="W176" s="235"/>
      <x:c r="X176" s="235"/>
      <x:c r="Y176" s="235"/>
      <x:c r="Z176" s="315" t="str">
        <x:f>IF(A176="","",IF(M176&lt;&gt;"Available","",IF(S176="","Verify availability",IF(TODAY()-S176&gt;14,"Recheck listing",""))))</x:f>
      </x:c>
      <x:c r="AA176" s="265" t="str">
        <x:f>IF(A176="","",IF(AND(M176&lt;&gt;"Available",M176&lt;&gt;"Reserved"),"",IF(ISNUMBER(V176),IF(V176&lt;TODAY(),"Expired",IF(V176&lt;=TODAY()+30,"Expires within 30 days","Current")),IF(U176&lt;&gt;"","Add expiry date","Not recorded"))))</x:f>
      </x:c>
      <x:c r="AB176" s="315" t="str">
        <x:f>IF(A176="","",IF(COUNTIFS($A$6:$A$205,A176)&gt;1,"Duplicate ID",IF(B176="","Add listing title",IF(OR(C176="",COUNTIFS('Contacts'!$A$6:$A$205,C176)&lt;&gt;1),"Check Contact ID",IF(D176="","Select sale or rental",IF(M176="","Set listing status",IF(OR(NOT(ISNUMBER(L176)),L176&lt;=0),"Add positive asking price","")))))))</x:f>
      </x:c>
    </x:row>
    <x:row r="177" ht="26" customHeight="1">
      <x:c r="A177" s="319"/>
      <x:c r="B177" s="320"/>
      <x:c r="C177" s="274"/>
      <x:c r="D177" s="274"/>
      <x:c r="E177" s="274"/>
      <x:c r="F177" s="274"/>
      <x:c r="G177" s="274"/>
      <x:c r="H177" s="274"/>
      <x:c r="I177" s="274"/>
      <x:c r="J177" s="377"/>
      <x:c r="K177" s="344"/>
      <x:c r="L177" s="302"/>
      <x:c r="M177" s="274"/>
      <x:c r="N177" s="274"/>
      <x:c r="O177" s="274"/>
      <x:c r="P177" s="304"/>
      <x:c r="Q177" s="377"/>
      <x:c r="R177" s="302"/>
      <x:c r="S177" s="304"/>
      <x:c r="T177" s="274"/>
      <x:c r="U177" s="274"/>
      <x:c r="V177" s="304"/>
      <x:c r="W177" s="274"/>
      <x:c r="X177" s="274"/>
      <x:c r="Y177" s="274"/>
      <x:c r="Z177" s="315" t="str">
        <x:f>IF(A177="","",IF(M177&lt;&gt;"Available","",IF(S177="","Verify availability",IF(TODAY()-S177&gt;14,"Recheck listing",""))))</x:f>
      </x:c>
      <x:c r="AA177" s="265" t="str">
        <x:f>IF(A177="","",IF(AND(M177&lt;&gt;"Available",M177&lt;&gt;"Reserved"),"",IF(ISNUMBER(V177),IF(V177&lt;TODAY(),"Expired",IF(V177&lt;=TODAY()+30,"Expires within 30 days","Current")),IF(U177&lt;&gt;"","Add expiry date","Not recorded"))))</x:f>
      </x:c>
      <x:c r="AB177" s="315" t="str">
        <x:f>IF(A177="","",IF(COUNTIFS($A$6:$A$205,A177)&gt;1,"Duplicate ID",IF(B177="","Add listing title",IF(OR(C177="",COUNTIFS('Contacts'!$A$6:$A$205,C177)&lt;&gt;1),"Check Contact ID",IF(D177="","Select sale or rental",IF(M177="","Set listing status",IF(OR(NOT(ISNUMBER(L177)),L177&lt;=0),"Add positive asking price","")))))))</x:f>
      </x:c>
    </x:row>
    <x:row r="178" ht="26" customHeight="1">
      <x:c r="A178" s="317"/>
      <x:c r="B178" s="318"/>
      <x:c r="C178" s="235"/>
      <x:c r="D178" s="235"/>
      <x:c r="E178" s="235"/>
      <x:c r="F178" s="235"/>
      <x:c r="G178" s="235"/>
      <x:c r="H178" s="235"/>
      <x:c r="I178" s="235"/>
      <x:c r="J178" s="376"/>
      <x:c r="K178" s="342"/>
      <x:c r="L178" s="236"/>
      <x:c r="M178" s="235"/>
      <x:c r="N178" s="235"/>
      <x:c r="O178" s="235"/>
      <x:c r="P178" s="238"/>
      <x:c r="Q178" s="376"/>
      <x:c r="R178" s="236"/>
      <x:c r="S178" s="238"/>
      <x:c r="T178" s="235"/>
      <x:c r="U178" s="235"/>
      <x:c r="V178" s="238"/>
      <x:c r="W178" s="235"/>
      <x:c r="X178" s="235"/>
      <x:c r="Y178" s="235"/>
      <x:c r="Z178" s="315" t="str">
        <x:f>IF(A178="","",IF(M178&lt;&gt;"Available","",IF(S178="","Verify availability",IF(TODAY()-S178&gt;14,"Recheck listing",""))))</x:f>
      </x:c>
      <x:c r="AA178" s="265" t="str">
        <x:f>IF(A178="","",IF(AND(M178&lt;&gt;"Available",M178&lt;&gt;"Reserved"),"",IF(ISNUMBER(V178),IF(V178&lt;TODAY(),"Expired",IF(V178&lt;=TODAY()+30,"Expires within 30 days","Current")),IF(U178&lt;&gt;"","Add expiry date","Not recorded"))))</x:f>
      </x:c>
      <x:c r="AB178" s="315" t="str">
        <x:f>IF(A178="","",IF(COUNTIFS($A$6:$A$205,A178)&gt;1,"Duplicate ID",IF(B178="","Add listing title",IF(OR(C178="",COUNTIFS('Contacts'!$A$6:$A$205,C178)&lt;&gt;1),"Check Contact ID",IF(D178="","Select sale or rental",IF(M178="","Set listing status",IF(OR(NOT(ISNUMBER(L178)),L178&lt;=0),"Add positive asking price","")))))))</x:f>
      </x:c>
    </x:row>
    <x:row r="179" ht="26" customHeight="1">
      <x:c r="A179" s="319"/>
      <x:c r="B179" s="320"/>
      <x:c r="C179" s="274"/>
      <x:c r="D179" s="274"/>
      <x:c r="E179" s="274"/>
      <x:c r="F179" s="274"/>
      <x:c r="G179" s="274"/>
      <x:c r="H179" s="274"/>
      <x:c r="I179" s="274"/>
      <x:c r="J179" s="377"/>
      <x:c r="K179" s="344"/>
      <x:c r="L179" s="302"/>
      <x:c r="M179" s="274"/>
      <x:c r="N179" s="274"/>
      <x:c r="O179" s="274"/>
      <x:c r="P179" s="304"/>
      <x:c r="Q179" s="377"/>
      <x:c r="R179" s="302"/>
      <x:c r="S179" s="304"/>
      <x:c r="T179" s="274"/>
      <x:c r="U179" s="274"/>
      <x:c r="V179" s="304"/>
      <x:c r="W179" s="274"/>
      <x:c r="X179" s="274"/>
      <x:c r="Y179" s="274"/>
      <x:c r="Z179" s="315" t="str">
        <x:f>IF(A179="","",IF(M179&lt;&gt;"Available","",IF(S179="","Verify availability",IF(TODAY()-S179&gt;14,"Recheck listing",""))))</x:f>
      </x:c>
      <x:c r="AA179" s="265" t="str">
        <x:f>IF(A179="","",IF(AND(M179&lt;&gt;"Available",M179&lt;&gt;"Reserved"),"",IF(ISNUMBER(V179),IF(V179&lt;TODAY(),"Expired",IF(V179&lt;=TODAY()+30,"Expires within 30 days","Current")),IF(U179&lt;&gt;"","Add expiry date","Not recorded"))))</x:f>
      </x:c>
      <x:c r="AB179" s="315" t="str">
        <x:f>IF(A179="","",IF(COUNTIFS($A$6:$A$205,A179)&gt;1,"Duplicate ID",IF(B179="","Add listing title",IF(OR(C179="",COUNTIFS('Contacts'!$A$6:$A$205,C179)&lt;&gt;1),"Check Contact ID",IF(D179="","Select sale or rental",IF(M179="","Set listing status",IF(OR(NOT(ISNUMBER(L179)),L179&lt;=0),"Add positive asking price","")))))))</x:f>
      </x:c>
    </x:row>
    <x:row r="180" ht="26" customHeight="1">
      <x:c r="A180" s="317"/>
      <x:c r="B180" s="318"/>
      <x:c r="C180" s="235"/>
      <x:c r="D180" s="235"/>
      <x:c r="E180" s="235"/>
      <x:c r="F180" s="235"/>
      <x:c r="G180" s="235"/>
      <x:c r="H180" s="235"/>
      <x:c r="I180" s="235"/>
      <x:c r="J180" s="376"/>
      <x:c r="K180" s="342"/>
      <x:c r="L180" s="236"/>
      <x:c r="M180" s="235"/>
      <x:c r="N180" s="235"/>
      <x:c r="O180" s="235"/>
      <x:c r="P180" s="238"/>
      <x:c r="Q180" s="376"/>
      <x:c r="R180" s="236"/>
      <x:c r="S180" s="238"/>
      <x:c r="T180" s="235"/>
      <x:c r="U180" s="235"/>
      <x:c r="V180" s="238"/>
      <x:c r="W180" s="235"/>
      <x:c r="X180" s="235"/>
      <x:c r="Y180" s="235"/>
      <x:c r="Z180" s="315" t="str">
        <x:f>IF(A180="","",IF(M180&lt;&gt;"Available","",IF(S180="","Verify availability",IF(TODAY()-S180&gt;14,"Recheck listing",""))))</x:f>
      </x:c>
      <x:c r="AA180" s="265" t="str">
        <x:f>IF(A180="","",IF(AND(M180&lt;&gt;"Available",M180&lt;&gt;"Reserved"),"",IF(ISNUMBER(V180),IF(V180&lt;TODAY(),"Expired",IF(V180&lt;=TODAY()+30,"Expires within 30 days","Current")),IF(U180&lt;&gt;"","Add expiry date","Not recorded"))))</x:f>
      </x:c>
      <x:c r="AB180" s="315" t="str">
        <x:f>IF(A180="","",IF(COUNTIFS($A$6:$A$205,A180)&gt;1,"Duplicate ID",IF(B180="","Add listing title",IF(OR(C180="",COUNTIFS('Contacts'!$A$6:$A$205,C180)&lt;&gt;1),"Check Contact ID",IF(D180="","Select sale or rental",IF(M180="","Set listing status",IF(OR(NOT(ISNUMBER(L180)),L180&lt;=0),"Add positive asking price","")))))))</x:f>
      </x:c>
    </x:row>
    <x:row r="181" ht="26" customHeight="1">
      <x:c r="A181" s="319"/>
      <x:c r="B181" s="320"/>
      <x:c r="C181" s="274"/>
      <x:c r="D181" s="274"/>
      <x:c r="E181" s="274"/>
      <x:c r="F181" s="274"/>
      <x:c r="G181" s="274"/>
      <x:c r="H181" s="274"/>
      <x:c r="I181" s="274"/>
      <x:c r="J181" s="377"/>
      <x:c r="K181" s="344"/>
      <x:c r="L181" s="302"/>
      <x:c r="M181" s="274"/>
      <x:c r="N181" s="274"/>
      <x:c r="O181" s="274"/>
      <x:c r="P181" s="304"/>
      <x:c r="Q181" s="377"/>
      <x:c r="R181" s="302"/>
      <x:c r="S181" s="304"/>
      <x:c r="T181" s="274"/>
      <x:c r="U181" s="274"/>
      <x:c r="V181" s="304"/>
      <x:c r="W181" s="274"/>
      <x:c r="X181" s="274"/>
      <x:c r="Y181" s="274"/>
      <x:c r="Z181" s="315" t="str">
        <x:f>IF(A181="","",IF(M181&lt;&gt;"Available","",IF(S181="","Verify availability",IF(TODAY()-S181&gt;14,"Recheck listing",""))))</x:f>
      </x:c>
      <x:c r="AA181" s="265" t="str">
        <x:f>IF(A181="","",IF(AND(M181&lt;&gt;"Available",M181&lt;&gt;"Reserved"),"",IF(ISNUMBER(V181),IF(V181&lt;TODAY(),"Expired",IF(V181&lt;=TODAY()+30,"Expires within 30 days","Current")),IF(U181&lt;&gt;"","Add expiry date","Not recorded"))))</x:f>
      </x:c>
      <x:c r="AB181" s="315" t="str">
        <x:f>IF(A181="","",IF(COUNTIFS($A$6:$A$205,A181)&gt;1,"Duplicate ID",IF(B181="","Add listing title",IF(OR(C181="",COUNTIFS('Contacts'!$A$6:$A$205,C181)&lt;&gt;1),"Check Contact ID",IF(D181="","Select sale or rental",IF(M181="","Set listing status",IF(OR(NOT(ISNUMBER(L181)),L181&lt;=0),"Add positive asking price","")))))))</x:f>
      </x:c>
    </x:row>
    <x:row r="182" ht="26" customHeight="1">
      <x:c r="A182" s="317"/>
      <x:c r="B182" s="318"/>
      <x:c r="C182" s="235"/>
      <x:c r="D182" s="235"/>
      <x:c r="E182" s="235"/>
      <x:c r="F182" s="235"/>
      <x:c r="G182" s="235"/>
      <x:c r="H182" s="235"/>
      <x:c r="I182" s="235"/>
      <x:c r="J182" s="376"/>
      <x:c r="K182" s="342"/>
      <x:c r="L182" s="236"/>
      <x:c r="M182" s="235"/>
      <x:c r="N182" s="235"/>
      <x:c r="O182" s="235"/>
      <x:c r="P182" s="238"/>
      <x:c r="Q182" s="376"/>
      <x:c r="R182" s="236"/>
      <x:c r="S182" s="238"/>
      <x:c r="T182" s="235"/>
      <x:c r="U182" s="235"/>
      <x:c r="V182" s="238"/>
      <x:c r="W182" s="235"/>
      <x:c r="X182" s="235"/>
      <x:c r="Y182" s="235"/>
      <x:c r="Z182" s="315" t="str">
        <x:f>IF(A182="","",IF(M182&lt;&gt;"Available","",IF(S182="","Verify availability",IF(TODAY()-S182&gt;14,"Recheck listing",""))))</x:f>
      </x:c>
      <x:c r="AA182" s="265" t="str">
        <x:f>IF(A182="","",IF(AND(M182&lt;&gt;"Available",M182&lt;&gt;"Reserved"),"",IF(ISNUMBER(V182),IF(V182&lt;TODAY(),"Expired",IF(V182&lt;=TODAY()+30,"Expires within 30 days","Current")),IF(U182&lt;&gt;"","Add expiry date","Not recorded"))))</x:f>
      </x:c>
      <x:c r="AB182" s="315" t="str">
        <x:f>IF(A182="","",IF(COUNTIFS($A$6:$A$205,A182)&gt;1,"Duplicate ID",IF(B182="","Add listing title",IF(OR(C182="",COUNTIFS('Contacts'!$A$6:$A$205,C182)&lt;&gt;1),"Check Contact ID",IF(D182="","Select sale or rental",IF(M182="","Set listing status",IF(OR(NOT(ISNUMBER(L182)),L182&lt;=0),"Add positive asking price","")))))))</x:f>
      </x:c>
    </x:row>
    <x:row r="183" ht="26" customHeight="1">
      <x:c r="A183" s="319"/>
      <x:c r="B183" s="320"/>
      <x:c r="C183" s="274"/>
      <x:c r="D183" s="274"/>
      <x:c r="E183" s="274"/>
      <x:c r="F183" s="274"/>
      <x:c r="G183" s="274"/>
      <x:c r="H183" s="274"/>
      <x:c r="I183" s="274"/>
      <x:c r="J183" s="377"/>
      <x:c r="K183" s="344"/>
      <x:c r="L183" s="302"/>
      <x:c r="M183" s="274"/>
      <x:c r="N183" s="274"/>
      <x:c r="O183" s="274"/>
      <x:c r="P183" s="304"/>
      <x:c r="Q183" s="377"/>
      <x:c r="R183" s="302"/>
      <x:c r="S183" s="304"/>
      <x:c r="T183" s="274"/>
      <x:c r="U183" s="274"/>
      <x:c r="V183" s="304"/>
      <x:c r="W183" s="274"/>
      <x:c r="X183" s="274"/>
      <x:c r="Y183" s="274"/>
      <x:c r="Z183" s="315" t="str">
        <x:f>IF(A183="","",IF(M183&lt;&gt;"Available","",IF(S183="","Verify availability",IF(TODAY()-S183&gt;14,"Recheck listing",""))))</x:f>
      </x:c>
      <x:c r="AA183" s="265" t="str">
        <x:f>IF(A183="","",IF(AND(M183&lt;&gt;"Available",M183&lt;&gt;"Reserved"),"",IF(ISNUMBER(V183),IF(V183&lt;TODAY(),"Expired",IF(V183&lt;=TODAY()+30,"Expires within 30 days","Current")),IF(U183&lt;&gt;"","Add expiry date","Not recorded"))))</x:f>
      </x:c>
      <x:c r="AB183" s="315" t="str">
        <x:f>IF(A183="","",IF(COUNTIFS($A$6:$A$205,A183)&gt;1,"Duplicate ID",IF(B183="","Add listing title",IF(OR(C183="",COUNTIFS('Contacts'!$A$6:$A$205,C183)&lt;&gt;1),"Check Contact ID",IF(D183="","Select sale or rental",IF(M183="","Set listing status",IF(OR(NOT(ISNUMBER(L183)),L183&lt;=0),"Add positive asking price","")))))))</x:f>
      </x:c>
    </x:row>
    <x:row r="184" ht="26" customHeight="1">
      <x:c r="A184" s="317"/>
      <x:c r="B184" s="318"/>
      <x:c r="C184" s="235"/>
      <x:c r="D184" s="235"/>
      <x:c r="E184" s="235"/>
      <x:c r="F184" s="235"/>
      <x:c r="G184" s="235"/>
      <x:c r="H184" s="235"/>
      <x:c r="I184" s="235"/>
      <x:c r="J184" s="376"/>
      <x:c r="K184" s="342"/>
      <x:c r="L184" s="236"/>
      <x:c r="M184" s="235"/>
      <x:c r="N184" s="235"/>
      <x:c r="O184" s="235"/>
      <x:c r="P184" s="238"/>
      <x:c r="Q184" s="376"/>
      <x:c r="R184" s="236"/>
      <x:c r="S184" s="238"/>
      <x:c r="T184" s="235"/>
      <x:c r="U184" s="235"/>
      <x:c r="V184" s="238"/>
      <x:c r="W184" s="235"/>
      <x:c r="X184" s="235"/>
      <x:c r="Y184" s="235"/>
      <x:c r="Z184" s="315" t="str">
        <x:f>IF(A184="","",IF(M184&lt;&gt;"Available","",IF(S184="","Verify availability",IF(TODAY()-S184&gt;14,"Recheck listing",""))))</x:f>
      </x:c>
      <x:c r="AA184" s="265" t="str">
        <x:f>IF(A184="","",IF(AND(M184&lt;&gt;"Available",M184&lt;&gt;"Reserved"),"",IF(ISNUMBER(V184),IF(V184&lt;TODAY(),"Expired",IF(V184&lt;=TODAY()+30,"Expires within 30 days","Current")),IF(U184&lt;&gt;"","Add expiry date","Not recorded"))))</x:f>
      </x:c>
      <x:c r="AB184" s="315" t="str">
        <x:f>IF(A184="","",IF(COUNTIFS($A$6:$A$205,A184)&gt;1,"Duplicate ID",IF(B184="","Add listing title",IF(OR(C184="",COUNTIFS('Contacts'!$A$6:$A$205,C184)&lt;&gt;1),"Check Contact ID",IF(D184="","Select sale or rental",IF(M184="","Set listing status",IF(OR(NOT(ISNUMBER(L184)),L184&lt;=0),"Add positive asking price","")))))))</x:f>
      </x:c>
    </x:row>
    <x:row r="185" ht="26" customHeight="1">
      <x:c r="A185" s="319"/>
      <x:c r="B185" s="320"/>
      <x:c r="C185" s="274"/>
      <x:c r="D185" s="274"/>
      <x:c r="E185" s="274"/>
      <x:c r="F185" s="274"/>
      <x:c r="G185" s="274"/>
      <x:c r="H185" s="274"/>
      <x:c r="I185" s="274"/>
      <x:c r="J185" s="377"/>
      <x:c r="K185" s="344"/>
      <x:c r="L185" s="302"/>
      <x:c r="M185" s="274"/>
      <x:c r="N185" s="274"/>
      <x:c r="O185" s="274"/>
      <x:c r="P185" s="304"/>
      <x:c r="Q185" s="377"/>
      <x:c r="R185" s="302"/>
      <x:c r="S185" s="304"/>
      <x:c r="T185" s="274"/>
      <x:c r="U185" s="274"/>
      <x:c r="V185" s="304"/>
      <x:c r="W185" s="274"/>
      <x:c r="X185" s="274"/>
      <x:c r="Y185" s="274"/>
      <x:c r="Z185" s="315" t="str">
        <x:f>IF(A185="","",IF(M185&lt;&gt;"Available","",IF(S185="","Verify availability",IF(TODAY()-S185&gt;14,"Recheck listing",""))))</x:f>
      </x:c>
      <x:c r="AA185" s="265" t="str">
        <x:f>IF(A185="","",IF(AND(M185&lt;&gt;"Available",M185&lt;&gt;"Reserved"),"",IF(ISNUMBER(V185),IF(V185&lt;TODAY(),"Expired",IF(V185&lt;=TODAY()+30,"Expires within 30 days","Current")),IF(U185&lt;&gt;"","Add expiry date","Not recorded"))))</x:f>
      </x:c>
      <x:c r="AB185" s="315" t="str">
        <x:f>IF(A185="","",IF(COUNTIFS($A$6:$A$205,A185)&gt;1,"Duplicate ID",IF(B185="","Add listing title",IF(OR(C185="",COUNTIFS('Contacts'!$A$6:$A$205,C185)&lt;&gt;1),"Check Contact ID",IF(D185="","Select sale or rental",IF(M185="","Set listing status",IF(OR(NOT(ISNUMBER(L185)),L185&lt;=0),"Add positive asking price","")))))))</x:f>
      </x:c>
    </x:row>
    <x:row r="186" ht="26" customHeight="1">
      <x:c r="A186" s="317"/>
      <x:c r="B186" s="318"/>
      <x:c r="C186" s="235"/>
      <x:c r="D186" s="235"/>
      <x:c r="E186" s="235"/>
      <x:c r="F186" s="235"/>
      <x:c r="G186" s="235"/>
      <x:c r="H186" s="235"/>
      <x:c r="I186" s="235"/>
      <x:c r="J186" s="376"/>
      <x:c r="K186" s="342"/>
      <x:c r="L186" s="236"/>
      <x:c r="M186" s="235"/>
      <x:c r="N186" s="235"/>
      <x:c r="O186" s="235"/>
      <x:c r="P186" s="238"/>
      <x:c r="Q186" s="376"/>
      <x:c r="R186" s="236"/>
      <x:c r="S186" s="238"/>
      <x:c r="T186" s="235"/>
      <x:c r="U186" s="235"/>
      <x:c r="V186" s="238"/>
      <x:c r="W186" s="235"/>
      <x:c r="X186" s="235"/>
      <x:c r="Y186" s="235"/>
      <x:c r="Z186" s="315" t="str">
        <x:f>IF(A186="","",IF(M186&lt;&gt;"Available","",IF(S186="","Verify availability",IF(TODAY()-S186&gt;14,"Recheck listing",""))))</x:f>
      </x:c>
      <x:c r="AA186" s="265" t="str">
        <x:f>IF(A186="","",IF(AND(M186&lt;&gt;"Available",M186&lt;&gt;"Reserved"),"",IF(ISNUMBER(V186),IF(V186&lt;TODAY(),"Expired",IF(V186&lt;=TODAY()+30,"Expires within 30 days","Current")),IF(U186&lt;&gt;"","Add expiry date","Not recorded"))))</x:f>
      </x:c>
      <x:c r="AB186" s="315" t="str">
        <x:f>IF(A186="","",IF(COUNTIFS($A$6:$A$205,A186)&gt;1,"Duplicate ID",IF(B186="","Add listing title",IF(OR(C186="",COUNTIFS('Contacts'!$A$6:$A$205,C186)&lt;&gt;1),"Check Contact ID",IF(D186="","Select sale or rental",IF(M186="","Set listing status",IF(OR(NOT(ISNUMBER(L186)),L186&lt;=0),"Add positive asking price","")))))))</x:f>
      </x:c>
    </x:row>
    <x:row r="187" ht="26" customHeight="1">
      <x:c r="A187" s="319"/>
      <x:c r="B187" s="320"/>
      <x:c r="C187" s="274"/>
      <x:c r="D187" s="274"/>
      <x:c r="E187" s="274"/>
      <x:c r="F187" s="274"/>
      <x:c r="G187" s="274"/>
      <x:c r="H187" s="274"/>
      <x:c r="I187" s="274"/>
      <x:c r="J187" s="377"/>
      <x:c r="K187" s="344"/>
      <x:c r="L187" s="302"/>
      <x:c r="M187" s="274"/>
      <x:c r="N187" s="274"/>
      <x:c r="O187" s="274"/>
      <x:c r="P187" s="304"/>
      <x:c r="Q187" s="377"/>
      <x:c r="R187" s="302"/>
      <x:c r="S187" s="304"/>
      <x:c r="T187" s="274"/>
      <x:c r="U187" s="274"/>
      <x:c r="V187" s="304"/>
      <x:c r="W187" s="274"/>
      <x:c r="X187" s="274"/>
      <x:c r="Y187" s="274"/>
      <x:c r="Z187" s="315" t="str">
        <x:f>IF(A187="","",IF(M187&lt;&gt;"Available","",IF(S187="","Verify availability",IF(TODAY()-S187&gt;14,"Recheck listing",""))))</x:f>
      </x:c>
      <x:c r="AA187" s="265" t="str">
        <x:f>IF(A187="","",IF(AND(M187&lt;&gt;"Available",M187&lt;&gt;"Reserved"),"",IF(ISNUMBER(V187),IF(V187&lt;TODAY(),"Expired",IF(V187&lt;=TODAY()+30,"Expires within 30 days","Current")),IF(U187&lt;&gt;"","Add expiry date","Not recorded"))))</x:f>
      </x:c>
      <x:c r="AB187" s="315" t="str">
        <x:f>IF(A187="","",IF(COUNTIFS($A$6:$A$205,A187)&gt;1,"Duplicate ID",IF(B187="","Add listing title",IF(OR(C187="",COUNTIFS('Contacts'!$A$6:$A$205,C187)&lt;&gt;1),"Check Contact ID",IF(D187="","Select sale or rental",IF(M187="","Set listing status",IF(OR(NOT(ISNUMBER(L187)),L187&lt;=0),"Add positive asking price","")))))))</x:f>
      </x:c>
    </x:row>
    <x:row r="188" ht="26" customHeight="1">
      <x:c r="A188" s="317"/>
      <x:c r="B188" s="318"/>
      <x:c r="C188" s="235"/>
      <x:c r="D188" s="235"/>
      <x:c r="E188" s="235"/>
      <x:c r="F188" s="235"/>
      <x:c r="G188" s="235"/>
      <x:c r="H188" s="235"/>
      <x:c r="I188" s="235"/>
      <x:c r="J188" s="376"/>
      <x:c r="K188" s="342"/>
      <x:c r="L188" s="236"/>
      <x:c r="M188" s="235"/>
      <x:c r="N188" s="235"/>
      <x:c r="O188" s="235"/>
      <x:c r="P188" s="238"/>
      <x:c r="Q188" s="376"/>
      <x:c r="R188" s="236"/>
      <x:c r="S188" s="238"/>
      <x:c r="T188" s="235"/>
      <x:c r="U188" s="235"/>
      <x:c r="V188" s="238"/>
      <x:c r="W188" s="235"/>
      <x:c r="X188" s="235"/>
      <x:c r="Y188" s="235"/>
      <x:c r="Z188" s="315" t="str">
        <x:f>IF(A188="","",IF(M188&lt;&gt;"Available","",IF(S188="","Verify availability",IF(TODAY()-S188&gt;14,"Recheck listing",""))))</x:f>
      </x:c>
      <x:c r="AA188" s="265" t="str">
        <x:f>IF(A188="","",IF(AND(M188&lt;&gt;"Available",M188&lt;&gt;"Reserved"),"",IF(ISNUMBER(V188),IF(V188&lt;TODAY(),"Expired",IF(V188&lt;=TODAY()+30,"Expires within 30 days","Current")),IF(U188&lt;&gt;"","Add expiry date","Not recorded"))))</x:f>
      </x:c>
      <x:c r="AB188" s="315" t="str">
        <x:f>IF(A188="","",IF(COUNTIFS($A$6:$A$205,A188)&gt;1,"Duplicate ID",IF(B188="","Add listing title",IF(OR(C188="",COUNTIFS('Contacts'!$A$6:$A$205,C188)&lt;&gt;1),"Check Contact ID",IF(D188="","Select sale or rental",IF(M188="","Set listing status",IF(OR(NOT(ISNUMBER(L188)),L188&lt;=0),"Add positive asking price","")))))))</x:f>
      </x:c>
    </x:row>
    <x:row r="189" ht="26" customHeight="1">
      <x:c r="A189" s="319"/>
      <x:c r="B189" s="320"/>
      <x:c r="C189" s="274"/>
      <x:c r="D189" s="274"/>
      <x:c r="E189" s="274"/>
      <x:c r="F189" s="274"/>
      <x:c r="G189" s="274"/>
      <x:c r="H189" s="274"/>
      <x:c r="I189" s="274"/>
      <x:c r="J189" s="377"/>
      <x:c r="K189" s="344"/>
      <x:c r="L189" s="302"/>
      <x:c r="M189" s="274"/>
      <x:c r="N189" s="274"/>
      <x:c r="O189" s="274"/>
      <x:c r="P189" s="304"/>
      <x:c r="Q189" s="377"/>
      <x:c r="R189" s="302"/>
      <x:c r="S189" s="304"/>
      <x:c r="T189" s="274"/>
      <x:c r="U189" s="274"/>
      <x:c r="V189" s="304"/>
      <x:c r="W189" s="274"/>
      <x:c r="X189" s="274"/>
      <x:c r="Y189" s="274"/>
      <x:c r="Z189" s="315" t="str">
        <x:f>IF(A189="","",IF(M189&lt;&gt;"Available","",IF(S189="","Verify availability",IF(TODAY()-S189&gt;14,"Recheck listing",""))))</x:f>
      </x:c>
      <x:c r="AA189" s="265" t="str">
        <x:f>IF(A189="","",IF(AND(M189&lt;&gt;"Available",M189&lt;&gt;"Reserved"),"",IF(ISNUMBER(V189),IF(V189&lt;TODAY(),"Expired",IF(V189&lt;=TODAY()+30,"Expires within 30 days","Current")),IF(U189&lt;&gt;"","Add expiry date","Not recorded"))))</x:f>
      </x:c>
      <x:c r="AB189" s="315" t="str">
        <x:f>IF(A189="","",IF(COUNTIFS($A$6:$A$205,A189)&gt;1,"Duplicate ID",IF(B189="","Add listing title",IF(OR(C189="",COUNTIFS('Contacts'!$A$6:$A$205,C189)&lt;&gt;1),"Check Contact ID",IF(D189="","Select sale or rental",IF(M189="","Set listing status",IF(OR(NOT(ISNUMBER(L189)),L189&lt;=0),"Add positive asking price","")))))))</x:f>
      </x:c>
    </x:row>
    <x:row r="190" ht="26" customHeight="1">
      <x:c r="A190" s="317"/>
      <x:c r="B190" s="318"/>
      <x:c r="C190" s="235"/>
      <x:c r="D190" s="235"/>
      <x:c r="E190" s="235"/>
      <x:c r="F190" s="235"/>
      <x:c r="G190" s="235"/>
      <x:c r="H190" s="235"/>
      <x:c r="I190" s="235"/>
      <x:c r="J190" s="376"/>
      <x:c r="K190" s="342"/>
      <x:c r="L190" s="236"/>
      <x:c r="M190" s="235"/>
      <x:c r="N190" s="235"/>
      <x:c r="O190" s="235"/>
      <x:c r="P190" s="238"/>
      <x:c r="Q190" s="376"/>
      <x:c r="R190" s="236"/>
      <x:c r="S190" s="238"/>
      <x:c r="T190" s="235"/>
      <x:c r="U190" s="235"/>
      <x:c r="V190" s="238"/>
      <x:c r="W190" s="235"/>
      <x:c r="X190" s="235"/>
      <x:c r="Y190" s="235"/>
      <x:c r="Z190" s="315" t="str">
        <x:f>IF(A190="","",IF(M190&lt;&gt;"Available","",IF(S190="","Verify availability",IF(TODAY()-S190&gt;14,"Recheck listing",""))))</x:f>
      </x:c>
      <x:c r="AA190" s="265" t="str">
        <x:f>IF(A190="","",IF(AND(M190&lt;&gt;"Available",M190&lt;&gt;"Reserved"),"",IF(ISNUMBER(V190),IF(V190&lt;TODAY(),"Expired",IF(V190&lt;=TODAY()+30,"Expires within 30 days","Current")),IF(U190&lt;&gt;"","Add expiry date","Not recorded"))))</x:f>
      </x:c>
      <x:c r="AB190" s="315" t="str">
        <x:f>IF(A190="","",IF(COUNTIFS($A$6:$A$205,A190)&gt;1,"Duplicate ID",IF(B190="","Add listing title",IF(OR(C190="",COUNTIFS('Contacts'!$A$6:$A$205,C190)&lt;&gt;1),"Check Contact ID",IF(D190="","Select sale or rental",IF(M190="","Set listing status",IF(OR(NOT(ISNUMBER(L190)),L190&lt;=0),"Add positive asking price","")))))))</x:f>
      </x:c>
    </x:row>
    <x:row r="191" ht="26" customHeight="1">
      <x:c r="A191" s="319"/>
      <x:c r="B191" s="320"/>
      <x:c r="C191" s="274"/>
      <x:c r="D191" s="274"/>
      <x:c r="E191" s="274"/>
      <x:c r="F191" s="274"/>
      <x:c r="G191" s="274"/>
      <x:c r="H191" s="274"/>
      <x:c r="I191" s="274"/>
      <x:c r="J191" s="377"/>
      <x:c r="K191" s="344"/>
      <x:c r="L191" s="302"/>
      <x:c r="M191" s="274"/>
      <x:c r="N191" s="274"/>
      <x:c r="O191" s="274"/>
      <x:c r="P191" s="304"/>
      <x:c r="Q191" s="377"/>
      <x:c r="R191" s="302"/>
      <x:c r="S191" s="304"/>
      <x:c r="T191" s="274"/>
      <x:c r="U191" s="274"/>
      <x:c r="V191" s="304"/>
      <x:c r="W191" s="274"/>
      <x:c r="X191" s="274"/>
      <x:c r="Y191" s="274"/>
      <x:c r="Z191" s="315" t="str">
        <x:f>IF(A191="","",IF(M191&lt;&gt;"Available","",IF(S191="","Verify availability",IF(TODAY()-S191&gt;14,"Recheck listing",""))))</x:f>
      </x:c>
      <x:c r="AA191" s="265" t="str">
        <x:f>IF(A191="","",IF(AND(M191&lt;&gt;"Available",M191&lt;&gt;"Reserved"),"",IF(ISNUMBER(V191),IF(V191&lt;TODAY(),"Expired",IF(V191&lt;=TODAY()+30,"Expires within 30 days","Current")),IF(U191&lt;&gt;"","Add expiry date","Not recorded"))))</x:f>
      </x:c>
      <x:c r="AB191" s="315" t="str">
        <x:f>IF(A191="","",IF(COUNTIFS($A$6:$A$205,A191)&gt;1,"Duplicate ID",IF(B191="","Add listing title",IF(OR(C191="",COUNTIFS('Contacts'!$A$6:$A$205,C191)&lt;&gt;1),"Check Contact ID",IF(D191="","Select sale or rental",IF(M191="","Set listing status",IF(OR(NOT(ISNUMBER(L191)),L191&lt;=0),"Add positive asking price","")))))))</x:f>
      </x:c>
    </x:row>
    <x:row r="192" ht="26" customHeight="1">
      <x:c r="A192" s="317"/>
      <x:c r="B192" s="318"/>
      <x:c r="C192" s="235"/>
      <x:c r="D192" s="235"/>
      <x:c r="E192" s="235"/>
      <x:c r="F192" s="235"/>
      <x:c r="G192" s="235"/>
      <x:c r="H192" s="235"/>
      <x:c r="I192" s="235"/>
      <x:c r="J192" s="376"/>
      <x:c r="K192" s="342"/>
      <x:c r="L192" s="236"/>
      <x:c r="M192" s="235"/>
      <x:c r="N192" s="235"/>
      <x:c r="O192" s="235"/>
      <x:c r="P192" s="238"/>
      <x:c r="Q192" s="376"/>
      <x:c r="R192" s="236"/>
      <x:c r="S192" s="238"/>
      <x:c r="T192" s="235"/>
      <x:c r="U192" s="235"/>
      <x:c r="V192" s="238"/>
      <x:c r="W192" s="235"/>
      <x:c r="X192" s="235"/>
      <x:c r="Y192" s="235"/>
      <x:c r="Z192" s="315" t="str">
        <x:f>IF(A192="","",IF(M192&lt;&gt;"Available","",IF(S192="","Verify availability",IF(TODAY()-S192&gt;14,"Recheck listing",""))))</x:f>
      </x:c>
      <x:c r="AA192" s="265" t="str">
        <x:f>IF(A192="","",IF(AND(M192&lt;&gt;"Available",M192&lt;&gt;"Reserved"),"",IF(ISNUMBER(V192),IF(V192&lt;TODAY(),"Expired",IF(V192&lt;=TODAY()+30,"Expires within 30 days","Current")),IF(U192&lt;&gt;"","Add expiry date","Not recorded"))))</x:f>
      </x:c>
      <x:c r="AB192" s="315" t="str">
        <x:f>IF(A192="","",IF(COUNTIFS($A$6:$A$205,A192)&gt;1,"Duplicate ID",IF(B192="","Add listing title",IF(OR(C192="",COUNTIFS('Contacts'!$A$6:$A$205,C192)&lt;&gt;1),"Check Contact ID",IF(D192="","Select sale or rental",IF(M192="","Set listing status",IF(OR(NOT(ISNUMBER(L192)),L192&lt;=0),"Add positive asking price","")))))))</x:f>
      </x:c>
    </x:row>
    <x:row r="193" ht="26" customHeight="1">
      <x:c r="A193" s="319"/>
      <x:c r="B193" s="320"/>
      <x:c r="C193" s="274"/>
      <x:c r="D193" s="274"/>
      <x:c r="E193" s="274"/>
      <x:c r="F193" s="274"/>
      <x:c r="G193" s="274"/>
      <x:c r="H193" s="274"/>
      <x:c r="I193" s="274"/>
      <x:c r="J193" s="377"/>
      <x:c r="K193" s="344"/>
      <x:c r="L193" s="302"/>
      <x:c r="M193" s="274"/>
      <x:c r="N193" s="274"/>
      <x:c r="O193" s="274"/>
      <x:c r="P193" s="304"/>
      <x:c r="Q193" s="377"/>
      <x:c r="R193" s="302"/>
      <x:c r="S193" s="304"/>
      <x:c r="T193" s="274"/>
      <x:c r="U193" s="274"/>
      <x:c r="V193" s="304"/>
      <x:c r="W193" s="274"/>
      <x:c r="X193" s="274"/>
      <x:c r="Y193" s="274"/>
      <x:c r="Z193" s="315" t="str">
        <x:f>IF(A193="","",IF(M193&lt;&gt;"Available","",IF(S193="","Verify availability",IF(TODAY()-S193&gt;14,"Recheck listing",""))))</x:f>
      </x:c>
      <x:c r="AA193" s="265" t="str">
        <x:f>IF(A193="","",IF(AND(M193&lt;&gt;"Available",M193&lt;&gt;"Reserved"),"",IF(ISNUMBER(V193),IF(V193&lt;TODAY(),"Expired",IF(V193&lt;=TODAY()+30,"Expires within 30 days","Current")),IF(U193&lt;&gt;"","Add expiry date","Not recorded"))))</x:f>
      </x:c>
      <x:c r="AB193" s="315" t="str">
        <x:f>IF(A193="","",IF(COUNTIFS($A$6:$A$205,A193)&gt;1,"Duplicate ID",IF(B193="","Add listing title",IF(OR(C193="",COUNTIFS('Contacts'!$A$6:$A$205,C193)&lt;&gt;1),"Check Contact ID",IF(D193="","Select sale or rental",IF(M193="","Set listing status",IF(OR(NOT(ISNUMBER(L193)),L193&lt;=0),"Add positive asking price","")))))))</x:f>
      </x:c>
    </x:row>
    <x:row r="194" ht="26" customHeight="1">
      <x:c r="A194" s="317"/>
      <x:c r="B194" s="318"/>
      <x:c r="C194" s="235"/>
      <x:c r="D194" s="235"/>
      <x:c r="E194" s="235"/>
      <x:c r="F194" s="235"/>
      <x:c r="G194" s="235"/>
      <x:c r="H194" s="235"/>
      <x:c r="I194" s="235"/>
      <x:c r="J194" s="376"/>
      <x:c r="K194" s="342"/>
      <x:c r="L194" s="236"/>
      <x:c r="M194" s="235"/>
      <x:c r="N194" s="235"/>
      <x:c r="O194" s="235"/>
      <x:c r="P194" s="238"/>
      <x:c r="Q194" s="376"/>
      <x:c r="R194" s="236"/>
      <x:c r="S194" s="238"/>
      <x:c r="T194" s="235"/>
      <x:c r="U194" s="235"/>
      <x:c r="V194" s="238"/>
      <x:c r="W194" s="235"/>
      <x:c r="X194" s="235"/>
      <x:c r="Y194" s="235"/>
      <x:c r="Z194" s="315" t="str">
        <x:f>IF(A194="","",IF(M194&lt;&gt;"Available","",IF(S194="","Verify availability",IF(TODAY()-S194&gt;14,"Recheck listing",""))))</x:f>
      </x:c>
      <x:c r="AA194" s="265" t="str">
        <x:f>IF(A194="","",IF(AND(M194&lt;&gt;"Available",M194&lt;&gt;"Reserved"),"",IF(ISNUMBER(V194),IF(V194&lt;TODAY(),"Expired",IF(V194&lt;=TODAY()+30,"Expires within 30 days","Current")),IF(U194&lt;&gt;"","Add expiry date","Not recorded"))))</x:f>
      </x:c>
      <x:c r="AB194" s="315" t="str">
        <x:f>IF(A194="","",IF(COUNTIFS($A$6:$A$205,A194)&gt;1,"Duplicate ID",IF(B194="","Add listing title",IF(OR(C194="",COUNTIFS('Contacts'!$A$6:$A$205,C194)&lt;&gt;1),"Check Contact ID",IF(D194="","Select sale or rental",IF(M194="","Set listing status",IF(OR(NOT(ISNUMBER(L194)),L194&lt;=0),"Add positive asking price","")))))))</x:f>
      </x:c>
    </x:row>
    <x:row r="195" ht="26" customHeight="1">
      <x:c r="A195" s="319"/>
      <x:c r="B195" s="320"/>
      <x:c r="C195" s="274"/>
      <x:c r="D195" s="274"/>
      <x:c r="E195" s="274"/>
      <x:c r="F195" s="274"/>
      <x:c r="G195" s="274"/>
      <x:c r="H195" s="274"/>
      <x:c r="I195" s="274"/>
      <x:c r="J195" s="377"/>
      <x:c r="K195" s="344"/>
      <x:c r="L195" s="302"/>
      <x:c r="M195" s="274"/>
      <x:c r="N195" s="274"/>
      <x:c r="O195" s="274"/>
      <x:c r="P195" s="304"/>
      <x:c r="Q195" s="377"/>
      <x:c r="R195" s="302"/>
      <x:c r="S195" s="304"/>
      <x:c r="T195" s="274"/>
      <x:c r="U195" s="274"/>
      <x:c r="V195" s="304"/>
      <x:c r="W195" s="274"/>
      <x:c r="X195" s="274"/>
      <x:c r="Y195" s="274"/>
      <x:c r="Z195" s="315" t="str">
        <x:f>IF(A195="","",IF(M195&lt;&gt;"Available","",IF(S195="","Verify availability",IF(TODAY()-S195&gt;14,"Recheck listing",""))))</x:f>
      </x:c>
      <x:c r="AA195" s="265" t="str">
        <x:f>IF(A195="","",IF(AND(M195&lt;&gt;"Available",M195&lt;&gt;"Reserved"),"",IF(ISNUMBER(V195),IF(V195&lt;TODAY(),"Expired",IF(V195&lt;=TODAY()+30,"Expires within 30 days","Current")),IF(U195&lt;&gt;"","Add expiry date","Not recorded"))))</x:f>
      </x:c>
      <x:c r="AB195" s="315" t="str">
        <x:f>IF(A195="","",IF(COUNTIFS($A$6:$A$205,A195)&gt;1,"Duplicate ID",IF(B195="","Add listing title",IF(OR(C195="",COUNTIFS('Contacts'!$A$6:$A$205,C195)&lt;&gt;1),"Check Contact ID",IF(D195="","Select sale or rental",IF(M195="","Set listing status",IF(OR(NOT(ISNUMBER(L195)),L195&lt;=0),"Add positive asking price","")))))))</x:f>
      </x:c>
    </x:row>
    <x:row r="196" ht="26" customHeight="1">
      <x:c r="A196" s="317"/>
      <x:c r="B196" s="318"/>
      <x:c r="C196" s="235"/>
      <x:c r="D196" s="235"/>
      <x:c r="E196" s="235"/>
      <x:c r="F196" s="235"/>
      <x:c r="G196" s="235"/>
      <x:c r="H196" s="235"/>
      <x:c r="I196" s="235"/>
      <x:c r="J196" s="376"/>
      <x:c r="K196" s="342"/>
      <x:c r="L196" s="236"/>
      <x:c r="M196" s="235"/>
      <x:c r="N196" s="235"/>
      <x:c r="O196" s="235"/>
      <x:c r="P196" s="238"/>
      <x:c r="Q196" s="376"/>
      <x:c r="R196" s="236"/>
      <x:c r="S196" s="238"/>
      <x:c r="T196" s="235"/>
      <x:c r="U196" s="235"/>
      <x:c r="V196" s="238"/>
      <x:c r="W196" s="235"/>
      <x:c r="X196" s="235"/>
      <x:c r="Y196" s="235"/>
      <x:c r="Z196" s="315" t="str">
        <x:f>IF(A196="","",IF(M196&lt;&gt;"Available","",IF(S196="","Verify availability",IF(TODAY()-S196&gt;14,"Recheck listing",""))))</x:f>
      </x:c>
      <x:c r="AA196" s="265" t="str">
        <x:f>IF(A196="","",IF(AND(M196&lt;&gt;"Available",M196&lt;&gt;"Reserved"),"",IF(ISNUMBER(V196),IF(V196&lt;TODAY(),"Expired",IF(V196&lt;=TODAY()+30,"Expires within 30 days","Current")),IF(U196&lt;&gt;"","Add expiry date","Not recorded"))))</x:f>
      </x:c>
      <x:c r="AB196" s="315" t="str">
        <x:f>IF(A196="","",IF(COUNTIFS($A$6:$A$205,A196)&gt;1,"Duplicate ID",IF(B196="","Add listing title",IF(OR(C196="",COUNTIFS('Contacts'!$A$6:$A$205,C196)&lt;&gt;1),"Check Contact ID",IF(D196="","Select sale or rental",IF(M196="","Set listing status",IF(OR(NOT(ISNUMBER(L196)),L196&lt;=0),"Add positive asking price","")))))))</x:f>
      </x:c>
    </x:row>
    <x:row r="197" ht="26" customHeight="1">
      <x:c r="A197" s="319"/>
      <x:c r="B197" s="320"/>
      <x:c r="C197" s="274"/>
      <x:c r="D197" s="274"/>
      <x:c r="E197" s="274"/>
      <x:c r="F197" s="274"/>
      <x:c r="G197" s="274"/>
      <x:c r="H197" s="274"/>
      <x:c r="I197" s="274"/>
      <x:c r="J197" s="377"/>
      <x:c r="K197" s="344"/>
      <x:c r="L197" s="302"/>
      <x:c r="M197" s="274"/>
      <x:c r="N197" s="274"/>
      <x:c r="O197" s="274"/>
      <x:c r="P197" s="304"/>
      <x:c r="Q197" s="377"/>
      <x:c r="R197" s="302"/>
      <x:c r="S197" s="304"/>
      <x:c r="T197" s="274"/>
      <x:c r="U197" s="274"/>
      <x:c r="V197" s="304"/>
      <x:c r="W197" s="274"/>
      <x:c r="X197" s="274"/>
      <x:c r="Y197" s="274"/>
      <x:c r="Z197" s="315" t="str">
        <x:f>IF(A197="","",IF(M197&lt;&gt;"Available","",IF(S197="","Verify availability",IF(TODAY()-S197&gt;14,"Recheck listing",""))))</x:f>
      </x:c>
      <x:c r="AA197" s="265" t="str">
        <x:f>IF(A197="","",IF(AND(M197&lt;&gt;"Available",M197&lt;&gt;"Reserved"),"",IF(ISNUMBER(V197),IF(V197&lt;TODAY(),"Expired",IF(V197&lt;=TODAY()+30,"Expires within 30 days","Current")),IF(U197&lt;&gt;"","Add expiry date","Not recorded"))))</x:f>
      </x:c>
      <x:c r="AB197" s="315" t="str">
        <x:f>IF(A197="","",IF(COUNTIFS($A$6:$A$205,A197)&gt;1,"Duplicate ID",IF(B197="","Add listing title",IF(OR(C197="",COUNTIFS('Contacts'!$A$6:$A$205,C197)&lt;&gt;1),"Check Contact ID",IF(D197="","Select sale or rental",IF(M197="","Set listing status",IF(OR(NOT(ISNUMBER(L197)),L197&lt;=0),"Add positive asking price","")))))))</x:f>
      </x:c>
    </x:row>
    <x:row r="198" ht="26" customHeight="1">
      <x:c r="A198" s="317"/>
      <x:c r="B198" s="318"/>
      <x:c r="C198" s="235"/>
      <x:c r="D198" s="235"/>
      <x:c r="E198" s="235"/>
      <x:c r="F198" s="235"/>
      <x:c r="G198" s="235"/>
      <x:c r="H198" s="235"/>
      <x:c r="I198" s="235"/>
      <x:c r="J198" s="376"/>
      <x:c r="K198" s="342"/>
      <x:c r="L198" s="236"/>
      <x:c r="M198" s="235"/>
      <x:c r="N198" s="235"/>
      <x:c r="O198" s="235"/>
      <x:c r="P198" s="238"/>
      <x:c r="Q198" s="376"/>
      <x:c r="R198" s="236"/>
      <x:c r="S198" s="238"/>
      <x:c r="T198" s="235"/>
      <x:c r="U198" s="235"/>
      <x:c r="V198" s="238"/>
      <x:c r="W198" s="235"/>
      <x:c r="X198" s="235"/>
      <x:c r="Y198" s="235"/>
      <x:c r="Z198" s="315" t="str">
        <x:f>IF(A198="","",IF(M198&lt;&gt;"Available","",IF(S198="","Verify availability",IF(TODAY()-S198&gt;14,"Recheck listing",""))))</x:f>
      </x:c>
      <x:c r="AA198" s="265" t="str">
        <x:f>IF(A198="","",IF(AND(M198&lt;&gt;"Available",M198&lt;&gt;"Reserved"),"",IF(ISNUMBER(V198),IF(V198&lt;TODAY(),"Expired",IF(V198&lt;=TODAY()+30,"Expires within 30 days","Current")),IF(U198&lt;&gt;"","Add expiry date","Not recorded"))))</x:f>
      </x:c>
      <x:c r="AB198" s="315" t="str">
        <x:f>IF(A198="","",IF(COUNTIFS($A$6:$A$205,A198)&gt;1,"Duplicate ID",IF(B198="","Add listing title",IF(OR(C198="",COUNTIFS('Contacts'!$A$6:$A$205,C198)&lt;&gt;1),"Check Contact ID",IF(D198="","Select sale or rental",IF(M198="","Set listing status",IF(OR(NOT(ISNUMBER(L198)),L198&lt;=0),"Add positive asking price","")))))))</x:f>
      </x:c>
    </x:row>
    <x:row r="199" ht="26" customHeight="1">
      <x:c r="A199" s="319"/>
      <x:c r="B199" s="320"/>
      <x:c r="C199" s="274"/>
      <x:c r="D199" s="274"/>
      <x:c r="E199" s="274"/>
      <x:c r="F199" s="274"/>
      <x:c r="G199" s="274"/>
      <x:c r="H199" s="274"/>
      <x:c r="I199" s="274"/>
      <x:c r="J199" s="377"/>
      <x:c r="K199" s="344"/>
      <x:c r="L199" s="302"/>
      <x:c r="M199" s="274"/>
      <x:c r="N199" s="274"/>
      <x:c r="O199" s="274"/>
      <x:c r="P199" s="304"/>
      <x:c r="Q199" s="377"/>
      <x:c r="R199" s="302"/>
      <x:c r="S199" s="304"/>
      <x:c r="T199" s="274"/>
      <x:c r="U199" s="274"/>
      <x:c r="V199" s="304"/>
      <x:c r="W199" s="274"/>
      <x:c r="X199" s="274"/>
      <x:c r="Y199" s="274"/>
      <x:c r="Z199" s="315" t="str">
        <x:f>IF(A199="","",IF(M199&lt;&gt;"Available","",IF(S199="","Verify availability",IF(TODAY()-S199&gt;14,"Recheck listing",""))))</x:f>
      </x:c>
      <x:c r="AA199" s="265" t="str">
        <x:f>IF(A199="","",IF(AND(M199&lt;&gt;"Available",M199&lt;&gt;"Reserved"),"",IF(ISNUMBER(V199),IF(V199&lt;TODAY(),"Expired",IF(V199&lt;=TODAY()+30,"Expires within 30 days","Current")),IF(U199&lt;&gt;"","Add expiry date","Not recorded"))))</x:f>
      </x:c>
      <x:c r="AB199" s="315" t="str">
        <x:f>IF(A199="","",IF(COUNTIFS($A$6:$A$205,A199)&gt;1,"Duplicate ID",IF(B199="","Add listing title",IF(OR(C199="",COUNTIFS('Contacts'!$A$6:$A$205,C199)&lt;&gt;1),"Check Contact ID",IF(D199="","Select sale or rental",IF(M199="","Set listing status",IF(OR(NOT(ISNUMBER(L199)),L199&lt;=0),"Add positive asking price","")))))))</x:f>
      </x:c>
    </x:row>
    <x:row r="200" ht="26" customHeight="1">
      <x:c r="A200" s="317"/>
      <x:c r="B200" s="318"/>
      <x:c r="C200" s="235"/>
      <x:c r="D200" s="235"/>
      <x:c r="E200" s="235"/>
      <x:c r="F200" s="235"/>
      <x:c r="G200" s="235"/>
      <x:c r="H200" s="235"/>
      <x:c r="I200" s="235"/>
      <x:c r="J200" s="376"/>
      <x:c r="K200" s="342"/>
      <x:c r="L200" s="236"/>
      <x:c r="M200" s="235"/>
      <x:c r="N200" s="235"/>
      <x:c r="O200" s="235"/>
      <x:c r="P200" s="238"/>
      <x:c r="Q200" s="376"/>
      <x:c r="R200" s="236"/>
      <x:c r="S200" s="238"/>
      <x:c r="T200" s="235"/>
      <x:c r="U200" s="235"/>
      <x:c r="V200" s="238"/>
      <x:c r="W200" s="235"/>
      <x:c r="X200" s="235"/>
      <x:c r="Y200" s="235"/>
      <x:c r="Z200" s="315" t="str">
        <x:f>IF(A200="","",IF(M200&lt;&gt;"Available","",IF(S200="","Verify availability",IF(TODAY()-S200&gt;14,"Recheck listing",""))))</x:f>
      </x:c>
      <x:c r="AA200" s="265" t="str">
        <x:f>IF(A200="","",IF(AND(M200&lt;&gt;"Available",M200&lt;&gt;"Reserved"),"",IF(ISNUMBER(V200),IF(V200&lt;TODAY(),"Expired",IF(V200&lt;=TODAY()+30,"Expires within 30 days","Current")),IF(U200&lt;&gt;"","Add expiry date","Not recorded"))))</x:f>
      </x:c>
      <x:c r="AB200" s="315" t="str">
        <x:f>IF(A200="","",IF(COUNTIFS($A$6:$A$205,A200)&gt;1,"Duplicate ID",IF(B200="","Add listing title",IF(OR(C200="",COUNTIFS('Contacts'!$A$6:$A$205,C200)&lt;&gt;1),"Check Contact ID",IF(D200="","Select sale or rental",IF(M200="","Set listing status",IF(OR(NOT(ISNUMBER(L200)),L200&lt;=0),"Add positive asking price","")))))))</x:f>
      </x:c>
    </x:row>
    <x:row r="201" ht="26" customHeight="1">
      <x:c r="A201" s="319"/>
      <x:c r="B201" s="320"/>
      <x:c r="C201" s="274"/>
      <x:c r="D201" s="274"/>
      <x:c r="E201" s="274"/>
      <x:c r="F201" s="274"/>
      <x:c r="G201" s="274"/>
      <x:c r="H201" s="274"/>
      <x:c r="I201" s="274"/>
      <x:c r="J201" s="377"/>
      <x:c r="K201" s="344"/>
      <x:c r="L201" s="302"/>
      <x:c r="M201" s="274"/>
      <x:c r="N201" s="274"/>
      <x:c r="O201" s="274"/>
      <x:c r="P201" s="304"/>
      <x:c r="Q201" s="377"/>
      <x:c r="R201" s="302"/>
      <x:c r="S201" s="304"/>
      <x:c r="T201" s="274"/>
      <x:c r="U201" s="274"/>
      <x:c r="V201" s="304"/>
      <x:c r="W201" s="274"/>
      <x:c r="X201" s="274"/>
      <x:c r="Y201" s="274"/>
      <x:c r="Z201" s="315" t="str">
        <x:f>IF(A201="","",IF(M201&lt;&gt;"Available","",IF(S201="","Verify availability",IF(TODAY()-S201&gt;14,"Recheck listing",""))))</x:f>
      </x:c>
      <x:c r="AA201" s="265" t="str">
        <x:f>IF(A201="","",IF(AND(M201&lt;&gt;"Available",M201&lt;&gt;"Reserved"),"",IF(ISNUMBER(V201),IF(V201&lt;TODAY(),"Expired",IF(V201&lt;=TODAY()+30,"Expires within 30 days","Current")),IF(U201&lt;&gt;"","Add expiry date","Not recorded"))))</x:f>
      </x:c>
      <x:c r="AB201" s="315" t="str">
        <x:f>IF(A201="","",IF(COUNTIFS($A$6:$A$205,A201)&gt;1,"Duplicate ID",IF(B201="","Add listing title",IF(OR(C201="",COUNTIFS('Contacts'!$A$6:$A$205,C201)&lt;&gt;1),"Check Contact ID",IF(D201="","Select sale or rental",IF(M201="","Set listing status",IF(OR(NOT(ISNUMBER(L201)),L201&lt;=0),"Add positive asking price","")))))))</x:f>
      </x:c>
    </x:row>
    <x:row r="202" ht="26" customHeight="1">
      <x:c r="A202" s="317"/>
      <x:c r="B202" s="318"/>
      <x:c r="C202" s="235"/>
      <x:c r="D202" s="235"/>
      <x:c r="E202" s="235"/>
      <x:c r="F202" s="235"/>
      <x:c r="G202" s="235"/>
      <x:c r="H202" s="235"/>
      <x:c r="I202" s="235"/>
      <x:c r="J202" s="376"/>
      <x:c r="K202" s="342"/>
      <x:c r="L202" s="236"/>
      <x:c r="M202" s="235"/>
      <x:c r="N202" s="235"/>
      <x:c r="O202" s="235"/>
      <x:c r="P202" s="238"/>
      <x:c r="Q202" s="376"/>
      <x:c r="R202" s="236"/>
      <x:c r="S202" s="238"/>
      <x:c r="T202" s="235"/>
      <x:c r="U202" s="235"/>
      <x:c r="V202" s="238"/>
      <x:c r="W202" s="235"/>
      <x:c r="X202" s="235"/>
      <x:c r="Y202" s="235"/>
      <x:c r="Z202" s="315" t="str">
        <x:f>IF(A202="","",IF(M202&lt;&gt;"Available","",IF(S202="","Verify availability",IF(TODAY()-S202&gt;14,"Recheck listing",""))))</x:f>
      </x:c>
      <x:c r="AA202" s="265" t="str">
        <x:f>IF(A202="","",IF(AND(M202&lt;&gt;"Available",M202&lt;&gt;"Reserved"),"",IF(ISNUMBER(V202),IF(V202&lt;TODAY(),"Expired",IF(V202&lt;=TODAY()+30,"Expires within 30 days","Current")),IF(U202&lt;&gt;"","Add expiry date","Not recorded"))))</x:f>
      </x:c>
      <x:c r="AB202" s="315" t="str">
        <x:f>IF(A202="","",IF(COUNTIFS($A$6:$A$205,A202)&gt;1,"Duplicate ID",IF(B202="","Add listing title",IF(OR(C202="",COUNTIFS('Contacts'!$A$6:$A$205,C202)&lt;&gt;1),"Check Contact ID",IF(D202="","Select sale or rental",IF(M202="","Set listing status",IF(OR(NOT(ISNUMBER(L202)),L202&lt;=0),"Add positive asking price","")))))))</x:f>
      </x:c>
    </x:row>
    <x:row r="203" ht="26" customHeight="1">
      <x:c r="A203" s="319"/>
      <x:c r="B203" s="320"/>
      <x:c r="C203" s="274"/>
      <x:c r="D203" s="274"/>
      <x:c r="E203" s="274"/>
      <x:c r="F203" s="274"/>
      <x:c r="G203" s="274"/>
      <x:c r="H203" s="274"/>
      <x:c r="I203" s="274"/>
      <x:c r="J203" s="377"/>
      <x:c r="K203" s="344"/>
      <x:c r="L203" s="302"/>
      <x:c r="M203" s="274"/>
      <x:c r="N203" s="274"/>
      <x:c r="O203" s="274"/>
      <x:c r="P203" s="304"/>
      <x:c r="Q203" s="377"/>
      <x:c r="R203" s="302"/>
      <x:c r="S203" s="304"/>
      <x:c r="T203" s="274"/>
      <x:c r="U203" s="274"/>
      <x:c r="V203" s="304"/>
      <x:c r="W203" s="274"/>
      <x:c r="X203" s="274"/>
      <x:c r="Y203" s="274"/>
      <x:c r="Z203" s="315" t="str">
        <x:f>IF(A203="","",IF(M203&lt;&gt;"Available","",IF(S203="","Verify availability",IF(TODAY()-S203&gt;14,"Recheck listing",""))))</x:f>
      </x:c>
      <x:c r="AA203" s="265" t="str">
        <x:f>IF(A203="","",IF(AND(M203&lt;&gt;"Available",M203&lt;&gt;"Reserved"),"",IF(ISNUMBER(V203),IF(V203&lt;TODAY(),"Expired",IF(V203&lt;=TODAY()+30,"Expires within 30 days","Current")),IF(U203&lt;&gt;"","Add expiry date","Not recorded"))))</x:f>
      </x:c>
      <x:c r="AB203" s="315" t="str">
        <x:f>IF(A203="","",IF(COUNTIFS($A$6:$A$205,A203)&gt;1,"Duplicate ID",IF(B203="","Add listing title",IF(OR(C203="",COUNTIFS('Contacts'!$A$6:$A$205,C203)&lt;&gt;1),"Check Contact ID",IF(D203="","Select sale or rental",IF(M203="","Set listing status",IF(OR(NOT(ISNUMBER(L203)),L203&lt;=0),"Add positive asking price","")))))))</x:f>
      </x:c>
    </x:row>
    <x:row r="204" ht="26" customHeight="1">
      <x:c r="A204" s="317"/>
      <x:c r="B204" s="318"/>
      <x:c r="C204" s="235"/>
      <x:c r="D204" s="235"/>
      <x:c r="E204" s="235"/>
      <x:c r="F204" s="235"/>
      <x:c r="G204" s="235"/>
      <x:c r="H204" s="235"/>
      <x:c r="I204" s="235"/>
      <x:c r="J204" s="376"/>
      <x:c r="K204" s="342"/>
      <x:c r="L204" s="236"/>
      <x:c r="M204" s="235"/>
      <x:c r="N204" s="235"/>
      <x:c r="O204" s="235"/>
      <x:c r="P204" s="238"/>
      <x:c r="Q204" s="376"/>
      <x:c r="R204" s="236"/>
      <x:c r="S204" s="238"/>
      <x:c r="T204" s="235"/>
      <x:c r="U204" s="235"/>
      <x:c r="V204" s="238"/>
      <x:c r="W204" s="235"/>
      <x:c r="X204" s="235"/>
      <x:c r="Y204" s="235"/>
      <x:c r="Z204" s="315" t="str">
        <x:f>IF(A204="","",IF(M204&lt;&gt;"Available","",IF(S204="","Verify availability",IF(TODAY()-S204&gt;14,"Recheck listing",""))))</x:f>
      </x:c>
      <x:c r="AA204" s="265" t="str">
        <x:f>IF(A204="","",IF(AND(M204&lt;&gt;"Available",M204&lt;&gt;"Reserved"),"",IF(ISNUMBER(V204),IF(V204&lt;TODAY(),"Expired",IF(V204&lt;=TODAY()+30,"Expires within 30 days","Current")),IF(U204&lt;&gt;"","Add expiry date","Not recorded"))))</x:f>
      </x:c>
      <x:c r="AB204" s="315" t="str">
        <x:f>IF(A204="","",IF(COUNTIFS($A$6:$A$205,A204)&gt;1,"Duplicate ID",IF(B204="","Add listing title",IF(OR(C204="",COUNTIFS('Contacts'!$A$6:$A$205,C204)&lt;&gt;1),"Check Contact ID",IF(D204="","Select sale or rental",IF(M204="","Set listing status",IF(OR(NOT(ISNUMBER(L204)),L204&lt;=0),"Add positive asking price","")))))))</x:f>
      </x:c>
    </x:row>
    <x:row r="205" ht="26" customHeight="1">
      <x:c r="A205" s="321"/>
      <x:c r="B205" s="322"/>
      <x:c r="C205" s="307"/>
      <x:c r="D205" s="307"/>
      <x:c r="E205" s="307"/>
      <x:c r="F205" s="307"/>
      <x:c r="G205" s="307"/>
      <x:c r="H205" s="307"/>
      <x:c r="I205" s="307"/>
      <x:c r="J205" s="378"/>
      <x:c r="K205" s="345"/>
      <x:c r="L205" s="308"/>
      <x:c r="M205" s="307"/>
      <x:c r="N205" s="307"/>
      <x:c r="O205" s="307"/>
      <x:c r="P205" s="310"/>
      <x:c r="Q205" s="378"/>
      <x:c r="R205" s="308"/>
      <x:c r="S205" s="310"/>
      <x:c r="T205" s="307"/>
      <x:c r="U205" s="307"/>
      <x:c r="V205" s="310"/>
      <x:c r="W205" s="307"/>
      <x:c r="X205" s="307"/>
      <x:c r="Y205" s="307"/>
      <x:c r="Z205" s="316" t="str">
        <x:f>IF(A205="","",IF(M205&lt;&gt;"Available","",IF(S205="","Verify availability",IF(TODAY()-S205&gt;14,"Recheck listing",""))))</x:f>
      </x:c>
      <x:c r="AA205" s="314" t="str">
        <x:f>IF(A205="","",IF(AND(M205&lt;&gt;"Available",M205&lt;&gt;"Reserved"),"",IF(ISNUMBER(V205),IF(V205&lt;TODAY(),"Expired",IF(V205&lt;=TODAY()+30,"Expires within 30 days","Current")),IF(U205&lt;&gt;"","Add expiry date","Not recorded"))))</x:f>
      </x:c>
      <x:c r="AB205" s="316" t="str">
        <x:f>IF(A205="","",IF(COUNTIFS($A$6:$A$205,A205)&gt;1,"Duplicate ID",IF(B205="","Add listing title",IF(OR(C205="",COUNTIFS('Contacts'!$A$6:$A$205,C205)&lt;&gt;1),"Check Contact ID",IF(D205="","Select sale or rental",IF(M205="","Set listing status",IF(OR(NOT(ISNUMBER(L205)),L205&lt;=0),"Add positive asking price","")))))))</x:f>
      </x:c>
    </x:row>
  </x:sheetData>
  <x:mergeCells>
    <x:mergeCell ref="A1:D1"/>
    <x:mergeCell ref="A2:E2"/>
    <x:mergeCell ref="F2:H2"/>
    <x:mergeCell ref="A3:H3"/>
    <x:mergeCell ref="E1:G1"/>
  </x:mergeCells>
  <x:conditionalFormatting sqref="A6:A205">
    <x:cfRule type="expression" dxfId="2" priority="1">
      <x:formula>AND(A6&lt;&gt;"",COUNTIFS($A$6:$A$205,A6)&gt;1)</x:formula>
    </x:cfRule>
    <x:cfRule type="expression" dxfId="29" priority="5">
      <x:formula>AND(A6&lt;&gt;"",COUNTIFS($A$6:$A$205,A6)&gt;1)</x:formula>
    </x:cfRule>
  </x:conditionalFormatting>
  <x:conditionalFormatting sqref="Z6:Z205">
    <x:cfRule type="expression" dxfId="9" priority="2">
      <x:formula>Z6&lt;&gt;""</x:formula>
    </x:cfRule>
  </x:conditionalFormatting>
  <x:conditionalFormatting sqref="M6:M205">
    <x:cfRule type="cellIs" dxfId="17" priority="3" operator="equal">
      <x:formula>"Available"</x:formula>
    </x:cfRule>
  </x:conditionalFormatting>
  <x:conditionalFormatting sqref="AB6:AB205">
    <x:cfRule type="expression" dxfId="28" priority="4">
      <x:formula>AB6&lt;&gt;""</x:formula>
    </x:cfRule>
  </x:conditionalFormatting>
  <x:conditionalFormatting sqref="AA6:AA205">
    <x:cfRule type="cellIs" dxfId="45" priority="6" operator="equal">
      <x:formula>"Expired"</x:formula>
    </x:cfRule>
    <x:cfRule type="cellIs" dxfId="46" priority="7" operator="equal">
      <x:formula>"Expires within 30 days"</x:formula>
    </x:cfRule>
  </x:conditionalFormatting>
  <x:dataValidations count="8">
    <x:dataValidation type="list" sqref="C6:C205">
      <x:formula1>'Contacts'!$A$6:$A$205</x:formula1>
    </x:dataValidation>
    <x:dataValidation type="list" sqref="D6:D205">
      <x:formula1>"Sale,Rental"</x:formula1>
    </x:dataValidation>
    <x:dataValidation type="list" sqref="E6:E205">
      <x:formula1>"Dubai,Abu Dhabi,Sharjah,Ajman,Ras Al Khaimah,Fujairah,Umm Al Quwain"</x:formula1>
    </x:dataValidation>
    <x:dataValidation type="list" sqref="I6:I205">
      <x:formula1>"Apartment,Villa,Townhouse,Penthouse,Studio,Office,Shop,Warehouse,Land,Other"</x:formula1>
    </x:dataValidation>
    <x:dataValidation type="list" sqref="M6:M205">
      <x:formula1>"Available,Reserved,Sold,Rented,Withdrawn"</x:formula1>
    </x:dataValidation>
    <x:dataValidation type="list" sqref="N6:N205">
      <x:formula1>"Ready,Off-plan"</x:formula1>
    </x:dataValidation>
    <x:dataValidation type="list" sqref="O6:O205">
      <x:formula1>"Furnished,Unfurnished,Part furnished"</x:formula1>
    </x:dataValidation>
    <x:dataValidation type="list" sqref="T6:T205">
      <x:formula1>"Pending,Confirmed,Expired"</x:formula1>
    </x:dataValidation>
  </x:dataValidations>
  <x:pageMargins left="0.7" right="0.7" top="0.75" bottom="0.75" header="0.3" footer="0.3"/>
  <x:tableParts count="1">
    <x:tablePart xmlns:r="http://schemas.openxmlformats.org/officeDocument/2006/relationships" r:id="Rd86072e4b8ac40e4"/>
  </x:tableParts>
</x:worksheet>
</file>

<file path=xl/worksheets/sheet6.xml><?xml version="1.0" encoding="utf-8"?>
<x:worksheet xmlns:x="http://schemas.openxmlformats.org/spreadsheetml/2006/main">
  <x:sheetPr>
    <x:tabColor rgb="FF738996"/>
  </x:sheetPr>
  <x:sheetViews>
    <x:sheetView showGridLines="0" workbookViewId="0">
      <x:pane xSplit="2" ySplit="5" topLeftCell="C6" activePane="bottomRight" state="frozen"/>
    </x:sheetView>
  </x:sheetViews>
  <x:sheetFormatPr defaultRowHeight="15"/>
  <x:cols>
    <x:col min="1" max="1" width="13" hidden="0" customWidth="1"/>
    <x:col min="2" max="2" width="13" hidden="0" customWidth="1"/>
    <x:col min="3" max="3" width="13" hidden="0" customWidth="1"/>
    <x:col min="4" max="4" width="18" hidden="0" customWidth="1"/>
    <x:col min="5" max="5" width="18" hidden="0" customWidth="1"/>
    <x:col min="6" max="6" width="32" hidden="0" customWidth="1"/>
    <x:col min="7" max="7" width="32" hidden="0" customWidth="1"/>
    <x:col min="8" max="8" width="18" hidden="0" customWidth="1"/>
    <x:col min="9" max="9" width="23" hidden="0" customWidth="1"/>
    <x:col min="10" max="10" width="23" hidden="0" customWidth="1"/>
    <x:col min="11" max="11" width="25" hidden="0" customWidth="1"/>
    <x:col min="12" max="12" width="25" hidden="0" customWidth="1"/>
    <x:col min="13" max="13" width="25" hidden="0" customWidth="1"/>
    <x:col min="14" max="14" width="18" hidden="0" customWidth="1"/>
  </x:cols>
  <x:sheetData>
    <x:row r="1" ht="22" customHeight="1">
      <x:c r="A1" s="259" t="str">
        <x:v>KEYS WITH SIMONI</x:v>
      </x:c>
      <x:c r="B1" s="260"/>
      <x:c r="C1" s="260"/>
      <x:c r="D1" s="260"/>
      <x:c r="E1" s="382" t="str">
        <x:v>Records to review</x:v>
      </x:c>
      <x:c r="F1" s="382"/>
      <x:c r="G1" s="382"/>
      <x:c r="H1" s="385" t="n">
        <x:f>SUM(COUNTIFS($M$6:$M$205,"Duplicate ID"),COUNTIFS($M$6:$M$205,"Check Client ID"),COUNTIFS($M$6:$M$205,"Check Property ID"),COUNTIFS($M$6:$M$205,"Set task status"),COUNTIFS($M$6:$M$205,"Add next action"),COUNTIFS($M$6:$M$205,"Add due date"),COUNTIFS($M$6:$M$205,"Contact date is future"))</x:f>
        <x:v>0</x:v>
      </x:c>
      <x:c r="I1" s="256"/>
      <x:c r="J1" s="256"/>
      <x:c r="K1" s="256"/>
      <x:c r="L1" s="256"/>
      <x:c r="M1" s="256"/>
      <x:c r="N1" s="257"/>
    </x:row>
    <x:row r="2" ht="37" customHeight="1">
      <x:c r="A2" s="263" t="str">
        <x:v>Follow-ups &amp; daily tasks</x:v>
      </x:c>
      <x:c r="B2" s="264"/>
      <x:c r="C2" s="264"/>
      <x:c r="D2" s="264"/>
      <x:c r="E2" s="264"/>
      <x:c r="F2" s="268" t="str">
        <x:v>White: enter data. Blue-grey: calculated.</x:v>
      </x:c>
      <x:c r="G2" s="268"/>
      <x:c r="H2" s="268"/>
      <x:c r="I2" s="235"/>
      <x:c r="J2" s="235"/>
      <x:c r="K2" s="235"/>
      <x:c r="L2" s="235"/>
      <x:c r="M2" s="235"/>
      <x:c r="N2" s="239"/>
    </x:row>
    <x:row r="3" ht="35" customHeight="1">
      <x:c r="A3" s="271" t="str">
        <x:v>Enter actual contact dates, a clear next action and an Open task. The dashboard lists the five earliest dated tasks.</x:v>
      </x:c>
      <x:c r="B3" s="272"/>
      <x:c r="C3" s="272"/>
      <x:c r="D3" s="272"/>
      <x:c r="E3" s="272"/>
      <x:c r="F3" s="272"/>
      <x:c r="G3" s="272"/>
      <x:c r="H3" s="272"/>
      <x:c r="I3" s="235"/>
      <x:c r="J3" s="235"/>
      <x:c r="K3" s="235"/>
      <x:c r="L3" s="235"/>
      <x:c r="M3" s="235"/>
      <x:c r="N3" s="239"/>
    </x:row>
    <x:row r="4" ht="24" customHeight="1">
      <x:c r="A4" s="277" t="str">
        <x:v>01  ACTIVITY</x:v>
      </x:c>
      <x:c r="B4" s="278"/>
      <x:c r="C4" s="278"/>
      <x:c r="D4" s="278"/>
      <x:c r="E4" s="278"/>
      <x:c r="F4" s="279" t="str">
        <x:v>02  NEXT ACTION</x:v>
      </x:c>
      <x:c r="G4" s="279"/>
      <x:c r="H4" s="279"/>
      <x:c r="I4" s="279"/>
      <x:c r="J4" s="279"/>
      <x:c r="K4" s="279" t="str">
        <x:v>03  LINKED DETAILS &amp; REVIEW</x:v>
      </x:c>
      <x:c r="L4" s="279"/>
      <x:c r="M4" s="279"/>
      <x:c r="N4" s="282"/>
    </x:row>
    <x:row r="5" ht="44" customHeight="1">
      <x:c r="A5" s="293" t="str">
        <x:v>Activity
ID</x:v>
      </x:c>
      <x:c r="B5" s="294" t="str">
        <x:v>Client
ID</x:v>
      </x:c>
      <x:c r="C5" s="294" t="str">
        <x:v>Property
ID</x:v>
      </x:c>
      <x:c r="D5" s="294" t="str">
        <x:v>Contact
date</x:v>
      </x:c>
      <x:c r="E5" s="294" t="str">
        <x:v>Channel</x:v>
      </x:c>
      <x:c r="F5" s="294" t="str">
        <x:v>Outcome /
notes</x:v>
      </x:c>
      <x:c r="G5" s="294" t="str">
        <x:v>Next
action</x:v>
      </x:c>
      <x:c r="H5" s="294" t="str">
        <x:v>Due
date</x:v>
      </x:c>
      <x:c r="I5" s="294" t="str">
        <x:v>Task
status</x:v>
      </x:c>
      <x:c r="J5" s="294" t="str">
        <x:v>Due-date
alert</x:v>
      </x:c>
      <x:c r="K5" s="294" t="str">
        <x:v>Client name
auto</x:v>
      </x:c>
      <x:c r="L5" s="294" t="str">
        <x:v>Property title
auto</x:v>
      </x:c>
      <x:c r="M5" s="294" t="str">
        <x:v>Record
check</x:v>
      </x:c>
      <x:c r="N5" s="299" t="str">
        <x:v>Task order
auto</x:v>
      </x:c>
    </x:row>
    <x:row r="6" ht="26" customHeight="1">
      <x:c r="A6" s="317"/>
      <x:c r="B6" s="318"/>
      <x:c r="C6" s="235"/>
      <x:c r="D6" s="238"/>
      <x:c r="E6" s="235"/>
      <x:c r="F6" s="235"/>
      <x:c r="G6" s="235"/>
      <x:c r="H6" s="238"/>
      <x:c r="I6" s="235"/>
      <x:c r="J6" s="315" t="str">
        <x:f>IF(A6="","",IF(I6&lt;&gt;"Open","",IF(H6="","Set due date",IF(H6&lt;TODAY(),"Overdue",IF(H6=TODAY(),"Due today","Upcoming")))))</x:f>
      </x:c>
      <x:c r="K6" s="265" t="str">
        <x:f>IF(A6="","",IF(B6="","",IF(COUNTIFS('Clients'!$A$6:$A$205,B6)&lt;&gt;1,"Check Client ID",IF(INDEX('Clients'!$B$6:$B$205,MATCH(B6,'Clients'!$A$6:$A$205,0))="","Name missing",INDEX('Clients'!$B$6:$B$205,MATCH(B6,'Clients'!$A$6:$A$205,0))))))</x:f>
      </x:c>
      <x:c r="L6" s="265" t="str">
        <x:f>IF(A6="","",IF(C6="","",IF(COUNTIFS('Properties'!$A$6:$A$205,C6)&lt;&gt;1,"Check Property ID",IF(INDEX('Properties'!$B$6:$B$205,MATCH(C6,'Properties'!$A$6:$A$205,0))="","Name missing",INDEX('Properties'!$B$6:$B$205,MATCH(C6,'Properties'!$A$6:$A$205,0))))))</x:f>
      </x:c>
      <x:c r="M6" s="265" t="str">
        <x:f>IF(A6="","",IF(COUNTIFS($A$6:$A$205,A6)&gt;1,"Duplicate ID",IF(OR(B6="",COUNTIFS('Clients'!$A$6:$A$205,B6)&lt;&gt;1),"Check Client ID",IF(AND(C6&lt;&gt;"",COUNTIFS('Properties'!$A$6:$A$205,C6)&lt;&gt;1),"Check Property ID",IF(I6="","Set task status",IF(AND(I6="Open",G6=""),"Add next action",IF(AND(I6="Open",NOT(ISNUMBER(H6))),"Add due date",IF(AND(ISNUMBER(D6),D6&gt;TODAY()),"Contact date is future",""))))))))</x:f>
      </x:c>
      <x:c r="N6" s="379" t="str">
        <x:f>IF(OR(A6="",I6&lt;&gt;"Open",NOT(ISNUMBER(H6))),"",COUNTIFS($A$6:$A$205,"&lt;&gt;",$I$6:$I$205,"Open",$H$6:$H$205,"&gt;0",$H$6:$H$205,"&lt;"&amp;H6)+COUNTIFS($A$6:A6,"&lt;&gt;",$I$6:I6,"Open",$H$6:H6,H6))</x:f>
      </x:c>
    </x:row>
    <x:row r="7" ht="26" customHeight="1">
      <x:c r="A7" s="319"/>
      <x:c r="B7" s="320"/>
      <x:c r="C7" s="274"/>
      <x:c r="D7" s="304"/>
      <x:c r="E7" s="274"/>
      <x:c r="F7" s="274"/>
      <x:c r="G7" s="274"/>
      <x:c r="H7" s="304"/>
      <x:c r="I7" s="274"/>
      <x:c r="J7" s="315" t="str">
        <x:f>IF(A7="","",IF(I7&lt;&gt;"Open","",IF(H7="","Set due date",IF(H7&lt;TODAY(),"Overdue",IF(H7=TODAY(),"Due today","Upcoming")))))</x:f>
      </x:c>
      <x:c r="K7" s="265" t="str">
        <x:f>IF(A7="","",IF(B7="","",IF(COUNTIFS('Clients'!$A$6:$A$205,B7)&lt;&gt;1,"Check Client ID",IF(INDEX('Clients'!$B$6:$B$205,MATCH(B7,'Clients'!$A$6:$A$205,0))="","Name missing",INDEX('Clients'!$B$6:$B$205,MATCH(B7,'Clients'!$A$6:$A$205,0))))))</x:f>
      </x:c>
      <x:c r="L7" s="265" t="str">
        <x:f>IF(A7="","",IF(C7="","",IF(COUNTIFS('Properties'!$A$6:$A$205,C7)&lt;&gt;1,"Check Property ID",IF(INDEX('Properties'!$B$6:$B$205,MATCH(C7,'Properties'!$A$6:$A$205,0))="","Name missing",INDEX('Properties'!$B$6:$B$205,MATCH(C7,'Properties'!$A$6:$A$205,0))))))</x:f>
      </x:c>
      <x:c r="M7" s="265" t="str">
        <x:f>IF(A7="","",IF(COUNTIFS($A$6:$A$205,A7)&gt;1,"Duplicate ID",IF(OR(B7="",COUNTIFS('Clients'!$A$6:$A$205,B7)&lt;&gt;1),"Check Client ID",IF(AND(C7&lt;&gt;"",COUNTIFS('Properties'!$A$6:$A$205,C7)&lt;&gt;1),"Check Property ID",IF(I7="","Set task status",IF(AND(I7="Open",G7=""),"Add next action",IF(AND(I7="Open",NOT(ISNUMBER(H7))),"Add due date",IF(AND(ISNUMBER(D7),D7&gt;TODAY()),"Contact date is future",""))))))))</x:f>
      </x:c>
      <x:c r="N7" s="379" t="str">
        <x:f>IF(OR(A7="",I7&lt;&gt;"Open",NOT(ISNUMBER(H7))),"",COUNTIFS($A$6:$A$205,"&lt;&gt;",$I$6:$I$205,"Open",$H$6:$H$205,"&gt;0",$H$6:$H$205,"&lt;"&amp;H7)+COUNTIFS($A$6:A7,"&lt;&gt;",$I$6:I7,"Open",$H$6:H7,H7))</x:f>
      </x:c>
    </x:row>
    <x:row r="8" ht="26" customHeight="1">
      <x:c r="A8" s="317"/>
      <x:c r="B8" s="318"/>
      <x:c r="C8" s="235"/>
      <x:c r="D8" s="238"/>
      <x:c r="E8" s="235"/>
      <x:c r="F8" s="235"/>
      <x:c r="G8" s="235"/>
      <x:c r="H8" s="238"/>
      <x:c r="I8" s="235"/>
      <x:c r="J8" s="315" t="str">
        <x:f>IF(A8="","",IF(I8&lt;&gt;"Open","",IF(H8="","Set due date",IF(H8&lt;TODAY(),"Overdue",IF(H8=TODAY(),"Due today","Upcoming")))))</x:f>
      </x:c>
      <x:c r="K8" s="265" t="str">
        <x:f>IF(A8="","",IF(B8="","",IF(COUNTIFS('Clients'!$A$6:$A$205,B8)&lt;&gt;1,"Check Client ID",IF(INDEX('Clients'!$B$6:$B$205,MATCH(B8,'Clients'!$A$6:$A$205,0))="","Name missing",INDEX('Clients'!$B$6:$B$205,MATCH(B8,'Clients'!$A$6:$A$205,0))))))</x:f>
      </x:c>
      <x:c r="L8" s="265" t="str">
        <x:f>IF(A8="","",IF(C8="","",IF(COUNTIFS('Properties'!$A$6:$A$205,C8)&lt;&gt;1,"Check Property ID",IF(INDEX('Properties'!$B$6:$B$205,MATCH(C8,'Properties'!$A$6:$A$205,0))="","Name missing",INDEX('Properties'!$B$6:$B$205,MATCH(C8,'Properties'!$A$6:$A$205,0))))))</x:f>
      </x:c>
      <x:c r="M8" s="265" t="str">
        <x:f>IF(A8="","",IF(COUNTIFS($A$6:$A$205,A8)&gt;1,"Duplicate ID",IF(OR(B8="",COUNTIFS('Clients'!$A$6:$A$205,B8)&lt;&gt;1),"Check Client ID",IF(AND(C8&lt;&gt;"",COUNTIFS('Properties'!$A$6:$A$205,C8)&lt;&gt;1),"Check Property ID",IF(I8="","Set task status",IF(AND(I8="Open",G8=""),"Add next action",IF(AND(I8="Open",NOT(ISNUMBER(H8))),"Add due date",IF(AND(ISNUMBER(D8),D8&gt;TODAY()),"Contact date is future",""))))))))</x:f>
      </x:c>
      <x:c r="N8" s="379" t="str">
        <x:f>IF(OR(A8="",I8&lt;&gt;"Open",NOT(ISNUMBER(H8))),"",COUNTIFS($A$6:$A$205,"&lt;&gt;",$I$6:$I$205,"Open",$H$6:$H$205,"&gt;0",$H$6:$H$205,"&lt;"&amp;H8)+COUNTIFS($A$6:A8,"&lt;&gt;",$I$6:I8,"Open",$H$6:H8,H8))</x:f>
      </x:c>
    </x:row>
    <x:row r="9" ht="26" customHeight="1">
      <x:c r="A9" s="319"/>
      <x:c r="B9" s="320"/>
      <x:c r="C9" s="274"/>
      <x:c r="D9" s="304"/>
      <x:c r="E9" s="274"/>
      <x:c r="F9" s="274"/>
      <x:c r="G9" s="274"/>
      <x:c r="H9" s="304"/>
      <x:c r="I9" s="274"/>
      <x:c r="J9" s="315" t="str">
        <x:f>IF(A9="","",IF(I9&lt;&gt;"Open","",IF(H9="","Set due date",IF(H9&lt;TODAY(),"Overdue",IF(H9=TODAY(),"Due today","Upcoming")))))</x:f>
      </x:c>
      <x:c r="K9" s="265" t="str">
        <x:f>IF(A9="","",IF(B9="","",IF(COUNTIFS('Clients'!$A$6:$A$205,B9)&lt;&gt;1,"Check Client ID",IF(INDEX('Clients'!$B$6:$B$205,MATCH(B9,'Clients'!$A$6:$A$205,0))="","Name missing",INDEX('Clients'!$B$6:$B$205,MATCH(B9,'Clients'!$A$6:$A$205,0))))))</x:f>
      </x:c>
      <x:c r="L9" s="265" t="str">
        <x:f>IF(A9="","",IF(C9="","",IF(COUNTIFS('Properties'!$A$6:$A$205,C9)&lt;&gt;1,"Check Property ID",IF(INDEX('Properties'!$B$6:$B$205,MATCH(C9,'Properties'!$A$6:$A$205,0))="","Name missing",INDEX('Properties'!$B$6:$B$205,MATCH(C9,'Properties'!$A$6:$A$205,0))))))</x:f>
      </x:c>
      <x:c r="M9" s="265" t="str">
        <x:f>IF(A9="","",IF(COUNTIFS($A$6:$A$205,A9)&gt;1,"Duplicate ID",IF(OR(B9="",COUNTIFS('Clients'!$A$6:$A$205,B9)&lt;&gt;1),"Check Client ID",IF(AND(C9&lt;&gt;"",COUNTIFS('Properties'!$A$6:$A$205,C9)&lt;&gt;1),"Check Property ID",IF(I9="","Set task status",IF(AND(I9="Open",G9=""),"Add next action",IF(AND(I9="Open",NOT(ISNUMBER(H9))),"Add due date",IF(AND(ISNUMBER(D9),D9&gt;TODAY()),"Contact date is future",""))))))))</x:f>
      </x:c>
      <x:c r="N9" s="379" t="str">
        <x:f>IF(OR(A9="",I9&lt;&gt;"Open",NOT(ISNUMBER(H9))),"",COUNTIFS($A$6:$A$205,"&lt;&gt;",$I$6:$I$205,"Open",$H$6:$H$205,"&gt;0",$H$6:$H$205,"&lt;"&amp;H9)+COUNTIFS($A$6:A9,"&lt;&gt;",$I$6:I9,"Open",$H$6:H9,H9))</x:f>
      </x:c>
    </x:row>
    <x:row r="10" ht="26" customHeight="1">
      <x:c r="A10" s="317"/>
      <x:c r="B10" s="318"/>
      <x:c r="C10" s="235"/>
      <x:c r="D10" s="238"/>
      <x:c r="E10" s="235"/>
      <x:c r="F10" s="235"/>
      <x:c r="G10" s="235"/>
      <x:c r="H10" s="238"/>
      <x:c r="I10" s="235"/>
      <x:c r="J10" s="315" t="str">
        <x:f>IF(A10="","",IF(I10&lt;&gt;"Open","",IF(H10="","Set due date",IF(H10&lt;TODAY(),"Overdue",IF(H10=TODAY(),"Due today","Upcoming")))))</x:f>
      </x:c>
      <x:c r="K10" s="265" t="str">
        <x:f>IF(A10="","",IF(B10="","",IF(COUNTIFS('Clients'!$A$6:$A$205,B10)&lt;&gt;1,"Check Client ID",IF(INDEX('Clients'!$B$6:$B$205,MATCH(B10,'Clients'!$A$6:$A$205,0))="","Name missing",INDEX('Clients'!$B$6:$B$205,MATCH(B10,'Clients'!$A$6:$A$205,0))))))</x:f>
      </x:c>
      <x:c r="L10" s="265" t="str">
        <x:f>IF(A10="","",IF(C10="","",IF(COUNTIFS('Properties'!$A$6:$A$205,C10)&lt;&gt;1,"Check Property ID",IF(INDEX('Properties'!$B$6:$B$205,MATCH(C10,'Properties'!$A$6:$A$205,0))="","Name missing",INDEX('Properties'!$B$6:$B$205,MATCH(C10,'Properties'!$A$6:$A$205,0))))))</x:f>
      </x:c>
      <x:c r="M10" s="265" t="str">
        <x:f>IF(A10="","",IF(COUNTIFS($A$6:$A$205,A10)&gt;1,"Duplicate ID",IF(OR(B10="",COUNTIFS('Clients'!$A$6:$A$205,B10)&lt;&gt;1),"Check Client ID",IF(AND(C10&lt;&gt;"",COUNTIFS('Properties'!$A$6:$A$205,C10)&lt;&gt;1),"Check Property ID",IF(I10="","Set task status",IF(AND(I10="Open",G10=""),"Add next action",IF(AND(I10="Open",NOT(ISNUMBER(H10))),"Add due date",IF(AND(ISNUMBER(D10),D10&gt;TODAY()),"Contact date is future",""))))))))</x:f>
      </x:c>
      <x:c r="N10" s="379" t="str">
        <x:f>IF(OR(A10="",I10&lt;&gt;"Open",NOT(ISNUMBER(H10))),"",COUNTIFS($A$6:$A$205,"&lt;&gt;",$I$6:$I$205,"Open",$H$6:$H$205,"&gt;0",$H$6:$H$205,"&lt;"&amp;H10)+COUNTIFS($A$6:A10,"&lt;&gt;",$I$6:I10,"Open",$H$6:H10,H10))</x:f>
      </x:c>
    </x:row>
    <x:row r="11" ht="26" customHeight="1">
      <x:c r="A11" s="319"/>
      <x:c r="B11" s="320"/>
      <x:c r="C11" s="274"/>
      <x:c r="D11" s="304"/>
      <x:c r="E11" s="274"/>
      <x:c r="F11" s="274"/>
      <x:c r="G11" s="274"/>
      <x:c r="H11" s="304"/>
      <x:c r="I11" s="274"/>
      <x:c r="J11" s="315" t="str">
        <x:f>IF(A11="","",IF(I11&lt;&gt;"Open","",IF(H11="","Set due date",IF(H11&lt;TODAY(),"Overdue",IF(H11=TODAY(),"Due today","Upcoming")))))</x:f>
      </x:c>
      <x:c r="K11" s="265" t="str">
        <x:f>IF(A11="","",IF(B11="","",IF(COUNTIFS('Clients'!$A$6:$A$205,B11)&lt;&gt;1,"Check Client ID",IF(INDEX('Clients'!$B$6:$B$205,MATCH(B11,'Clients'!$A$6:$A$205,0))="","Name missing",INDEX('Clients'!$B$6:$B$205,MATCH(B11,'Clients'!$A$6:$A$205,0))))))</x:f>
      </x:c>
      <x:c r="L11" s="265" t="str">
        <x:f>IF(A11="","",IF(C11="","",IF(COUNTIFS('Properties'!$A$6:$A$205,C11)&lt;&gt;1,"Check Property ID",IF(INDEX('Properties'!$B$6:$B$205,MATCH(C11,'Properties'!$A$6:$A$205,0))="","Name missing",INDEX('Properties'!$B$6:$B$205,MATCH(C11,'Properties'!$A$6:$A$205,0))))))</x:f>
      </x:c>
      <x:c r="M11" s="265" t="str">
        <x:f>IF(A11="","",IF(COUNTIFS($A$6:$A$205,A11)&gt;1,"Duplicate ID",IF(OR(B11="",COUNTIFS('Clients'!$A$6:$A$205,B11)&lt;&gt;1),"Check Client ID",IF(AND(C11&lt;&gt;"",COUNTIFS('Properties'!$A$6:$A$205,C11)&lt;&gt;1),"Check Property ID",IF(I11="","Set task status",IF(AND(I11="Open",G11=""),"Add next action",IF(AND(I11="Open",NOT(ISNUMBER(H11))),"Add due date",IF(AND(ISNUMBER(D11),D11&gt;TODAY()),"Contact date is future",""))))))))</x:f>
      </x:c>
      <x:c r="N11" s="379" t="str">
        <x:f>IF(OR(A11="",I11&lt;&gt;"Open",NOT(ISNUMBER(H11))),"",COUNTIFS($A$6:$A$205,"&lt;&gt;",$I$6:$I$205,"Open",$H$6:$H$205,"&gt;0",$H$6:$H$205,"&lt;"&amp;H11)+COUNTIFS($A$6:A11,"&lt;&gt;",$I$6:I11,"Open",$H$6:H11,H11))</x:f>
      </x:c>
    </x:row>
    <x:row r="12" ht="26" customHeight="1">
      <x:c r="A12" s="317"/>
      <x:c r="B12" s="318"/>
      <x:c r="C12" s="235"/>
      <x:c r="D12" s="238"/>
      <x:c r="E12" s="235"/>
      <x:c r="F12" s="235"/>
      <x:c r="G12" s="235"/>
      <x:c r="H12" s="238"/>
      <x:c r="I12" s="235"/>
      <x:c r="J12" s="315" t="str">
        <x:f>IF(A12="","",IF(I12&lt;&gt;"Open","",IF(H12="","Set due date",IF(H12&lt;TODAY(),"Overdue",IF(H12=TODAY(),"Due today","Upcoming")))))</x:f>
      </x:c>
      <x:c r="K12" s="265" t="str">
        <x:f>IF(A12="","",IF(B12="","",IF(COUNTIFS('Clients'!$A$6:$A$205,B12)&lt;&gt;1,"Check Client ID",IF(INDEX('Clients'!$B$6:$B$205,MATCH(B12,'Clients'!$A$6:$A$205,0))="","Name missing",INDEX('Clients'!$B$6:$B$205,MATCH(B12,'Clients'!$A$6:$A$205,0))))))</x:f>
      </x:c>
      <x:c r="L12" s="265" t="str">
        <x:f>IF(A12="","",IF(C12="","",IF(COUNTIFS('Properties'!$A$6:$A$205,C12)&lt;&gt;1,"Check Property ID",IF(INDEX('Properties'!$B$6:$B$205,MATCH(C12,'Properties'!$A$6:$A$205,0))="","Name missing",INDEX('Properties'!$B$6:$B$205,MATCH(C12,'Properties'!$A$6:$A$205,0))))))</x:f>
      </x:c>
      <x:c r="M12" s="265" t="str">
        <x:f>IF(A12="","",IF(COUNTIFS($A$6:$A$205,A12)&gt;1,"Duplicate ID",IF(OR(B12="",COUNTIFS('Clients'!$A$6:$A$205,B12)&lt;&gt;1),"Check Client ID",IF(AND(C12&lt;&gt;"",COUNTIFS('Properties'!$A$6:$A$205,C12)&lt;&gt;1),"Check Property ID",IF(I12="","Set task status",IF(AND(I12="Open",G12=""),"Add next action",IF(AND(I12="Open",NOT(ISNUMBER(H12))),"Add due date",IF(AND(ISNUMBER(D12),D12&gt;TODAY()),"Contact date is future",""))))))))</x:f>
      </x:c>
      <x:c r="N12" s="379" t="str">
        <x:f>IF(OR(A12="",I12&lt;&gt;"Open",NOT(ISNUMBER(H12))),"",COUNTIFS($A$6:$A$205,"&lt;&gt;",$I$6:$I$205,"Open",$H$6:$H$205,"&gt;0",$H$6:$H$205,"&lt;"&amp;H12)+COUNTIFS($A$6:A12,"&lt;&gt;",$I$6:I12,"Open",$H$6:H12,H12))</x:f>
      </x:c>
    </x:row>
    <x:row r="13" ht="26" customHeight="1">
      <x:c r="A13" s="319"/>
      <x:c r="B13" s="320"/>
      <x:c r="C13" s="274"/>
      <x:c r="D13" s="304"/>
      <x:c r="E13" s="274"/>
      <x:c r="F13" s="274"/>
      <x:c r="G13" s="274"/>
      <x:c r="H13" s="304"/>
      <x:c r="I13" s="274"/>
      <x:c r="J13" s="315" t="str">
        <x:f>IF(A13="","",IF(I13&lt;&gt;"Open","",IF(H13="","Set due date",IF(H13&lt;TODAY(),"Overdue",IF(H13=TODAY(),"Due today","Upcoming")))))</x:f>
      </x:c>
      <x:c r="K13" s="265" t="str">
        <x:f>IF(A13="","",IF(B13="","",IF(COUNTIFS('Clients'!$A$6:$A$205,B13)&lt;&gt;1,"Check Client ID",IF(INDEX('Clients'!$B$6:$B$205,MATCH(B13,'Clients'!$A$6:$A$205,0))="","Name missing",INDEX('Clients'!$B$6:$B$205,MATCH(B13,'Clients'!$A$6:$A$205,0))))))</x:f>
      </x:c>
      <x:c r="L13" s="265" t="str">
        <x:f>IF(A13="","",IF(C13="","",IF(COUNTIFS('Properties'!$A$6:$A$205,C13)&lt;&gt;1,"Check Property ID",IF(INDEX('Properties'!$B$6:$B$205,MATCH(C13,'Properties'!$A$6:$A$205,0))="","Name missing",INDEX('Properties'!$B$6:$B$205,MATCH(C13,'Properties'!$A$6:$A$205,0))))))</x:f>
      </x:c>
      <x:c r="M13" s="265" t="str">
        <x:f>IF(A13="","",IF(COUNTIFS($A$6:$A$205,A13)&gt;1,"Duplicate ID",IF(OR(B13="",COUNTIFS('Clients'!$A$6:$A$205,B13)&lt;&gt;1),"Check Client ID",IF(AND(C13&lt;&gt;"",COUNTIFS('Properties'!$A$6:$A$205,C13)&lt;&gt;1),"Check Property ID",IF(I13="","Set task status",IF(AND(I13="Open",G13=""),"Add next action",IF(AND(I13="Open",NOT(ISNUMBER(H13))),"Add due date",IF(AND(ISNUMBER(D13),D13&gt;TODAY()),"Contact date is future",""))))))))</x:f>
      </x:c>
      <x:c r="N13" s="379" t="str">
        <x:f>IF(OR(A13="",I13&lt;&gt;"Open",NOT(ISNUMBER(H13))),"",COUNTIFS($A$6:$A$205,"&lt;&gt;",$I$6:$I$205,"Open",$H$6:$H$205,"&gt;0",$H$6:$H$205,"&lt;"&amp;H13)+COUNTIFS($A$6:A13,"&lt;&gt;",$I$6:I13,"Open",$H$6:H13,H13))</x:f>
      </x:c>
    </x:row>
    <x:row r="14" ht="26" customHeight="1">
      <x:c r="A14" s="317"/>
      <x:c r="B14" s="318"/>
      <x:c r="C14" s="235"/>
      <x:c r="D14" s="238"/>
      <x:c r="E14" s="235"/>
      <x:c r="F14" s="235"/>
      <x:c r="G14" s="235"/>
      <x:c r="H14" s="238"/>
      <x:c r="I14" s="235"/>
      <x:c r="J14" s="315" t="str">
        <x:f>IF(A14="","",IF(I14&lt;&gt;"Open","",IF(H14="","Set due date",IF(H14&lt;TODAY(),"Overdue",IF(H14=TODAY(),"Due today","Upcoming")))))</x:f>
      </x:c>
      <x:c r="K14" s="265" t="str">
        <x:f>IF(A14="","",IF(B14="","",IF(COUNTIFS('Clients'!$A$6:$A$205,B14)&lt;&gt;1,"Check Client ID",IF(INDEX('Clients'!$B$6:$B$205,MATCH(B14,'Clients'!$A$6:$A$205,0))="","Name missing",INDEX('Clients'!$B$6:$B$205,MATCH(B14,'Clients'!$A$6:$A$205,0))))))</x:f>
      </x:c>
      <x:c r="L14" s="265" t="str">
        <x:f>IF(A14="","",IF(C14="","",IF(COUNTIFS('Properties'!$A$6:$A$205,C14)&lt;&gt;1,"Check Property ID",IF(INDEX('Properties'!$B$6:$B$205,MATCH(C14,'Properties'!$A$6:$A$205,0))="","Name missing",INDEX('Properties'!$B$6:$B$205,MATCH(C14,'Properties'!$A$6:$A$205,0))))))</x:f>
      </x:c>
      <x:c r="M14" s="265" t="str">
        <x:f>IF(A14="","",IF(COUNTIFS($A$6:$A$205,A14)&gt;1,"Duplicate ID",IF(OR(B14="",COUNTIFS('Clients'!$A$6:$A$205,B14)&lt;&gt;1),"Check Client ID",IF(AND(C14&lt;&gt;"",COUNTIFS('Properties'!$A$6:$A$205,C14)&lt;&gt;1),"Check Property ID",IF(I14="","Set task status",IF(AND(I14="Open",G14=""),"Add next action",IF(AND(I14="Open",NOT(ISNUMBER(H14))),"Add due date",IF(AND(ISNUMBER(D14),D14&gt;TODAY()),"Contact date is future",""))))))))</x:f>
      </x:c>
      <x:c r="N14" s="379" t="str">
        <x:f>IF(OR(A14="",I14&lt;&gt;"Open",NOT(ISNUMBER(H14))),"",COUNTIFS($A$6:$A$205,"&lt;&gt;",$I$6:$I$205,"Open",$H$6:$H$205,"&gt;0",$H$6:$H$205,"&lt;"&amp;H14)+COUNTIFS($A$6:A14,"&lt;&gt;",$I$6:I14,"Open",$H$6:H14,H14))</x:f>
      </x:c>
    </x:row>
    <x:row r="15" ht="26" customHeight="1">
      <x:c r="A15" s="319"/>
      <x:c r="B15" s="320"/>
      <x:c r="C15" s="274"/>
      <x:c r="D15" s="304"/>
      <x:c r="E15" s="274"/>
      <x:c r="F15" s="274"/>
      <x:c r="G15" s="274"/>
      <x:c r="H15" s="304"/>
      <x:c r="I15" s="274"/>
      <x:c r="J15" s="315" t="str">
        <x:f>IF(A15="","",IF(I15&lt;&gt;"Open","",IF(H15="","Set due date",IF(H15&lt;TODAY(),"Overdue",IF(H15=TODAY(),"Due today","Upcoming")))))</x:f>
      </x:c>
      <x:c r="K15" s="265" t="str">
        <x:f>IF(A15="","",IF(B15="","",IF(COUNTIFS('Clients'!$A$6:$A$205,B15)&lt;&gt;1,"Check Client ID",IF(INDEX('Clients'!$B$6:$B$205,MATCH(B15,'Clients'!$A$6:$A$205,0))="","Name missing",INDEX('Clients'!$B$6:$B$205,MATCH(B15,'Clients'!$A$6:$A$205,0))))))</x:f>
      </x:c>
      <x:c r="L15" s="265" t="str">
        <x:f>IF(A15="","",IF(C15="","",IF(COUNTIFS('Properties'!$A$6:$A$205,C15)&lt;&gt;1,"Check Property ID",IF(INDEX('Properties'!$B$6:$B$205,MATCH(C15,'Properties'!$A$6:$A$205,0))="","Name missing",INDEX('Properties'!$B$6:$B$205,MATCH(C15,'Properties'!$A$6:$A$205,0))))))</x:f>
      </x:c>
      <x:c r="M15" s="265" t="str">
        <x:f>IF(A15="","",IF(COUNTIFS($A$6:$A$205,A15)&gt;1,"Duplicate ID",IF(OR(B15="",COUNTIFS('Clients'!$A$6:$A$205,B15)&lt;&gt;1),"Check Client ID",IF(AND(C15&lt;&gt;"",COUNTIFS('Properties'!$A$6:$A$205,C15)&lt;&gt;1),"Check Property ID",IF(I15="","Set task status",IF(AND(I15="Open",G15=""),"Add next action",IF(AND(I15="Open",NOT(ISNUMBER(H15))),"Add due date",IF(AND(ISNUMBER(D15),D15&gt;TODAY()),"Contact date is future",""))))))))</x:f>
      </x:c>
      <x:c r="N15" s="379" t="str">
        <x:f>IF(OR(A15="",I15&lt;&gt;"Open",NOT(ISNUMBER(H15))),"",COUNTIFS($A$6:$A$205,"&lt;&gt;",$I$6:$I$205,"Open",$H$6:$H$205,"&gt;0",$H$6:$H$205,"&lt;"&amp;H15)+COUNTIFS($A$6:A15,"&lt;&gt;",$I$6:I15,"Open",$H$6:H15,H15))</x:f>
      </x:c>
    </x:row>
    <x:row r="16" ht="26" customHeight="1">
      <x:c r="A16" s="317"/>
      <x:c r="B16" s="318"/>
      <x:c r="C16" s="235"/>
      <x:c r="D16" s="238"/>
      <x:c r="E16" s="235"/>
      <x:c r="F16" s="235"/>
      <x:c r="G16" s="235"/>
      <x:c r="H16" s="238"/>
      <x:c r="I16" s="235"/>
      <x:c r="J16" s="315" t="str">
        <x:f>IF(A16="","",IF(I16&lt;&gt;"Open","",IF(H16="","Set due date",IF(H16&lt;TODAY(),"Overdue",IF(H16=TODAY(),"Due today","Upcoming")))))</x:f>
      </x:c>
      <x:c r="K16" s="265" t="str">
        <x:f>IF(A16="","",IF(B16="","",IF(COUNTIFS('Clients'!$A$6:$A$205,B16)&lt;&gt;1,"Check Client ID",IF(INDEX('Clients'!$B$6:$B$205,MATCH(B16,'Clients'!$A$6:$A$205,0))="","Name missing",INDEX('Clients'!$B$6:$B$205,MATCH(B16,'Clients'!$A$6:$A$205,0))))))</x:f>
      </x:c>
      <x:c r="L16" s="265" t="str">
        <x:f>IF(A16="","",IF(C16="","",IF(COUNTIFS('Properties'!$A$6:$A$205,C16)&lt;&gt;1,"Check Property ID",IF(INDEX('Properties'!$B$6:$B$205,MATCH(C16,'Properties'!$A$6:$A$205,0))="","Name missing",INDEX('Properties'!$B$6:$B$205,MATCH(C16,'Properties'!$A$6:$A$205,0))))))</x:f>
      </x:c>
      <x:c r="M16" s="265" t="str">
        <x:f>IF(A16="","",IF(COUNTIFS($A$6:$A$205,A16)&gt;1,"Duplicate ID",IF(OR(B16="",COUNTIFS('Clients'!$A$6:$A$205,B16)&lt;&gt;1),"Check Client ID",IF(AND(C16&lt;&gt;"",COUNTIFS('Properties'!$A$6:$A$205,C16)&lt;&gt;1),"Check Property ID",IF(I16="","Set task status",IF(AND(I16="Open",G16=""),"Add next action",IF(AND(I16="Open",NOT(ISNUMBER(H16))),"Add due date",IF(AND(ISNUMBER(D16),D16&gt;TODAY()),"Contact date is future",""))))))))</x:f>
      </x:c>
      <x:c r="N16" s="379" t="str">
        <x:f>IF(OR(A16="",I16&lt;&gt;"Open",NOT(ISNUMBER(H16))),"",COUNTIFS($A$6:$A$205,"&lt;&gt;",$I$6:$I$205,"Open",$H$6:$H$205,"&gt;0",$H$6:$H$205,"&lt;"&amp;H16)+COUNTIFS($A$6:A16,"&lt;&gt;",$I$6:I16,"Open",$H$6:H16,H16))</x:f>
      </x:c>
    </x:row>
    <x:row r="17" ht="26" customHeight="1">
      <x:c r="A17" s="319"/>
      <x:c r="B17" s="320"/>
      <x:c r="C17" s="274"/>
      <x:c r="D17" s="304"/>
      <x:c r="E17" s="274"/>
      <x:c r="F17" s="274"/>
      <x:c r="G17" s="274"/>
      <x:c r="H17" s="304"/>
      <x:c r="I17" s="274"/>
      <x:c r="J17" s="315" t="str">
        <x:f>IF(A17="","",IF(I17&lt;&gt;"Open","",IF(H17="","Set due date",IF(H17&lt;TODAY(),"Overdue",IF(H17=TODAY(),"Due today","Upcoming")))))</x:f>
      </x:c>
      <x:c r="K17" s="265" t="str">
        <x:f>IF(A17="","",IF(B17="","",IF(COUNTIFS('Clients'!$A$6:$A$205,B17)&lt;&gt;1,"Check Client ID",IF(INDEX('Clients'!$B$6:$B$205,MATCH(B17,'Clients'!$A$6:$A$205,0))="","Name missing",INDEX('Clients'!$B$6:$B$205,MATCH(B17,'Clients'!$A$6:$A$205,0))))))</x:f>
      </x:c>
      <x:c r="L17" s="265" t="str">
        <x:f>IF(A17="","",IF(C17="","",IF(COUNTIFS('Properties'!$A$6:$A$205,C17)&lt;&gt;1,"Check Property ID",IF(INDEX('Properties'!$B$6:$B$205,MATCH(C17,'Properties'!$A$6:$A$205,0))="","Name missing",INDEX('Properties'!$B$6:$B$205,MATCH(C17,'Properties'!$A$6:$A$205,0))))))</x:f>
      </x:c>
      <x:c r="M17" s="265" t="str">
        <x:f>IF(A17="","",IF(COUNTIFS($A$6:$A$205,A17)&gt;1,"Duplicate ID",IF(OR(B17="",COUNTIFS('Clients'!$A$6:$A$205,B17)&lt;&gt;1),"Check Client ID",IF(AND(C17&lt;&gt;"",COUNTIFS('Properties'!$A$6:$A$205,C17)&lt;&gt;1),"Check Property ID",IF(I17="","Set task status",IF(AND(I17="Open",G17=""),"Add next action",IF(AND(I17="Open",NOT(ISNUMBER(H17))),"Add due date",IF(AND(ISNUMBER(D17),D17&gt;TODAY()),"Contact date is future",""))))))))</x:f>
      </x:c>
      <x:c r="N17" s="379" t="str">
        <x:f>IF(OR(A17="",I17&lt;&gt;"Open",NOT(ISNUMBER(H17))),"",COUNTIFS($A$6:$A$205,"&lt;&gt;",$I$6:$I$205,"Open",$H$6:$H$205,"&gt;0",$H$6:$H$205,"&lt;"&amp;H17)+COUNTIFS($A$6:A17,"&lt;&gt;",$I$6:I17,"Open",$H$6:H17,H17))</x:f>
      </x:c>
    </x:row>
    <x:row r="18" ht="26" customHeight="1">
      <x:c r="A18" s="317"/>
      <x:c r="B18" s="318"/>
      <x:c r="C18" s="235"/>
      <x:c r="D18" s="238"/>
      <x:c r="E18" s="235"/>
      <x:c r="F18" s="235"/>
      <x:c r="G18" s="235"/>
      <x:c r="H18" s="238"/>
      <x:c r="I18" s="235"/>
      <x:c r="J18" s="315" t="str">
        <x:f>IF(A18="","",IF(I18&lt;&gt;"Open","",IF(H18="","Set due date",IF(H18&lt;TODAY(),"Overdue",IF(H18=TODAY(),"Due today","Upcoming")))))</x:f>
      </x:c>
      <x:c r="K18" s="265" t="str">
        <x:f>IF(A18="","",IF(B18="","",IF(COUNTIFS('Clients'!$A$6:$A$205,B18)&lt;&gt;1,"Check Client ID",IF(INDEX('Clients'!$B$6:$B$205,MATCH(B18,'Clients'!$A$6:$A$205,0))="","Name missing",INDEX('Clients'!$B$6:$B$205,MATCH(B18,'Clients'!$A$6:$A$205,0))))))</x:f>
      </x:c>
      <x:c r="L18" s="265" t="str">
        <x:f>IF(A18="","",IF(C18="","",IF(COUNTIFS('Properties'!$A$6:$A$205,C18)&lt;&gt;1,"Check Property ID",IF(INDEX('Properties'!$B$6:$B$205,MATCH(C18,'Properties'!$A$6:$A$205,0))="","Name missing",INDEX('Properties'!$B$6:$B$205,MATCH(C18,'Properties'!$A$6:$A$205,0))))))</x:f>
      </x:c>
      <x:c r="M18" s="265" t="str">
        <x:f>IF(A18="","",IF(COUNTIFS($A$6:$A$205,A18)&gt;1,"Duplicate ID",IF(OR(B18="",COUNTIFS('Clients'!$A$6:$A$205,B18)&lt;&gt;1),"Check Client ID",IF(AND(C18&lt;&gt;"",COUNTIFS('Properties'!$A$6:$A$205,C18)&lt;&gt;1),"Check Property ID",IF(I18="","Set task status",IF(AND(I18="Open",G18=""),"Add next action",IF(AND(I18="Open",NOT(ISNUMBER(H18))),"Add due date",IF(AND(ISNUMBER(D18),D18&gt;TODAY()),"Contact date is future",""))))))))</x:f>
      </x:c>
      <x:c r="N18" s="379" t="str">
        <x:f>IF(OR(A18="",I18&lt;&gt;"Open",NOT(ISNUMBER(H18))),"",COUNTIFS($A$6:$A$205,"&lt;&gt;",$I$6:$I$205,"Open",$H$6:$H$205,"&gt;0",$H$6:$H$205,"&lt;"&amp;H18)+COUNTIFS($A$6:A18,"&lt;&gt;",$I$6:I18,"Open",$H$6:H18,H18))</x:f>
      </x:c>
    </x:row>
    <x:row r="19" ht="26" customHeight="1">
      <x:c r="A19" s="319"/>
      <x:c r="B19" s="320"/>
      <x:c r="C19" s="274"/>
      <x:c r="D19" s="304"/>
      <x:c r="E19" s="274"/>
      <x:c r="F19" s="274"/>
      <x:c r="G19" s="274"/>
      <x:c r="H19" s="304"/>
      <x:c r="I19" s="274"/>
      <x:c r="J19" s="315" t="str">
        <x:f>IF(A19="","",IF(I19&lt;&gt;"Open","",IF(H19="","Set due date",IF(H19&lt;TODAY(),"Overdue",IF(H19=TODAY(),"Due today","Upcoming")))))</x:f>
      </x:c>
      <x:c r="K19" s="265" t="str">
        <x:f>IF(A19="","",IF(B19="","",IF(COUNTIFS('Clients'!$A$6:$A$205,B19)&lt;&gt;1,"Check Client ID",IF(INDEX('Clients'!$B$6:$B$205,MATCH(B19,'Clients'!$A$6:$A$205,0))="","Name missing",INDEX('Clients'!$B$6:$B$205,MATCH(B19,'Clients'!$A$6:$A$205,0))))))</x:f>
      </x:c>
      <x:c r="L19" s="265" t="str">
        <x:f>IF(A19="","",IF(C19="","",IF(COUNTIFS('Properties'!$A$6:$A$205,C19)&lt;&gt;1,"Check Property ID",IF(INDEX('Properties'!$B$6:$B$205,MATCH(C19,'Properties'!$A$6:$A$205,0))="","Name missing",INDEX('Properties'!$B$6:$B$205,MATCH(C19,'Properties'!$A$6:$A$205,0))))))</x:f>
      </x:c>
      <x:c r="M19" s="265" t="str">
        <x:f>IF(A19="","",IF(COUNTIFS($A$6:$A$205,A19)&gt;1,"Duplicate ID",IF(OR(B19="",COUNTIFS('Clients'!$A$6:$A$205,B19)&lt;&gt;1),"Check Client ID",IF(AND(C19&lt;&gt;"",COUNTIFS('Properties'!$A$6:$A$205,C19)&lt;&gt;1),"Check Property ID",IF(I19="","Set task status",IF(AND(I19="Open",G19=""),"Add next action",IF(AND(I19="Open",NOT(ISNUMBER(H19))),"Add due date",IF(AND(ISNUMBER(D19),D19&gt;TODAY()),"Contact date is future",""))))))))</x:f>
      </x:c>
      <x:c r="N19" s="379" t="str">
        <x:f>IF(OR(A19="",I19&lt;&gt;"Open",NOT(ISNUMBER(H19))),"",COUNTIFS($A$6:$A$205,"&lt;&gt;",$I$6:$I$205,"Open",$H$6:$H$205,"&gt;0",$H$6:$H$205,"&lt;"&amp;H19)+COUNTIFS($A$6:A19,"&lt;&gt;",$I$6:I19,"Open",$H$6:H19,H19))</x:f>
      </x:c>
    </x:row>
    <x:row r="20" ht="26" customHeight="1">
      <x:c r="A20" s="317"/>
      <x:c r="B20" s="318"/>
      <x:c r="C20" s="235"/>
      <x:c r="D20" s="238"/>
      <x:c r="E20" s="235"/>
      <x:c r="F20" s="235"/>
      <x:c r="G20" s="235"/>
      <x:c r="H20" s="238"/>
      <x:c r="I20" s="235"/>
      <x:c r="J20" s="315" t="str">
        <x:f>IF(A20="","",IF(I20&lt;&gt;"Open","",IF(H20="","Set due date",IF(H20&lt;TODAY(),"Overdue",IF(H20=TODAY(),"Due today","Upcoming")))))</x:f>
      </x:c>
      <x:c r="K20" s="265" t="str">
        <x:f>IF(A20="","",IF(B20="","",IF(COUNTIFS('Clients'!$A$6:$A$205,B20)&lt;&gt;1,"Check Client ID",IF(INDEX('Clients'!$B$6:$B$205,MATCH(B20,'Clients'!$A$6:$A$205,0))="","Name missing",INDEX('Clients'!$B$6:$B$205,MATCH(B20,'Clients'!$A$6:$A$205,0))))))</x:f>
      </x:c>
      <x:c r="L20" s="265" t="str">
        <x:f>IF(A20="","",IF(C20="","",IF(COUNTIFS('Properties'!$A$6:$A$205,C20)&lt;&gt;1,"Check Property ID",IF(INDEX('Properties'!$B$6:$B$205,MATCH(C20,'Properties'!$A$6:$A$205,0))="","Name missing",INDEX('Properties'!$B$6:$B$205,MATCH(C20,'Properties'!$A$6:$A$205,0))))))</x:f>
      </x:c>
      <x:c r="M20" s="265" t="str">
        <x:f>IF(A20="","",IF(COUNTIFS($A$6:$A$205,A20)&gt;1,"Duplicate ID",IF(OR(B20="",COUNTIFS('Clients'!$A$6:$A$205,B20)&lt;&gt;1),"Check Client ID",IF(AND(C20&lt;&gt;"",COUNTIFS('Properties'!$A$6:$A$205,C20)&lt;&gt;1),"Check Property ID",IF(I20="","Set task status",IF(AND(I20="Open",G20=""),"Add next action",IF(AND(I20="Open",NOT(ISNUMBER(H20))),"Add due date",IF(AND(ISNUMBER(D20),D20&gt;TODAY()),"Contact date is future",""))))))))</x:f>
      </x:c>
      <x:c r="N20" s="379" t="str">
        <x:f>IF(OR(A20="",I20&lt;&gt;"Open",NOT(ISNUMBER(H20))),"",COUNTIFS($A$6:$A$205,"&lt;&gt;",$I$6:$I$205,"Open",$H$6:$H$205,"&gt;0",$H$6:$H$205,"&lt;"&amp;H20)+COUNTIFS($A$6:A20,"&lt;&gt;",$I$6:I20,"Open",$H$6:H20,H20))</x:f>
      </x:c>
    </x:row>
    <x:row r="21" ht="26" customHeight="1">
      <x:c r="A21" s="319"/>
      <x:c r="B21" s="320"/>
      <x:c r="C21" s="274"/>
      <x:c r="D21" s="304"/>
      <x:c r="E21" s="274"/>
      <x:c r="F21" s="274"/>
      <x:c r="G21" s="274"/>
      <x:c r="H21" s="304"/>
      <x:c r="I21" s="274"/>
      <x:c r="J21" s="315" t="str">
        <x:f>IF(A21="","",IF(I21&lt;&gt;"Open","",IF(H21="","Set due date",IF(H21&lt;TODAY(),"Overdue",IF(H21=TODAY(),"Due today","Upcoming")))))</x:f>
      </x:c>
      <x:c r="K21" s="265" t="str">
        <x:f>IF(A21="","",IF(B21="","",IF(COUNTIFS('Clients'!$A$6:$A$205,B21)&lt;&gt;1,"Check Client ID",IF(INDEX('Clients'!$B$6:$B$205,MATCH(B21,'Clients'!$A$6:$A$205,0))="","Name missing",INDEX('Clients'!$B$6:$B$205,MATCH(B21,'Clients'!$A$6:$A$205,0))))))</x:f>
      </x:c>
      <x:c r="L21" s="265" t="str">
        <x:f>IF(A21="","",IF(C21="","",IF(COUNTIFS('Properties'!$A$6:$A$205,C21)&lt;&gt;1,"Check Property ID",IF(INDEX('Properties'!$B$6:$B$205,MATCH(C21,'Properties'!$A$6:$A$205,0))="","Name missing",INDEX('Properties'!$B$6:$B$205,MATCH(C21,'Properties'!$A$6:$A$205,0))))))</x:f>
      </x:c>
      <x:c r="M21" s="265" t="str">
        <x:f>IF(A21="","",IF(COUNTIFS($A$6:$A$205,A21)&gt;1,"Duplicate ID",IF(OR(B21="",COUNTIFS('Clients'!$A$6:$A$205,B21)&lt;&gt;1),"Check Client ID",IF(AND(C21&lt;&gt;"",COUNTIFS('Properties'!$A$6:$A$205,C21)&lt;&gt;1),"Check Property ID",IF(I21="","Set task status",IF(AND(I21="Open",G21=""),"Add next action",IF(AND(I21="Open",NOT(ISNUMBER(H21))),"Add due date",IF(AND(ISNUMBER(D21),D21&gt;TODAY()),"Contact date is future",""))))))))</x:f>
      </x:c>
      <x:c r="N21" s="379" t="str">
        <x:f>IF(OR(A21="",I21&lt;&gt;"Open",NOT(ISNUMBER(H21))),"",COUNTIFS($A$6:$A$205,"&lt;&gt;",$I$6:$I$205,"Open",$H$6:$H$205,"&gt;0",$H$6:$H$205,"&lt;"&amp;H21)+COUNTIFS($A$6:A21,"&lt;&gt;",$I$6:I21,"Open",$H$6:H21,H21))</x:f>
      </x:c>
    </x:row>
    <x:row r="22" ht="26" customHeight="1">
      <x:c r="A22" s="317"/>
      <x:c r="B22" s="318"/>
      <x:c r="C22" s="235"/>
      <x:c r="D22" s="238"/>
      <x:c r="E22" s="235"/>
      <x:c r="F22" s="235"/>
      <x:c r="G22" s="235"/>
      <x:c r="H22" s="238"/>
      <x:c r="I22" s="235"/>
      <x:c r="J22" s="315" t="str">
        <x:f>IF(A22="","",IF(I22&lt;&gt;"Open","",IF(H22="","Set due date",IF(H22&lt;TODAY(),"Overdue",IF(H22=TODAY(),"Due today","Upcoming")))))</x:f>
      </x:c>
      <x:c r="K22" s="265" t="str">
        <x:f>IF(A22="","",IF(B22="","",IF(COUNTIFS('Clients'!$A$6:$A$205,B22)&lt;&gt;1,"Check Client ID",IF(INDEX('Clients'!$B$6:$B$205,MATCH(B22,'Clients'!$A$6:$A$205,0))="","Name missing",INDEX('Clients'!$B$6:$B$205,MATCH(B22,'Clients'!$A$6:$A$205,0))))))</x:f>
      </x:c>
      <x:c r="L22" s="265" t="str">
        <x:f>IF(A22="","",IF(C22="","",IF(COUNTIFS('Properties'!$A$6:$A$205,C22)&lt;&gt;1,"Check Property ID",IF(INDEX('Properties'!$B$6:$B$205,MATCH(C22,'Properties'!$A$6:$A$205,0))="","Name missing",INDEX('Properties'!$B$6:$B$205,MATCH(C22,'Properties'!$A$6:$A$205,0))))))</x:f>
      </x:c>
      <x:c r="M22" s="265" t="str">
        <x:f>IF(A22="","",IF(COUNTIFS($A$6:$A$205,A22)&gt;1,"Duplicate ID",IF(OR(B22="",COUNTIFS('Clients'!$A$6:$A$205,B22)&lt;&gt;1),"Check Client ID",IF(AND(C22&lt;&gt;"",COUNTIFS('Properties'!$A$6:$A$205,C22)&lt;&gt;1),"Check Property ID",IF(I22="","Set task status",IF(AND(I22="Open",G22=""),"Add next action",IF(AND(I22="Open",NOT(ISNUMBER(H22))),"Add due date",IF(AND(ISNUMBER(D22),D22&gt;TODAY()),"Contact date is future",""))))))))</x:f>
      </x:c>
      <x:c r="N22" s="379" t="str">
        <x:f>IF(OR(A22="",I22&lt;&gt;"Open",NOT(ISNUMBER(H22))),"",COUNTIFS($A$6:$A$205,"&lt;&gt;",$I$6:$I$205,"Open",$H$6:$H$205,"&gt;0",$H$6:$H$205,"&lt;"&amp;H22)+COUNTIFS($A$6:A22,"&lt;&gt;",$I$6:I22,"Open",$H$6:H22,H22))</x:f>
      </x:c>
    </x:row>
    <x:row r="23" ht="26" customHeight="1">
      <x:c r="A23" s="319"/>
      <x:c r="B23" s="320"/>
      <x:c r="C23" s="274"/>
      <x:c r="D23" s="304"/>
      <x:c r="E23" s="274"/>
      <x:c r="F23" s="274"/>
      <x:c r="G23" s="274"/>
      <x:c r="H23" s="304"/>
      <x:c r="I23" s="274"/>
      <x:c r="J23" s="315" t="str">
        <x:f>IF(A23="","",IF(I23&lt;&gt;"Open","",IF(H23="","Set due date",IF(H23&lt;TODAY(),"Overdue",IF(H23=TODAY(),"Due today","Upcoming")))))</x:f>
      </x:c>
      <x:c r="K23" s="265" t="str">
        <x:f>IF(A23="","",IF(B23="","",IF(COUNTIFS('Clients'!$A$6:$A$205,B23)&lt;&gt;1,"Check Client ID",IF(INDEX('Clients'!$B$6:$B$205,MATCH(B23,'Clients'!$A$6:$A$205,0))="","Name missing",INDEX('Clients'!$B$6:$B$205,MATCH(B23,'Clients'!$A$6:$A$205,0))))))</x:f>
      </x:c>
      <x:c r="L23" s="265" t="str">
        <x:f>IF(A23="","",IF(C23="","",IF(COUNTIFS('Properties'!$A$6:$A$205,C23)&lt;&gt;1,"Check Property ID",IF(INDEX('Properties'!$B$6:$B$205,MATCH(C23,'Properties'!$A$6:$A$205,0))="","Name missing",INDEX('Properties'!$B$6:$B$205,MATCH(C23,'Properties'!$A$6:$A$205,0))))))</x:f>
      </x:c>
      <x:c r="M23" s="265" t="str">
        <x:f>IF(A23="","",IF(COUNTIFS($A$6:$A$205,A23)&gt;1,"Duplicate ID",IF(OR(B23="",COUNTIFS('Clients'!$A$6:$A$205,B23)&lt;&gt;1),"Check Client ID",IF(AND(C23&lt;&gt;"",COUNTIFS('Properties'!$A$6:$A$205,C23)&lt;&gt;1),"Check Property ID",IF(I23="","Set task status",IF(AND(I23="Open",G23=""),"Add next action",IF(AND(I23="Open",NOT(ISNUMBER(H23))),"Add due date",IF(AND(ISNUMBER(D23),D23&gt;TODAY()),"Contact date is future",""))))))))</x:f>
      </x:c>
      <x:c r="N23" s="379" t="str">
        <x:f>IF(OR(A23="",I23&lt;&gt;"Open",NOT(ISNUMBER(H23))),"",COUNTIFS($A$6:$A$205,"&lt;&gt;",$I$6:$I$205,"Open",$H$6:$H$205,"&gt;0",$H$6:$H$205,"&lt;"&amp;H23)+COUNTIFS($A$6:A23,"&lt;&gt;",$I$6:I23,"Open",$H$6:H23,H23))</x:f>
      </x:c>
    </x:row>
    <x:row r="24" ht="26" customHeight="1">
      <x:c r="A24" s="317"/>
      <x:c r="B24" s="318"/>
      <x:c r="C24" s="235"/>
      <x:c r="D24" s="238"/>
      <x:c r="E24" s="235"/>
      <x:c r="F24" s="235"/>
      <x:c r="G24" s="235"/>
      <x:c r="H24" s="238"/>
      <x:c r="I24" s="235"/>
      <x:c r="J24" s="315" t="str">
        <x:f>IF(A24="","",IF(I24&lt;&gt;"Open","",IF(H24="","Set due date",IF(H24&lt;TODAY(),"Overdue",IF(H24=TODAY(),"Due today","Upcoming")))))</x:f>
      </x:c>
      <x:c r="K24" s="265" t="str">
        <x:f>IF(A24="","",IF(B24="","",IF(COUNTIFS('Clients'!$A$6:$A$205,B24)&lt;&gt;1,"Check Client ID",IF(INDEX('Clients'!$B$6:$B$205,MATCH(B24,'Clients'!$A$6:$A$205,0))="","Name missing",INDEX('Clients'!$B$6:$B$205,MATCH(B24,'Clients'!$A$6:$A$205,0))))))</x:f>
      </x:c>
      <x:c r="L24" s="265" t="str">
        <x:f>IF(A24="","",IF(C24="","",IF(COUNTIFS('Properties'!$A$6:$A$205,C24)&lt;&gt;1,"Check Property ID",IF(INDEX('Properties'!$B$6:$B$205,MATCH(C24,'Properties'!$A$6:$A$205,0))="","Name missing",INDEX('Properties'!$B$6:$B$205,MATCH(C24,'Properties'!$A$6:$A$205,0))))))</x:f>
      </x:c>
      <x:c r="M24" s="265" t="str">
        <x:f>IF(A24="","",IF(COUNTIFS($A$6:$A$205,A24)&gt;1,"Duplicate ID",IF(OR(B24="",COUNTIFS('Clients'!$A$6:$A$205,B24)&lt;&gt;1),"Check Client ID",IF(AND(C24&lt;&gt;"",COUNTIFS('Properties'!$A$6:$A$205,C24)&lt;&gt;1),"Check Property ID",IF(I24="","Set task status",IF(AND(I24="Open",G24=""),"Add next action",IF(AND(I24="Open",NOT(ISNUMBER(H24))),"Add due date",IF(AND(ISNUMBER(D24),D24&gt;TODAY()),"Contact date is future",""))))))))</x:f>
      </x:c>
      <x:c r="N24" s="379" t="str">
        <x:f>IF(OR(A24="",I24&lt;&gt;"Open",NOT(ISNUMBER(H24))),"",COUNTIFS($A$6:$A$205,"&lt;&gt;",$I$6:$I$205,"Open",$H$6:$H$205,"&gt;0",$H$6:$H$205,"&lt;"&amp;H24)+COUNTIFS($A$6:A24,"&lt;&gt;",$I$6:I24,"Open",$H$6:H24,H24))</x:f>
      </x:c>
    </x:row>
    <x:row r="25" ht="26" customHeight="1">
      <x:c r="A25" s="319"/>
      <x:c r="B25" s="320"/>
      <x:c r="C25" s="274"/>
      <x:c r="D25" s="304"/>
      <x:c r="E25" s="274"/>
      <x:c r="F25" s="274"/>
      <x:c r="G25" s="274"/>
      <x:c r="H25" s="304"/>
      <x:c r="I25" s="274"/>
      <x:c r="J25" s="315" t="str">
        <x:f>IF(A25="","",IF(I25&lt;&gt;"Open","",IF(H25="","Set due date",IF(H25&lt;TODAY(),"Overdue",IF(H25=TODAY(),"Due today","Upcoming")))))</x:f>
      </x:c>
      <x:c r="K25" s="265" t="str">
        <x:f>IF(A25="","",IF(B25="","",IF(COUNTIFS('Clients'!$A$6:$A$205,B25)&lt;&gt;1,"Check Client ID",IF(INDEX('Clients'!$B$6:$B$205,MATCH(B25,'Clients'!$A$6:$A$205,0))="","Name missing",INDEX('Clients'!$B$6:$B$205,MATCH(B25,'Clients'!$A$6:$A$205,0))))))</x:f>
      </x:c>
      <x:c r="L25" s="265" t="str">
        <x:f>IF(A25="","",IF(C25="","",IF(COUNTIFS('Properties'!$A$6:$A$205,C25)&lt;&gt;1,"Check Property ID",IF(INDEX('Properties'!$B$6:$B$205,MATCH(C25,'Properties'!$A$6:$A$205,0))="","Name missing",INDEX('Properties'!$B$6:$B$205,MATCH(C25,'Properties'!$A$6:$A$205,0))))))</x:f>
      </x:c>
      <x:c r="M25" s="265" t="str">
        <x:f>IF(A25="","",IF(COUNTIFS($A$6:$A$205,A25)&gt;1,"Duplicate ID",IF(OR(B25="",COUNTIFS('Clients'!$A$6:$A$205,B25)&lt;&gt;1),"Check Client ID",IF(AND(C25&lt;&gt;"",COUNTIFS('Properties'!$A$6:$A$205,C25)&lt;&gt;1),"Check Property ID",IF(I25="","Set task status",IF(AND(I25="Open",G25=""),"Add next action",IF(AND(I25="Open",NOT(ISNUMBER(H25))),"Add due date",IF(AND(ISNUMBER(D25),D25&gt;TODAY()),"Contact date is future",""))))))))</x:f>
      </x:c>
      <x:c r="N25" s="379" t="str">
        <x:f>IF(OR(A25="",I25&lt;&gt;"Open",NOT(ISNUMBER(H25))),"",COUNTIFS($A$6:$A$205,"&lt;&gt;",$I$6:$I$205,"Open",$H$6:$H$205,"&gt;0",$H$6:$H$205,"&lt;"&amp;H25)+COUNTIFS($A$6:A25,"&lt;&gt;",$I$6:I25,"Open",$H$6:H25,H25))</x:f>
      </x:c>
    </x:row>
    <x:row r="26" ht="26" customHeight="1">
      <x:c r="A26" s="317"/>
      <x:c r="B26" s="318"/>
      <x:c r="C26" s="235"/>
      <x:c r="D26" s="238"/>
      <x:c r="E26" s="235"/>
      <x:c r="F26" s="235"/>
      <x:c r="G26" s="235"/>
      <x:c r="H26" s="238"/>
      <x:c r="I26" s="235"/>
      <x:c r="J26" s="315" t="str">
        <x:f>IF(A26="","",IF(I26&lt;&gt;"Open","",IF(H26="","Set due date",IF(H26&lt;TODAY(),"Overdue",IF(H26=TODAY(),"Due today","Upcoming")))))</x:f>
      </x:c>
      <x:c r="K26" s="265" t="str">
        <x:f>IF(A26="","",IF(B26="","",IF(COUNTIFS('Clients'!$A$6:$A$205,B26)&lt;&gt;1,"Check Client ID",IF(INDEX('Clients'!$B$6:$B$205,MATCH(B26,'Clients'!$A$6:$A$205,0))="","Name missing",INDEX('Clients'!$B$6:$B$205,MATCH(B26,'Clients'!$A$6:$A$205,0))))))</x:f>
      </x:c>
      <x:c r="L26" s="265" t="str">
        <x:f>IF(A26="","",IF(C26="","",IF(COUNTIFS('Properties'!$A$6:$A$205,C26)&lt;&gt;1,"Check Property ID",IF(INDEX('Properties'!$B$6:$B$205,MATCH(C26,'Properties'!$A$6:$A$205,0))="","Name missing",INDEX('Properties'!$B$6:$B$205,MATCH(C26,'Properties'!$A$6:$A$205,0))))))</x:f>
      </x:c>
      <x:c r="M26" s="265" t="str">
        <x:f>IF(A26="","",IF(COUNTIFS($A$6:$A$205,A26)&gt;1,"Duplicate ID",IF(OR(B26="",COUNTIFS('Clients'!$A$6:$A$205,B26)&lt;&gt;1),"Check Client ID",IF(AND(C26&lt;&gt;"",COUNTIFS('Properties'!$A$6:$A$205,C26)&lt;&gt;1),"Check Property ID",IF(I26="","Set task status",IF(AND(I26="Open",G26=""),"Add next action",IF(AND(I26="Open",NOT(ISNUMBER(H26))),"Add due date",IF(AND(ISNUMBER(D26),D26&gt;TODAY()),"Contact date is future",""))))))))</x:f>
      </x:c>
      <x:c r="N26" s="379" t="str">
        <x:f>IF(OR(A26="",I26&lt;&gt;"Open",NOT(ISNUMBER(H26))),"",COUNTIFS($A$6:$A$205,"&lt;&gt;",$I$6:$I$205,"Open",$H$6:$H$205,"&gt;0",$H$6:$H$205,"&lt;"&amp;H26)+COUNTIFS($A$6:A26,"&lt;&gt;",$I$6:I26,"Open",$H$6:H26,H26))</x:f>
      </x:c>
    </x:row>
    <x:row r="27" ht="26" customHeight="1">
      <x:c r="A27" s="319"/>
      <x:c r="B27" s="320"/>
      <x:c r="C27" s="274"/>
      <x:c r="D27" s="304"/>
      <x:c r="E27" s="274"/>
      <x:c r="F27" s="274"/>
      <x:c r="G27" s="274"/>
      <x:c r="H27" s="304"/>
      <x:c r="I27" s="274"/>
      <x:c r="J27" s="315" t="str">
        <x:f>IF(A27="","",IF(I27&lt;&gt;"Open","",IF(H27="","Set due date",IF(H27&lt;TODAY(),"Overdue",IF(H27=TODAY(),"Due today","Upcoming")))))</x:f>
      </x:c>
      <x:c r="K27" s="265" t="str">
        <x:f>IF(A27="","",IF(B27="","",IF(COUNTIFS('Clients'!$A$6:$A$205,B27)&lt;&gt;1,"Check Client ID",IF(INDEX('Clients'!$B$6:$B$205,MATCH(B27,'Clients'!$A$6:$A$205,0))="","Name missing",INDEX('Clients'!$B$6:$B$205,MATCH(B27,'Clients'!$A$6:$A$205,0))))))</x:f>
      </x:c>
      <x:c r="L27" s="265" t="str">
        <x:f>IF(A27="","",IF(C27="","",IF(COUNTIFS('Properties'!$A$6:$A$205,C27)&lt;&gt;1,"Check Property ID",IF(INDEX('Properties'!$B$6:$B$205,MATCH(C27,'Properties'!$A$6:$A$205,0))="","Name missing",INDEX('Properties'!$B$6:$B$205,MATCH(C27,'Properties'!$A$6:$A$205,0))))))</x:f>
      </x:c>
      <x:c r="M27" s="265" t="str">
        <x:f>IF(A27="","",IF(COUNTIFS($A$6:$A$205,A27)&gt;1,"Duplicate ID",IF(OR(B27="",COUNTIFS('Clients'!$A$6:$A$205,B27)&lt;&gt;1),"Check Client ID",IF(AND(C27&lt;&gt;"",COUNTIFS('Properties'!$A$6:$A$205,C27)&lt;&gt;1),"Check Property ID",IF(I27="","Set task status",IF(AND(I27="Open",G27=""),"Add next action",IF(AND(I27="Open",NOT(ISNUMBER(H27))),"Add due date",IF(AND(ISNUMBER(D27),D27&gt;TODAY()),"Contact date is future",""))))))))</x:f>
      </x:c>
      <x:c r="N27" s="379" t="str">
        <x:f>IF(OR(A27="",I27&lt;&gt;"Open",NOT(ISNUMBER(H27))),"",COUNTIFS($A$6:$A$205,"&lt;&gt;",$I$6:$I$205,"Open",$H$6:$H$205,"&gt;0",$H$6:$H$205,"&lt;"&amp;H27)+COUNTIFS($A$6:A27,"&lt;&gt;",$I$6:I27,"Open",$H$6:H27,H27))</x:f>
      </x:c>
    </x:row>
    <x:row r="28" ht="26" customHeight="1">
      <x:c r="A28" s="317"/>
      <x:c r="B28" s="318"/>
      <x:c r="C28" s="235"/>
      <x:c r="D28" s="238"/>
      <x:c r="E28" s="235"/>
      <x:c r="F28" s="235"/>
      <x:c r="G28" s="235"/>
      <x:c r="H28" s="238"/>
      <x:c r="I28" s="235"/>
      <x:c r="J28" s="315" t="str">
        <x:f>IF(A28="","",IF(I28&lt;&gt;"Open","",IF(H28="","Set due date",IF(H28&lt;TODAY(),"Overdue",IF(H28=TODAY(),"Due today","Upcoming")))))</x:f>
      </x:c>
      <x:c r="K28" s="265" t="str">
        <x:f>IF(A28="","",IF(B28="","",IF(COUNTIFS('Clients'!$A$6:$A$205,B28)&lt;&gt;1,"Check Client ID",IF(INDEX('Clients'!$B$6:$B$205,MATCH(B28,'Clients'!$A$6:$A$205,0))="","Name missing",INDEX('Clients'!$B$6:$B$205,MATCH(B28,'Clients'!$A$6:$A$205,0))))))</x:f>
      </x:c>
      <x:c r="L28" s="265" t="str">
        <x:f>IF(A28="","",IF(C28="","",IF(COUNTIFS('Properties'!$A$6:$A$205,C28)&lt;&gt;1,"Check Property ID",IF(INDEX('Properties'!$B$6:$B$205,MATCH(C28,'Properties'!$A$6:$A$205,0))="","Name missing",INDEX('Properties'!$B$6:$B$205,MATCH(C28,'Properties'!$A$6:$A$205,0))))))</x:f>
      </x:c>
      <x:c r="M28" s="265" t="str">
        <x:f>IF(A28="","",IF(COUNTIFS($A$6:$A$205,A28)&gt;1,"Duplicate ID",IF(OR(B28="",COUNTIFS('Clients'!$A$6:$A$205,B28)&lt;&gt;1),"Check Client ID",IF(AND(C28&lt;&gt;"",COUNTIFS('Properties'!$A$6:$A$205,C28)&lt;&gt;1),"Check Property ID",IF(I28="","Set task status",IF(AND(I28="Open",G28=""),"Add next action",IF(AND(I28="Open",NOT(ISNUMBER(H28))),"Add due date",IF(AND(ISNUMBER(D28),D28&gt;TODAY()),"Contact date is future",""))))))))</x:f>
      </x:c>
      <x:c r="N28" s="379" t="str">
        <x:f>IF(OR(A28="",I28&lt;&gt;"Open",NOT(ISNUMBER(H28))),"",COUNTIFS($A$6:$A$205,"&lt;&gt;",$I$6:$I$205,"Open",$H$6:$H$205,"&gt;0",$H$6:$H$205,"&lt;"&amp;H28)+COUNTIFS($A$6:A28,"&lt;&gt;",$I$6:I28,"Open",$H$6:H28,H28))</x:f>
      </x:c>
    </x:row>
    <x:row r="29" ht="26" customHeight="1">
      <x:c r="A29" s="319"/>
      <x:c r="B29" s="320"/>
      <x:c r="C29" s="274"/>
      <x:c r="D29" s="304"/>
      <x:c r="E29" s="274"/>
      <x:c r="F29" s="274"/>
      <x:c r="G29" s="274"/>
      <x:c r="H29" s="304"/>
      <x:c r="I29" s="274"/>
      <x:c r="J29" s="315" t="str">
        <x:f>IF(A29="","",IF(I29&lt;&gt;"Open","",IF(H29="","Set due date",IF(H29&lt;TODAY(),"Overdue",IF(H29=TODAY(),"Due today","Upcoming")))))</x:f>
      </x:c>
      <x:c r="K29" s="265" t="str">
        <x:f>IF(A29="","",IF(B29="","",IF(COUNTIFS('Clients'!$A$6:$A$205,B29)&lt;&gt;1,"Check Client ID",IF(INDEX('Clients'!$B$6:$B$205,MATCH(B29,'Clients'!$A$6:$A$205,0))="","Name missing",INDEX('Clients'!$B$6:$B$205,MATCH(B29,'Clients'!$A$6:$A$205,0))))))</x:f>
      </x:c>
      <x:c r="L29" s="265" t="str">
        <x:f>IF(A29="","",IF(C29="","",IF(COUNTIFS('Properties'!$A$6:$A$205,C29)&lt;&gt;1,"Check Property ID",IF(INDEX('Properties'!$B$6:$B$205,MATCH(C29,'Properties'!$A$6:$A$205,0))="","Name missing",INDEX('Properties'!$B$6:$B$205,MATCH(C29,'Properties'!$A$6:$A$205,0))))))</x:f>
      </x:c>
      <x:c r="M29" s="265" t="str">
        <x:f>IF(A29="","",IF(COUNTIFS($A$6:$A$205,A29)&gt;1,"Duplicate ID",IF(OR(B29="",COUNTIFS('Clients'!$A$6:$A$205,B29)&lt;&gt;1),"Check Client ID",IF(AND(C29&lt;&gt;"",COUNTIFS('Properties'!$A$6:$A$205,C29)&lt;&gt;1),"Check Property ID",IF(I29="","Set task status",IF(AND(I29="Open",G29=""),"Add next action",IF(AND(I29="Open",NOT(ISNUMBER(H29))),"Add due date",IF(AND(ISNUMBER(D29),D29&gt;TODAY()),"Contact date is future",""))))))))</x:f>
      </x:c>
      <x:c r="N29" s="379" t="str">
        <x:f>IF(OR(A29="",I29&lt;&gt;"Open",NOT(ISNUMBER(H29))),"",COUNTIFS($A$6:$A$205,"&lt;&gt;",$I$6:$I$205,"Open",$H$6:$H$205,"&gt;0",$H$6:$H$205,"&lt;"&amp;H29)+COUNTIFS($A$6:A29,"&lt;&gt;",$I$6:I29,"Open",$H$6:H29,H29))</x:f>
      </x:c>
    </x:row>
    <x:row r="30" ht="26" customHeight="1">
      <x:c r="A30" s="317"/>
      <x:c r="B30" s="318"/>
      <x:c r="C30" s="235"/>
      <x:c r="D30" s="238"/>
      <x:c r="E30" s="235"/>
      <x:c r="F30" s="235"/>
      <x:c r="G30" s="235"/>
      <x:c r="H30" s="238"/>
      <x:c r="I30" s="235"/>
      <x:c r="J30" s="315" t="str">
        <x:f>IF(A30="","",IF(I30&lt;&gt;"Open","",IF(H30="","Set due date",IF(H30&lt;TODAY(),"Overdue",IF(H30=TODAY(),"Due today","Upcoming")))))</x:f>
      </x:c>
      <x:c r="K30" s="265" t="str">
        <x:f>IF(A30="","",IF(B30="","",IF(COUNTIFS('Clients'!$A$6:$A$205,B30)&lt;&gt;1,"Check Client ID",IF(INDEX('Clients'!$B$6:$B$205,MATCH(B30,'Clients'!$A$6:$A$205,0))="","Name missing",INDEX('Clients'!$B$6:$B$205,MATCH(B30,'Clients'!$A$6:$A$205,0))))))</x:f>
      </x:c>
      <x:c r="L30" s="265" t="str">
        <x:f>IF(A30="","",IF(C30="","",IF(COUNTIFS('Properties'!$A$6:$A$205,C30)&lt;&gt;1,"Check Property ID",IF(INDEX('Properties'!$B$6:$B$205,MATCH(C30,'Properties'!$A$6:$A$205,0))="","Name missing",INDEX('Properties'!$B$6:$B$205,MATCH(C30,'Properties'!$A$6:$A$205,0))))))</x:f>
      </x:c>
      <x:c r="M30" s="265" t="str">
        <x:f>IF(A30="","",IF(COUNTIFS($A$6:$A$205,A30)&gt;1,"Duplicate ID",IF(OR(B30="",COUNTIFS('Clients'!$A$6:$A$205,B30)&lt;&gt;1),"Check Client ID",IF(AND(C30&lt;&gt;"",COUNTIFS('Properties'!$A$6:$A$205,C30)&lt;&gt;1),"Check Property ID",IF(I30="","Set task status",IF(AND(I30="Open",G30=""),"Add next action",IF(AND(I30="Open",NOT(ISNUMBER(H30))),"Add due date",IF(AND(ISNUMBER(D30),D30&gt;TODAY()),"Contact date is future",""))))))))</x:f>
      </x:c>
      <x:c r="N30" s="379" t="str">
        <x:f>IF(OR(A30="",I30&lt;&gt;"Open",NOT(ISNUMBER(H30))),"",COUNTIFS($A$6:$A$205,"&lt;&gt;",$I$6:$I$205,"Open",$H$6:$H$205,"&gt;0",$H$6:$H$205,"&lt;"&amp;H30)+COUNTIFS($A$6:A30,"&lt;&gt;",$I$6:I30,"Open",$H$6:H30,H30))</x:f>
      </x:c>
    </x:row>
    <x:row r="31" ht="26" customHeight="1">
      <x:c r="A31" s="319"/>
      <x:c r="B31" s="320"/>
      <x:c r="C31" s="274"/>
      <x:c r="D31" s="304"/>
      <x:c r="E31" s="274"/>
      <x:c r="F31" s="274"/>
      <x:c r="G31" s="274"/>
      <x:c r="H31" s="304"/>
      <x:c r="I31" s="274"/>
      <x:c r="J31" s="315" t="str">
        <x:f>IF(A31="","",IF(I31&lt;&gt;"Open","",IF(H31="","Set due date",IF(H31&lt;TODAY(),"Overdue",IF(H31=TODAY(),"Due today","Upcoming")))))</x:f>
      </x:c>
      <x:c r="K31" s="265" t="str">
        <x:f>IF(A31="","",IF(B31="","",IF(COUNTIFS('Clients'!$A$6:$A$205,B31)&lt;&gt;1,"Check Client ID",IF(INDEX('Clients'!$B$6:$B$205,MATCH(B31,'Clients'!$A$6:$A$205,0))="","Name missing",INDEX('Clients'!$B$6:$B$205,MATCH(B31,'Clients'!$A$6:$A$205,0))))))</x:f>
      </x:c>
      <x:c r="L31" s="265" t="str">
        <x:f>IF(A31="","",IF(C31="","",IF(COUNTIFS('Properties'!$A$6:$A$205,C31)&lt;&gt;1,"Check Property ID",IF(INDEX('Properties'!$B$6:$B$205,MATCH(C31,'Properties'!$A$6:$A$205,0))="","Name missing",INDEX('Properties'!$B$6:$B$205,MATCH(C31,'Properties'!$A$6:$A$205,0))))))</x:f>
      </x:c>
      <x:c r="M31" s="265" t="str">
        <x:f>IF(A31="","",IF(COUNTIFS($A$6:$A$205,A31)&gt;1,"Duplicate ID",IF(OR(B31="",COUNTIFS('Clients'!$A$6:$A$205,B31)&lt;&gt;1),"Check Client ID",IF(AND(C31&lt;&gt;"",COUNTIFS('Properties'!$A$6:$A$205,C31)&lt;&gt;1),"Check Property ID",IF(I31="","Set task status",IF(AND(I31="Open",G31=""),"Add next action",IF(AND(I31="Open",NOT(ISNUMBER(H31))),"Add due date",IF(AND(ISNUMBER(D31),D31&gt;TODAY()),"Contact date is future",""))))))))</x:f>
      </x:c>
      <x:c r="N31" s="379" t="str">
        <x:f>IF(OR(A31="",I31&lt;&gt;"Open",NOT(ISNUMBER(H31))),"",COUNTIFS($A$6:$A$205,"&lt;&gt;",$I$6:$I$205,"Open",$H$6:$H$205,"&gt;0",$H$6:$H$205,"&lt;"&amp;H31)+COUNTIFS($A$6:A31,"&lt;&gt;",$I$6:I31,"Open",$H$6:H31,H31))</x:f>
      </x:c>
    </x:row>
    <x:row r="32" ht="26" customHeight="1">
      <x:c r="A32" s="317"/>
      <x:c r="B32" s="318"/>
      <x:c r="C32" s="235"/>
      <x:c r="D32" s="238"/>
      <x:c r="E32" s="235"/>
      <x:c r="F32" s="235"/>
      <x:c r="G32" s="235"/>
      <x:c r="H32" s="238"/>
      <x:c r="I32" s="235"/>
      <x:c r="J32" s="315" t="str">
        <x:f>IF(A32="","",IF(I32&lt;&gt;"Open","",IF(H32="","Set due date",IF(H32&lt;TODAY(),"Overdue",IF(H32=TODAY(),"Due today","Upcoming")))))</x:f>
      </x:c>
      <x:c r="K32" s="265" t="str">
        <x:f>IF(A32="","",IF(B32="","",IF(COUNTIFS('Clients'!$A$6:$A$205,B32)&lt;&gt;1,"Check Client ID",IF(INDEX('Clients'!$B$6:$B$205,MATCH(B32,'Clients'!$A$6:$A$205,0))="","Name missing",INDEX('Clients'!$B$6:$B$205,MATCH(B32,'Clients'!$A$6:$A$205,0))))))</x:f>
      </x:c>
      <x:c r="L32" s="265" t="str">
        <x:f>IF(A32="","",IF(C32="","",IF(COUNTIFS('Properties'!$A$6:$A$205,C32)&lt;&gt;1,"Check Property ID",IF(INDEX('Properties'!$B$6:$B$205,MATCH(C32,'Properties'!$A$6:$A$205,0))="","Name missing",INDEX('Properties'!$B$6:$B$205,MATCH(C32,'Properties'!$A$6:$A$205,0))))))</x:f>
      </x:c>
      <x:c r="M32" s="265" t="str">
        <x:f>IF(A32="","",IF(COUNTIFS($A$6:$A$205,A32)&gt;1,"Duplicate ID",IF(OR(B32="",COUNTIFS('Clients'!$A$6:$A$205,B32)&lt;&gt;1),"Check Client ID",IF(AND(C32&lt;&gt;"",COUNTIFS('Properties'!$A$6:$A$205,C32)&lt;&gt;1),"Check Property ID",IF(I32="","Set task status",IF(AND(I32="Open",G32=""),"Add next action",IF(AND(I32="Open",NOT(ISNUMBER(H32))),"Add due date",IF(AND(ISNUMBER(D32),D32&gt;TODAY()),"Contact date is future",""))))))))</x:f>
      </x:c>
      <x:c r="N32" s="379" t="str">
        <x:f>IF(OR(A32="",I32&lt;&gt;"Open",NOT(ISNUMBER(H32))),"",COUNTIFS($A$6:$A$205,"&lt;&gt;",$I$6:$I$205,"Open",$H$6:$H$205,"&gt;0",$H$6:$H$205,"&lt;"&amp;H32)+COUNTIFS($A$6:A32,"&lt;&gt;",$I$6:I32,"Open",$H$6:H32,H32))</x:f>
      </x:c>
    </x:row>
    <x:row r="33" ht="26" customHeight="1">
      <x:c r="A33" s="319"/>
      <x:c r="B33" s="320"/>
      <x:c r="C33" s="274"/>
      <x:c r="D33" s="304"/>
      <x:c r="E33" s="274"/>
      <x:c r="F33" s="274"/>
      <x:c r="G33" s="274"/>
      <x:c r="H33" s="304"/>
      <x:c r="I33" s="274"/>
      <x:c r="J33" s="315" t="str">
        <x:f>IF(A33="","",IF(I33&lt;&gt;"Open","",IF(H33="","Set due date",IF(H33&lt;TODAY(),"Overdue",IF(H33=TODAY(),"Due today","Upcoming")))))</x:f>
      </x:c>
      <x:c r="K33" s="265" t="str">
        <x:f>IF(A33="","",IF(B33="","",IF(COUNTIFS('Clients'!$A$6:$A$205,B33)&lt;&gt;1,"Check Client ID",IF(INDEX('Clients'!$B$6:$B$205,MATCH(B33,'Clients'!$A$6:$A$205,0))="","Name missing",INDEX('Clients'!$B$6:$B$205,MATCH(B33,'Clients'!$A$6:$A$205,0))))))</x:f>
      </x:c>
      <x:c r="L33" s="265" t="str">
        <x:f>IF(A33="","",IF(C33="","",IF(COUNTIFS('Properties'!$A$6:$A$205,C33)&lt;&gt;1,"Check Property ID",IF(INDEX('Properties'!$B$6:$B$205,MATCH(C33,'Properties'!$A$6:$A$205,0))="","Name missing",INDEX('Properties'!$B$6:$B$205,MATCH(C33,'Properties'!$A$6:$A$205,0))))))</x:f>
      </x:c>
      <x:c r="M33" s="265" t="str">
        <x:f>IF(A33="","",IF(COUNTIFS($A$6:$A$205,A33)&gt;1,"Duplicate ID",IF(OR(B33="",COUNTIFS('Clients'!$A$6:$A$205,B33)&lt;&gt;1),"Check Client ID",IF(AND(C33&lt;&gt;"",COUNTIFS('Properties'!$A$6:$A$205,C33)&lt;&gt;1),"Check Property ID",IF(I33="","Set task status",IF(AND(I33="Open",G33=""),"Add next action",IF(AND(I33="Open",NOT(ISNUMBER(H33))),"Add due date",IF(AND(ISNUMBER(D33),D33&gt;TODAY()),"Contact date is future",""))))))))</x:f>
      </x:c>
      <x:c r="N33" s="379" t="str">
        <x:f>IF(OR(A33="",I33&lt;&gt;"Open",NOT(ISNUMBER(H33))),"",COUNTIFS($A$6:$A$205,"&lt;&gt;",$I$6:$I$205,"Open",$H$6:$H$205,"&gt;0",$H$6:$H$205,"&lt;"&amp;H33)+COUNTIFS($A$6:A33,"&lt;&gt;",$I$6:I33,"Open",$H$6:H33,H33))</x:f>
      </x:c>
    </x:row>
    <x:row r="34" ht="26" customHeight="1">
      <x:c r="A34" s="317"/>
      <x:c r="B34" s="318"/>
      <x:c r="C34" s="235"/>
      <x:c r="D34" s="238"/>
      <x:c r="E34" s="235"/>
      <x:c r="F34" s="235"/>
      <x:c r="G34" s="235"/>
      <x:c r="H34" s="238"/>
      <x:c r="I34" s="235"/>
      <x:c r="J34" s="315" t="str">
        <x:f>IF(A34="","",IF(I34&lt;&gt;"Open","",IF(H34="","Set due date",IF(H34&lt;TODAY(),"Overdue",IF(H34=TODAY(),"Due today","Upcoming")))))</x:f>
      </x:c>
      <x:c r="K34" s="265" t="str">
        <x:f>IF(A34="","",IF(B34="","",IF(COUNTIFS('Clients'!$A$6:$A$205,B34)&lt;&gt;1,"Check Client ID",IF(INDEX('Clients'!$B$6:$B$205,MATCH(B34,'Clients'!$A$6:$A$205,0))="","Name missing",INDEX('Clients'!$B$6:$B$205,MATCH(B34,'Clients'!$A$6:$A$205,0))))))</x:f>
      </x:c>
      <x:c r="L34" s="265" t="str">
        <x:f>IF(A34="","",IF(C34="","",IF(COUNTIFS('Properties'!$A$6:$A$205,C34)&lt;&gt;1,"Check Property ID",IF(INDEX('Properties'!$B$6:$B$205,MATCH(C34,'Properties'!$A$6:$A$205,0))="","Name missing",INDEX('Properties'!$B$6:$B$205,MATCH(C34,'Properties'!$A$6:$A$205,0))))))</x:f>
      </x:c>
      <x:c r="M34" s="265" t="str">
        <x:f>IF(A34="","",IF(COUNTIFS($A$6:$A$205,A34)&gt;1,"Duplicate ID",IF(OR(B34="",COUNTIFS('Clients'!$A$6:$A$205,B34)&lt;&gt;1),"Check Client ID",IF(AND(C34&lt;&gt;"",COUNTIFS('Properties'!$A$6:$A$205,C34)&lt;&gt;1),"Check Property ID",IF(I34="","Set task status",IF(AND(I34="Open",G34=""),"Add next action",IF(AND(I34="Open",NOT(ISNUMBER(H34))),"Add due date",IF(AND(ISNUMBER(D34),D34&gt;TODAY()),"Contact date is future",""))))))))</x:f>
      </x:c>
      <x:c r="N34" s="379" t="str">
        <x:f>IF(OR(A34="",I34&lt;&gt;"Open",NOT(ISNUMBER(H34))),"",COUNTIFS($A$6:$A$205,"&lt;&gt;",$I$6:$I$205,"Open",$H$6:$H$205,"&gt;0",$H$6:$H$205,"&lt;"&amp;H34)+COUNTIFS($A$6:A34,"&lt;&gt;",$I$6:I34,"Open",$H$6:H34,H34))</x:f>
      </x:c>
    </x:row>
    <x:row r="35" ht="26" customHeight="1">
      <x:c r="A35" s="319"/>
      <x:c r="B35" s="320"/>
      <x:c r="C35" s="274"/>
      <x:c r="D35" s="304"/>
      <x:c r="E35" s="274"/>
      <x:c r="F35" s="274"/>
      <x:c r="G35" s="274"/>
      <x:c r="H35" s="304"/>
      <x:c r="I35" s="274"/>
      <x:c r="J35" s="315" t="str">
        <x:f>IF(A35="","",IF(I35&lt;&gt;"Open","",IF(H35="","Set due date",IF(H35&lt;TODAY(),"Overdue",IF(H35=TODAY(),"Due today","Upcoming")))))</x:f>
      </x:c>
      <x:c r="K35" s="265" t="str">
        <x:f>IF(A35="","",IF(B35="","",IF(COUNTIFS('Clients'!$A$6:$A$205,B35)&lt;&gt;1,"Check Client ID",IF(INDEX('Clients'!$B$6:$B$205,MATCH(B35,'Clients'!$A$6:$A$205,0))="","Name missing",INDEX('Clients'!$B$6:$B$205,MATCH(B35,'Clients'!$A$6:$A$205,0))))))</x:f>
      </x:c>
      <x:c r="L35" s="265" t="str">
        <x:f>IF(A35="","",IF(C35="","",IF(COUNTIFS('Properties'!$A$6:$A$205,C35)&lt;&gt;1,"Check Property ID",IF(INDEX('Properties'!$B$6:$B$205,MATCH(C35,'Properties'!$A$6:$A$205,0))="","Name missing",INDEX('Properties'!$B$6:$B$205,MATCH(C35,'Properties'!$A$6:$A$205,0))))))</x:f>
      </x:c>
      <x:c r="M35" s="265" t="str">
        <x:f>IF(A35="","",IF(COUNTIFS($A$6:$A$205,A35)&gt;1,"Duplicate ID",IF(OR(B35="",COUNTIFS('Clients'!$A$6:$A$205,B35)&lt;&gt;1),"Check Client ID",IF(AND(C35&lt;&gt;"",COUNTIFS('Properties'!$A$6:$A$205,C35)&lt;&gt;1),"Check Property ID",IF(I35="","Set task status",IF(AND(I35="Open",G35=""),"Add next action",IF(AND(I35="Open",NOT(ISNUMBER(H35))),"Add due date",IF(AND(ISNUMBER(D35),D35&gt;TODAY()),"Contact date is future",""))))))))</x:f>
      </x:c>
      <x:c r="N35" s="379" t="str">
        <x:f>IF(OR(A35="",I35&lt;&gt;"Open",NOT(ISNUMBER(H35))),"",COUNTIFS($A$6:$A$205,"&lt;&gt;",$I$6:$I$205,"Open",$H$6:$H$205,"&gt;0",$H$6:$H$205,"&lt;"&amp;H35)+COUNTIFS($A$6:A35,"&lt;&gt;",$I$6:I35,"Open",$H$6:H35,H35))</x:f>
      </x:c>
    </x:row>
    <x:row r="36" ht="26" customHeight="1">
      <x:c r="A36" s="317"/>
      <x:c r="B36" s="318"/>
      <x:c r="C36" s="235"/>
      <x:c r="D36" s="238"/>
      <x:c r="E36" s="235"/>
      <x:c r="F36" s="235"/>
      <x:c r="G36" s="235"/>
      <x:c r="H36" s="238"/>
      <x:c r="I36" s="235"/>
      <x:c r="J36" s="315" t="str">
        <x:f>IF(A36="","",IF(I36&lt;&gt;"Open","",IF(H36="","Set due date",IF(H36&lt;TODAY(),"Overdue",IF(H36=TODAY(),"Due today","Upcoming")))))</x:f>
      </x:c>
      <x:c r="K36" s="265" t="str">
        <x:f>IF(A36="","",IF(B36="","",IF(COUNTIFS('Clients'!$A$6:$A$205,B36)&lt;&gt;1,"Check Client ID",IF(INDEX('Clients'!$B$6:$B$205,MATCH(B36,'Clients'!$A$6:$A$205,0))="","Name missing",INDEX('Clients'!$B$6:$B$205,MATCH(B36,'Clients'!$A$6:$A$205,0))))))</x:f>
      </x:c>
      <x:c r="L36" s="265" t="str">
        <x:f>IF(A36="","",IF(C36="","",IF(COUNTIFS('Properties'!$A$6:$A$205,C36)&lt;&gt;1,"Check Property ID",IF(INDEX('Properties'!$B$6:$B$205,MATCH(C36,'Properties'!$A$6:$A$205,0))="","Name missing",INDEX('Properties'!$B$6:$B$205,MATCH(C36,'Properties'!$A$6:$A$205,0))))))</x:f>
      </x:c>
      <x:c r="M36" s="265" t="str">
        <x:f>IF(A36="","",IF(COUNTIFS($A$6:$A$205,A36)&gt;1,"Duplicate ID",IF(OR(B36="",COUNTIFS('Clients'!$A$6:$A$205,B36)&lt;&gt;1),"Check Client ID",IF(AND(C36&lt;&gt;"",COUNTIFS('Properties'!$A$6:$A$205,C36)&lt;&gt;1),"Check Property ID",IF(I36="","Set task status",IF(AND(I36="Open",G36=""),"Add next action",IF(AND(I36="Open",NOT(ISNUMBER(H36))),"Add due date",IF(AND(ISNUMBER(D36),D36&gt;TODAY()),"Contact date is future",""))))))))</x:f>
      </x:c>
      <x:c r="N36" s="379" t="str">
        <x:f>IF(OR(A36="",I36&lt;&gt;"Open",NOT(ISNUMBER(H36))),"",COUNTIFS($A$6:$A$205,"&lt;&gt;",$I$6:$I$205,"Open",$H$6:$H$205,"&gt;0",$H$6:$H$205,"&lt;"&amp;H36)+COUNTIFS($A$6:A36,"&lt;&gt;",$I$6:I36,"Open",$H$6:H36,H36))</x:f>
      </x:c>
    </x:row>
    <x:row r="37" ht="26" customHeight="1">
      <x:c r="A37" s="319"/>
      <x:c r="B37" s="320"/>
      <x:c r="C37" s="274"/>
      <x:c r="D37" s="304"/>
      <x:c r="E37" s="274"/>
      <x:c r="F37" s="274"/>
      <x:c r="G37" s="274"/>
      <x:c r="H37" s="304"/>
      <x:c r="I37" s="274"/>
      <x:c r="J37" s="315" t="str">
        <x:f>IF(A37="","",IF(I37&lt;&gt;"Open","",IF(H37="","Set due date",IF(H37&lt;TODAY(),"Overdue",IF(H37=TODAY(),"Due today","Upcoming")))))</x:f>
      </x:c>
      <x:c r="K37" s="265" t="str">
        <x:f>IF(A37="","",IF(B37="","",IF(COUNTIFS('Clients'!$A$6:$A$205,B37)&lt;&gt;1,"Check Client ID",IF(INDEX('Clients'!$B$6:$B$205,MATCH(B37,'Clients'!$A$6:$A$205,0))="","Name missing",INDEX('Clients'!$B$6:$B$205,MATCH(B37,'Clients'!$A$6:$A$205,0))))))</x:f>
      </x:c>
      <x:c r="L37" s="265" t="str">
        <x:f>IF(A37="","",IF(C37="","",IF(COUNTIFS('Properties'!$A$6:$A$205,C37)&lt;&gt;1,"Check Property ID",IF(INDEX('Properties'!$B$6:$B$205,MATCH(C37,'Properties'!$A$6:$A$205,0))="","Name missing",INDEX('Properties'!$B$6:$B$205,MATCH(C37,'Properties'!$A$6:$A$205,0))))))</x:f>
      </x:c>
      <x:c r="M37" s="265" t="str">
        <x:f>IF(A37="","",IF(COUNTIFS($A$6:$A$205,A37)&gt;1,"Duplicate ID",IF(OR(B37="",COUNTIFS('Clients'!$A$6:$A$205,B37)&lt;&gt;1),"Check Client ID",IF(AND(C37&lt;&gt;"",COUNTIFS('Properties'!$A$6:$A$205,C37)&lt;&gt;1),"Check Property ID",IF(I37="","Set task status",IF(AND(I37="Open",G37=""),"Add next action",IF(AND(I37="Open",NOT(ISNUMBER(H37))),"Add due date",IF(AND(ISNUMBER(D37),D37&gt;TODAY()),"Contact date is future",""))))))))</x:f>
      </x:c>
      <x:c r="N37" s="379" t="str">
        <x:f>IF(OR(A37="",I37&lt;&gt;"Open",NOT(ISNUMBER(H37))),"",COUNTIFS($A$6:$A$205,"&lt;&gt;",$I$6:$I$205,"Open",$H$6:$H$205,"&gt;0",$H$6:$H$205,"&lt;"&amp;H37)+COUNTIFS($A$6:A37,"&lt;&gt;",$I$6:I37,"Open",$H$6:H37,H37))</x:f>
      </x:c>
    </x:row>
    <x:row r="38" ht="26" customHeight="1">
      <x:c r="A38" s="317"/>
      <x:c r="B38" s="318"/>
      <x:c r="C38" s="235"/>
      <x:c r="D38" s="238"/>
      <x:c r="E38" s="235"/>
      <x:c r="F38" s="235"/>
      <x:c r="G38" s="235"/>
      <x:c r="H38" s="238"/>
      <x:c r="I38" s="235"/>
      <x:c r="J38" s="315" t="str">
        <x:f>IF(A38="","",IF(I38&lt;&gt;"Open","",IF(H38="","Set due date",IF(H38&lt;TODAY(),"Overdue",IF(H38=TODAY(),"Due today","Upcoming")))))</x:f>
      </x:c>
      <x:c r="K38" s="265" t="str">
        <x:f>IF(A38="","",IF(B38="","",IF(COUNTIFS('Clients'!$A$6:$A$205,B38)&lt;&gt;1,"Check Client ID",IF(INDEX('Clients'!$B$6:$B$205,MATCH(B38,'Clients'!$A$6:$A$205,0))="","Name missing",INDEX('Clients'!$B$6:$B$205,MATCH(B38,'Clients'!$A$6:$A$205,0))))))</x:f>
      </x:c>
      <x:c r="L38" s="265" t="str">
        <x:f>IF(A38="","",IF(C38="","",IF(COUNTIFS('Properties'!$A$6:$A$205,C38)&lt;&gt;1,"Check Property ID",IF(INDEX('Properties'!$B$6:$B$205,MATCH(C38,'Properties'!$A$6:$A$205,0))="","Name missing",INDEX('Properties'!$B$6:$B$205,MATCH(C38,'Properties'!$A$6:$A$205,0))))))</x:f>
      </x:c>
      <x:c r="M38" s="265" t="str">
        <x:f>IF(A38="","",IF(COUNTIFS($A$6:$A$205,A38)&gt;1,"Duplicate ID",IF(OR(B38="",COUNTIFS('Clients'!$A$6:$A$205,B38)&lt;&gt;1),"Check Client ID",IF(AND(C38&lt;&gt;"",COUNTIFS('Properties'!$A$6:$A$205,C38)&lt;&gt;1),"Check Property ID",IF(I38="","Set task status",IF(AND(I38="Open",G38=""),"Add next action",IF(AND(I38="Open",NOT(ISNUMBER(H38))),"Add due date",IF(AND(ISNUMBER(D38),D38&gt;TODAY()),"Contact date is future",""))))))))</x:f>
      </x:c>
      <x:c r="N38" s="379" t="str">
        <x:f>IF(OR(A38="",I38&lt;&gt;"Open",NOT(ISNUMBER(H38))),"",COUNTIFS($A$6:$A$205,"&lt;&gt;",$I$6:$I$205,"Open",$H$6:$H$205,"&gt;0",$H$6:$H$205,"&lt;"&amp;H38)+COUNTIFS($A$6:A38,"&lt;&gt;",$I$6:I38,"Open",$H$6:H38,H38))</x:f>
      </x:c>
    </x:row>
    <x:row r="39" ht="26" customHeight="1">
      <x:c r="A39" s="319"/>
      <x:c r="B39" s="320"/>
      <x:c r="C39" s="274"/>
      <x:c r="D39" s="304"/>
      <x:c r="E39" s="274"/>
      <x:c r="F39" s="274"/>
      <x:c r="G39" s="274"/>
      <x:c r="H39" s="304"/>
      <x:c r="I39" s="274"/>
      <x:c r="J39" s="315" t="str">
        <x:f>IF(A39="","",IF(I39&lt;&gt;"Open","",IF(H39="","Set due date",IF(H39&lt;TODAY(),"Overdue",IF(H39=TODAY(),"Due today","Upcoming")))))</x:f>
      </x:c>
      <x:c r="K39" s="265" t="str">
        <x:f>IF(A39="","",IF(B39="","",IF(COUNTIFS('Clients'!$A$6:$A$205,B39)&lt;&gt;1,"Check Client ID",IF(INDEX('Clients'!$B$6:$B$205,MATCH(B39,'Clients'!$A$6:$A$205,0))="","Name missing",INDEX('Clients'!$B$6:$B$205,MATCH(B39,'Clients'!$A$6:$A$205,0))))))</x:f>
      </x:c>
      <x:c r="L39" s="265" t="str">
        <x:f>IF(A39="","",IF(C39="","",IF(COUNTIFS('Properties'!$A$6:$A$205,C39)&lt;&gt;1,"Check Property ID",IF(INDEX('Properties'!$B$6:$B$205,MATCH(C39,'Properties'!$A$6:$A$205,0))="","Name missing",INDEX('Properties'!$B$6:$B$205,MATCH(C39,'Properties'!$A$6:$A$205,0))))))</x:f>
      </x:c>
      <x:c r="M39" s="265" t="str">
        <x:f>IF(A39="","",IF(COUNTIFS($A$6:$A$205,A39)&gt;1,"Duplicate ID",IF(OR(B39="",COUNTIFS('Clients'!$A$6:$A$205,B39)&lt;&gt;1),"Check Client ID",IF(AND(C39&lt;&gt;"",COUNTIFS('Properties'!$A$6:$A$205,C39)&lt;&gt;1),"Check Property ID",IF(I39="","Set task status",IF(AND(I39="Open",G39=""),"Add next action",IF(AND(I39="Open",NOT(ISNUMBER(H39))),"Add due date",IF(AND(ISNUMBER(D39),D39&gt;TODAY()),"Contact date is future",""))))))))</x:f>
      </x:c>
      <x:c r="N39" s="379" t="str">
        <x:f>IF(OR(A39="",I39&lt;&gt;"Open",NOT(ISNUMBER(H39))),"",COUNTIFS($A$6:$A$205,"&lt;&gt;",$I$6:$I$205,"Open",$H$6:$H$205,"&gt;0",$H$6:$H$205,"&lt;"&amp;H39)+COUNTIFS($A$6:A39,"&lt;&gt;",$I$6:I39,"Open",$H$6:H39,H39))</x:f>
      </x:c>
    </x:row>
    <x:row r="40" ht="26" customHeight="1">
      <x:c r="A40" s="317"/>
      <x:c r="B40" s="318"/>
      <x:c r="C40" s="235"/>
      <x:c r="D40" s="238"/>
      <x:c r="E40" s="235"/>
      <x:c r="F40" s="235"/>
      <x:c r="G40" s="235"/>
      <x:c r="H40" s="238"/>
      <x:c r="I40" s="235"/>
      <x:c r="J40" s="315" t="str">
        <x:f>IF(A40="","",IF(I40&lt;&gt;"Open","",IF(H40="","Set due date",IF(H40&lt;TODAY(),"Overdue",IF(H40=TODAY(),"Due today","Upcoming")))))</x:f>
      </x:c>
      <x:c r="K40" s="265" t="str">
        <x:f>IF(A40="","",IF(B40="","",IF(COUNTIFS('Clients'!$A$6:$A$205,B40)&lt;&gt;1,"Check Client ID",IF(INDEX('Clients'!$B$6:$B$205,MATCH(B40,'Clients'!$A$6:$A$205,0))="","Name missing",INDEX('Clients'!$B$6:$B$205,MATCH(B40,'Clients'!$A$6:$A$205,0))))))</x:f>
      </x:c>
      <x:c r="L40" s="265" t="str">
        <x:f>IF(A40="","",IF(C40="","",IF(COUNTIFS('Properties'!$A$6:$A$205,C40)&lt;&gt;1,"Check Property ID",IF(INDEX('Properties'!$B$6:$B$205,MATCH(C40,'Properties'!$A$6:$A$205,0))="","Name missing",INDEX('Properties'!$B$6:$B$205,MATCH(C40,'Properties'!$A$6:$A$205,0))))))</x:f>
      </x:c>
      <x:c r="M40" s="265" t="str">
        <x:f>IF(A40="","",IF(COUNTIFS($A$6:$A$205,A40)&gt;1,"Duplicate ID",IF(OR(B40="",COUNTIFS('Clients'!$A$6:$A$205,B40)&lt;&gt;1),"Check Client ID",IF(AND(C40&lt;&gt;"",COUNTIFS('Properties'!$A$6:$A$205,C40)&lt;&gt;1),"Check Property ID",IF(I40="","Set task status",IF(AND(I40="Open",G40=""),"Add next action",IF(AND(I40="Open",NOT(ISNUMBER(H40))),"Add due date",IF(AND(ISNUMBER(D40),D40&gt;TODAY()),"Contact date is future",""))))))))</x:f>
      </x:c>
      <x:c r="N40" s="379" t="str">
        <x:f>IF(OR(A40="",I40&lt;&gt;"Open",NOT(ISNUMBER(H40))),"",COUNTIFS($A$6:$A$205,"&lt;&gt;",$I$6:$I$205,"Open",$H$6:$H$205,"&gt;0",$H$6:$H$205,"&lt;"&amp;H40)+COUNTIFS($A$6:A40,"&lt;&gt;",$I$6:I40,"Open",$H$6:H40,H40))</x:f>
      </x:c>
    </x:row>
    <x:row r="41" ht="26" customHeight="1">
      <x:c r="A41" s="319"/>
      <x:c r="B41" s="320"/>
      <x:c r="C41" s="274"/>
      <x:c r="D41" s="304"/>
      <x:c r="E41" s="274"/>
      <x:c r="F41" s="274"/>
      <x:c r="G41" s="274"/>
      <x:c r="H41" s="304"/>
      <x:c r="I41" s="274"/>
      <x:c r="J41" s="315" t="str">
        <x:f>IF(A41="","",IF(I41&lt;&gt;"Open","",IF(H41="","Set due date",IF(H41&lt;TODAY(),"Overdue",IF(H41=TODAY(),"Due today","Upcoming")))))</x:f>
      </x:c>
      <x:c r="K41" s="265" t="str">
        <x:f>IF(A41="","",IF(B41="","",IF(COUNTIFS('Clients'!$A$6:$A$205,B41)&lt;&gt;1,"Check Client ID",IF(INDEX('Clients'!$B$6:$B$205,MATCH(B41,'Clients'!$A$6:$A$205,0))="","Name missing",INDEX('Clients'!$B$6:$B$205,MATCH(B41,'Clients'!$A$6:$A$205,0))))))</x:f>
      </x:c>
      <x:c r="L41" s="265" t="str">
        <x:f>IF(A41="","",IF(C41="","",IF(COUNTIFS('Properties'!$A$6:$A$205,C41)&lt;&gt;1,"Check Property ID",IF(INDEX('Properties'!$B$6:$B$205,MATCH(C41,'Properties'!$A$6:$A$205,0))="","Name missing",INDEX('Properties'!$B$6:$B$205,MATCH(C41,'Properties'!$A$6:$A$205,0))))))</x:f>
      </x:c>
      <x:c r="M41" s="265" t="str">
        <x:f>IF(A41="","",IF(COUNTIFS($A$6:$A$205,A41)&gt;1,"Duplicate ID",IF(OR(B41="",COUNTIFS('Clients'!$A$6:$A$205,B41)&lt;&gt;1),"Check Client ID",IF(AND(C41&lt;&gt;"",COUNTIFS('Properties'!$A$6:$A$205,C41)&lt;&gt;1),"Check Property ID",IF(I41="","Set task status",IF(AND(I41="Open",G41=""),"Add next action",IF(AND(I41="Open",NOT(ISNUMBER(H41))),"Add due date",IF(AND(ISNUMBER(D41),D41&gt;TODAY()),"Contact date is future",""))))))))</x:f>
      </x:c>
      <x:c r="N41" s="379" t="str">
        <x:f>IF(OR(A41="",I41&lt;&gt;"Open",NOT(ISNUMBER(H41))),"",COUNTIFS($A$6:$A$205,"&lt;&gt;",$I$6:$I$205,"Open",$H$6:$H$205,"&gt;0",$H$6:$H$205,"&lt;"&amp;H41)+COUNTIFS($A$6:A41,"&lt;&gt;",$I$6:I41,"Open",$H$6:H41,H41))</x:f>
      </x:c>
    </x:row>
    <x:row r="42" ht="26" customHeight="1">
      <x:c r="A42" s="317"/>
      <x:c r="B42" s="318"/>
      <x:c r="C42" s="235"/>
      <x:c r="D42" s="238"/>
      <x:c r="E42" s="235"/>
      <x:c r="F42" s="235"/>
      <x:c r="G42" s="235"/>
      <x:c r="H42" s="238"/>
      <x:c r="I42" s="235"/>
      <x:c r="J42" s="315" t="str">
        <x:f>IF(A42="","",IF(I42&lt;&gt;"Open","",IF(H42="","Set due date",IF(H42&lt;TODAY(),"Overdue",IF(H42=TODAY(),"Due today","Upcoming")))))</x:f>
      </x:c>
      <x:c r="K42" s="265" t="str">
        <x:f>IF(A42="","",IF(B42="","",IF(COUNTIFS('Clients'!$A$6:$A$205,B42)&lt;&gt;1,"Check Client ID",IF(INDEX('Clients'!$B$6:$B$205,MATCH(B42,'Clients'!$A$6:$A$205,0))="","Name missing",INDEX('Clients'!$B$6:$B$205,MATCH(B42,'Clients'!$A$6:$A$205,0))))))</x:f>
      </x:c>
      <x:c r="L42" s="265" t="str">
        <x:f>IF(A42="","",IF(C42="","",IF(COUNTIFS('Properties'!$A$6:$A$205,C42)&lt;&gt;1,"Check Property ID",IF(INDEX('Properties'!$B$6:$B$205,MATCH(C42,'Properties'!$A$6:$A$205,0))="","Name missing",INDEX('Properties'!$B$6:$B$205,MATCH(C42,'Properties'!$A$6:$A$205,0))))))</x:f>
      </x:c>
      <x:c r="M42" s="265" t="str">
        <x:f>IF(A42="","",IF(COUNTIFS($A$6:$A$205,A42)&gt;1,"Duplicate ID",IF(OR(B42="",COUNTIFS('Clients'!$A$6:$A$205,B42)&lt;&gt;1),"Check Client ID",IF(AND(C42&lt;&gt;"",COUNTIFS('Properties'!$A$6:$A$205,C42)&lt;&gt;1),"Check Property ID",IF(I42="","Set task status",IF(AND(I42="Open",G42=""),"Add next action",IF(AND(I42="Open",NOT(ISNUMBER(H42))),"Add due date",IF(AND(ISNUMBER(D42),D42&gt;TODAY()),"Contact date is future",""))))))))</x:f>
      </x:c>
      <x:c r="N42" s="379" t="str">
        <x:f>IF(OR(A42="",I42&lt;&gt;"Open",NOT(ISNUMBER(H42))),"",COUNTIFS($A$6:$A$205,"&lt;&gt;",$I$6:$I$205,"Open",$H$6:$H$205,"&gt;0",$H$6:$H$205,"&lt;"&amp;H42)+COUNTIFS($A$6:A42,"&lt;&gt;",$I$6:I42,"Open",$H$6:H42,H42))</x:f>
      </x:c>
    </x:row>
    <x:row r="43" ht="26" customHeight="1">
      <x:c r="A43" s="319"/>
      <x:c r="B43" s="320"/>
      <x:c r="C43" s="274"/>
      <x:c r="D43" s="304"/>
      <x:c r="E43" s="274"/>
      <x:c r="F43" s="274"/>
      <x:c r="G43" s="274"/>
      <x:c r="H43" s="304"/>
      <x:c r="I43" s="274"/>
      <x:c r="J43" s="315" t="str">
        <x:f>IF(A43="","",IF(I43&lt;&gt;"Open","",IF(H43="","Set due date",IF(H43&lt;TODAY(),"Overdue",IF(H43=TODAY(),"Due today","Upcoming")))))</x:f>
      </x:c>
      <x:c r="K43" s="265" t="str">
        <x:f>IF(A43="","",IF(B43="","",IF(COUNTIFS('Clients'!$A$6:$A$205,B43)&lt;&gt;1,"Check Client ID",IF(INDEX('Clients'!$B$6:$B$205,MATCH(B43,'Clients'!$A$6:$A$205,0))="","Name missing",INDEX('Clients'!$B$6:$B$205,MATCH(B43,'Clients'!$A$6:$A$205,0))))))</x:f>
      </x:c>
      <x:c r="L43" s="265" t="str">
        <x:f>IF(A43="","",IF(C43="","",IF(COUNTIFS('Properties'!$A$6:$A$205,C43)&lt;&gt;1,"Check Property ID",IF(INDEX('Properties'!$B$6:$B$205,MATCH(C43,'Properties'!$A$6:$A$205,0))="","Name missing",INDEX('Properties'!$B$6:$B$205,MATCH(C43,'Properties'!$A$6:$A$205,0))))))</x:f>
      </x:c>
      <x:c r="M43" s="265" t="str">
        <x:f>IF(A43="","",IF(COUNTIFS($A$6:$A$205,A43)&gt;1,"Duplicate ID",IF(OR(B43="",COUNTIFS('Clients'!$A$6:$A$205,B43)&lt;&gt;1),"Check Client ID",IF(AND(C43&lt;&gt;"",COUNTIFS('Properties'!$A$6:$A$205,C43)&lt;&gt;1),"Check Property ID",IF(I43="","Set task status",IF(AND(I43="Open",G43=""),"Add next action",IF(AND(I43="Open",NOT(ISNUMBER(H43))),"Add due date",IF(AND(ISNUMBER(D43),D43&gt;TODAY()),"Contact date is future",""))))))))</x:f>
      </x:c>
      <x:c r="N43" s="379" t="str">
        <x:f>IF(OR(A43="",I43&lt;&gt;"Open",NOT(ISNUMBER(H43))),"",COUNTIFS($A$6:$A$205,"&lt;&gt;",$I$6:$I$205,"Open",$H$6:$H$205,"&gt;0",$H$6:$H$205,"&lt;"&amp;H43)+COUNTIFS($A$6:A43,"&lt;&gt;",$I$6:I43,"Open",$H$6:H43,H43))</x:f>
      </x:c>
    </x:row>
    <x:row r="44" ht="26" customHeight="1">
      <x:c r="A44" s="317"/>
      <x:c r="B44" s="318"/>
      <x:c r="C44" s="235"/>
      <x:c r="D44" s="238"/>
      <x:c r="E44" s="235"/>
      <x:c r="F44" s="235"/>
      <x:c r="G44" s="235"/>
      <x:c r="H44" s="238"/>
      <x:c r="I44" s="235"/>
      <x:c r="J44" s="315" t="str">
        <x:f>IF(A44="","",IF(I44&lt;&gt;"Open","",IF(H44="","Set due date",IF(H44&lt;TODAY(),"Overdue",IF(H44=TODAY(),"Due today","Upcoming")))))</x:f>
      </x:c>
      <x:c r="K44" s="265" t="str">
        <x:f>IF(A44="","",IF(B44="","",IF(COUNTIFS('Clients'!$A$6:$A$205,B44)&lt;&gt;1,"Check Client ID",IF(INDEX('Clients'!$B$6:$B$205,MATCH(B44,'Clients'!$A$6:$A$205,0))="","Name missing",INDEX('Clients'!$B$6:$B$205,MATCH(B44,'Clients'!$A$6:$A$205,0))))))</x:f>
      </x:c>
      <x:c r="L44" s="265" t="str">
        <x:f>IF(A44="","",IF(C44="","",IF(COUNTIFS('Properties'!$A$6:$A$205,C44)&lt;&gt;1,"Check Property ID",IF(INDEX('Properties'!$B$6:$B$205,MATCH(C44,'Properties'!$A$6:$A$205,0))="","Name missing",INDEX('Properties'!$B$6:$B$205,MATCH(C44,'Properties'!$A$6:$A$205,0))))))</x:f>
      </x:c>
      <x:c r="M44" s="265" t="str">
        <x:f>IF(A44="","",IF(COUNTIFS($A$6:$A$205,A44)&gt;1,"Duplicate ID",IF(OR(B44="",COUNTIFS('Clients'!$A$6:$A$205,B44)&lt;&gt;1),"Check Client ID",IF(AND(C44&lt;&gt;"",COUNTIFS('Properties'!$A$6:$A$205,C44)&lt;&gt;1),"Check Property ID",IF(I44="","Set task status",IF(AND(I44="Open",G44=""),"Add next action",IF(AND(I44="Open",NOT(ISNUMBER(H44))),"Add due date",IF(AND(ISNUMBER(D44),D44&gt;TODAY()),"Contact date is future",""))))))))</x:f>
      </x:c>
      <x:c r="N44" s="379" t="str">
        <x:f>IF(OR(A44="",I44&lt;&gt;"Open",NOT(ISNUMBER(H44))),"",COUNTIFS($A$6:$A$205,"&lt;&gt;",$I$6:$I$205,"Open",$H$6:$H$205,"&gt;0",$H$6:$H$205,"&lt;"&amp;H44)+COUNTIFS($A$6:A44,"&lt;&gt;",$I$6:I44,"Open",$H$6:H44,H44))</x:f>
      </x:c>
    </x:row>
    <x:row r="45" ht="26" customHeight="1">
      <x:c r="A45" s="319"/>
      <x:c r="B45" s="320"/>
      <x:c r="C45" s="274"/>
      <x:c r="D45" s="304"/>
      <x:c r="E45" s="274"/>
      <x:c r="F45" s="274"/>
      <x:c r="G45" s="274"/>
      <x:c r="H45" s="304"/>
      <x:c r="I45" s="274"/>
      <x:c r="J45" s="315" t="str">
        <x:f>IF(A45="","",IF(I45&lt;&gt;"Open","",IF(H45="","Set due date",IF(H45&lt;TODAY(),"Overdue",IF(H45=TODAY(),"Due today","Upcoming")))))</x:f>
      </x:c>
      <x:c r="K45" s="265" t="str">
        <x:f>IF(A45="","",IF(B45="","",IF(COUNTIFS('Clients'!$A$6:$A$205,B45)&lt;&gt;1,"Check Client ID",IF(INDEX('Clients'!$B$6:$B$205,MATCH(B45,'Clients'!$A$6:$A$205,0))="","Name missing",INDEX('Clients'!$B$6:$B$205,MATCH(B45,'Clients'!$A$6:$A$205,0))))))</x:f>
      </x:c>
      <x:c r="L45" s="265" t="str">
        <x:f>IF(A45="","",IF(C45="","",IF(COUNTIFS('Properties'!$A$6:$A$205,C45)&lt;&gt;1,"Check Property ID",IF(INDEX('Properties'!$B$6:$B$205,MATCH(C45,'Properties'!$A$6:$A$205,0))="","Name missing",INDEX('Properties'!$B$6:$B$205,MATCH(C45,'Properties'!$A$6:$A$205,0))))))</x:f>
      </x:c>
      <x:c r="M45" s="265" t="str">
        <x:f>IF(A45="","",IF(COUNTIFS($A$6:$A$205,A45)&gt;1,"Duplicate ID",IF(OR(B45="",COUNTIFS('Clients'!$A$6:$A$205,B45)&lt;&gt;1),"Check Client ID",IF(AND(C45&lt;&gt;"",COUNTIFS('Properties'!$A$6:$A$205,C45)&lt;&gt;1),"Check Property ID",IF(I45="","Set task status",IF(AND(I45="Open",G45=""),"Add next action",IF(AND(I45="Open",NOT(ISNUMBER(H45))),"Add due date",IF(AND(ISNUMBER(D45),D45&gt;TODAY()),"Contact date is future",""))))))))</x:f>
      </x:c>
      <x:c r="N45" s="379" t="str">
        <x:f>IF(OR(A45="",I45&lt;&gt;"Open",NOT(ISNUMBER(H45))),"",COUNTIFS($A$6:$A$205,"&lt;&gt;",$I$6:$I$205,"Open",$H$6:$H$205,"&gt;0",$H$6:$H$205,"&lt;"&amp;H45)+COUNTIFS($A$6:A45,"&lt;&gt;",$I$6:I45,"Open",$H$6:H45,H45))</x:f>
      </x:c>
    </x:row>
    <x:row r="46" ht="26" customHeight="1">
      <x:c r="A46" s="317"/>
      <x:c r="B46" s="318"/>
      <x:c r="C46" s="235"/>
      <x:c r="D46" s="238"/>
      <x:c r="E46" s="235"/>
      <x:c r="F46" s="235"/>
      <x:c r="G46" s="235"/>
      <x:c r="H46" s="238"/>
      <x:c r="I46" s="235"/>
      <x:c r="J46" s="315" t="str">
        <x:f>IF(A46="","",IF(I46&lt;&gt;"Open","",IF(H46="","Set due date",IF(H46&lt;TODAY(),"Overdue",IF(H46=TODAY(),"Due today","Upcoming")))))</x:f>
      </x:c>
      <x:c r="K46" s="265" t="str">
        <x:f>IF(A46="","",IF(B46="","",IF(COUNTIFS('Clients'!$A$6:$A$205,B46)&lt;&gt;1,"Check Client ID",IF(INDEX('Clients'!$B$6:$B$205,MATCH(B46,'Clients'!$A$6:$A$205,0))="","Name missing",INDEX('Clients'!$B$6:$B$205,MATCH(B46,'Clients'!$A$6:$A$205,0))))))</x:f>
      </x:c>
      <x:c r="L46" s="265" t="str">
        <x:f>IF(A46="","",IF(C46="","",IF(COUNTIFS('Properties'!$A$6:$A$205,C46)&lt;&gt;1,"Check Property ID",IF(INDEX('Properties'!$B$6:$B$205,MATCH(C46,'Properties'!$A$6:$A$205,0))="","Name missing",INDEX('Properties'!$B$6:$B$205,MATCH(C46,'Properties'!$A$6:$A$205,0))))))</x:f>
      </x:c>
      <x:c r="M46" s="265" t="str">
        <x:f>IF(A46="","",IF(COUNTIFS($A$6:$A$205,A46)&gt;1,"Duplicate ID",IF(OR(B46="",COUNTIFS('Clients'!$A$6:$A$205,B46)&lt;&gt;1),"Check Client ID",IF(AND(C46&lt;&gt;"",COUNTIFS('Properties'!$A$6:$A$205,C46)&lt;&gt;1),"Check Property ID",IF(I46="","Set task status",IF(AND(I46="Open",G46=""),"Add next action",IF(AND(I46="Open",NOT(ISNUMBER(H46))),"Add due date",IF(AND(ISNUMBER(D46),D46&gt;TODAY()),"Contact date is future",""))))))))</x:f>
      </x:c>
      <x:c r="N46" s="379" t="str">
        <x:f>IF(OR(A46="",I46&lt;&gt;"Open",NOT(ISNUMBER(H46))),"",COUNTIFS($A$6:$A$205,"&lt;&gt;",$I$6:$I$205,"Open",$H$6:$H$205,"&gt;0",$H$6:$H$205,"&lt;"&amp;H46)+COUNTIFS($A$6:A46,"&lt;&gt;",$I$6:I46,"Open",$H$6:H46,H46))</x:f>
      </x:c>
    </x:row>
    <x:row r="47" ht="26" customHeight="1">
      <x:c r="A47" s="319"/>
      <x:c r="B47" s="320"/>
      <x:c r="C47" s="274"/>
      <x:c r="D47" s="304"/>
      <x:c r="E47" s="274"/>
      <x:c r="F47" s="274"/>
      <x:c r="G47" s="274"/>
      <x:c r="H47" s="304"/>
      <x:c r="I47" s="274"/>
      <x:c r="J47" s="315" t="str">
        <x:f>IF(A47="","",IF(I47&lt;&gt;"Open","",IF(H47="","Set due date",IF(H47&lt;TODAY(),"Overdue",IF(H47=TODAY(),"Due today","Upcoming")))))</x:f>
      </x:c>
      <x:c r="K47" s="265" t="str">
        <x:f>IF(A47="","",IF(B47="","",IF(COUNTIFS('Clients'!$A$6:$A$205,B47)&lt;&gt;1,"Check Client ID",IF(INDEX('Clients'!$B$6:$B$205,MATCH(B47,'Clients'!$A$6:$A$205,0))="","Name missing",INDEX('Clients'!$B$6:$B$205,MATCH(B47,'Clients'!$A$6:$A$205,0))))))</x:f>
      </x:c>
      <x:c r="L47" s="265" t="str">
        <x:f>IF(A47="","",IF(C47="","",IF(COUNTIFS('Properties'!$A$6:$A$205,C47)&lt;&gt;1,"Check Property ID",IF(INDEX('Properties'!$B$6:$B$205,MATCH(C47,'Properties'!$A$6:$A$205,0))="","Name missing",INDEX('Properties'!$B$6:$B$205,MATCH(C47,'Properties'!$A$6:$A$205,0))))))</x:f>
      </x:c>
      <x:c r="M47" s="265" t="str">
        <x:f>IF(A47="","",IF(COUNTIFS($A$6:$A$205,A47)&gt;1,"Duplicate ID",IF(OR(B47="",COUNTIFS('Clients'!$A$6:$A$205,B47)&lt;&gt;1),"Check Client ID",IF(AND(C47&lt;&gt;"",COUNTIFS('Properties'!$A$6:$A$205,C47)&lt;&gt;1),"Check Property ID",IF(I47="","Set task status",IF(AND(I47="Open",G47=""),"Add next action",IF(AND(I47="Open",NOT(ISNUMBER(H47))),"Add due date",IF(AND(ISNUMBER(D47),D47&gt;TODAY()),"Contact date is future",""))))))))</x:f>
      </x:c>
      <x:c r="N47" s="379" t="str">
        <x:f>IF(OR(A47="",I47&lt;&gt;"Open",NOT(ISNUMBER(H47))),"",COUNTIFS($A$6:$A$205,"&lt;&gt;",$I$6:$I$205,"Open",$H$6:$H$205,"&gt;0",$H$6:$H$205,"&lt;"&amp;H47)+COUNTIFS($A$6:A47,"&lt;&gt;",$I$6:I47,"Open",$H$6:H47,H47))</x:f>
      </x:c>
    </x:row>
    <x:row r="48" ht="26" customHeight="1">
      <x:c r="A48" s="317"/>
      <x:c r="B48" s="318"/>
      <x:c r="C48" s="235"/>
      <x:c r="D48" s="238"/>
      <x:c r="E48" s="235"/>
      <x:c r="F48" s="235"/>
      <x:c r="G48" s="235"/>
      <x:c r="H48" s="238"/>
      <x:c r="I48" s="235"/>
      <x:c r="J48" s="315" t="str">
        <x:f>IF(A48="","",IF(I48&lt;&gt;"Open","",IF(H48="","Set due date",IF(H48&lt;TODAY(),"Overdue",IF(H48=TODAY(),"Due today","Upcoming")))))</x:f>
      </x:c>
      <x:c r="K48" s="265" t="str">
        <x:f>IF(A48="","",IF(B48="","",IF(COUNTIFS('Clients'!$A$6:$A$205,B48)&lt;&gt;1,"Check Client ID",IF(INDEX('Clients'!$B$6:$B$205,MATCH(B48,'Clients'!$A$6:$A$205,0))="","Name missing",INDEX('Clients'!$B$6:$B$205,MATCH(B48,'Clients'!$A$6:$A$205,0))))))</x:f>
      </x:c>
      <x:c r="L48" s="265" t="str">
        <x:f>IF(A48="","",IF(C48="","",IF(COUNTIFS('Properties'!$A$6:$A$205,C48)&lt;&gt;1,"Check Property ID",IF(INDEX('Properties'!$B$6:$B$205,MATCH(C48,'Properties'!$A$6:$A$205,0))="","Name missing",INDEX('Properties'!$B$6:$B$205,MATCH(C48,'Properties'!$A$6:$A$205,0))))))</x:f>
      </x:c>
      <x:c r="M48" s="265" t="str">
        <x:f>IF(A48="","",IF(COUNTIFS($A$6:$A$205,A48)&gt;1,"Duplicate ID",IF(OR(B48="",COUNTIFS('Clients'!$A$6:$A$205,B48)&lt;&gt;1),"Check Client ID",IF(AND(C48&lt;&gt;"",COUNTIFS('Properties'!$A$6:$A$205,C48)&lt;&gt;1),"Check Property ID",IF(I48="","Set task status",IF(AND(I48="Open",G48=""),"Add next action",IF(AND(I48="Open",NOT(ISNUMBER(H48))),"Add due date",IF(AND(ISNUMBER(D48),D48&gt;TODAY()),"Contact date is future",""))))))))</x:f>
      </x:c>
      <x:c r="N48" s="379" t="str">
        <x:f>IF(OR(A48="",I48&lt;&gt;"Open",NOT(ISNUMBER(H48))),"",COUNTIFS($A$6:$A$205,"&lt;&gt;",$I$6:$I$205,"Open",$H$6:$H$205,"&gt;0",$H$6:$H$205,"&lt;"&amp;H48)+COUNTIFS($A$6:A48,"&lt;&gt;",$I$6:I48,"Open",$H$6:H48,H48))</x:f>
      </x:c>
    </x:row>
    <x:row r="49" ht="26" customHeight="1">
      <x:c r="A49" s="319"/>
      <x:c r="B49" s="320"/>
      <x:c r="C49" s="274"/>
      <x:c r="D49" s="304"/>
      <x:c r="E49" s="274"/>
      <x:c r="F49" s="274"/>
      <x:c r="G49" s="274"/>
      <x:c r="H49" s="304"/>
      <x:c r="I49" s="274"/>
      <x:c r="J49" s="315" t="str">
        <x:f>IF(A49="","",IF(I49&lt;&gt;"Open","",IF(H49="","Set due date",IF(H49&lt;TODAY(),"Overdue",IF(H49=TODAY(),"Due today","Upcoming")))))</x:f>
      </x:c>
      <x:c r="K49" s="265" t="str">
        <x:f>IF(A49="","",IF(B49="","",IF(COUNTIFS('Clients'!$A$6:$A$205,B49)&lt;&gt;1,"Check Client ID",IF(INDEX('Clients'!$B$6:$B$205,MATCH(B49,'Clients'!$A$6:$A$205,0))="","Name missing",INDEX('Clients'!$B$6:$B$205,MATCH(B49,'Clients'!$A$6:$A$205,0))))))</x:f>
      </x:c>
      <x:c r="L49" s="265" t="str">
        <x:f>IF(A49="","",IF(C49="","",IF(COUNTIFS('Properties'!$A$6:$A$205,C49)&lt;&gt;1,"Check Property ID",IF(INDEX('Properties'!$B$6:$B$205,MATCH(C49,'Properties'!$A$6:$A$205,0))="","Name missing",INDEX('Properties'!$B$6:$B$205,MATCH(C49,'Properties'!$A$6:$A$205,0))))))</x:f>
      </x:c>
      <x:c r="M49" s="265" t="str">
        <x:f>IF(A49="","",IF(COUNTIFS($A$6:$A$205,A49)&gt;1,"Duplicate ID",IF(OR(B49="",COUNTIFS('Clients'!$A$6:$A$205,B49)&lt;&gt;1),"Check Client ID",IF(AND(C49&lt;&gt;"",COUNTIFS('Properties'!$A$6:$A$205,C49)&lt;&gt;1),"Check Property ID",IF(I49="","Set task status",IF(AND(I49="Open",G49=""),"Add next action",IF(AND(I49="Open",NOT(ISNUMBER(H49))),"Add due date",IF(AND(ISNUMBER(D49),D49&gt;TODAY()),"Contact date is future",""))))))))</x:f>
      </x:c>
      <x:c r="N49" s="379" t="str">
        <x:f>IF(OR(A49="",I49&lt;&gt;"Open",NOT(ISNUMBER(H49))),"",COUNTIFS($A$6:$A$205,"&lt;&gt;",$I$6:$I$205,"Open",$H$6:$H$205,"&gt;0",$H$6:$H$205,"&lt;"&amp;H49)+COUNTIFS($A$6:A49,"&lt;&gt;",$I$6:I49,"Open",$H$6:H49,H49))</x:f>
      </x:c>
    </x:row>
    <x:row r="50" ht="26" customHeight="1">
      <x:c r="A50" s="317"/>
      <x:c r="B50" s="318"/>
      <x:c r="C50" s="235"/>
      <x:c r="D50" s="238"/>
      <x:c r="E50" s="235"/>
      <x:c r="F50" s="235"/>
      <x:c r="G50" s="235"/>
      <x:c r="H50" s="238"/>
      <x:c r="I50" s="235"/>
      <x:c r="J50" s="315" t="str">
        <x:f>IF(A50="","",IF(I50&lt;&gt;"Open","",IF(H50="","Set due date",IF(H50&lt;TODAY(),"Overdue",IF(H50=TODAY(),"Due today","Upcoming")))))</x:f>
      </x:c>
      <x:c r="K50" s="265" t="str">
        <x:f>IF(A50="","",IF(B50="","",IF(COUNTIFS('Clients'!$A$6:$A$205,B50)&lt;&gt;1,"Check Client ID",IF(INDEX('Clients'!$B$6:$B$205,MATCH(B50,'Clients'!$A$6:$A$205,0))="","Name missing",INDEX('Clients'!$B$6:$B$205,MATCH(B50,'Clients'!$A$6:$A$205,0))))))</x:f>
      </x:c>
      <x:c r="L50" s="265" t="str">
        <x:f>IF(A50="","",IF(C50="","",IF(COUNTIFS('Properties'!$A$6:$A$205,C50)&lt;&gt;1,"Check Property ID",IF(INDEX('Properties'!$B$6:$B$205,MATCH(C50,'Properties'!$A$6:$A$205,0))="","Name missing",INDEX('Properties'!$B$6:$B$205,MATCH(C50,'Properties'!$A$6:$A$205,0))))))</x:f>
      </x:c>
      <x:c r="M50" s="265" t="str">
        <x:f>IF(A50="","",IF(COUNTIFS($A$6:$A$205,A50)&gt;1,"Duplicate ID",IF(OR(B50="",COUNTIFS('Clients'!$A$6:$A$205,B50)&lt;&gt;1),"Check Client ID",IF(AND(C50&lt;&gt;"",COUNTIFS('Properties'!$A$6:$A$205,C50)&lt;&gt;1),"Check Property ID",IF(I50="","Set task status",IF(AND(I50="Open",G50=""),"Add next action",IF(AND(I50="Open",NOT(ISNUMBER(H50))),"Add due date",IF(AND(ISNUMBER(D50),D50&gt;TODAY()),"Contact date is future",""))))))))</x:f>
      </x:c>
      <x:c r="N50" s="379" t="str">
        <x:f>IF(OR(A50="",I50&lt;&gt;"Open",NOT(ISNUMBER(H50))),"",COUNTIFS($A$6:$A$205,"&lt;&gt;",$I$6:$I$205,"Open",$H$6:$H$205,"&gt;0",$H$6:$H$205,"&lt;"&amp;H50)+COUNTIFS($A$6:A50,"&lt;&gt;",$I$6:I50,"Open",$H$6:H50,H50))</x:f>
      </x:c>
    </x:row>
    <x:row r="51" ht="26" customHeight="1">
      <x:c r="A51" s="319"/>
      <x:c r="B51" s="320"/>
      <x:c r="C51" s="274"/>
      <x:c r="D51" s="304"/>
      <x:c r="E51" s="274"/>
      <x:c r="F51" s="274"/>
      <x:c r="G51" s="274"/>
      <x:c r="H51" s="304"/>
      <x:c r="I51" s="274"/>
      <x:c r="J51" s="315" t="str">
        <x:f>IF(A51="","",IF(I51&lt;&gt;"Open","",IF(H51="","Set due date",IF(H51&lt;TODAY(),"Overdue",IF(H51=TODAY(),"Due today","Upcoming")))))</x:f>
      </x:c>
      <x:c r="K51" s="265" t="str">
        <x:f>IF(A51="","",IF(B51="","",IF(COUNTIFS('Clients'!$A$6:$A$205,B51)&lt;&gt;1,"Check Client ID",IF(INDEX('Clients'!$B$6:$B$205,MATCH(B51,'Clients'!$A$6:$A$205,0))="","Name missing",INDEX('Clients'!$B$6:$B$205,MATCH(B51,'Clients'!$A$6:$A$205,0))))))</x:f>
      </x:c>
      <x:c r="L51" s="265" t="str">
        <x:f>IF(A51="","",IF(C51="","",IF(COUNTIFS('Properties'!$A$6:$A$205,C51)&lt;&gt;1,"Check Property ID",IF(INDEX('Properties'!$B$6:$B$205,MATCH(C51,'Properties'!$A$6:$A$205,0))="","Name missing",INDEX('Properties'!$B$6:$B$205,MATCH(C51,'Properties'!$A$6:$A$205,0))))))</x:f>
      </x:c>
      <x:c r="M51" s="265" t="str">
        <x:f>IF(A51="","",IF(COUNTIFS($A$6:$A$205,A51)&gt;1,"Duplicate ID",IF(OR(B51="",COUNTIFS('Clients'!$A$6:$A$205,B51)&lt;&gt;1),"Check Client ID",IF(AND(C51&lt;&gt;"",COUNTIFS('Properties'!$A$6:$A$205,C51)&lt;&gt;1),"Check Property ID",IF(I51="","Set task status",IF(AND(I51="Open",G51=""),"Add next action",IF(AND(I51="Open",NOT(ISNUMBER(H51))),"Add due date",IF(AND(ISNUMBER(D51),D51&gt;TODAY()),"Contact date is future",""))))))))</x:f>
      </x:c>
      <x:c r="N51" s="379" t="str">
        <x:f>IF(OR(A51="",I51&lt;&gt;"Open",NOT(ISNUMBER(H51))),"",COUNTIFS($A$6:$A$205,"&lt;&gt;",$I$6:$I$205,"Open",$H$6:$H$205,"&gt;0",$H$6:$H$205,"&lt;"&amp;H51)+COUNTIFS($A$6:A51,"&lt;&gt;",$I$6:I51,"Open",$H$6:H51,H51))</x:f>
      </x:c>
    </x:row>
    <x:row r="52" ht="26" customHeight="1">
      <x:c r="A52" s="317"/>
      <x:c r="B52" s="318"/>
      <x:c r="C52" s="235"/>
      <x:c r="D52" s="238"/>
      <x:c r="E52" s="235"/>
      <x:c r="F52" s="235"/>
      <x:c r="G52" s="235"/>
      <x:c r="H52" s="238"/>
      <x:c r="I52" s="235"/>
      <x:c r="J52" s="315" t="str">
        <x:f>IF(A52="","",IF(I52&lt;&gt;"Open","",IF(H52="","Set due date",IF(H52&lt;TODAY(),"Overdue",IF(H52=TODAY(),"Due today","Upcoming")))))</x:f>
      </x:c>
      <x:c r="K52" s="265" t="str">
        <x:f>IF(A52="","",IF(B52="","",IF(COUNTIFS('Clients'!$A$6:$A$205,B52)&lt;&gt;1,"Check Client ID",IF(INDEX('Clients'!$B$6:$B$205,MATCH(B52,'Clients'!$A$6:$A$205,0))="","Name missing",INDEX('Clients'!$B$6:$B$205,MATCH(B52,'Clients'!$A$6:$A$205,0))))))</x:f>
      </x:c>
      <x:c r="L52" s="265" t="str">
        <x:f>IF(A52="","",IF(C52="","",IF(COUNTIFS('Properties'!$A$6:$A$205,C52)&lt;&gt;1,"Check Property ID",IF(INDEX('Properties'!$B$6:$B$205,MATCH(C52,'Properties'!$A$6:$A$205,0))="","Name missing",INDEX('Properties'!$B$6:$B$205,MATCH(C52,'Properties'!$A$6:$A$205,0))))))</x:f>
      </x:c>
      <x:c r="M52" s="265" t="str">
        <x:f>IF(A52="","",IF(COUNTIFS($A$6:$A$205,A52)&gt;1,"Duplicate ID",IF(OR(B52="",COUNTIFS('Clients'!$A$6:$A$205,B52)&lt;&gt;1),"Check Client ID",IF(AND(C52&lt;&gt;"",COUNTIFS('Properties'!$A$6:$A$205,C52)&lt;&gt;1),"Check Property ID",IF(I52="","Set task status",IF(AND(I52="Open",G52=""),"Add next action",IF(AND(I52="Open",NOT(ISNUMBER(H52))),"Add due date",IF(AND(ISNUMBER(D52),D52&gt;TODAY()),"Contact date is future",""))))))))</x:f>
      </x:c>
      <x:c r="N52" s="379" t="str">
        <x:f>IF(OR(A52="",I52&lt;&gt;"Open",NOT(ISNUMBER(H52))),"",COUNTIFS($A$6:$A$205,"&lt;&gt;",$I$6:$I$205,"Open",$H$6:$H$205,"&gt;0",$H$6:$H$205,"&lt;"&amp;H52)+COUNTIFS($A$6:A52,"&lt;&gt;",$I$6:I52,"Open",$H$6:H52,H52))</x:f>
      </x:c>
    </x:row>
    <x:row r="53" ht="26" customHeight="1">
      <x:c r="A53" s="319"/>
      <x:c r="B53" s="320"/>
      <x:c r="C53" s="274"/>
      <x:c r="D53" s="304"/>
      <x:c r="E53" s="274"/>
      <x:c r="F53" s="274"/>
      <x:c r="G53" s="274"/>
      <x:c r="H53" s="304"/>
      <x:c r="I53" s="274"/>
      <x:c r="J53" s="315" t="str">
        <x:f>IF(A53="","",IF(I53&lt;&gt;"Open","",IF(H53="","Set due date",IF(H53&lt;TODAY(),"Overdue",IF(H53=TODAY(),"Due today","Upcoming")))))</x:f>
      </x:c>
      <x:c r="K53" s="265" t="str">
        <x:f>IF(A53="","",IF(B53="","",IF(COUNTIFS('Clients'!$A$6:$A$205,B53)&lt;&gt;1,"Check Client ID",IF(INDEX('Clients'!$B$6:$B$205,MATCH(B53,'Clients'!$A$6:$A$205,0))="","Name missing",INDEX('Clients'!$B$6:$B$205,MATCH(B53,'Clients'!$A$6:$A$205,0))))))</x:f>
      </x:c>
      <x:c r="L53" s="265" t="str">
        <x:f>IF(A53="","",IF(C53="","",IF(COUNTIFS('Properties'!$A$6:$A$205,C53)&lt;&gt;1,"Check Property ID",IF(INDEX('Properties'!$B$6:$B$205,MATCH(C53,'Properties'!$A$6:$A$205,0))="","Name missing",INDEX('Properties'!$B$6:$B$205,MATCH(C53,'Properties'!$A$6:$A$205,0))))))</x:f>
      </x:c>
      <x:c r="M53" s="265" t="str">
        <x:f>IF(A53="","",IF(COUNTIFS($A$6:$A$205,A53)&gt;1,"Duplicate ID",IF(OR(B53="",COUNTIFS('Clients'!$A$6:$A$205,B53)&lt;&gt;1),"Check Client ID",IF(AND(C53&lt;&gt;"",COUNTIFS('Properties'!$A$6:$A$205,C53)&lt;&gt;1),"Check Property ID",IF(I53="","Set task status",IF(AND(I53="Open",G53=""),"Add next action",IF(AND(I53="Open",NOT(ISNUMBER(H53))),"Add due date",IF(AND(ISNUMBER(D53),D53&gt;TODAY()),"Contact date is future",""))))))))</x:f>
      </x:c>
      <x:c r="N53" s="379" t="str">
        <x:f>IF(OR(A53="",I53&lt;&gt;"Open",NOT(ISNUMBER(H53))),"",COUNTIFS($A$6:$A$205,"&lt;&gt;",$I$6:$I$205,"Open",$H$6:$H$205,"&gt;0",$H$6:$H$205,"&lt;"&amp;H53)+COUNTIFS($A$6:A53,"&lt;&gt;",$I$6:I53,"Open",$H$6:H53,H53))</x:f>
      </x:c>
    </x:row>
    <x:row r="54" ht="26" customHeight="1">
      <x:c r="A54" s="317"/>
      <x:c r="B54" s="318"/>
      <x:c r="C54" s="235"/>
      <x:c r="D54" s="238"/>
      <x:c r="E54" s="235"/>
      <x:c r="F54" s="235"/>
      <x:c r="G54" s="235"/>
      <x:c r="H54" s="238"/>
      <x:c r="I54" s="235"/>
      <x:c r="J54" s="315" t="str">
        <x:f>IF(A54="","",IF(I54&lt;&gt;"Open","",IF(H54="","Set due date",IF(H54&lt;TODAY(),"Overdue",IF(H54=TODAY(),"Due today","Upcoming")))))</x:f>
      </x:c>
      <x:c r="K54" s="265" t="str">
        <x:f>IF(A54="","",IF(B54="","",IF(COUNTIFS('Clients'!$A$6:$A$205,B54)&lt;&gt;1,"Check Client ID",IF(INDEX('Clients'!$B$6:$B$205,MATCH(B54,'Clients'!$A$6:$A$205,0))="","Name missing",INDEX('Clients'!$B$6:$B$205,MATCH(B54,'Clients'!$A$6:$A$205,0))))))</x:f>
      </x:c>
      <x:c r="L54" s="265" t="str">
        <x:f>IF(A54="","",IF(C54="","",IF(COUNTIFS('Properties'!$A$6:$A$205,C54)&lt;&gt;1,"Check Property ID",IF(INDEX('Properties'!$B$6:$B$205,MATCH(C54,'Properties'!$A$6:$A$205,0))="","Name missing",INDEX('Properties'!$B$6:$B$205,MATCH(C54,'Properties'!$A$6:$A$205,0))))))</x:f>
      </x:c>
      <x:c r="M54" s="265" t="str">
        <x:f>IF(A54="","",IF(COUNTIFS($A$6:$A$205,A54)&gt;1,"Duplicate ID",IF(OR(B54="",COUNTIFS('Clients'!$A$6:$A$205,B54)&lt;&gt;1),"Check Client ID",IF(AND(C54&lt;&gt;"",COUNTIFS('Properties'!$A$6:$A$205,C54)&lt;&gt;1),"Check Property ID",IF(I54="","Set task status",IF(AND(I54="Open",G54=""),"Add next action",IF(AND(I54="Open",NOT(ISNUMBER(H54))),"Add due date",IF(AND(ISNUMBER(D54),D54&gt;TODAY()),"Contact date is future",""))))))))</x:f>
      </x:c>
      <x:c r="N54" s="379" t="str">
        <x:f>IF(OR(A54="",I54&lt;&gt;"Open",NOT(ISNUMBER(H54))),"",COUNTIFS($A$6:$A$205,"&lt;&gt;",$I$6:$I$205,"Open",$H$6:$H$205,"&gt;0",$H$6:$H$205,"&lt;"&amp;H54)+COUNTIFS($A$6:A54,"&lt;&gt;",$I$6:I54,"Open",$H$6:H54,H54))</x:f>
      </x:c>
    </x:row>
    <x:row r="55" ht="26" customHeight="1">
      <x:c r="A55" s="319"/>
      <x:c r="B55" s="320"/>
      <x:c r="C55" s="274"/>
      <x:c r="D55" s="304"/>
      <x:c r="E55" s="274"/>
      <x:c r="F55" s="274"/>
      <x:c r="G55" s="274"/>
      <x:c r="H55" s="304"/>
      <x:c r="I55" s="274"/>
      <x:c r="J55" s="315" t="str">
        <x:f>IF(A55="","",IF(I55&lt;&gt;"Open","",IF(H55="","Set due date",IF(H55&lt;TODAY(),"Overdue",IF(H55=TODAY(),"Due today","Upcoming")))))</x:f>
      </x:c>
      <x:c r="K55" s="265" t="str">
        <x:f>IF(A55="","",IF(B55="","",IF(COUNTIFS('Clients'!$A$6:$A$205,B55)&lt;&gt;1,"Check Client ID",IF(INDEX('Clients'!$B$6:$B$205,MATCH(B55,'Clients'!$A$6:$A$205,0))="","Name missing",INDEX('Clients'!$B$6:$B$205,MATCH(B55,'Clients'!$A$6:$A$205,0))))))</x:f>
      </x:c>
      <x:c r="L55" s="265" t="str">
        <x:f>IF(A55="","",IF(C55="","",IF(COUNTIFS('Properties'!$A$6:$A$205,C55)&lt;&gt;1,"Check Property ID",IF(INDEX('Properties'!$B$6:$B$205,MATCH(C55,'Properties'!$A$6:$A$205,0))="","Name missing",INDEX('Properties'!$B$6:$B$205,MATCH(C55,'Properties'!$A$6:$A$205,0))))))</x:f>
      </x:c>
      <x:c r="M55" s="265" t="str">
        <x:f>IF(A55="","",IF(COUNTIFS($A$6:$A$205,A55)&gt;1,"Duplicate ID",IF(OR(B55="",COUNTIFS('Clients'!$A$6:$A$205,B55)&lt;&gt;1),"Check Client ID",IF(AND(C55&lt;&gt;"",COUNTIFS('Properties'!$A$6:$A$205,C55)&lt;&gt;1),"Check Property ID",IF(I55="","Set task status",IF(AND(I55="Open",G55=""),"Add next action",IF(AND(I55="Open",NOT(ISNUMBER(H55))),"Add due date",IF(AND(ISNUMBER(D55),D55&gt;TODAY()),"Contact date is future",""))))))))</x:f>
      </x:c>
      <x:c r="N55" s="379" t="str">
        <x:f>IF(OR(A55="",I55&lt;&gt;"Open",NOT(ISNUMBER(H55))),"",COUNTIFS($A$6:$A$205,"&lt;&gt;",$I$6:$I$205,"Open",$H$6:$H$205,"&gt;0",$H$6:$H$205,"&lt;"&amp;H55)+COUNTIFS($A$6:A55,"&lt;&gt;",$I$6:I55,"Open",$H$6:H55,H55))</x:f>
      </x:c>
    </x:row>
    <x:row r="56" ht="26" customHeight="1">
      <x:c r="A56" s="317"/>
      <x:c r="B56" s="318"/>
      <x:c r="C56" s="235"/>
      <x:c r="D56" s="238"/>
      <x:c r="E56" s="235"/>
      <x:c r="F56" s="235"/>
      <x:c r="G56" s="235"/>
      <x:c r="H56" s="238"/>
      <x:c r="I56" s="235"/>
      <x:c r="J56" s="315" t="str">
        <x:f>IF(A56="","",IF(I56&lt;&gt;"Open","",IF(H56="","Set due date",IF(H56&lt;TODAY(),"Overdue",IF(H56=TODAY(),"Due today","Upcoming")))))</x:f>
      </x:c>
      <x:c r="K56" s="265" t="str">
        <x:f>IF(A56="","",IF(B56="","",IF(COUNTIFS('Clients'!$A$6:$A$205,B56)&lt;&gt;1,"Check Client ID",IF(INDEX('Clients'!$B$6:$B$205,MATCH(B56,'Clients'!$A$6:$A$205,0))="","Name missing",INDEX('Clients'!$B$6:$B$205,MATCH(B56,'Clients'!$A$6:$A$205,0))))))</x:f>
      </x:c>
      <x:c r="L56" s="265" t="str">
        <x:f>IF(A56="","",IF(C56="","",IF(COUNTIFS('Properties'!$A$6:$A$205,C56)&lt;&gt;1,"Check Property ID",IF(INDEX('Properties'!$B$6:$B$205,MATCH(C56,'Properties'!$A$6:$A$205,0))="","Name missing",INDEX('Properties'!$B$6:$B$205,MATCH(C56,'Properties'!$A$6:$A$205,0))))))</x:f>
      </x:c>
      <x:c r="M56" s="265" t="str">
        <x:f>IF(A56="","",IF(COUNTIFS($A$6:$A$205,A56)&gt;1,"Duplicate ID",IF(OR(B56="",COUNTIFS('Clients'!$A$6:$A$205,B56)&lt;&gt;1),"Check Client ID",IF(AND(C56&lt;&gt;"",COUNTIFS('Properties'!$A$6:$A$205,C56)&lt;&gt;1),"Check Property ID",IF(I56="","Set task status",IF(AND(I56="Open",G56=""),"Add next action",IF(AND(I56="Open",NOT(ISNUMBER(H56))),"Add due date",IF(AND(ISNUMBER(D56),D56&gt;TODAY()),"Contact date is future",""))))))))</x:f>
      </x:c>
      <x:c r="N56" s="379" t="str">
        <x:f>IF(OR(A56="",I56&lt;&gt;"Open",NOT(ISNUMBER(H56))),"",COUNTIFS($A$6:$A$205,"&lt;&gt;",$I$6:$I$205,"Open",$H$6:$H$205,"&gt;0",$H$6:$H$205,"&lt;"&amp;H56)+COUNTIFS($A$6:A56,"&lt;&gt;",$I$6:I56,"Open",$H$6:H56,H56))</x:f>
      </x:c>
    </x:row>
    <x:row r="57" ht="26" customHeight="1">
      <x:c r="A57" s="319"/>
      <x:c r="B57" s="320"/>
      <x:c r="C57" s="274"/>
      <x:c r="D57" s="304"/>
      <x:c r="E57" s="274"/>
      <x:c r="F57" s="274"/>
      <x:c r="G57" s="274"/>
      <x:c r="H57" s="304"/>
      <x:c r="I57" s="274"/>
      <x:c r="J57" s="315" t="str">
        <x:f>IF(A57="","",IF(I57&lt;&gt;"Open","",IF(H57="","Set due date",IF(H57&lt;TODAY(),"Overdue",IF(H57=TODAY(),"Due today","Upcoming")))))</x:f>
      </x:c>
      <x:c r="K57" s="265" t="str">
        <x:f>IF(A57="","",IF(B57="","",IF(COUNTIFS('Clients'!$A$6:$A$205,B57)&lt;&gt;1,"Check Client ID",IF(INDEX('Clients'!$B$6:$B$205,MATCH(B57,'Clients'!$A$6:$A$205,0))="","Name missing",INDEX('Clients'!$B$6:$B$205,MATCH(B57,'Clients'!$A$6:$A$205,0))))))</x:f>
      </x:c>
      <x:c r="L57" s="265" t="str">
        <x:f>IF(A57="","",IF(C57="","",IF(COUNTIFS('Properties'!$A$6:$A$205,C57)&lt;&gt;1,"Check Property ID",IF(INDEX('Properties'!$B$6:$B$205,MATCH(C57,'Properties'!$A$6:$A$205,0))="","Name missing",INDEX('Properties'!$B$6:$B$205,MATCH(C57,'Properties'!$A$6:$A$205,0))))))</x:f>
      </x:c>
      <x:c r="M57" s="265" t="str">
        <x:f>IF(A57="","",IF(COUNTIFS($A$6:$A$205,A57)&gt;1,"Duplicate ID",IF(OR(B57="",COUNTIFS('Clients'!$A$6:$A$205,B57)&lt;&gt;1),"Check Client ID",IF(AND(C57&lt;&gt;"",COUNTIFS('Properties'!$A$6:$A$205,C57)&lt;&gt;1),"Check Property ID",IF(I57="","Set task status",IF(AND(I57="Open",G57=""),"Add next action",IF(AND(I57="Open",NOT(ISNUMBER(H57))),"Add due date",IF(AND(ISNUMBER(D57),D57&gt;TODAY()),"Contact date is future",""))))))))</x:f>
      </x:c>
      <x:c r="N57" s="379" t="str">
        <x:f>IF(OR(A57="",I57&lt;&gt;"Open",NOT(ISNUMBER(H57))),"",COUNTIFS($A$6:$A$205,"&lt;&gt;",$I$6:$I$205,"Open",$H$6:$H$205,"&gt;0",$H$6:$H$205,"&lt;"&amp;H57)+COUNTIFS($A$6:A57,"&lt;&gt;",$I$6:I57,"Open",$H$6:H57,H57))</x:f>
      </x:c>
    </x:row>
    <x:row r="58" ht="26" customHeight="1">
      <x:c r="A58" s="317"/>
      <x:c r="B58" s="318"/>
      <x:c r="C58" s="235"/>
      <x:c r="D58" s="238"/>
      <x:c r="E58" s="235"/>
      <x:c r="F58" s="235"/>
      <x:c r="G58" s="235"/>
      <x:c r="H58" s="238"/>
      <x:c r="I58" s="235"/>
      <x:c r="J58" s="315" t="str">
        <x:f>IF(A58="","",IF(I58&lt;&gt;"Open","",IF(H58="","Set due date",IF(H58&lt;TODAY(),"Overdue",IF(H58=TODAY(),"Due today","Upcoming")))))</x:f>
      </x:c>
      <x:c r="K58" s="265" t="str">
        <x:f>IF(A58="","",IF(B58="","",IF(COUNTIFS('Clients'!$A$6:$A$205,B58)&lt;&gt;1,"Check Client ID",IF(INDEX('Clients'!$B$6:$B$205,MATCH(B58,'Clients'!$A$6:$A$205,0))="","Name missing",INDEX('Clients'!$B$6:$B$205,MATCH(B58,'Clients'!$A$6:$A$205,0))))))</x:f>
      </x:c>
      <x:c r="L58" s="265" t="str">
        <x:f>IF(A58="","",IF(C58="","",IF(COUNTIFS('Properties'!$A$6:$A$205,C58)&lt;&gt;1,"Check Property ID",IF(INDEX('Properties'!$B$6:$B$205,MATCH(C58,'Properties'!$A$6:$A$205,0))="","Name missing",INDEX('Properties'!$B$6:$B$205,MATCH(C58,'Properties'!$A$6:$A$205,0))))))</x:f>
      </x:c>
      <x:c r="M58" s="265" t="str">
        <x:f>IF(A58="","",IF(COUNTIFS($A$6:$A$205,A58)&gt;1,"Duplicate ID",IF(OR(B58="",COUNTIFS('Clients'!$A$6:$A$205,B58)&lt;&gt;1),"Check Client ID",IF(AND(C58&lt;&gt;"",COUNTIFS('Properties'!$A$6:$A$205,C58)&lt;&gt;1),"Check Property ID",IF(I58="","Set task status",IF(AND(I58="Open",G58=""),"Add next action",IF(AND(I58="Open",NOT(ISNUMBER(H58))),"Add due date",IF(AND(ISNUMBER(D58),D58&gt;TODAY()),"Contact date is future",""))))))))</x:f>
      </x:c>
      <x:c r="N58" s="379" t="str">
        <x:f>IF(OR(A58="",I58&lt;&gt;"Open",NOT(ISNUMBER(H58))),"",COUNTIFS($A$6:$A$205,"&lt;&gt;",$I$6:$I$205,"Open",$H$6:$H$205,"&gt;0",$H$6:$H$205,"&lt;"&amp;H58)+COUNTIFS($A$6:A58,"&lt;&gt;",$I$6:I58,"Open",$H$6:H58,H58))</x:f>
      </x:c>
    </x:row>
    <x:row r="59" ht="26" customHeight="1">
      <x:c r="A59" s="319"/>
      <x:c r="B59" s="320"/>
      <x:c r="C59" s="274"/>
      <x:c r="D59" s="304"/>
      <x:c r="E59" s="274"/>
      <x:c r="F59" s="274"/>
      <x:c r="G59" s="274"/>
      <x:c r="H59" s="304"/>
      <x:c r="I59" s="274"/>
      <x:c r="J59" s="315" t="str">
        <x:f>IF(A59="","",IF(I59&lt;&gt;"Open","",IF(H59="","Set due date",IF(H59&lt;TODAY(),"Overdue",IF(H59=TODAY(),"Due today","Upcoming")))))</x:f>
      </x:c>
      <x:c r="K59" s="265" t="str">
        <x:f>IF(A59="","",IF(B59="","",IF(COUNTIFS('Clients'!$A$6:$A$205,B59)&lt;&gt;1,"Check Client ID",IF(INDEX('Clients'!$B$6:$B$205,MATCH(B59,'Clients'!$A$6:$A$205,0))="","Name missing",INDEX('Clients'!$B$6:$B$205,MATCH(B59,'Clients'!$A$6:$A$205,0))))))</x:f>
      </x:c>
      <x:c r="L59" s="265" t="str">
        <x:f>IF(A59="","",IF(C59="","",IF(COUNTIFS('Properties'!$A$6:$A$205,C59)&lt;&gt;1,"Check Property ID",IF(INDEX('Properties'!$B$6:$B$205,MATCH(C59,'Properties'!$A$6:$A$205,0))="","Name missing",INDEX('Properties'!$B$6:$B$205,MATCH(C59,'Properties'!$A$6:$A$205,0))))))</x:f>
      </x:c>
      <x:c r="M59" s="265" t="str">
        <x:f>IF(A59="","",IF(COUNTIFS($A$6:$A$205,A59)&gt;1,"Duplicate ID",IF(OR(B59="",COUNTIFS('Clients'!$A$6:$A$205,B59)&lt;&gt;1),"Check Client ID",IF(AND(C59&lt;&gt;"",COUNTIFS('Properties'!$A$6:$A$205,C59)&lt;&gt;1),"Check Property ID",IF(I59="","Set task status",IF(AND(I59="Open",G59=""),"Add next action",IF(AND(I59="Open",NOT(ISNUMBER(H59))),"Add due date",IF(AND(ISNUMBER(D59),D59&gt;TODAY()),"Contact date is future",""))))))))</x:f>
      </x:c>
      <x:c r="N59" s="379" t="str">
        <x:f>IF(OR(A59="",I59&lt;&gt;"Open",NOT(ISNUMBER(H59))),"",COUNTIFS($A$6:$A$205,"&lt;&gt;",$I$6:$I$205,"Open",$H$6:$H$205,"&gt;0",$H$6:$H$205,"&lt;"&amp;H59)+COUNTIFS($A$6:A59,"&lt;&gt;",$I$6:I59,"Open",$H$6:H59,H59))</x:f>
      </x:c>
    </x:row>
    <x:row r="60" ht="26" customHeight="1">
      <x:c r="A60" s="317"/>
      <x:c r="B60" s="318"/>
      <x:c r="C60" s="235"/>
      <x:c r="D60" s="238"/>
      <x:c r="E60" s="235"/>
      <x:c r="F60" s="235"/>
      <x:c r="G60" s="235"/>
      <x:c r="H60" s="238"/>
      <x:c r="I60" s="235"/>
      <x:c r="J60" s="315" t="str">
        <x:f>IF(A60="","",IF(I60&lt;&gt;"Open","",IF(H60="","Set due date",IF(H60&lt;TODAY(),"Overdue",IF(H60=TODAY(),"Due today","Upcoming")))))</x:f>
      </x:c>
      <x:c r="K60" s="265" t="str">
        <x:f>IF(A60="","",IF(B60="","",IF(COUNTIFS('Clients'!$A$6:$A$205,B60)&lt;&gt;1,"Check Client ID",IF(INDEX('Clients'!$B$6:$B$205,MATCH(B60,'Clients'!$A$6:$A$205,0))="","Name missing",INDEX('Clients'!$B$6:$B$205,MATCH(B60,'Clients'!$A$6:$A$205,0))))))</x:f>
      </x:c>
      <x:c r="L60" s="265" t="str">
        <x:f>IF(A60="","",IF(C60="","",IF(COUNTIFS('Properties'!$A$6:$A$205,C60)&lt;&gt;1,"Check Property ID",IF(INDEX('Properties'!$B$6:$B$205,MATCH(C60,'Properties'!$A$6:$A$205,0))="","Name missing",INDEX('Properties'!$B$6:$B$205,MATCH(C60,'Properties'!$A$6:$A$205,0))))))</x:f>
      </x:c>
      <x:c r="M60" s="265" t="str">
        <x:f>IF(A60="","",IF(COUNTIFS($A$6:$A$205,A60)&gt;1,"Duplicate ID",IF(OR(B60="",COUNTIFS('Clients'!$A$6:$A$205,B60)&lt;&gt;1),"Check Client ID",IF(AND(C60&lt;&gt;"",COUNTIFS('Properties'!$A$6:$A$205,C60)&lt;&gt;1),"Check Property ID",IF(I60="","Set task status",IF(AND(I60="Open",G60=""),"Add next action",IF(AND(I60="Open",NOT(ISNUMBER(H60))),"Add due date",IF(AND(ISNUMBER(D60),D60&gt;TODAY()),"Contact date is future",""))))))))</x:f>
      </x:c>
      <x:c r="N60" s="379" t="str">
        <x:f>IF(OR(A60="",I60&lt;&gt;"Open",NOT(ISNUMBER(H60))),"",COUNTIFS($A$6:$A$205,"&lt;&gt;",$I$6:$I$205,"Open",$H$6:$H$205,"&gt;0",$H$6:$H$205,"&lt;"&amp;H60)+COUNTIFS($A$6:A60,"&lt;&gt;",$I$6:I60,"Open",$H$6:H60,H60))</x:f>
      </x:c>
    </x:row>
    <x:row r="61" ht="26" customHeight="1">
      <x:c r="A61" s="319"/>
      <x:c r="B61" s="320"/>
      <x:c r="C61" s="274"/>
      <x:c r="D61" s="304"/>
      <x:c r="E61" s="274"/>
      <x:c r="F61" s="274"/>
      <x:c r="G61" s="274"/>
      <x:c r="H61" s="304"/>
      <x:c r="I61" s="274"/>
      <x:c r="J61" s="315" t="str">
        <x:f>IF(A61="","",IF(I61&lt;&gt;"Open","",IF(H61="","Set due date",IF(H61&lt;TODAY(),"Overdue",IF(H61=TODAY(),"Due today","Upcoming")))))</x:f>
      </x:c>
      <x:c r="K61" s="265" t="str">
        <x:f>IF(A61="","",IF(B61="","",IF(COUNTIFS('Clients'!$A$6:$A$205,B61)&lt;&gt;1,"Check Client ID",IF(INDEX('Clients'!$B$6:$B$205,MATCH(B61,'Clients'!$A$6:$A$205,0))="","Name missing",INDEX('Clients'!$B$6:$B$205,MATCH(B61,'Clients'!$A$6:$A$205,0))))))</x:f>
      </x:c>
      <x:c r="L61" s="265" t="str">
        <x:f>IF(A61="","",IF(C61="","",IF(COUNTIFS('Properties'!$A$6:$A$205,C61)&lt;&gt;1,"Check Property ID",IF(INDEX('Properties'!$B$6:$B$205,MATCH(C61,'Properties'!$A$6:$A$205,0))="","Name missing",INDEX('Properties'!$B$6:$B$205,MATCH(C61,'Properties'!$A$6:$A$205,0))))))</x:f>
      </x:c>
      <x:c r="M61" s="265" t="str">
        <x:f>IF(A61="","",IF(COUNTIFS($A$6:$A$205,A61)&gt;1,"Duplicate ID",IF(OR(B61="",COUNTIFS('Clients'!$A$6:$A$205,B61)&lt;&gt;1),"Check Client ID",IF(AND(C61&lt;&gt;"",COUNTIFS('Properties'!$A$6:$A$205,C61)&lt;&gt;1),"Check Property ID",IF(I61="","Set task status",IF(AND(I61="Open",G61=""),"Add next action",IF(AND(I61="Open",NOT(ISNUMBER(H61))),"Add due date",IF(AND(ISNUMBER(D61),D61&gt;TODAY()),"Contact date is future",""))))))))</x:f>
      </x:c>
      <x:c r="N61" s="379" t="str">
        <x:f>IF(OR(A61="",I61&lt;&gt;"Open",NOT(ISNUMBER(H61))),"",COUNTIFS($A$6:$A$205,"&lt;&gt;",$I$6:$I$205,"Open",$H$6:$H$205,"&gt;0",$H$6:$H$205,"&lt;"&amp;H61)+COUNTIFS($A$6:A61,"&lt;&gt;",$I$6:I61,"Open",$H$6:H61,H61))</x:f>
      </x:c>
    </x:row>
    <x:row r="62" ht="26" customHeight="1">
      <x:c r="A62" s="317"/>
      <x:c r="B62" s="318"/>
      <x:c r="C62" s="235"/>
      <x:c r="D62" s="238"/>
      <x:c r="E62" s="235"/>
      <x:c r="F62" s="235"/>
      <x:c r="G62" s="235"/>
      <x:c r="H62" s="238"/>
      <x:c r="I62" s="235"/>
      <x:c r="J62" s="315" t="str">
        <x:f>IF(A62="","",IF(I62&lt;&gt;"Open","",IF(H62="","Set due date",IF(H62&lt;TODAY(),"Overdue",IF(H62=TODAY(),"Due today","Upcoming")))))</x:f>
      </x:c>
      <x:c r="K62" s="265" t="str">
        <x:f>IF(A62="","",IF(B62="","",IF(COUNTIFS('Clients'!$A$6:$A$205,B62)&lt;&gt;1,"Check Client ID",IF(INDEX('Clients'!$B$6:$B$205,MATCH(B62,'Clients'!$A$6:$A$205,0))="","Name missing",INDEX('Clients'!$B$6:$B$205,MATCH(B62,'Clients'!$A$6:$A$205,0))))))</x:f>
      </x:c>
      <x:c r="L62" s="265" t="str">
        <x:f>IF(A62="","",IF(C62="","",IF(COUNTIFS('Properties'!$A$6:$A$205,C62)&lt;&gt;1,"Check Property ID",IF(INDEX('Properties'!$B$6:$B$205,MATCH(C62,'Properties'!$A$6:$A$205,0))="","Name missing",INDEX('Properties'!$B$6:$B$205,MATCH(C62,'Properties'!$A$6:$A$205,0))))))</x:f>
      </x:c>
      <x:c r="M62" s="265" t="str">
        <x:f>IF(A62="","",IF(COUNTIFS($A$6:$A$205,A62)&gt;1,"Duplicate ID",IF(OR(B62="",COUNTIFS('Clients'!$A$6:$A$205,B62)&lt;&gt;1),"Check Client ID",IF(AND(C62&lt;&gt;"",COUNTIFS('Properties'!$A$6:$A$205,C62)&lt;&gt;1),"Check Property ID",IF(I62="","Set task status",IF(AND(I62="Open",G62=""),"Add next action",IF(AND(I62="Open",NOT(ISNUMBER(H62))),"Add due date",IF(AND(ISNUMBER(D62),D62&gt;TODAY()),"Contact date is future",""))))))))</x:f>
      </x:c>
      <x:c r="N62" s="379" t="str">
        <x:f>IF(OR(A62="",I62&lt;&gt;"Open",NOT(ISNUMBER(H62))),"",COUNTIFS($A$6:$A$205,"&lt;&gt;",$I$6:$I$205,"Open",$H$6:$H$205,"&gt;0",$H$6:$H$205,"&lt;"&amp;H62)+COUNTIFS($A$6:A62,"&lt;&gt;",$I$6:I62,"Open",$H$6:H62,H62))</x:f>
      </x:c>
    </x:row>
    <x:row r="63" ht="26" customHeight="1">
      <x:c r="A63" s="319"/>
      <x:c r="B63" s="320"/>
      <x:c r="C63" s="274"/>
      <x:c r="D63" s="304"/>
      <x:c r="E63" s="274"/>
      <x:c r="F63" s="274"/>
      <x:c r="G63" s="274"/>
      <x:c r="H63" s="304"/>
      <x:c r="I63" s="274"/>
      <x:c r="J63" s="315" t="str">
        <x:f>IF(A63="","",IF(I63&lt;&gt;"Open","",IF(H63="","Set due date",IF(H63&lt;TODAY(),"Overdue",IF(H63=TODAY(),"Due today","Upcoming")))))</x:f>
      </x:c>
      <x:c r="K63" s="265" t="str">
        <x:f>IF(A63="","",IF(B63="","",IF(COUNTIFS('Clients'!$A$6:$A$205,B63)&lt;&gt;1,"Check Client ID",IF(INDEX('Clients'!$B$6:$B$205,MATCH(B63,'Clients'!$A$6:$A$205,0))="","Name missing",INDEX('Clients'!$B$6:$B$205,MATCH(B63,'Clients'!$A$6:$A$205,0))))))</x:f>
      </x:c>
      <x:c r="L63" s="265" t="str">
        <x:f>IF(A63="","",IF(C63="","",IF(COUNTIFS('Properties'!$A$6:$A$205,C63)&lt;&gt;1,"Check Property ID",IF(INDEX('Properties'!$B$6:$B$205,MATCH(C63,'Properties'!$A$6:$A$205,0))="","Name missing",INDEX('Properties'!$B$6:$B$205,MATCH(C63,'Properties'!$A$6:$A$205,0))))))</x:f>
      </x:c>
      <x:c r="M63" s="265" t="str">
        <x:f>IF(A63="","",IF(COUNTIFS($A$6:$A$205,A63)&gt;1,"Duplicate ID",IF(OR(B63="",COUNTIFS('Clients'!$A$6:$A$205,B63)&lt;&gt;1),"Check Client ID",IF(AND(C63&lt;&gt;"",COUNTIFS('Properties'!$A$6:$A$205,C63)&lt;&gt;1),"Check Property ID",IF(I63="","Set task status",IF(AND(I63="Open",G63=""),"Add next action",IF(AND(I63="Open",NOT(ISNUMBER(H63))),"Add due date",IF(AND(ISNUMBER(D63),D63&gt;TODAY()),"Contact date is future",""))))))))</x:f>
      </x:c>
      <x:c r="N63" s="379" t="str">
        <x:f>IF(OR(A63="",I63&lt;&gt;"Open",NOT(ISNUMBER(H63))),"",COUNTIFS($A$6:$A$205,"&lt;&gt;",$I$6:$I$205,"Open",$H$6:$H$205,"&gt;0",$H$6:$H$205,"&lt;"&amp;H63)+COUNTIFS($A$6:A63,"&lt;&gt;",$I$6:I63,"Open",$H$6:H63,H63))</x:f>
      </x:c>
    </x:row>
    <x:row r="64" ht="26" customHeight="1">
      <x:c r="A64" s="317"/>
      <x:c r="B64" s="318"/>
      <x:c r="C64" s="235"/>
      <x:c r="D64" s="238"/>
      <x:c r="E64" s="235"/>
      <x:c r="F64" s="235"/>
      <x:c r="G64" s="235"/>
      <x:c r="H64" s="238"/>
      <x:c r="I64" s="235"/>
      <x:c r="J64" s="315" t="str">
        <x:f>IF(A64="","",IF(I64&lt;&gt;"Open","",IF(H64="","Set due date",IF(H64&lt;TODAY(),"Overdue",IF(H64=TODAY(),"Due today","Upcoming")))))</x:f>
      </x:c>
      <x:c r="K64" s="265" t="str">
        <x:f>IF(A64="","",IF(B64="","",IF(COUNTIFS('Clients'!$A$6:$A$205,B64)&lt;&gt;1,"Check Client ID",IF(INDEX('Clients'!$B$6:$B$205,MATCH(B64,'Clients'!$A$6:$A$205,0))="","Name missing",INDEX('Clients'!$B$6:$B$205,MATCH(B64,'Clients'!$A$6:$A$205,0))))))</x:f>
      </x:c>
      <x:c r="L64" s="265" t="str">
        <x:f>IF(A64="","",IF(C64="","",IF(COUNTIFS('Properties'!$A$6:$A$205,C64)&lt;&gt;1,"Check Property ID",IF(INDEX('Properties'!$B$6:$B$205,MATCH(C64,'Properties'!$A$6:$A$205,0))="","Name missing",INDEX('Properties'!$B$6:$B$205,MATCH(C64,'Properties'!$A$6:$A$205,0))))))</x:f>
      </x:c>
      <x:c r="M64" s="265" t="str">
        <x:f>IF(A64="","",IF(COUNTIFS($A$6:$A$205,A64)&gt;1,"Duplicate ID",IF(OR(B64="",COUNTIFS('Clients'!$A$6:$A$205,B64)&lt;&gt;1),"Check Client ID",IF(AND(C64&lt;&gt;"",COUNTIFS('Properties'!$A$6:$A$205,C64)&lt;&gt;1),"Check Property ID",IF(I64="","Set task status",IF(AND(I64="Open",G64=""),"Add next action",IF(AND(I64="Open",NOT(ISNUMBER(H64))),"Add due date",IF(AND(ISNUMBER(D64),D64&gt;TODAY()),"Contact date is future",""))))))))</x:f>
      </x:c>
      <x:c r="N64" s="379" t="str">
        <x:f>IF(OR(A64="",I64&lt;&gt;"Open",NOT(ISNUMBER(H64))),"",COUNTIFS($A$6:$A$205,"&lt;&gt;",$I$6:$I$205,"Open",$H$6:$H$205,"&gt;0",$H$6:$H$205,"&lt;"&amp;H64)+COUNTIFS($A$6:A64,"&lt;&gt;",$I$6:I64,"Open",$H$6:H64,H64))</x:f>
      </x:c>
    </x:row>
    <x:row r="65" ht="26" customHeight="1">
      <x:c r="A65" s="319"/>
      <x:c r="B65" s="320"/>
      <x:c r="C65" s="274"/>
      <x:c r="D65" s="304"/>
      <x:c r="E65" s="274"/>
      <x:c r="F65" s="274"/>
      <x:c r="G65" s="274"/>
      <x:c r="H65" s="304"/>
      <x:c r="I65" s="274"/>
      <x:c r="J65" s="315" t="str">
        <x:f>IF(A65="","",IF(I65&lt;&gt;"Open","",IF(H65="","Set due date",IF(H65&lt;TODAY(),"Overdue",IF(H65=TODAY(),"Due today","Upcoming")))))</x:f>
      </x:c>
      <x:c r="K65" s="265" t="str">
        <x:f>IF(A65="","",IF(B65="","",IF(COUNTIFS('Clients'!$A$6:$A$205,B65)&lt;&gt;1,"Check Client ID",IF(INDEX('Clients'!$B$6:$B$205,MATCH(B65,'Clients'!$A$6:$A$205,0))="","Name missing",INDEX('Clients'!$B$6:$B$205,MATCH(B65,'Clients'!$A$6:$A$205,0))))))</x:f>
      </x:c>
      <x:c r="L65" s="265" t="str">
        <x:f>IF(A65="","",IF(C65="","",IF(COUNTIFS('Properties'!$A$6:$A$205,C65)&lt;&gt;1,"Check Property ID",IF(INDEX('Properties'!$B$6:$B$205,MATCH(C65,'Properties'!$A$6:$A$205,0))="","Name missing",INDEX('Properties'!$B$6:$B$205,MATCH(C65,'Properties'!$A$6:$A$205,0))))))</x:f>
      </x:c>
      <x:c r="M65" s="265" t="str">
        <x:f>IF(A65="","",IF(COUNTIFS($A$6:$A$205,A65)&gt;1,"Duplicate ID",IF(OR(B65="",COUNTIFS('Clients'!$A$6:$A$205,B65)&lt;&gt;1),"Check Client ID",IF(AND(C65&lt;&gt;"",COUNTIFS('Properties'!$A$6:$A$205,C65)&lt;&gt;1),"Check Property ID",IF(I65="","Set task status",IF(AND(I65="Open",G65=""),"Add next action",IF(AND(I65="Open",NOT(ISNUMBER(H65))),"Add due date",IF(AND(ISNUMBER(D65),D65&gt;TODAY()),"Contact date is future",""))))))))</x:f>
      </x:c>
      <x:c r="N65" s="379" t="str">
        <x:f>IF(OR(A65="",I65&lt;&gt;"Open",NOT(ISNUMBER(H65))),"",COUNTIFS($A$6:$A$205,"&lt;&gt;",$I$6:$I$205,"Open",$H$6:$H$205,"&gt;0",$H$6:$H$205,"&lt;"&amp;H65)+COUNTIFS($A$6:A65,"&lt;&gt;",$I$6:I65,"Open",$H$6:H65,H65))</x:f>
      </x:c>
    </x:row>
    <x:row r="66" ht="26" customHeight="1">
      <x:c r="A66" s="317"/>
      <x:c r="B66" s="318"/>
      <x:c r="C66" s="235"/>
      <x:c r="D66" s="238"/>
      <x:c r="E66" s="235"/>
      <x:c r="F66" s="235"/>
      <x:c r="G66" s="235"/>
      <x:c r="H66" s="238"/>
      <x:c r="I66" s="235"/>
      <x:c r="J66" s="315" t="str">
        <x:f>IF(A66="","",IF(I66&lt;&gt;"Open","",IF(H66="","Set due date",IF(H66&lt;TODAY(),"Overdue",IF(H66=TODAY(),"Due today","Upcoming")))))</x:f>
      </x:c>
      <x:c r="K66" s="265" t="str">
        <x:f>IF(A66="","",IF(B66="","",IF(COUNTIFS('Clients'!$A$6:$A$205,B66)&lt;&gt;1,"Check Client ID",IF(INDEX('Clients'!$B$6:$B$205,MATCH(B66,'Clients'!$A$6:$A$205,0))="","Name missing",INDEX('Clients'!$B$6:$B$205,MATCH(B66,'Clients'!$A$6:$A$205,0))))))</x:f>
      </x:c>
      <x:c r="L66" s="265" t="str">
        <x:f>IF(A66="","",IF(C66="","",IF(COUNTIFS('Properties'!$A$6:$A$205,C66)&lt;&gt;1,"Check Property ID",IF(INDEX('Properties'!$B$6:$B$205,MATCH(C66,'Properties'!$A$6:$A$205,0))="","Name missing",INDEX('Properties'!$B$6:$B$205,MATCH(C66,'Properties'!$A$6:$A$205,0))))))</x:f>
      </x:c>
      <x:c r="M66" s="265" t="str">
        <x:f>IF(A66="","",IF(COUNTIFS($A$6:$A$205,A66)&gt;1,"Duplicate ID",IF(OR(B66="",COUNTIFS('Clients'!$A$6:$A$205,B66)&lt;&gt;1),"Check Client ID",IF(AND(C66&lt;&gt;"",COUNTIFS('Properties'!$A$6:$A$205,C66)&lt;&gt;1),"Check Property ID",IF(I66="","Set task status",IF(AND(I66="Open",G66=""),"Add next action",IF(AND(I66="Open",NOT(ISNUMBER(H66))),"Add due date",IF(AND(ISNUMBER(D66),D66&gt;TODAY()),"Contact date is future",""))))))))</x:f>
      </x:c>
      <x:c r="N66" s="379" t="str">
        <x:f>IF(OR(A66="",I66&lt;&gt;"Open",NOT(ISNUMBER(H66))),"",COUNTIFS($A$6:$A$205,"&lt;&gt;",$I$6:$I$205,"Open",$H$6:$H$205,"&gt;0",$H$6:$H$205,"&lt;"&amp;H66)+COUNTIFS($A$6:A66,"&lt;&gt;",$I$6:I66,"Open",$H$6:H66,H66))</x:f>
      </x:c>
    </x:row>
    <x:row r="67" ht="26" customHeight="1">
      <x:c r="A67" s="319"/>
      <x:c r="B67" s="320"/>
      <x:c r="C67" s="274"/>
      <x:c r="D67" s="304"/>
      <x:c r="E67" s="274"/>
      <x:c r="F67" s="274"/>
      <x:c r="G67" s="274"/>
      <x:c r="H67" s="304"/>
      <x:c r="I67" s="274"/>
      <x:c r="J67" s="315" t="str">
        <x:f>IF(A67="","",IF(I67&lt;&gt;"Open","",IF(H67="","Set due date",IF(H67&lt;TODAY(),"Overdue",IF(H67=TODAY(),"Due today","Upcoming")))))</x:f>
      </x:c>
      <x:c r="K67" s="265" t="str">
        <x:f>IF(A67="","",IF(B67="","",IF(COUNTIFS('Clients'!$A$6:$A$205,B67)&lt;&gt;1,"Check Client ID",IF(INDEX('Clients'!$B$6:$B$205,MATCH(B67,'Clients'!$A$6:$A$205,0))="","Name missing",INDEX('Clients'!$B$6:$B$205,MATCH(B67,'Clients'!$A$6:$A$205,0))))))</x:f>
      </x:c>
      <x:c r="L67" s="265" t="str">
        <x:f>IF(A67="","",IF(C67="","",IF(COUNTIFS('Properties'!$A$6:$A$205,C67)&lt;&gt;1,"Check Property ID",IF(INDEX('Properties'!$B$6:$B$205,MATCH(C67,'Properties'!$A$6:$A$205,0))="","Name missing",INDEX('Properties'!$B$6:$B$205,MATCH(C67,'Properties'!$A$6:$A$205,0))))))</x:f>
      </x:c>
      <x:c r="M67" s="265" t="str">
        <x:f>IF(A67="","",IF(COUNTIFS($A$6:$A$205,A67)&gt;1,"Duplicate ID",IF(OR(B67="",COUNTIFS('Clients'!$A$6:$A$205,B67)&lt;&gt;1),"Check Client ID",IF(AND(C67&lt;&gt;"",COUNTIFS('Properties'!$A$6:$A$205,C67)&lt;&gt;1),"Check Property ID",IF(I67="","Set task status",IF(AND(I67="Open",G67=""),"Add next action",IF(AND(I67="Open",NOT(ISNUMBER(H67))),"Add due date",IF(AND(ISNUMBER(D67),D67&gt;TODAY()),"Contact date is future",""))))))))</x:f>
      </x:c>
      <x:c r="N67" s="379" t="str">
        <x:f>IF(OR(A67="",I67&lt;&gt;"Open",NOT(ISNUMBER(H67))),"",COUNTIFS($A$6:$A$205,"&lt;&gt;",$I$6:$I$205,"Open",$H$6:$H$205,"&gt;0",$H$6:$H$205,"&lt;"&amp;H67)+COUNTIFS($A$6:A67,"&lt;&gt;",$I$6:I67,"Open",$H$6:H67,H67))</x:f>
      </x:c>
    </x:row>
    <x:row r="68" ht="26" customHeight="1">
      <x:c r="A68" s="317"/>
      <x:c r="B68" s="318"/>
      <x:c r="C68" s="235"/>
      <x:c r="D68" s="238"/>
      <x:c r="E68" s="235"/>
      <x:c r="F68" s="235"/>
      <x:c r="G68" s="235"/>
      <x:c r="H68" s="238"/>
      <x:c r="I68" s="235"/>
      <x:c r="J68" s="315" t="str">
        <x:f>IF(A68="","",IF(I68&lt;&gt;"Open","",IF(H68="","Set due date",IF(H68&lt;TODAY(),"Overdue",IF(H68=TODAY(),"Due today","Upcoming")))))</x:f>
      </x:c>
      <x:c r="K68" s="265" t="str">
        <x:f>IF(A68="","",IF(B68="","",IF(COUNTIFS('Clients'!$A$6:$A$205,B68)&lt;&gt;1,"Check Client ID",IF(INDEX('Clients'!$B$6:$B$205,MATCH(B68,'Clients'!$A$6:$A$205,0))="","Name missing",INDEX('Clients'!$B$6:$B$205,MATCH(B68,'Clients'!$A$6:$A$205,0))))))</x:f>
      </x:c>
      <x:c r="L68" s="265" t="str">
        <x:f>IF(A68="","",IF(C68="","",IF(COUNTIFS('Properties'!$A$6:$A$205,C68)&lt;&gt;1,"Check Property ID",IF(INDEX('Properties'!$B$6:$B$205,MATCH(C68,'Properties'!$A$6:$A$205,0))="","Name missing",INDEX('Properties'!$B$6:$B$205,MATCH(C68,'Properties'!$A$6:$A$205,0))))))</x:f>
      </x:c>
      <x:c r="M68" s="265" t="str">
        <x:f>IF(A68="","",IF(COUNTIFS($A$6:$A$205,A68)&gt;1,"Duplicate ID",IF(OR(B68="",COUNTIFS('Clients'!$A$6:$A$205,B68)&lt;&gt;1),"Check Client ID",IF(AND(C68&lt;&gt;"",COUNTIFS('Properties'!$A$6:$A$205,C68)&lt;&gt;1),"Check Property ID",IF(I68="","Set task status",IF(AND(I68="Open",G68=""),"Add next action",IF(AND(I68="Open",NOT(ISNUMBER(H68))),"Add due date",IF(AND(ISNUMBER(D68),D68&gt;TODAY()),"Contact date is future",""))))))))</x:f>
      </x:c>
      <x:c r="N68" s="379" t="str">
        <x:f>IF(OR(A68="",I68&lt;&gt;"Open",NOT(ISNUMBER(H68))),"",COUNTIFS($A$6:$A$205,"&lt;&gt;",$I$6:$I$205,"Open",$H$6:$H$205,"&gt;0",$H$6:$H$205,"&lt;"&amp;H68)+COUNTIFS($A$6:A68,"&lt;&gt;",$I$6:I68,"Open",$H$6:H68,H68))</x:f>
      </x:c>
    </x:row>
    <x:row r="69" ht="26" customHeight="1">
      <x:c r="A69" s="319"/>
      <x:c r="B69" s="320"/>
      <x:c r="C69" s="274"/>
      <x:c r="D69" s="304"/>
      <x:c r="E69" s="274"/>
      <x:c r="F69" s="274"/>
      <x:c r="G69" s="274"/>
      <x:c r="H69" s="304"/>
      <x:c r="I69" s="274"/>
      <x:c r="J69" s="315" t="str">
        <x:f>IF(A69="","",IF(I69&lt;&gt;"Open","",IF(H69="","Set due date",IF(H69&lt;TODAY(),"Overdue",IF(H69=TODAY(),"Due today","Upcoming")))))</x:f>
      </x:c>
      <x:c r="K69" s="265" t="str">
        <x:f>IF(A69="","",IF(B69="","",IF(COUNTIFS('Clients'!$A$6:$A$205,B69)&lt;&gt;1,"Check Client ID",IF(INDEX('Clients'!$B$6:$B$205,MATCH(B69,'Clients'!$A$6:$A$205,0))="","Name missing",INDEX('Clients'!$B$6:$B$205,MATCH(B69,'Clients'!$A$6:$A$205,0))))))</x:f>
      </x:c>
      <x:c r="L69" s="265" t="str">
        <x:f>IF(A69="","",IF(C69="","",IF(COUNTIFS('Properties'!$A$6:$A$205,C69)&lt;&gt;1,"Check Property ID",IF(INDEX('Properties'!$B$6:$B$205,MATCH(C69,'Properties'!$A$6:$A$205,0))="","Name missing",INDEX('Properties'!$B$6:$B$205,MATCH(C69,'Properties'!$A$6:$A$205,0))))))</x:f>
      </x:c>
      <x:c r="M69" s="265" t="str">
        <x:f>IF(A69="","",IF(COUNTIFS($A$6:$A$205,A69)&gt;1,"Duplicate ID",IF(OR(B69="",COUNTIFS('Clients'!$A$6:$A$205,B69)&lt;&gt;1),"Check Client ID",IF(AND(C69&lt;&gt;"",COUNTIFS('Properties'!$A$6:$A$205,C69)&lt;&gt;1),"Check Property ID",IF(I69="","Set task status",IF(AND(I69="Open",G69=""),"Add next action",IF(AND(I69="Open",NOT(ISNUMBER(H69))),"Add due date",IF(AND(ISNUMBER(D69),D69&gt;TODAY()),"Contact date is future",""))))))))</x:f>
      </x:c>
      <x:c r="N69" s="379" t="str">
        <x:f>IF(OR(A69="",I69&lt;&gt;"Open",NOT(ISNUMBER(H69))),"",COUNTIFS($A$6:$A$205,"&lt;&gt;",$I$6:$I$205,"Open",$H$6:$H$205,"&gt;0",$H$6:$H$205,"&lt;"&amp;H69)+COUNTIFS($A$6:A69,"&lt;&gt;",$I$6:I69,"Open",$H$6:H69,H69))</x:f>
      </x:c>
    </x:row>
    <x:row r="70" ht="26" customHeight="1">
      <x:c r="A70" s="317"/>
      <x:c r="B70" s="318"/>
      <x:c r="C70" s="235"/>
      <x:c r="D70" s="238"/>
      <x:c r="E70" s="235"/>
      <x:c r="F70" s="235"/>
      <x:c r="G70" s="235"/>
      <x:c r="H70" s="238"/>
      <x:c r="I70" s="235"/>
      <x:c r="J70" s="315" t="str">
        <x:f>IF(A70="","",IF(I70&lt;&gt;"Open","",IF(H70="","Set due date",IF(H70&lt;TODAY(),"Overdue",IF(H70=TODAY(),"Due today","Upcoming")))))</x:f>
      </x:c>
      <x:c r="K70" s="265" t="str">
        <x:f>IF(A70="","",IF(B70="","",IF(COUNTIFS('Clients'!$A$6:$A$205,B70)&lt;&gt;1,"Check Client ID",IF(INDEX('Clients'!$B$6:$B$205,MATCH(B70,'Clients'!$A$6:$A$205,0))="","Name missing",INDEX('Clients'!$B$6:$B$205,MATCH(B70,'Clients'!$A$6:$A$205,0))))))</x:f>
      </x:c>
      <x:c r="L70" s="265" t="str">
        <x:f>IF(A70="","",IF(C70="","",IF(COUNTIFS('Properties'!$A$6:$A$205,C70)&lt;&gt;1,"Check Property ID",IF(INDEX('Properties'!$B$6:$B$205,MATCH(C70,'Properties'!$A$6:$A$205,0))="","Name missing",INDEX('Properties'!$B$6:$B$205,MATCH(C70,'Properties'!$A$6:$A$205,0))))))</x:f>
      </x:c>
      <x:c r="M70" s="265" t="str">
        <x:f>IF(A70="","",IF(COUNTIFS($A$6:$A$205,A70)&gt;1,"Duplicate ID",IF(OR(B70="",COUNTIFS('Clients'!$A$6:$A$205,B70)&lt;&gt;1),"Check Client ID",IF(AND(C70&lt;&gt;"",COUNTIFS('Properties'!$A$6:$A$205,C70)&lt;&gt;1),"Check Property ID",IF(I70="","Set task status",IF(AND(I70="Open",G70=""),"Add next action",IF(AND(I70="Open",NOT(ISNUMBER(H70))),"Add due date",IF(AND(ISNUMBER(D70),D70&gt;TODAY()),"Contact date is future",""))))))))</x:f>
      </x:c>
      <x:c r="N70" s="379" t="str">
        <x:f>IF(OR(A70="",I70&lt;&gt;"Open",NOT(ISNUMBER(H70))),"",COUNTIFS($A$6:$A$205,"&lt;&gt;",$I$6:$I$205,"Open",$H$6:$H$205,"&gt;0",$H$6:$H$205,"&lt;"&amp;H70)+COUNTIFS($A$6:A70,"&lt;&gt;",$I$6:I70,"Open",$H$6:H70,H70))</x:f>
      </x:c>
    </x:row>
    <x:row r="71" ht="26" customHeight="1">
      <x:c r="A71" s="319"/>
      <x:c r="B71" s="320"/>
      <x:c r="C71" s="274"/>
      <x:c r="D71" s="304"/>
      <x:c r="E71" s="274"/>
      <x:c r="F71" s="274"/>
      <x:c r="G71" s="274"/>
      <x:c r="H71" s="304"/>
      <x:c r="I71" s="274"/>
      <x:c r="J71" s="315" t="str">
        <x:f>IF(A71="","",IF(I71&lt;&gt;"Open","",IF(H71="","Set due date",IF(H71&lt;TODAY(),"Overdue",IF(H71=TODAY(),"Due today","Upcoming")))))</x:f>
      </x:c>
      <x:c r="K71" s="265" t="str">
        <x:f>IF(A71="","",IF(B71="","",IF(COUNTIFS('Clients'!$A$6:$A$205,B71)&lt;&gt;1,"Check Client ID",IF(INDEX('Clients'!$B$6:$B$205,MATCH(B71,'Clients'!$A$6:$A$205,0))="","Name missing",INDEX('Clients'!$B$6:$B$205,MATCH(B71,'Clients'!$A$6:$A$205,0))))))</x:f>
      </x:c>
      <x:c r="L71" s="265" t="str">
        <x:f>IF(A71="","",IF(C71="","",IF(COUNTIFS('Properties'!$A$6:$A$205,C71)&lt;&gt;1,"Check Property ID",IF(INDEX('Properties'!$B$6:$B$205,MATCH(C71,'Properties'!$A$6:$A$205,0))="","Name missing",INDEX('Properties'!$B$6:$B$205,MATCH(C71,'Properties'!$A$6:$A$205,0))))))</x:f>
      </x:c>
      <x:c r="M71" s="265" t="str">
        <x:f>IF(A71="","",IF(COUNTIFS($A$6:$A$205,A71)&gt;1,"Duplicate ID",IF(OR(B71="",COUNTIFS('Clients'!$A$6:$A$205,B71)&lt;&gt;1),"Check Client ID",IF(AND(C71&lt;&gt;"",COUNTIFS('Properties'!$A$6:$A$205,C71)&lt;&gt;1),"Check Property ID",IF(I71="","Set task status",IF(AND(I71="Open",G71=""),"Add next action",IF(AND(I71="Open",NOT(ISNUMBER(H71))),"Add due date",IF(AND(ISNUMBER(D71),D71&gt;TODAY()),"Contact date is future",""))))))))</x:f>
      </x:c>
      <x:c r="N71" s="379" t="str">
        <x:f>IF(OR(A71="",I71&lt;&gt;"Open",NOT(ISNUMBER(H71))),"",COUNTIFS($A$6:$A$205,"&lt;&gt;",$I$6:$I$205,"Open",$H$6:$H$205,"&gt;0",$H$6:$H$205,"&lt;"&amp;H71)+COUNTIFS($A$6:A71,"&lt;&gt;",$I$6:I71,"Open",$H$6:H71,H71))</x:f>
      </x:c>
    </x:row>
    <x:row r="72" ht="26" customHeight="1">
      <x:c r="A72" s="317"/>
      <x:c r="B72" s="318"/>
      <x:c r="C72" s="235"/>
      <x:c r="D72" s="238"/>
      <x:c r="E72" s="235"/>
      <x:c r="F72" s="235"/>
      <x:c r="G72" s="235"/>
      <x:c r="H72" s="238"/>
      <x:c r="I72" s="235"/>
      <x:c r="J72" s="315" t="str">
        <x:f>IF(A72="","",IF(I72&lt;&gt;"Open","",IF(H72="","Set due date",IF(H72&lt;TODAY(),"Overdue",IF(H72=TODAY(),"Due today","Upcoming")))))</x:f>
      </x:c>
      <x:c r="K72" s="265" t="str">
        <x:f>IF(A72="","",IF(B72="","",IF(COUNTIFS('Clients'!$A$6:$A$205,B72)&lt;&gt;1,"Check Client ID",IF(INDEX('Clients'!$B$6:$B$205,MATCH(B72,'Clients'!$A$6:$A$205,0))="","Name missing",INDEX('Clients'!$B$6:$B$205,MATCH(B72,'Clients'!$A$6:$A$205,0))))))</x:f>
      </x:c>
      <x:c r="L72" s="265" t="str">
        <x:f>IF(A72="","",IF(C72="","",IF(COUNTIFS('Properties'!$A$6:$A$205,C72)&lt;&gt;1,"Check Property ID",IF(INDEX('Properties'!$B$6:$B$205,MATCH(C72,'Properties'!$A$6:$A$205,0))="","Name missing",INDEX('Properties'!$B$6:$B$205,MATCH(C72,'Properties'!$A$6:$A$205,0))))))</x:f>
      </x:c>
      <x:c r="M72" s="265" t="str">
        <x:f>IF(A72="","",IF(COUNTIFS($A$6:$A$205,A72)&gt;1,"Duplicate ID",IF(OR(B72="",COUNTIFS('Clients'!$A$6:$A$205,B72)&lt;&gt;1),"Check Client ID",IF(AND(C72&lt;&gt;"",COUNTIFS('Properties'!$A$6:$A$205,C72)&lt;&gt;1),"Check Property ID",IF(I72="","Set task status",IF(AND(I72="Open",G72=""),"Add next action",IF(AND(I72="Open",NOT(ISNUMBER(H72))),"Add due date",IF(AND(ISNUMBER(D72),D72&gt;TODAY()),"Contact date is future",""))))))))</x:f>
      </x:c>
      <x:c r="N72" s="379" t="str">
        <x:f>IF(OR(A72="",I72&lt;&gt;"Open",NOT(ISNUMBER(H72))),"",COUNTIFS($A$6:$A$205,"&lt;&gt;",$I$6:$I$205,"Open",$H$6:$H$205,"&gt;0",$H$6:$H$205,"&lt;"&amp;H72)+COUNTIFS($A$6:A72,"&lt;&gt;",$I$6:I72,"Open",$H$6:H72,H72))</x:f>
      </x:c>
    </x:row>
    <x:row r="73" ht="26" customHeight="1">
      <x:c r="A73" s="319"/>
      <x:c r="B73" s="320"/>
      <x:c r="C73" s="274"/>
      <x:c r="D73" s="304"/>
      <x:c r="E73" s="274"/>
      <x:c r="F73" s="274"/>
      <x:c r="G73" s="274"/>
      <x:c r="H73" s="304"/>
      <x:c r="I73" s="274"/>
      <x:c r="J73" s="315" t="str">
        <x:f>IF(A73="","",IF(I73&lt;&gt;"Open","",IF(H73="","Set due date",IF(H73&lt;TODAY(),"Overdue",IF(H73=TODAY(),"Due today","Upcoming")))))</x:f>
      </x:c>
      <x:c r="K73" s="265" t="str">
        <x:f>IF(A73="","",IF(B73="","",IF(COUNTIFS('Clients'!$A$6:$A$205,B73)&lt;&gt;1,"Check Client ID",IF(INDEX('Clients'!$B$6:$B$205,MATCH(B73,'Clients'!$A$6:$A$205,0))="","Name missing",INDEX('Clients'!$B$6:$B$205,MATCH(B73,'Clients'!$A$6:$A$205,0))))))</x:f>
      </x:c>
      <x:c r="L73" s="265" t="str">
        <x:f>IF(A73="","",IF(C73="","",IF(COUNTIFS('Properties'!$A$6:$A$205,C73)&lt;&gt;1,"Check Property ID",IF(INDEX('Properties'!$B$6:$B$205,MATCH(C73,'Properties'!$A$6:$A$205,0))="","Name missing",INDEX('Properties'!$B$6:$B$205,MATCH(C73,'Properties'!$A$6:$A$205,0))))))</x:f>
      </x:c>
      <x:c r="M73" s="265" t="str">
        <x:f>IF(A73="","",IF(COUNTIFS($A$6:$A$205,A73)&gt;1,"Duplicate ID",IF(OR(B73="",COUNTIFS('Clients'!$A$6:$A$205,B73)&lt;&gt;1),"Check Client ID",IF(AND(C73&lt;&gt;"",COUNTIFS('Properties'!$A$6:$A$205,C73)&lt;&gt;1),"Check Property ID",IF(I73="","Set task status",IF(AND(I73="Open",G73=""),"Add next action",IF(AND(I73="Open",NOT(ISNUMBER(H73))),"Add due date",IF(AND(ISNUMBER(D73),D73&gt;TODAY()),"Contact date is future",""))))))))</x:f>
      </x:c>
      <x:c r="N73" s="379" t="str">
        <x:f>IF(OR(A73="",I73&lt;&gt;"Open",NOT(ISNUMBER(H73))),"",COUNTIFS($A$6:$A$205,"&lt;&gt;",$I$6:$I$205,"Open",$H$6:$H$205,"&gt;0",$H$6:$H$205,"&lt;"&amp;H73)+COUNTIFS($A$6:A73,"&lt;&gt;",$I$6:I73,"Open",$H$6:H73,H73))</x:f>
      </x:c>
    </x:row>
    <x:row r="74" ht="26" customHeight="1">
      <x:c r="A74" s="317"/>
      <x:c r="B74" s="318"/>
      <x:c r="C74" s="235"/>
      <x:c r="D74" s="238"/>
      <x:c r="E74" s="235"/>
      <x:c r="F74" s="235"/>
      <x:c r="G74" s="235"/>
      <x:c r="H74" s="238"/>
      <x:c r="I74" s="235"/>
      <x:c r="J74" s="315" t="str">
        <x:f>IF(A74="","",IF(I74&lt;&gt;"Open","",IF(H74="","Set due date",IF(H74&lt;TODAY(),"Overdue",IF(H74=TODAY(),"Due today","Upcoming")))))</x:f>
      </x:c>
      <x:c r="K74" s="265" t="str">
        <x:f>IF(A74="","",IF(B74="","",IF(COUNTIFS('Clients'!$A$6:$A$205,B74)&lt;&gt;1,"Check Client ID",IF(INDEX('Clients'!$B$6:$B$205,MATCH(B74,'Clients'!$A$6:$A$205,0))="","Name missing",INDEX('Clients'!$B$6:$B$205,MATCH(B74,'Clients'!$A$6:$A$205,0))))))</x:f>
      </x:c>
      <x:c r="L74" s="265" t="str">
        <x:f>IF(A74="","",IF(C74="","",IF(COUNTIFS('Properties'!$A$6:$A$205,C74)&lt;&gt;1,"Check Property ID",IF(INDEX('Properties'!$B$6:$B$205,MATCH(C74,'Properties'!$A$6:$A$205,0))="","Name missing",INDEX('Properties'!$B$6:$B$205,MATCH(C74,'Properties'!$A$6:$A$205,0))))))</x:f>
      </x:c>
      <x:c r="M74" s="265" t="str">
        <x:f>IF(A74="","",IF(COUNTIFS($A$6:$A$205,A74)&gt;1,"Duplicate ID",IF(OR(B74="",COUNTIFS('Clients'!$A$6:$A$205,B74)&lt;&gt;1),"Check Client ID",IF(AND(C74&lt;&gt;"",COUNTIFS('Properties'!$A$6:$A$205,C74)&lt;&gt;1),"Check Property ID",IF(I74="","Set task status",IF(AND(I74="Open",G74=""),"Add next action",IF(AND(I74="Open",NOT(ISNUMBER(H74))),"Add due date",IF(AND(ISNUMBER(D74),D74&gt;TODAY()),"Contact date is future",""))))))))</x:f>
      </x:c>
      <x:c r="N74" s="379" t="str">
        <x:f>IF(OR(A74="",I74&lt;&gt;"Open",NOT(ISNUMBER(H74))),"",COUNTIFS($A$6:$A$205,"&lt;&gt;",$I$6:$I$205,"Open",$H$6:$H$205,"&gt;0",$H$6:$H$205,"&lt;"&amp;H74)+COUNTIFS($A$6:A74,"&lt;&gt;",$I$6:I74,"Open",$H$6:H74,H74))</x:f>
      </x:c>
    </x:row>
    <x:row r="75" ht="26" customHeight="1">
      <x:c r="A75" s="319"/>
      <x:c r="B75" s="320"/>
      <x:c r="C75" s="274"/>
      <x:c r="D75" s="304"/>
      <x:c r="E75" s="274"/>
      <x:c r="F75" s="274"/>
      <x:c r="G75" s="274"/>
      <x:c r="H75" s="304"/>
      <x:c r="I75" s="274"/>
      <x:c r="J75" s="315" t="str">
        <x:f>IF(A75="","",IF(I75&lt;&gt;"Open","",IF(H75="","Set due date",IF(H75&lt;TODAY(),"Overdue",IF(H75=TODAY(),"Due today","Upcoming")))))</x:f>
      </x:c>
      <x:c r="K75" s="265" t="str">
        <x:f>IF(A75="","",IF(B75="","",IF(COUNTIFS('Clients'!$A$6:$A$205,B75)&lt;&gt;1,"Check Client ID",IF(INDEX('Clients'!$B$6:$B$205,MATCH(B75,'Clients'!$A$6:$A$205,0))="","Name missing",INDEX('Clients'!$B$6:$B$205,MATCH(B75,'Clients'!$A$6:$A$205,0))))))</x:f>
      </x:c>
      <x:c r="L75" s="265" t="str">
        <x:f>IF(A75="","",IF(C75="","",IF(COUNTIFS('Properties'!$A$6:$A$205,C75)&lt;&gt;1,"Check Property ID",IF(INDEX('Properties'!$B$6:$B$205,MATCH(C75,'Properties'!$A$6:$A$205,0))="","Name missing",INDEX('Properties'!$B$6:$B$205,MATCH(C75,'Properties'!$A$6:$A$205,0))))))</x:f>
      </x:c>
      <x:c r="M75" s="265" t="str">
        <x:f>IF(A75="","",IF(COUNTIFS($A$6:$A$205,A75)&gt;1,"Duplicate ID",IF(OR(B75="",COUNTIFS('Clients'!$A$6:$A$205,B75)&lt;&gt;1),"Check Client ID",IF(AND(C75&lt;&gt;"",COUNTIFS('Properties'!$A$6:$A$205,C75)&lt;&gt;1),"Check Property ID",IF(I75="","Set task status",IF(AND(I75="Open",G75=""),"Add next action",IF(AND(I75="Open",NOT(ISNUMBER(H75))),"Add due date",IF(AND(ISNUMBER(D75),D75&gt;TODAY()),"Contact date is future",""))))))))</x:f>
      </x:c>
      <x:c r="N75" s="379" t="str">
        <x:f>IF(OR(A75="",I75&lt;&gt;"Open",NOT(ISNUMBER(H75))),"",COUNTIFS($A$6:$A$205,"&lt;&gt;",$I$6:$I$205,"Open",$H$6:$H$205,"&gt;0",$H$6:$H$205,"&lt;"&amp;H75)+COUNTIFS($A$6:A75,"&lt;&gt;",$I$6:I75,"Open",$H$6:H75,H75))</x:f>
      </x:c>
    </x:row>
    <x:row r="76" ht="26" customHeight="1">
      <x:c r="A76" s="317"/>
      <x:c r="B76" s="318"/>
      <x:c r="C76" s="235"/>
      <x:c r="D76" s="238"/>
      <x:c r="E76" s="235"/>
      <x:c r="F76" s="235"/>
      <x:c r="G76" s="235"/>
      <x:c r="H76" s="238"/>
      <x:c r="I76" s="235"/>
      <x:c r="J76" s="315" t="str">
        <x:f>IF(A76="","",IF(I76&lt;&gt;"Open","",IF(H76="","Set due date",IF(H76&lt;TODAY(),"Overdue",IF(H76=TODAY(),"Due today","Upcoming")))))</x:f>
      </x:c>
      <x:c r="K76" s="265" t="str">
        <x:f>IF(A76="","",IF(B76="","",IF(COUNTIFS('Clients'!$A$6:$A$205,B76)&lt;&gt;1,"Check Client ID",IF(INDEX('Clients'!$B$6:$B$205,MATCH(B76,'Clients'!$A$6:$A$205,0))="","Name missing",INDEX('Clients'!$B$6:$B$205,MATCH(B76,'Clients'!$A$6:$A$205,0))))))</x:f>
      </x:c>
      <x:c r="L76" s="265" t="str">
        <x:f>IF(A76="","",IF(C76="","",IF(COUNTIFS('Properties'!$A$6:$A$205,C76)&lt;&gt;1,"Check Property ID",IF(INDEX('Properties'!$B$6:$B$205,MATCH(C76,'Properties'!$A$6:$A$205,0))="","Name missing",INDEX('Properties'!$B$6:$B$205,MATCH(C76,'Properties'!$A$6:$A$205,0))))))</x:f>
      </x:c>
      <x:c r="M76" s="265" t="str">
        <x:f>IF(A76="","",IF(COUNTIFS($A$6:$A$205,A76)&gt;1,"Duplicate ID",IF(OR(B76="",COUNTIFS('Clients'!$A$6:$A$205,B76)&lt;&gt;1),"Check Client ID",IF(AND(C76&lt;&gt;"",COUNTIFS('Properties'!$A$6:$A$205,C76)&lt;&gt;1),"Check Property ID",IF(I76="","Set task status",IF(AND(I76="Open",G76=""),"Add next action",IF(AND(I76="Open",NOT(ISNUMBER(H76))),"Add due date",IF(AND(ISNUMBER(D76),D76&gt;TODAY()),"Contact date is future",""))))))))</x:f>
      </x:c>
      <x:c r="N76" s="379" t="str">
        <x:f>IF(OR(A76="",I76&lt;&gt;"Open",NOT(ISNUMBER(H76))),"",COUNTIFS($A$6:$A$205,"&lt;&gt;",$I$6:$I$205,"Open",$H$6:$H$205,"&gt;0",$H$6:$H$205,"&lt;"&amp;H76)+COUNTIFS($A$6:A76,"&lt;&gt;",$I$6:I76,"Open",$H$6:H76,H76))</x:f>
      </x:c>
    </x:row>
    <x:row r="77" ht="26" customHeight="1">
      <x:c r="A77" s="319"/>
      <x:c r="B77" s="320"/>
      <x:c r="C77" s="274"/>
      <x:c r="D77" s="304"/>
      <x:c r="E77" s="274"/>
      <x:c r="F77" s="274"/>
      <x:c r="G77" s="274"/>
      <x:c r="H77" s="304"/>
      <x:c r="I77" s="274"/>
      <x:c r="J77" s="315" t="str">
        <x:f>IF(A77="","",IF(I77&lt;&gt;"Open","",IF(H77="","Set due date",IF(H77&lt;TODAY(),"Overdue",IF(H77=TODAY(),"Due today","Upcoming")))))</x:f>
      </x:c>
      <x:c r="K77" s="265" t="str">
        <x:f>IF(A77="","",IF(B77="","",IF(COUNTIFS('Clients'!$A$6:$A$205,B77)&lt;&gt;1,"Check Client ID",IF(INDEX('Clients'!$B$6:$B$205,MATCH(B77,'Clients'!$A$6:$A$205,0))="","Name missing",INDEX('Clients'!$B$6:$B$205,MATCH(B77,'Clients'!$A$6:$A$205,0))))))</x:f>
      </x:c>
      <x:c r="L77" s="265" t="str">
        <x:f>IF(A77="","",IF(C77="","",IF(COUNTIFS('Properties'!$A$6:$A$205,C77)&lt;&gt;1,"Check Property ID",IF(INDEX('Properties'!$B$6:$B$205,MATCH(C77,'Properties'!$A$6:$A$205,0))="","Name missing",INDEX('Properties'!$B$6:$B$205,MATCH(C77,'Properties'!$A$6:$A$205,0))))))</x:f>
      </x:c>
      <x:c r="M77" s="265" t="str">
        <x:f>IF(A77="","",IF(COUNTIFS($A$6:$A$205,A77)&gt;1,"Duplicate ID",IF(OR(B77="",COUNTIFS('Clients'!$A$6:$A$205,B77)&lt;&gt;1),"Check Client ID",IF(AND(C77&lt;&gt;"",COUNTIFS('Properties'!$A$6:$A$205,C77)&lt;&gt;1),"Check Property ID",IF(I77="","Set task status",IF(AND(I77="Open",G77=""),"Add next action",IF(AND(I77="Open",NOT(ISNUMBER(H77))),"Add due date",IF(AND(ISNUMBER(D77),D77&gt;TODAY()),"Contact date is future",""))))))))</x:f>
      </x:c>
      <x:c r="N77" s="379" t="str">
        <x:f>IF(OR(A77="",I77&lt;&gt;"Open",NOT(ISNUMBER(H77))),"",COUNTIFS($A$6:$A$205,"&lt;&gt;",$I$6:$I$205,"Open",$H$6:$H$205,"&gt;0",$H$6:$H$205,"&lt;"&amp;H77)+COUNTIFS($A$6:A77,"&lt;&gt;",$I$6:I77,"Open",$H$6:H77,H77))</x:f>
      </x:c>
    </x:row>
    <x:row r="78" ht="26" customHeight="1">
      <x:c r="A78" s="317"/>
      <x:c r="B78" s="318"/>
      <x:c r="C78" s="235"/>
      <x:c r="D78" s="238"/>
      <x:c r="E78" s="235"/>
      <x:c r="F78" s="235"/>
      <x:c r="G78" s="235"/>
      <x:c r="H78" s="238"/>
      <x:c r="I78" s="235"/>
      <x:c r="J78" s="315" t="str">
        <x:f>IF(A78="","",IF(I78&lt;&gt;"Open","",IF(H78="","Set due date",IF(H78&lt;TODAY(),"Overdue",IF(H78=TODAY(),"Due today","Upcoming")))))</x:f>
      </x:c>
      <x:c r="K78" s="265" t="str">
        <x:f>IF(A78="","",IF(B78="","",IF(COUNTIFS('Clients'!$A$6:$A$205,B78)&lt;&gt;1,"Check Client ID",IF(INDEX('Clients'!$B$6:$B$205,MATCH(B78,'Clients'!$A$6:$A$205,0))="","Name missing",INDEX('Clients'!$B$6:$B$205,MATCH(B78,'Clients'!$A$6:$A$205,0))))))</x:f>
      </x:c>
      <x:c r="L78" s="265" t="str">
        <x:f>IF(A78="","",IF(C78="","",IF(COUNTIFS('Properties'!$A$6:$A$205,C78)&lt;&gt;1,"Check Property ID",IF(INDEX('Properties'!$B$6:$B$205,MATCH(C78,'Properties'!$A$6:$A$205,0))="","Name missing",INDEX('Properties'!$B$6:$B$205,MATCH(C78,'Properties'!$A$6:$A$205,0))))))</x:f>
      </x:c>
      <x:c r="M78" s="265" t="str">
        <x:f>IF(A78="","",IF(COUNTIFS($A$6:$A$205,A78)&gt;1,"Duplicate ID",IF(OR(B78="",COUNTIFS('Clients'!$A$6:$A$205,B78)&lt;&gt;1),"Check Client ID",IF(AND(C78&lt;&gt;"",COUNTIFS('Properties'!$A$6:$A$205,C78)&lt;&gt;1),"Check Property ID",IF(I78="","Set task status",IF(AND(I78="Open",G78=""),"Add next action",IF(AND(I78="Open",NOT(ISNUMBER(H78))),"Add due date",IF(AND(ISNUMBER(D78),D78&gt;TODAY()),"Contact date is future",""))))))))</x:f>
      </x:c>
      <x:c r="N78" s="379" t="str">
        <x:f>IF(OR(A78="",I78&lt;&gt;"Open",NOT(ISNUMBER(H78))),"",COUNTIFS($A$6:$A$205,"&lt;&gt;",$I$6:$I$205,"Open",$H$6:$H$205,"&gt;0",$H$6:$H$205,"&lt;"&amp;H78)+COUNTIFS($A$6:A78,"&lt;&gt;",$I$6:I78,"Open",$H$6:H78,H78))</x:f>
      </x:c>
    </x:row>
    <x:row r="79" ht="26" customHeight="1">
      <x:c r="A79" s="319"/>
      <x:c r="B79" s="320"/>
      <x:c r="C79" s="274"/>
      <x:c r="D79" s="304"/>
      <x:c r="E79" s="274"/>
      <x:c r="F79" s="274"/>
      <x:c r="G79" s="274"/>
      <x:c r="H79" s="304"/>
      <x:c r="I79" s="274"/>
      <x:c r="J79" s="315" t="str">
        <x:f>IF(A79="","",IF(I79&lt;&gt;"Open","",IF(H79="","Set due date",IF(H79&lt;TODAY(),"Overdue",IF(H79=TODAY(),"Due today","Upcoming")))))</x:f>
      </x:c>
      <x:c r="K79" s="265" t="str">
        <x:f>IF(A79="","",IF(B79="","",IF(COUNTIFS('Clients'!$A$6:$A$205,B79)&lt;&gt;1,"Check Client ID",IF(INDEX('Clients'!$B$6:$B$205,MATCH(B79,'Clients'!$A$6:$A$205,0))="","Name missing",INDEX('Clients'!$B$6:$B$205,MATCH(B79,'Clients'!$A$6:$A$205,0))))))</x:f>
      </x:c>
      <x:c r="L79" s="265" t="str">
        <x:f>IF(A79="","",IF(C79="","",IF(COUNTIFS('Properties'!$A$6:$A$205,C79)&lt;&gt;1,"Check Property ID",IF(INDEX('Properties'!$B$6:$B$205,MATCH(C79,'Properties'!$A$6:$A$205,0))="","Name missing",INDEX('Properties'!$B$6:$B$205,MATCH(C79,'Properties'!$A$6:$A$205,0))))))</x:f>
      </x:c>
      <x:c r="M79" s="265" t="str">
        <x:f>IF(A79="","",IF(COUNTIFS($A$6:$A$205,A79)&gt;1,"Duplicate ID",IF(OR(B79="",COUNTIFS('Clients'!$A$6:$A$205,B79)&lt;&gt;1),"Check Client ID",IF(AND(C79&lt;&gt;"",COUNTIFS('Properties'!$A$6:$A$205,C79)&lt;&gt;1),"Check Property ID",IF(I79="","Set task status",IF(AND(I79="Open",G79=""),"Add next action",IF(AND(I79="Open",NOT(ISNUMBER(H79))),"Add due date",IF(AND(ISNUMBER(D79),D79&gt;TODAY()),"Contact date is future",""))))))))</x:f>
      </x:c>
      <x:c r="N79" s="379" t="str">
        <x:f>IF(OR(A79="",I79&lt;&gt;"Open",NOT(ISNUMBER(H79))),"",COUNTIFS($A$6:$A$205,"&lt;&gt;",$I$6:$I$205,"Open",$H$6:$H$205,"&gt;0",$H$6:$H$205,"&lt;"&amp;H79)+COUNTIFS($A$6:A79,"&lt;&gt;",$I$6:I79,"Open",$H$6:H79,H79))</x:f>
      </x:c>
    </x:row>
    <x:row r="80" ht="26" customHeight="1">
      <x:c r="A80" s="317"/>
      <x:c r="B80" s="318"/>
      <x:c r="C80" s="235"/>
      <x:c r="D80" s="238"/>
      <x:c r="E80" s="235"/>
      <x:c r="F80" s="235"/>
      <x:c r="G80" s="235"/>
      <x:c r="H80" s="238"/>
      <x:c r="I80" s="235"/>
      <x:c r="J80" s="315" t="str">
        <x:f>IF(A80="","",IF(I80&lt;&gt;"Open","",IF(H80="","Set due date",IF(H80&lt;TODAY(),"Overdue",IF(H80=TODAY(),"Due today","Upcoming")))))</x:f>
      </x:c>
      <x:c r="K80" s="265" t="str">
        <x:f>IF(A80="","",IF(B80="","",IF(COUNTIFS('Clients'!$A$6:$A$205,B80)&lt;&gt;1,"Check Client ID",IF(INDEX('Clients'!$B$6:$B$205,MATCH(B80,'Clients'!$A$6:$A$205,0))="","Name missing",INDEX('Clients'!$B$6:$B$205,MATCH(B80,'Clients'!$A$6:$A$205,0))))))</x:f>
      </x:c>
      <x:c r="L80" s="265" t="str">
        <x:f>IF(A80="","",IF(C80="","",IF(COUNTIFS('Properties'!$A$6:$A$205,C80)&lt;&gt;1,"Check Property ID",IF(INDEX('Properties'!$B$6:$B$205,MATCH(C80,'Properties'!$A$6:$A$205,0))="","Name missing",INDEX('Properties'!$B$6:$B$205,MATCH(C80,'Properties'!$A$6:$A$205,0))))))</x:f>
      </x:c>
      <x:c r="M80" s="265" t="str">
        <x:f>IF(A80="","",IF(COUNTIFS($A$6:$A$205,A80)&gt;1,"Duplicate ID",IF(OR(B80="",COUNTIFS('Clients'!$A$6:$A$205,B80)&lt;&gt;1),"Check Client ID",IF(AND(C80&lt;&gt;"",COUNTIFS('Properties'!$A$6:$A$205,C80)&lt;&gt;1),"Check Property ID",IF(I80="","Set task status",IF(AND(I80="Open",G80=""),"Add next action",IF(AND(I80="Open",NOT(ISNUMBER(H80))),"Add due date",IF(AND(ISNUMBER(D80),D80&gt;TODAY()),"Contact date is future",""))))))))</x:f>
      </x:c>
      <x:c r="N80" s="379" t="str">
        <x:f>IF(OR(A80="",I80&lt;&gt;"Open",NOT(ISNUMBER(H80))),"",COUNTIFS($A$6:$A$205,"&lt;&gt;",$I$6:$I$205,"Open",$H$6:$H$205,"&gt;0",$H$6:$H$205,"&lt;"&amp;H80)+COUNTIFS($A$6:A80,"&lt;&gt;",$I$6:I80,"Open",$H$6:H80,H80))</x:f>
      </x:c>
    </x:row>
    <x:row r="81" ht="26" customHeight="1">
      <x:c r="A81" s="319"/>
      <x:c r="B81" s="320"/>
      <x:c r="C81" s="274"/>
      <x:c r="D81" s="304"/>
      <x:c r="E81" s="274"/>
      <x:c r="F81" s="274"/>
      <x:c r="G81" s="274"/>
      <x:c r="H81" s="304"/>
      <x:c r="I81" s="274"/>
      <x:c r="J81" s="315" t="str">
        <x:f>IF(A81="","",IF(I81&lt;&gt;"Open","",IF(H81="","Set due date",IF(H81&lt;TODAY(),"Overdue",IF(H81=TODAY(),"Due today","Upcoming")))))</x:f>
      </x:c>
      <x:c r="K81" s="265" t="str">
        <x:f>IF(A81="","",IF(B81="","",IF(COUNTIFS('Clients'!$A$6:$A$205,B81)&lt;&gt;1,"Check Client ID",IF(INDEX('Clients'!$B$6:$B$205,MATCH(B81,'Clients'!$A$6:$A$205,0))="","Name missing",INDEX('Clients'!$B$6:$B$205,MATCH(B81,'Clients'!$A$6:$A$205,0))))))</x:f>
      </x:c>
      <x:c r="L81" s="265" t="str">
        <x:f>IF(A81="","",IF(C81="","",IF(COUNTIFS('Properties'!$A$6:$A$205,C81)&lt;&gt;1,"Check Property ID",IF(INDEX('Properties'!$B$6:$B$205,MATCH(C81,'Properties'!$A$6:$A$205,0))="","Name missing",INDEX('Properties'!$B$6:$B$205,MATCH(C81,'Properties'!$A$6:$A$205,0))))))</x:f>
      </x:c>
      <x:c r="M81" s="265" t="str">
        <x:f>IF(A81="","",IF(COUNTIFS($A$6:$A$205,A81)&gt;1,"Duplicate ID",IF(OR(B81="",COUNTIFS('Clients'!$A$6:$A$205,B81)&lt;&gt;1),"Check Client ID",IF(AND(C81&lt;&gt;"",COUNTIFS('Properties'!$A$6:$A$205,C81)&lt;&gt;1),"Check Property ID",IF(I81="","Set task status",IF(AND(I81="Open",G81=""),"Add next action",IF(AND(I81="Open",NOT(ISNUMBER(H81))),"Add due date",IF(AND(ISNUMBER(D81),D81&gt;TODAY()),"Contact date is future",""))))))))</x:f>
      </x:c>
      <x:c r="N81" s="379" t="str">
        <x:f>IF(OR(A81="",I81&lt;&gt;"Open",NOT(ISNUMBER(H81))),"",COUNTIFS($A$6:$A$205,"&lt;&gt;",$I$6:$I$205,"Open",$H$6:$H$205,"&gt;0",$H$6:$H$205,"&lt;"&amp;H81)+COUNTIFS($A$6:A81,"&lt;&gt;",$I$6:I81,"Open",$H$6:H81,H81))</x:f>
      </x:c>
    </x:row>
    <x:row r="82" ht="26" customHeight="1">
      <x:c r="A82" s="317"/>
      <x:c r="B82" s="318"/>
      <x:c r="C82" s="235"/>
      <x:c r="D82" s="238"/>
      <x:c r="E82" s="235"/>
      <x:c r="F82" s="235"/>
      <x:c r="G82" s="235"/>
      <x:c r="H82" s="238"/>
      <x:c r="I82" s="235"/>
      <x:c r="J82" s="315" t="str">
        <x:f>IF(A82="","",IF(I82&lt;&gt;"Open","",IF(H82="","Set due date",IF(H82&lt;TODAY(),"Overdue",IF(H82=TODAY(),"Due today","Upcoming")))))</x:f>
      </x:c>
      <x:c r="K82" s="265" t="str">
        <x:f>IF(A82="","",IF(B82="","",IF(COUNTIFS('Clients'!$A$6:$A$205,B82)&lt;&gt;1,"Check Client ID",IF(INDEX('Clients'!$B$6:$B$205,MATCH(B82,'Clients'!$A$6:$A$205,0))="","Name missing",INDEX('Clients'!$B$6:$B$205,MATCH(B82,'Clients'!$A$6:$A$205,0))))))</x:f>
      </x:c>
      <x:c r="L82" s="265" t="str">
        <x:f>IF(A82="","",IF(C82="","",IF(COUNTIFS('Properties'!$A$6:$A$205,C82)&lt;&gt;1,"Check Property ID",IF(INDEX('Properties'!$B$6:$B$205,MATCH(C82,'Properties'!$A$6:$A$205,0))="","Name missing",INDEX('Properties'!$B$6:$B$205,MATCH(C82,'Properties'!$A$6:$A$205,0))))))</x:f>
      </x:c>
      <x:c r="M82" s="265" t="str">
        <x:f>IF(A82="","",IF(COUNTIFS($A$6:$A$205,A82)&gt;1,"Duplicate ID",IF(OR(B82="",COUNTIFS('Clients'!$A$6:$A$205,B82)&lt;&gt;1),"Check Client ID",IF(AND(C82&lt;&gt;"",COUNTIFS('Properties'!$A$6:$A$205,C82)&lt;&gt;1),"Check Property ID",IF(I82="","Set task status",IF(AND(I82="Open",G82=""),"Add next action",IF(AND(I82="Open",NOT(ISNUMBER(H82))),"Add due date",IF(AND(ISNUMBER(D82),D82&gt;TODAY()),"Contact date is future",""))))))))</x:f>
      </x:c>
      <x:c r="N82" s="379" t="str">
        <x:f>IF(OR(A82="",I82&lt;&gt;"Open",NOT(ISNUMBER(H82))),"",COUNTIFS($A$6:$A$205,"&lt;&gt;",$I$6:$I$205,"Open",$H$6:$H$205,"&gt;0",$H$6:$H$205,"&lt;"&amp;H82)+COUNTIFS($A$6:A82,"&lt;&gt;",$I$6:I82,"Open",$H$6:H82,H82))</x:f>
      </x:c>
    </x:row>
    <x:row r="83" ht="26" customHeight="1">
      <x:c r="A83" s="319"/>
      <x:c r="B83" s="320"/>
      <x:c r="C83" s="274"/>
      <x:c r="D83" s="304"/>
      <x:c r="E83" s="274"/>
      <x:c r="F83" s="274"/>
      <x:c r="G83" s="274"/>
      <x:c r="H83" s="304"/>
      <x:c r="I83" s="274"/>
      <x:c r="J83" s="315" t="str">
        <x:f>IF(A83="","",IF(I83&lt;&gt;"Open","",IF(H83="","Set due date",IF(H83&lt;TODAY(),"Overdue",IF(H83=TODAY(),"Due today","Upcoming")))))</x:f>
      </x:c>
      <x:c r="K83" s="265" t="str">
        <x:f>IF(A83="","",IF(B83="","",IF(COUNTIFS('Clients'!$A$6:$A$205,B83)&lt;&gt;1,"Check Client ID",IF(INDEX('Clients'!$B$6:$B$205,MATCH(B83,'Clients'!$A$6:$A$205,0))="","Name missing",INDEX('Clients'!$B$6:$B$205,MATCH(B83,'Clients'!$A$6:$A$205,0))))))</x:f>
      </x:c>
      <x:c r="L83" s="265" t="str">
        <x:f>IF(A83="","",IF(C83="","",IF(COUNTIFS('Properties'!$A$6:$A$205,C83)&lt;&gt;1,"Check Property ID",IF(INDEX('Properties'!$B$6:$B$205,MATCH(C83,'Properties'!$A$6:$A$205,0))="","Name missing",INDEX('Properties'!$B$6:$B$205,MATCH(C83,'Properties'!$A$6:$A$205,0))))))</x:f>
      </x:c>
      <x:c r="M83" s="265" t="str">
        <x:f>IF(A83="","",IF(COUNTIFS($A$6:$A$205,A83)&gt;1,"Duplicate ID",IF(OR(B83="",COUNTIFS('Clients'!$A$6:$A$205,B83)&lt;&gt;1),"Check Client ID",IF(AND(C83&lt;&gt;"",COUNTIFS('Properties'!$A$6:$A$205,C83)&lt;&gt;1),"Check Property ID",IF(I83="","Set task status",IF(AND(I83="Open",G83=""),"Add next action",IF(AND(I83="Open",NOT(ISNUMBER(H83))),"Add due date",IF(AND(ISNUMBER(D83),D83&gt;TODAY()),"Contact date is future",""))))))))</x:f>
      </x:c>
      <x:c r="N83" s="379" t="str">
        <x:f>IF(OR(A83="",I83&lt;&gt;"Open",NOT(ISNUMBER(H83))),"",COUNTIFS($A$6:$A$205,"&lt;&gt;",$I$6:$I$205,"Open",$H$6:$H$205,"&gt;0",$H$6:$H$205,"&lt;"&amp;H83)+COUNTIFS($A$6:A83,"&lt;&gt;",$I$6:I83,"Open",$H$6:H83,H83))</x:f>
      </x:c>
    </x:row>
    <x:row r="84" ht="26" customHeight="1">
      <x:c r="A84" s="317"/>
      <x:c r="B84" s="318"/>
      <x:c r="C84" s="235"/>
      <x:c r="D84" s="238"/>
      <x:c r="E84" s="235"/>
      <x:c r="F84" s="235"/>
      <x:c r="G84" s="235"/>
      <x:c r="H84" s="238"/>
      <x:c r="I84" s="235"/>
      <x:c r="J84" s="315" t="str">
        <x:f>IF(A84="","",IF(I84&lt;&gt;"Open","",IF(H84="","Set due date",IF(H84&lt;TODAY(),"Overdue",IF(H84=TODAY(),"Due today","Upcoming")))))</x:f>
      </x:c>
      <x:c r="K84" s="265" t="str">
        <x:f>IF(A84="","",IF(B84="","",IF(COUNTIFS('Clients'!$A$6:$A$205,B84)&lt;&gt;1,"Check Client ID",IF(INDEX('Clients'!$B$6:$B$205,MATCH(B84,'Clients'!$A$6:$A$205,0))="","Name missing",INDEX('Clients'!$B$6:$B$205,MATCH(B84,'Clients'!$A$6:$A$205,0))))))</x:f>
      </x:c>
      <x:c r="L84" s="265" t="str">
        <x:f>IF(A84="","",IF(C84="","",IF(COUNTIFS('Properties'!$A$6:$A$205,C84)&lt;&gt;1,"Check Property ID",IF(INDEX('Properties'!$B$6:$B$205,MATCH(C84,'Properties'!$A$6:$A$205,0))="","Name missing",INDEX('Properties'!$B$6:$B$205,MATCH(C84,'Properties'!$A$6:$A$205,0))))))</x:f>
      </x:c>
      <x:c r="M84" s="265" t="str">
        <x:f>IF(A84="","",IF(COUNTIFS($A$6:$A$205,A84)&gt;1,"Duplicate ID",IF(OR(B84="",COUNTIFS('Clients'!$A$6:$A$205,B84)&lt;&gt;1),"Check Client ID",IF(AND(C84&lt;&gt;"",COUNTIFS('Properties'!$A$6:$A$205,C84)&lt;&gt;1),"Check Property ID",IF(I84="","Set task status",IF(AND(I84="Open",G84=""),"Add next action",IF(AND(I84="Open",NOT(ISNUMBER(H84))),"Add due date",IF(AND(ISNUMBER(D84),D84&gt;TODAY()),"Contact date is future",""))))))))</x:f>
      </x:c>
      <x:c r="N84" s="379" t="str">
        <x:f>IF(OR(A84="",I84&lt;&gt;"Open",NOT(ISNUMBER(H84))),"",COUNTIFS($A$6:$A$205,"&lt;&gt;",$I$6:$I$205,"Open",$H$6:$H$205,"&gt;0",$H$6:$H$205,"&lt;"&amp;H84)+COUNTIFS($A$6:A84,"&lt;&gt;",$I$6:I84,"Open",$H$6:H84,H84))</x:f>
      </x:c>
    </x:row>
    <x:row r="85" ht="26" customHeight="1">
      <x:c r="A85" s="319"/>
      <x:c r="B85" s="320"/>
      <x:c r="C85" s="274"/>
      <x:c r="D85" s="304"/>
      <x:c r="E85" s="274"/>
      <x:c r="F85" s="274"/>
      <x:c r="G85" s="274"/>
      <x:c r="H85" s="304"/>
      <x:c r="I85" s="274"/>
      <x:c r="J85" s="315" t="str">
        <x:f>IF(A85="","",IF(I85&lt;&gt;"Open","",IF(H85="","Set due date",IF(H85&lt;TODAY(),"Overdue",IF(H85=TODAY(),"Due today","Upcoming")))))</x:f>
      </x:c>
      <x:c r="K85" s="265" t="str">
        <x:f>IF(A85="","",IF(B85="","",IF(COUNTIFS('Clients'!$A$6:$A$205,B85)&lt;&gt;1,"Check Client ID",IF(INDEX('Clients'!$B$6:$B$205,MATCH(B85,'Clients'!$A$6:$A$205,0))="","Name missing",INDEX('Clients'!$B$6:$B$205,MATCH(B85,'Clients'!$A$6:$A$205,0))))))</x:f>
      </x:c>
      <x:c r="L85" s="265" t="str">
        <x:f>IF(A85="","",IF(C85="","",IF(COUNTIFS('Properties'!$A$6:$A$205,C85)&lt;&gt;1,"Check Property ID",IF(INDEX('Properties'!$B$6:$B$205,MATCH(C85,'Properties'!$A$6:$A$205,0))="","Name missing",INDEX('Properties'!$B$6:$B$205,MATCH(C85,'Properties'!$A$6:$A$205,0))))))</x:f>
      </x:c>
      <x:c r="M85" s="265" t="str">
        <x:f>IF(A85="","",IF(COUNTIFS($A$6:$A$205,A85)&gt;1,"Duplicate ID",IF(OR(B85="",COUNTIFS('Clients'!$A$6:$A$205,B85)&lt;&gt;1),"Check Client ID",IF(AND(C85&lt;&gt;"",COUNTIFS('Properties'!$A$6:$A$205,C85)&lt;&gt;1),"Check Property ID",IF(I85="","Set task status",IF(AND(I85="Open",G85=""),"Add next action",IF(AND(I85="Open",NOT(ISNUMBER(H85))),"Add due date",IF(AND(ISNUMBER(D85),D85&gt;TODAY()),"Contact date is future",""))))))))</x:f>
      </x:c>
      <x:c r="N85" s="379" t="str">
        <x:f>IF(OR(A85="",I85&lt;&gt;"Open",NOT(ISNUMBER(H85))),"",COUNTIFS($A$6:$A$205,"&lt;&gt;",$I$6:$I$205,"Open",$H$6:$H$205,"&gt;0",$H$6:$H$205,"&lt;"&amp;H85)+COUNTIFS($A$6:A85,"&lt;&gt;",$I$6:I85,"Open",$H$6:H85,H85))</x:f>
      </x:c>
    </x:row>
    <x:row r="86" ht="26" customHeight="1">
      <x:c r="A86" s="317"/>
      <x:c r="B86" s="318"/>
      <x:c r="C86" s="235"/>
      <x:c r="D86" s="238"/>
      <x:c r="E86" s="235"/>
      <x:c r="F86" s="235"/>
      <x:c r="G86" s="235"/>
      <x:c r="H86" s="238"/>
      <x:c r="I86" s="235"/>
      <x:c r="J86" s="315" t="str">
        <x:f>IF(A86="","",IF(I86&lt;&gt;"Open","",IF(H86="","Set due date",IF(H86&lt;TODAY(),"Overdue",IF(H86=TODAY(),"Due today","Upcoming")))))</x:f>
      </x:c>
      <x:c r="K86" s="265" t="str">
        <x:f>IF(A86="","",IF(B86="","",IF(COUNTIFS('Clients'!$A$6:$A$205,B86)&lt;&gt;1,"Check Client ID",IF(INDEX('Clients'!$B$6:$B$205,MATCH(B86,'Clients'!$A$6:$A$205,0))="","Name missing",INDEX('Clients'!$B$6:$B$205,MATCH(B86,'Clients'!$A$6:$A$205,0))))))</x:f>
      </x:c>
      <x:c r="L86" s="265" t="str">
        <x:f>IF(A86="","",IF(C86="","",IF(COUNTIFS('Properties'!$A$6:$A$205,C86)&lt;&gt;1,"Check Property ID",IF(INDEX('Properties'!$B$6:$B$205,MATCH(C86,'Properties'!$A$6:$A$205,0))="","Name missing",INDEX('Properties'!$B$6:$B$205,MATCH(C86,'Properties'!$A$6:$A$205,0))))))</x:f>
      </x:c>
      <x:c r="M86" s="265" t="str">
        <x:f>IF(A86="","",IF(COUNTIFS($A$6:$A$205,A86)&gt;1,"Duplicate ID",IF(OR(B86="",COUNTIFS('Clients'!$A$6:$A$205,B86)&lt;&gt;1),"Check Client ID",IF(AND(C86&lt;&gt;"",COUNTIFS('Properties'!$A$6:$A$205,C86)&lt;&gt;1),"Check Property ID",IF(I86="","Set task status",IF(AND(I86="Open",G86=""),"Add next action",IF(AND(I86="Open",NOT(ISNUMBER(H86))),"Add due date",IF(AND(ISNUMBER(D86),D86&gt;TODAY()),"Contact date is future",""))))))))</x:f>
      </x:c>
      <x:c r="N86" s="379" t="str">
        <x:f>IF(OR(A86="",I86&lt;&gt;"Open",NOT(ISNUMBER(H86))),"",COUNTIFS($A$6:$A$205,"&lt;&gt;",$I$6:$I$205,"Open",$H$6:$H$205,"&gt;0",$H$6:$H$205,"&lt;"&amp;H86)+COUNTIFS($A$6:A86,"&lt;&gt;",$I$6:I86,"Open",$H$6:H86,H86))</x:f>
      </x:c>
    </x:row>
    <x:row r="87" ht="26" customHeight="1">
      <x:c r="A87" s="319"/>
      <x:c r="B87" s="320"/>
      <x:c r="C87" s="274"/>
      <x:c r="D87" s="304"/>
      <x:c r="E87" s="274"/>
      <x:c r="F87" s="274"/>
      <x:c r="G87" s="274"/>
      <x:c r="H87" s="304"/>
      <x:c r="I87" s="274"/>
      <x:c r="J87" s="315" t="str">
        <x:f>IF(A87="","",IF(I87&lt;&gt;"Open","",IF(H87="","Set due date",IF(H87&lt;TODAY(),"Overdue",IF(H87=TODAY(),"Due today","Upcoming")))))</x:f>
      </x:c>
      <x:c r="K87" s="265" t="str">
        <x:f>IF(A87="","",IF(B87="","",IF(COUNTIFS('Clients'!$A$6:$A$205,B87)&lt;&gt;1,"Check Client ID",IF(INDEX('Clients'!$B$6:$B$205,MATCH(B87,'Clients'!$A$6:$A$205,0))="","Name missing",INDEX('Clients'!$B$6:$B$205,MATCH(B87,'Clients'!$A$6:$A$205,0))))))</x:f>
      </x:c>
      <x:c r="L87" s="265" t="str">
        <x:f>IF(A87="","",IF(C87="","",IF(COUNTIFS('Properties'!$A$6:$A$205,C87)&lt;&gt;1,"Check Property ID",IF(INDEX('Properties'!$B$6:$B$205,MATCH(C87,'Properties'!$A$6:$A$205,0))="","Name missing",INDEX('Properties'!$B$6:$B$205,MATCH(C87,'Properties'!$A$6:$A$205,0))))))</x:f>
      </x:c>
      <x:c r="M87" s="265" t="str">
        <x:f>IF(A87="","",IF(COUNTIFS($A$6:$A$205,A87)&gt;1,"Duplicate ID",IF(OR(B87="",COUNTIFS('Clients'!$A$6:$A$205,B87)&lt;&gt;1),"Check Client ID",IF(AND(C87&lt;&gt;"",COUNTIFS('Properties'!$A$6:$A$205,C87)&lt;&gt;1),"Check Property ID",IF(I87="","Set task status",IF(AND(I87="Open",G87=""),"Add next action",IF(AND(I87="Open",NOT(ISNUMBER(H87))),"Add due date",IF(AND(ISNUMBER(D87),D87&gt;TODAY()),"Contact date is future",""))))))))</x:f>
      </x:c>
      <x:c r="N87" s="379" t="str">
        <x:f>IF(OR(A87="",I87&lt;&gt;"Open",NOT(ISNUMBER(H87))),"",COUNTIFS($A$6:$A$205,"&lt;&gt;",$I$6:$I$205,"Open",$H$6:$H$205,"&gt;0",$H$6:$H$205,"&lt;"&amp;H87)+COUNTIFS($A$6:A87,"&lt;&gt;",$I$6:I87,"Open",$H$6:H87,H87))</x:f>
      </x:c>
    </x:row>
    <x:row r="88" ht="26" customHeight="1">
      <x:c r="A88" s="317"/>
      <x:c r="B88" s="318"/>
      <x:c r="C88" s="235"/>
      <x:c r="D88" s="238"/>
      <x:c r="E88" s="235"/>
      <x:c r="F88" s="235"/>
      <x:c r="G88" s="235"/>
      <x:c r="H88" s="238"/>
      <x:c r="I88" s="235"/>
      <x:c r="J88" s="315" t="str">
        <x:f>IF(A88="","",IF(I88&lt;&gt;"Open","",IF(H88="","Set due date",IF(H88&lt;TODAY(),"Overdue",IF(H88=TODAY(),"Due today","Upcoming")))))</x:f>
      </x:c>
      <x:c r="K88" s="265" t="str">
        <x:f>IF(A88="","",IF(B88="","",IF(COUNTIFS('Clients'!$A$6:$A$205,B88)&lt;&gt;1,"Check Client ID",IF(INDEX('Clients'!$B$6:$B$205,MATCH(B88,'Clients'!$A$6:$A$205,0))="","Name missing",INDEX('Clients'!$B$6:$B$205,MATCH(B88,'Clients'!$A$6:$A$205,0))))))</x:f>
      </x:c>
      <x:c r="L88" s="265" t="str">
        <x:f>IF(A88="","",IF(C88="","",IF(COUNTIFS('Properties'!$A$6:$A$205,C88)&lt;&gt;1,"Check Property ID",IF(INDEX('Properties'!$B$6:$B$205,MATCH(C88,'Properties'!$A$6:$A$205,0))="","Name missing",INDEX('Properties'!$B$6:$B$205,MATCH(C88,'Properties'!$A$6:$A$205,0))))))</x:f>
      </x:c>
      <x:c r="M88" s="265" t="str">
        <x:f>IF(A88="","",IF(COUNTIFS($A$6:$A$205,A88)&gt;1,"Duplicate ID",IF(OR(B88="",COUNTIFS('Clients'!$A$6:$A$205,B88)&lt;&gt;1),"Check Client ID",IF(AND(C88&lt;&gt;"",COUNTIFS('Properties'!$A$6:$A$205,C88)&lt;&gt;1),"Check Property ID",IF(I88="","Set task status",IF(AND(I88="Open",G88=""),"Add next action",IF(AND(I88="Open",NOT(ISNUMBER(H88))),"Add due date",IF(AND(ISNUMBER(D88),D88&gt;TODAY()),"Contact date is future",""))))))))</x:f>
      </x:c>
      <x:c r="N88" s="379" t="str">
        <x:f>IF(OR(A88="",I88&lt;&gt;"Open",NOT(ISNUMBER(H88))),"",COUNTIFS($A$6:$A$205,"&lt;&gt;",$I$6:$I$205,"Open",$H$6:$H$205,"&gt;0",$H$6:$H$205,"&lt;"&amp;H88)+COUNTIFS($A$6:A88,"&lt;&gt;",$I$6:I88,"Open",$H$6:H88,H88))</x:f>
      </x:c>
    </x:row>
    <x:row r="89" ht="26" customHeight="1">
      <x:c r="A89" s="319"/>
      <x:c r="B89" s="320"/>
      <x:c r="C89" s="274"/>
      <x:c r="D89" s="304"/>
      <x:c r="E89" s="274"/>
      <x:c r="F89" s="274"/>
      <x:c r="G89" s="274"/>
      <x:c r="H89" s="304"/>
      <x:c r="I89" s="274"/>
      <x:c r="J89" s="315" t="str">
        <x:f>IF(A89="","",IF(I89&lt;&gt;"Open","",IF(H89="","Set due date",IF(H89&lt;TODAY(),"Overdue",IF(H89=TODAY(),"Due today","Upcoming")))))</x:f>
      </x:c>
      <x:c r="K89" s="265" t="str">
        <x:f>IF(A89="","",IF(B89="","",IF(COUNTIFS('Clients'!$A$6:$A$205,B89)&lt;&gt;1,"Check Client ID",IF(INDEX('Clients'!$B$6:$B$205,MATCH(B89,'Clients'!$A$6:$A$205,0))="","Name missing",INDEX('Clients'!$B$6:$B$205,MATCH(B89,'Clients'!$A$6:$A$205,0))))))</x:f>
      </x:c>
      <x:c r="L89" s="265" t="str">
        <x:f>IF(A89="","",IF(C89="","",IF(COUNTIFS('Properties'!$A$6:$A$205,C89)&lt;&gt;1,"Check Property ID",IF(INDEX('Properties'!$B$6:$B$205,MATCH(C89,'Properties'!$A$6:$A$205,0))="","Name missing",INDEX('Properties'!$B$6:$B$205,MATCH(C89,'Properties'!$A$6:$A$205,0))))))</x:f>
      </x:c>
      <x:c r="M89" s="265" t="str">
        <x:f>IF(A89="","",IF(COUNTIFS($A$6:$A$205,A89)&gt;1,"Duplicate ID",IF(OR(B89="",COUNTIFS('Clients'!$A$6:$A$205,B89)&lt;&gt;1),"Check Client ID",IF(AND(C89&lt;&gt;"",COUNTIFS('Properties'!$A$6:$A$205,C89)&lt;&gt;1),"Check Property ID",IF(I89="","Set task status",IF(AND(I89="Open",G89=""),"Add next action",IF(AND(I89="Open",NOT(ISNUMBER(H89))),"Add due date",IF(AND(ISNUMBER(D89),D89&gt;TODAY()),"Contact date is future",""))))))))</x:f>
      </x:c>
      <x:c r="N89" s="379" t="str">
        <x:f>IF(OR(A89="",I89&lt;&gt;"Open",NOT(ISNUMBER(H89))),"",COUNTIFS($A$6:$A$205,"&lt;&gt;",$I$6:$I$205,"Open",$H$6:$H$205,"&gt;0",$H$6:$H$205,"&lt;"&amp;H89)+COUNTIFS($A$6:A89,"&lt;&gt;",$I$6:I89,"Open",$H$6:H89,H89))</x:f>
      </x:c>
    </x:row>
    <x:row r="90" ht="26" customHeight="1">
      <x:c r="A90" s="317"/>
      <x:c r="B90" s="318"/>
      <x:c r="C90" s="235"/>
      <x:c r="D90" s="238"/>
      <x:c r="E90" s="235"/>
      <x:c r="F90" s="235"/>
      <x:c r="G90" s="235"/>
      <x:c r="H90" s="238"/>
      <x:c r="I90" s="235"/>
      <x:c r="J90" s="315" t="str">
        <x:f>IF(A90="","",IF(I90&lt;&gt;"Open","",IF(H90="","Set due date",IF(H90&lt;TODAY(),"Overdue",IF(H90=TODAY(),"Due today","Upcoming")))))</x:f>
      </x:c>
      <x:c r="K90" s="265" t="str">
        <x:f>IF(A90="","",IF(B90="","",IF(COUNTIFS('Clients'!$A$6:$A$205,B90)&lt;&gt;1,"Check Client ID",IF(INDEX('Clients'!$B$6:$B$205,MATCH(B90,'Clients'!$A$6:$A$205,0))="","Name missing",INDEX('Clients'!$B$6:$B$205,MATCH(B90,'Clients'!$A$6:$A$205,0))))))</x:f>
      </x:c>
      <x:c r="L90" s="265" t="str">
        <x:f>IF(A90="","",IF(C90="","",IF(COUNTIFS('Properties'!$A$6:$A$205,C90)&lt;&gt;1,"Check Property ID",IF(INDEX('Properties'!$B$6:$B$205,MATCH(C90,'Properties'!$A$6:$A$205,0))="","Name missing",INDEX('Properties'!$B$6:$B$205,MATCH(C90,'Properties'!$A$6:$A$205,0))))))</x:f>
      </x:c>
      <x:c r="M90" s="265" t="str">
        <x:f>IF(A90="","",IF(COUNTIFS($A$6:$A$205,A90)&gt;1,"Duplicate ID",IF(OR(B90="",COUNTIFS('Clients'!$A$6:$A$205,B90)&lt;&gt;1),"Check Client ID",IF(AND(C90&lt;&gt;"",COUNTIFS('Properties'!$A$6:$A$205,C90)&lt;&gt;1),"Check Property ID",IF(I90="","Set task status",IF(AND(I90="Open",G90=""),"Add next action",IF(AND(I90="Open",NOT(ISNUMBER(H90))),"Add due date",IF(AND(ISNUMBER(D90),D90&gt;TODAY()),"Contact date is future",""))))))))</x:f>
      </x:c>
      <x:c r="N90" s="379" t="str">
        <x:f>IF(OR(A90="",I90&lt;&gt;"Open",NOT(ISNUMBER(H90))),"",COUNTIFS($A$6:$A$205,"&lt;&gt;",$I$6:$I$205,"Open",$H$6:$H$205,"&gt;0",$H$6:$H$205,"&lt;"&amp;H90)+COUNTIFS($A$6:A90,"&lt;&gt;",$I$6:I90,"Open",$H$6:H90,H90))</x:f>
      </x:c>
    </x:row>
    <x:row r="91" ht="26" customHeight="1">
      <x:c r="A91" s="319"/>
      <x:c r="B91" s="320"/>
      <x:c r="C91" s="274"/>
      <x:c r="D91" s="304"/>
      <x:c r="E91" s="274"/>
      <x:c r="F91" s="274"/>
      <x:c r="G91" s="274"/>
      <x:c r="H91" s="304"/>
      <x:c r="I91" s="274"/>
      <x:c r="J91" s="315" t="str">
        <x:f>IF(A91="","",IF(I91&lt;&gt;"Open","",IF(H91="","Set due date",IF(H91&lt;TODAY(),"Overdue",IF(H91=TODAY(),"Due today","Upcoming")))))</x:f>
      </x:c>
      <x:c r="K91" s="265" t="str">
        <x:f>IF(A91="","",IF(B91="","",IF(COUNTIFS('Clients'!$A$6:$A$205,B91)&lt;&gt;1,"Check Client ID",IF(INDEX('Clients'!$B$6:$B$205,MATCH(B91,'Clients'!$A$6:$A$205,0))="","Name missing",INDEX('Clients'!$B$6:$B$205,MATCH(B91,'Clients'!$A$6:$A$205,0))))))</x:f>
      </x:c>
      <x:c r="L91" s="265" t="str">
        <x:f>IF(A91="","",IF(C91="","",IF(COUNTIFS('Properties'!$A$6:$A$205,C91)&lt;&gt;1,"Check Property ID",IF(INDEX('Properties'!$B$6:$B$205,MATCH(C91,'Properties'!$A$6:$A$205,0))="","Name missing",INDEX('Properties'!$B$6:$B$205,MATCH(C91,'Properties'!$A$6:$A$205,0))))))</x:f>
      </x:c>
      <x:c r="M91" s="265" t="str">
        <x:f>IF(A91="","",IF(COUNTIFS($A$6:$A$205,A91)&gt;1,"Duplicate ID",IF(OR(B91="",COUNTIFS('Clients'!$A$6:$A$205,B91)&lt;&gt;1),"Check Client ID",IF(AND(C91&lt;&gt;"",COUNTIFS('Properties'!$A$6:$A$205,C91)&lt;&gt;1),"Check Property ID",IF(I91="","Set task status",IF(AND(I91="Open",G91=""),"Add next action",IF(AND(I91="Open",NOT(ISNUMBER(H91))),"Add due date",IF(AND(ISNUMBER(D91),D91&gt;TODAY()),"Contact date is future",""))))))))</x:f>
      </x:c>
      <x:c r="N91" s="379" t="str">
        <x:f>IF(OR(A91="",I91&lt;&gt;"Open",NOT(ISNUMBER(H91))),"",COUNTIFS($A$6:$A$205,"&lt;&gt;",$I$6:$I$205,"Open",$H$6:$H$205,"&gt;0",$H$6:$H$205,"&lt;"&amp;H91)+COUNTIFS($A$6:A91,"&lt;&gt;",$I$6:I91,"Open",$H$6:H91,H91))</x:f>
      </x:c>
    </x:row>
    <x:row r="92" ht="26" customHeight="1">
      <x:c r="A92" s="317"/>
      <x:c r="B92" s="318"/>
      <x:c r="C92" s="235"/>
      <x:c r="D92" s="238"/>
      <x:c r="E92" s="235"/>
      <x:c r="F92" s="235"/>
      <x:c r="G92" s="235"/>
      <x:c r="H92" s="238"/>
      <x:c r="I92" s="235"/>
      <x:c r="J92" s="315" t="str">
        <x:f>IF(A92="","",IF(I92&lt;&gt;"Open","",IF(H92="","Set due date",IF(H92&lt;TODAY(),"Overdue",IF(H92=TODAY(),"Due today","Upcoming")))))</x:f>
      </x:c>
      <x:c r="K92" s="265" t="str">
        <x:f>IF(A92="","",IF(B92="","",IF(COUNTIFS('Clients'!$A$6:$A$205,B92)&lt;&gt;1,"Check Client ID",IF(INDEX('Clients'!$B$6:$B$205,MATCH(B92,'Clients'!$A$6:$A$205,0))="","Name missing",INDEX('Clients'!$B$6:$B$205,MATCH(B92,'Clients'!$A$6:$A$205,0))))))</x:f>
      </x:c>
      <x:c r="L92" s="265" t="str">
        <x:f>IF(A92="","",IF(C92="","",IF(COUNTIFS('Properties'!$A$6:$A$205,C92)&lt;&gt;1,"Check Property ID",IF(INDEX('Properties'!$B$6:$B$205,MATCH(C92,'Properties'!$A$6:$A$205,0))="","Name missing",INDEX('Properties'!$B$6:$B$205,MATCH(C92,'Properties'!$A$6:$A$205,0))))))</x:f>
      </x:c>
      <x:c r="M92" s="265" t="str">
        <x:f>IF(A92="","",IF(COUNTIFS($A$6:$A$205,A92)&gt;1,"Duplicate ID",IF(OR(B92="",COUNTIFS('Clients'!$A$6:$A$205,B92)&lt;&gt;1),"Check Client ID",IF(AND(C92&lt;&gt;"",COUNTIFS('Properties'!$A$6:$A$205,C92)&lt;&gt;1),"Check Property ID",IF(I92="","Set task status",IF(AND(I92="Open",G92=""),"Add next action",IF(AND(I92="Open",NOT(ISNUMBER(H92))),"Add due date",IF(AND(ISNUMBER(D92),D92&gt;TODAY()),"Contact date is future",""))))))))</x:f>
      </x:c>
      <x:c r="N92" s="379" t="str">
        <x:f>IF(OR(A92="",I92&lt;&gt;"Open",NOT(ISNUMBER(H92))),"",COUNTIFS($A$6:$A$205,"&lt;&gt;",$I$6:$I$205,"Open",$H$6:$H$205,"&gt;0",$H$6:$H$205,"&lt;"&amp;H92)+COUNTIFS($A$6:A92,"&lt;&gt;",$I$6:I92,"Open",$H$6:H92,H92))</x:f>
      </x:c>
    </x:row>
    <x:row r="93" ht="26" customHeight="1">
      <x:c r="A93" s="319"/>
      <x:c r="B93" s="320"/>
      <x:c r="C93" s="274"/>
      <x:c r="D93" s="304"/>
      <x:c r="E93" s="274"/>
      <x:c r="F93" s="274"/>
      <x:c r="G93" s="274"/>
      <x:c r="H93" s="304"/>
      <x:c r="I93" s="274"/>
      <x:c r="J93" s="315" t="str">
        <x:f>IF(A93="","",IF(I93&lt;&gt;"Open","",IF(H93="","Set due date",IF(H93&lt;TODAY(),"Overdue",IF(H93=TODAY(),"Due today","Upcoming")))))</x:f>
      </x:c>
      <x:c r="K93" s="265" t="str">
        <x:f>IF(A93="","",IF(B93="","",IF(COUNTIFS('Clients'!$A$6:$A$205,B93)&lt;&gt;1,"Check Client ID",IF(INDEX('Clients'!$B$6:$B$205,MATCH(B93,'Clients'!$A$6:$A$205,0))="","Name missing",INDEX('Clients'!$B$6:$B$205,MATCH(B93,'Clients'!$A$6:$A$205,0))))))</x:f>
      </x:c>
      <x:c r="L93" s="265" t="str">
        <x:f>IF(A93="","",IF(C93="","",IF(COUNTIFS('Properties'!$A$6:$A$205,C93)&lt;&gt;1,"Check Property ID",IF(INDEX('Properties'!$B$6:$B$205,MATCH(C93,'Properties'!$A$6:$A$205,0))="","Name missing",INDEX('Properties'!$B$6:$B$205,MATCH(C93,'Properties'!$A$6:$A$205,0))))))</x:f>
      </x:c>
      <x:c r="M93" s="265" t="str">
        <x:f>IF(A93="","",IF(COUNTIFS($A$6:$A$205,A93)&gt;1,"Duplicate ID",IF(OR(B93="",COUNTIFS('Clients'!$A$6:$A$205,B93)&lt;&gt;1),"Check Client ID",IF(AND(C93&lt;&gt;"",COUNTIFS('Properties'!$A$6:$A$205,C93)&lt;&gt;1),"Check Property ID",IF(I93="","Set task status",IF(AND(I93="Open",G93=""),"Add next action",IF(AND(I93="Open",NOT(ISNUMBER(H93))),"Add due date",IF(AND(ISNUMBER(D93),D93&gt;TODAY()),"Contact date is future",""))))))))</x:f>
      </x:c>
      <x:c r="N93" s="379" t="str">
        <x:f>IF(OR(A93="",I93&lt;&gt;"Open",NOT(ISNUMBER(H93))),"",COUNTIFS($A$6:$A$205,"&lt;&gt;",$I$6:$I$205,"Open",$H$6:$H$205,"&gt;0",$H$6:$H$205,"&lt;"&amp;H93)+COUNTIFS($A$6:A93,"&lt;&gt;",$I$6:I93,"Open",$H$6:H93,H93))</x:f>
      </x:c>
    </x:row>
    <x:row r="94" ht="26" customHeight="1">
      <x:c r="A94" s="317"/>
      <x:c r="B94" s="318"/>
      <x:c r="C94" s="235"/>
      <x:c r="D94" s="238"/>
      <x:c r="E94" s="235"/>
      <x:c r="F94" s="235"/>
      <x:c r="G94" s="235"/>
      <x:c r="H94" s="238"/>
      <x:c r="I94" s="235"/>
      <x:c r="J94" s="315" t="str">
        <x:f>IF(A94="","",IF(I94&lt;&gt;"Open","",IF(H94="","Set due date",IF(H94&lt;TODAY(),"Overdue",IF(H94=TODAY(),"Due today","Upcoming")))))</x:f>
      </x:c>
      <x:c r="K94" s="265" t="str">
        <x:f>IF(A94="","",IF(B94="","",IF(COUNTIFS('Clients'!$A$6:$A$205,B94)&lt;&gt;1,"Check Client ID",IF(INDEX('Clients'!$B$6:$B$205,MATCH(B94,'Clients'!$A$6:$A$205,0))="","Name missing",INDEX('Clients'!$B$6:$B$205,MATCH(B94,'Clients'!$A$6:$A$205,0))))))</x:f>
      </x:c>
      <x:c r="L94" s="265" t="str">
        <x:f>IF(A94="","",IF(C94="","",IF(COUNTIFS('Properties'!$A$6:$A$205,C94)&lt;&gt;1,"Check Property ID",IF(INDEX('Properties'!$B$6:$B$205,MATCH(C94,'Properties'!$A$6:$A$205,0))="","Name missing",INDEX('Properties'!$B$6:$B$205,MATCH(C94,'Properties'!$A$6:$A$205,0))))))</x:f>
      </x:c>
      <x:c r="M94" s="265" t="str">
        <x:f>IF(A94="","",IF(COUNTIFS($A$6:$A$205,A94)&gt;1,"Duplicate ID",IF(OR(B94="",COUNTIFS('Clients'!$A$6:$A$205,B94)&lt;&gt;1),"Check Client ID",IF(AND(C94&lt;&gt;"",COUNTIFS('Properties'!$A$6:$A$205,C94)&lt;&gt;1),"Check Property ID",IF(I94="","Set task status",IF(AND(I94="Open",G94=""),"Add next action",IF(AND(I94="Open",NOT(ISNUMBER(H94))),"Add due date",IF(AND(ISNUMBER(D94),D94&gt;TODAY()),"Contact date is future",""))))))))</x:f>
      </x:c>
      <x:c r="N94" s="379" t="str">
        <x:f>IF(OR(A94="",I94&lt;&gt;"Open",NOT(ISNUMBER(H94))),"",COUNTIFS($A$6:$A$205,"&lt;&gt;",$I$6:$I$205,"Open",$H$6:$H$205,"&gt;0",$H$6:$H$205,"&lt;"&amp;H94)+COUNTIFS($A$6:A94,"&lt;&gt;",$I$6:I94,"Open",$H$6:H94,H94))</x:f>
      </x:c>
    </x:row>
    <x:row r="95" ht="26" customHeight="1">
      <x:c r="A95" s="319"/>
      <x:c r="B95" s="320"/>
      <x:c r="C95" s="274"/>
      <x:c r="D95" s="304"/>
      <x:c r="E95" s="274"/>
      <x:c r="F95" s="274"/>
      <x:c r="G95" s="274"/>
      <x:c r="H95" s="304"/>
      <x:c r="I95" s="274"/>
      <x:c r="J95" s="315" t="str">
        <x:f>IF(A95="","",IF(I95&lt;&gt;"Open","",IF(H95="","Set due date",IF(H95&lt;TODAY(),"Overdue",IF(H95=TODAY(),"Due today","Upcoming")))))</x:f>
      </x:c>
      <x:c r="K95" s="265" t="str">
        <x:f>IF(A95="","",IF(B95="","",IF(COUNTIFS('Clients'!$A$6:$A$205,B95)&lt;&gt;1,"Check Client ID",IF(INDEX('Clients'!$B$6:$B$205,MATCH(B95,'Clients'!$A$6:$A$205,0))="","Name missing",INDEX('Clients'!$B$6:$B$205,MATCH(B95,'Clients'!$A$6:$A$205,0))))))</x:f>
      </x:c>
      <x:c r="L95" s="265" t="str">
        <x:f>IF(A95="","",IF(C95="","",IF(COUNTIFS('Properties'!$A$6:$A$205,C95)&lt;&gt;1,"Check Property ID",IF(INDEX('Properties'!$B$6:$B$205,MATCH(C95,'Properties'!$A$6:$A$205,0))="","Name missing",INDEX('Properties'!$B$6:$B$205,MATCH(C95,'Properties'!$A$6:$A$205,0))))))</x:f>
      </x:c>
      <x:c r="M95" s="265" t="str">
        <x:f>IF(A95="","",IF(COUNTIFS($A$6:$A$205,A95)&gt;1,"Duplicate ID",IF(OR(B95="",COUNTIFS('Clients'!$A$6:$A$205,B95)&lt;&gt;1),"Check Client ID",IF(AND(C95&lt;&gt;"",COUNTIFS('Properties'!$A$6:$A$205,C95)&lt;&gt;1),"Check Property ID",IF(I95="","Set task status",IF(AND(I95="Open",G95=""),"Add next action",IF(AND(I95="Open",NOT(ISNUMBER(H95))),"Add due date",IF(AND(ISNUMBER(D95),D95&gt;TODAY()),"Contact date is future",""))))))))</x:f>
      </x:c>
      <x:c r="N95" s="379" t="str">
        <x:f>IF(OR(A95="",I95&lt;&gt;"Open",NOT(ISNUMBER(H95))),"",COUNTIFS($A$6:$A$205,"&lt;&gt;",$I$6:$I$205,"Open",$H$6:$H$205,"&gt;0",$H$6:$H$205,"&lt;"&amp;H95)+COUNTIFS($A$6:A95,"&lt;&gt;",$I$6:I95,"Open",$H$6:H95,H95))</x:f>
      </x:c>
    </x:row>
    <x:row r="96" ht="26" customHeight="1">
      <x:c r="A96" s="317"/>
      <x:c r="B96" s="318"/>
      <x:c r="C96" s="235"/>
      <x:c r="D96" s="238"/>
      <x:c r="E96" s="235"/>
      <x:c r="F96" s="235"/>
      <x:c r="G96" s="235"/>
      <x:c r="H96" s="238"/>
      <x:c r="I96" s="235"/>
      <x:c r="J96" s="315" t="str">
        <x:f>IF(A96="","",IF(I96&lt;&gt;"Open","",IF(H96="","Set due date",IF(H96&lt;TODAY(),"Overdue",IF(H96=TODAY(),"Due today","Upcoming")))))</x:f>
      </x:c>
      <x:c r="K96" s="265" t="str">
        <x:f>IF(A96="","",IF(B96="","",IF(COUNTIFS('Clients'!$A$6:$A$205,B96)&lt;&gt;1,"Check Client ID",IF(INDEX('Clients'!$B$6:$B$205,MATCH(B96,'Clients'!$A$6:$A$205,0))="","Name missing",INDEX('Clients'!$B$6:$B$205,MATCH(B96,'Clients'!$A$6:$A$205,0))))))</x:f>
      </x:c>
      <x:c r="L96" s="265" t="str">
        <x:f>IF(A96="","",IF(C96="","",IF(COUNTIFS('Properties'!$A$6:$A$205,C96)&lt;&gt;1,"Check Property ID",IF(INDEX('Properties'!$B$6:$B$205,MATCH(C96,'Properties'!$A$6:$A$205,0))="","Name missing",INDEX('Properties'!$B$6:$B$205,MATCH(C96,'Properties'!$A$6:$A$205,0))))))</x:f>
      </x:c>
      <x:c r="M96" s="265" t="str">
        <x:f>IF(A96="","",IF(COUNTIFS($A$6:$A$205,A96)&gt;1,"Duplicate ID",IF(OR(B96="",COUNTIFS('Clients'!$A$6:$A$205,B96)&lt;&gt;1),"Check Client ID",IF(AND(C96&lt;&gt;"",COUNTIFS('Properties'!$A$6:$A$205,C96)&lt;&gt;1),"Check Property ID",IF(I96="","Set task status",IF(AND(I96="Open",G96=""),"Add next action",IF(AND(I96="Open",NOT(ISNUMBER(H96))),"Add due date",IF(AND(ISNUMBER(D96),D96&gt;TODAY()),"Contact date is future",""))))))))</x:f>
      </x:c>
      <x:c r="N96" s="379" t="str">
        <x:f>IF(OR(A96="",I96&lt;&gt;"Open",NOT(ISNUMBER(H96))),"",COUNTIFS($A$6:$A$205,"&lt;&gt;",$I$6:$I$205,"Open",$H$6:$H$205,"&gt;0",$H$6:$H$205,"&lt;"&amp;H96)+COUNTIFS($A$6:A96,"&lt;&gt;",$I$6:I96,"Open",$H$6:H96,H96))</x:f>
      </x:c>
    </x:row>
    <x:row r="97" ht="26" customHeight="1">
      <x:c r="A97" s="319"/>
      <x:c r="B97" s="320"/>
      <x:c r="C97" s="274"/>
      <x:c r="D97" s="304"/>
      <x:c r="E97" s="274"/>
      <x:c r="F97" s="274"/>
      <x:c r="G97" s="274"/>
      <x:c r="H97" s="304"/>
      <x:c r="I97" s="274"/>
      <x:c r="J97" s="315" t="str">
        <x:f>IF(A97="","",IF(I97&lt;&gt;"Open","",IF(H97="","Set due date",IF(H97&lt;TODAY(),"Overdue",IF(H97=TODAY(),"Due today","Upcoming")))))</x:f>
      </x:c>
      <x:c r="K97" s="265" t="str">
        <x:f>IF(A97="","",IF(B97="","",IF(COUNTIFS('Clients'!$A$6:$A$205,B97)&lt;&gt;1,"Check Client ID",IF(INDEX('Clients'!$B$6:$B$205,MATCH(B97,'Clients'!$A$6:$A$205,0))="","Name missing",INDEX('Clients'!$B$6:$B$205,MATCH(B97,'Clients'!$A$6:$A$205,0))))))</x:f>
      </x:c>
      <x:c r="L97" s="265" t="str">
        <x:f>IF(A97="","",IF(C97="","",IF(COUNTIFS('Properties'!$A$6:$A$205,C97)&lt;&gt;1,"Check Property ID",IF(INDEX('Properties'!$B$6:$B$205,MATCH(C97,'Properties'!$A$6:$A$205,0))="","Name missing",INDEX('Properties'!$B$6:$B$205,MATCH(C97,'Properties'!$A$6:$A$205,0))))))</x:f>
      </x:c>
      <x:c r="M97" s="265" t="str">
        <x:f>IF(A97="","",IF(COUNTIFS($A$6:$A$205,A97)&gt;1,"Duplicate ID",IF(OR(B97="",COUNTIFS('Clients'!$A$6:$A$205,B97)&lt;&gt;1),"Check Client ID",IF(AND(C97&lt;&gt;"",COUNTIFS('Properties'!$A$6:$A$205,C97)&lt;&gt;1),"Check Property ID",IF(I97="","Set task status",IF(AND(I97="Open",G97=""),"Add next action",IF(AND(I97="Open",NOT(ISNUMBER(H97))),"Add due date",IF(AND(ISNUMBER(D97),D97&gt;TODAY()),"Contact date is future",""))))))))</x:f>
      </x:c>
      <x:c r="N97" s="379" t="str">
        <x:f>IF(OR(A97="",I97&lt;&gt;"Open",NOT(ISNUMBER(H97))),"",COUNTIFS($A$6:$A$205,"&lt;&gt;",$I$6:$I$205,"Open",$H$6:$H$205,"&gt;0",$H$6:$H$205,"&lt;"&amp;H97)+COUNTIFS($A$6:A97,"&lt;&gt;",$I$6:I97,"Open",$H$6:H97,H97))</x:f>
      </x:c>
    </x:row>
    <x:row r="98" ht="26" customHeight="1">
      <x:c r="A98" s="317"/>
      <x:c r="B98" s="318"/>
      <x:c r="C98" s="235"/>
      <x:c r="D98" s="238"/>
      <x:c r="E98" s="235"/>
      <x:c r="F98" s="235"/>
      <x:c r="G98" s="235"/>
      <x:c r="H98" s="238"/>
      <x:c r="I98" s="235"/>
      <x:c r="J98" s="315" t="str">
        <x:f>IF(A98="","",IF(I98&lt;&gt;"Open","",IF(H98="","Set due date",IF(H98&lt;TODAY(),"Overdue",IF(H98=TODAY(),"Due today","Upcoming")))))</x:f>
      </x:c>
      <x:c r="K98" s="265" t="str">
        <x:f>IF(A98="","",IF(B98="","",IF(COUNTIFS('Clients'!$A$6:$A$205,B98)&lt;&gt;1,"Check Client ID",IF(INDEX('Clients'!$B$6:$B$205,MATCH(B98,'Clients'!$A$6:$A$205,0))="","Name missing",INDEX('Clients'!$B$6:$B$205,MATCH(B98,'Clients'!$A$6:$A$205,0))))))</x:f>
      </x:c>
      <x:c r="L98" s="265" t="str">
        <x:f>IF(A98="","",IF(C98="","",IF(COUNTIFS('Properties'!$A$6:$A$205,C98)&lt;&gt;1,"Check Property ID",IF(INDEX('Properties'!$B$6:$B$205,MATCH(C98,'Properties'!$A$6:$A$205,0))="","Name missing",INDEX('Properties'!$B$6:$B$205,MATCH(C98,'Properties'!$A$6:$A$205,0))))))</x:f>
      </x:c>
      <x:c r="M98" s="265" t="str">
        <x:f>IF(A98="","",IF(COUNTIFS($A$6:$A$205,A98)&gt;1,"Duplicate ID",IF(OR(B98="",COUNTIFS('Clients'!$A$6:$A$205,B98)&lt;&gt;1),"Check Client ID",IF(AND(C98&lt;&gt;"",COUNTIFS('Properties'!$A$6:$A$205,C98)&lt;&gt;1),"Check Property ID",IF(I98="","Set task status",IF(AND(I98="Open",G98=""),"Add next action",IF(AND(I98="Open",NOT(ISNUMBER(H98))),"Add due date",IF(AND(ISNUMBER(D98),D98&gt;TODAY()),"Contact date is future",""))))))))</x:f>
      </x:c>
      <x:c r="N98" s="379" t="str">
        <x:f>IF(OR(A98="",I98&lt;&gt;"Open",NOT(ISNUMBER(H98))),"",COUNTIFS($A$6:$A$205,"&lt;&gt;",$I$6:$I$205,"Open",$H$6:$H$205,"&gt;0",$H$6:$H$205,"&lt;"&amp;H98)+COUNTIFS($A$6:A98,"&lt;&gt;",$I$6:I98,"Open",$H$6:H98,H98))</x:f>
      </x:c>
    </x:row>
    <x:row r="99" ht="26" customHeight="1">
      <x:c r="A99" s="319"/>
      <x:c r="B99" s="320"/>
      <x:c r="C99" s="274"/>
      <x:c r="D99" s="304"/>
      <x:c r="E99" s="274"/>
      <x:c r="F99" s="274"/>
      <x:c r="G99" s="274"/>
      <x:c r="H99" s="304"/>
      <x:c r="I99" s="274"/>
      <x:c r="J99" s="315" t="str">
        <x:f>IF(A99="","",IF(I99&lt;&gt;"Open","",IF(H99="","Set due date",IF(H99&lt;TODAY(),"Overdue",IF(H99=TODAY(),"Due today","Upcoming")))))</x:f>
      </x:c>
      <x:c r="K99" s="265" t="str">
        <x:f>IF(A99="","",IF(B99="","",IF(COUNTIFS('Clients'!$A$6:$A$205,B99)&lt;&gt;1,"Check Client ID",IF(INDEX('Clients'!$B$6:$B$205,MATCH(B99,'Clients'!$A$6:$A$205,0))="","Name missing",INDEX('Clients'!$B$6:$B$205,MATCH(B99,'Clients'!$A$6:$A$205,0))))))</x:f>
      </x:c>
      <x:c r="L99" s="265" t="str">
        <x:f>IF(A99="","",IF(C99="","",IF(COUNTIFS('Properties'!$A$6:$A$205,C99)&lt;&gt;1,"Check Property ID",IF(INDEX('Properties'!$B$6:$B$205,MATCH(C99,'Properties'!$A$6:$A$205,0))="","Name missing",INDEX('Properties'!$B$6:$B$205,MATCH(C99,'Properties'!$A$6:$A$205,0))))))</x:f>
      </x:c>
      <x:c r="M99" s="265" t="str">
        <x:f>IF(A99="","",IF(COUNTIFS($A$6:$A$205,A99)&gt;1,"Duplicate ID",IF(OR(B99="",COUNTIFS('Clients'!$A$6:$A$205,B99)&lt;&gt;1),"Check Client ID",IF(AND(C99&lt;&gt;"",COUNTIFS('Properties'!$A$6:$A$205,C99)&lt;&gt;1),"Check Property ID",IF(I99="","Set task status",IF(AND(I99="Open",G99=""),"Add next action",IF(AND(I99="Open",NOT(ISNUMBER(H99))),"Add due date",IF(AND(ISNUMBER(D99),D99&gt;TODAY()),"Contact date is future",""))))))))</x:f>
      </x:c>
      <x:c r="N99" s="379" t="str">
        <x:f>IF(OR(A99="",I99&lt;&gt;"Open",NOT(ISNUMBER(H99))),"",COUNTIFS($A$6:$A$205,"&lt;&gt;",$I$6:$I$205,"Open",$H$6:$H$205,"&gt;0",$H$6:$H$205,"&lt;"&amp;H99)+COUNTIFS($A$6:A99,"&lt;&gt;",$I$6:I99,"Open",$H$6:H99,H99))</x:f>
      </x:c>
    </x:row>
    <x:row r="100" ht="26" customHeight="1">
      <x:c r="A100" s="317"/>
      <x:c r="B100" s="318"/>
      <x:c r="C100" s="235"/>
      <x:c r="D100" s="238"/>
      <x:c r="E100" s="235"/>
      <x:c r="F100" s="235"/>
      <x:c r="G100" s="235"/>
      <x:c r="H100" s="238"/>
      <x:c r="I100" s="235"/>
      <x:c r="J100" s="315" t="str">
        <x:f>IF(A100="","",IF(I100&lt;&gt;"Open","",IF(H100="","Set due date",IF(H100&lt;TODAY(),"Overdue",IF(H100=TODAY(),"Due today","Upcoming")))))</x:f>
      </x:c>
      <x:c r="K100" s="265" t="str">
        <x:f>IF(A100="","",IF(B100="","",IF(COUNTIFS('Clients'!$A$6:$A$205,B100)&lt;&gt;1,"Check Client ID",IF(INDEX('Clients'!$B$6:$B$205,MATCH(B100,'Clients'!$A$6:$A$205,0))="","Name missing",INDEX('Clients'!$B$6:$B$205,MATCH(B100,'Clients'!$A$6:$A$205,0))))))</x:f>
      </x:c>
      <x:c r="L100" s="265" t="str">
        <x:f>IF(A100="","",IF(C100="","",IF(COUNTIFS('Properties'!$A$6:$A$205,C100)&lt;&gt;1,"Check Property ID",IF(INDEX('Properties'!$B$6:$B$205,MATCH(C100,'Properties'!$A$6:$A$205,0))="","Name missing",INDEX('Properties'!$B$6:$B$205,MATCH(C100,'Properties'!$A$6:$A$205,0))))))</x:f>
      </x:c>
      <x:c r="M100" s="265" t="str">
        <x:f>IF(A100="","",IF(COUNTIFS($A$6:$A$205,A100)&gt;1,"Duplicate ID",IF(OR(B100="",COUNTIFS('Clients'!$A$6:$A$205,B100)&lt;&gt;1),"Check Client ID",IF(AND(C100&lt;&gt;"",COUNTIFS('Properties'!$A$6:$A$205,C100)&lt;&gt;1),"Check Property ID",IF(I100="","Set task status",IF(AND(I100="Open",G100=""),"Add next action",IF(AND(I100="Open",NOT(ISNUMBER(H100))),"Add due date",IF(AND(ISNUMBER(D100),D100&gt;TODAY()),"Contact date is future",""))))))))</x:f>
      </x:c>
      <x:c r="N100" s="379" t="str">
        <x:f>IF(OR(A100="",I100&lt;&gt;"Open",NOT(ISNUMBER(H100))),"",COUNTIFS($A$6:$A$205,"&lt;&gt;",$I$6:$I$205,"Open",$H$6:$H$205,"&gt;0",$H$6:$H$205,"&lt;"&amp;H100)+COUNTIFS($A$6:A100,"&lt;&gt;",$I$6:I100,"Open",$H$6:H100,H100))</x:f>
      </x:c>
    </x:row>
    <x:row r="101" ht="26" customHeight="1">
      <x:c r="A101" s="319"/>
      <x:c r="B101" s="320"/>
      <x:c r="C101" s="274"/>
      <x:c r="D101" s="304"/>
      <x:c r="E101" s="274"/>
      <x:c r="F101" s="274"/>
      <x:c r="G101" s="274"/>
      <x:c r="H101" s="304"/>
      <x:c r="I101" s="274"/>
      <x:c r="J101" s="315" t="str">
        <x:f>IF(A101="","",IF(I101&lt;&gt;"Open","",IF(H101="","Set due date",IF(H101&lt;TODAY(),"Overdue",IF(H101=TODAY(),"Due today","Upcoming")))))</x:f>
      </x:c>
      <x:c r="K101" s="265" t="str">
        <x:f>IF(A101="","",IF(B101="","",IF(COUNTIFS('Clients'!$A$6:$A$205,B101)&lt;&gt;1,"Check Client ID",IF(INDEX('Clients'!$B$6:$B$205,MATCH(B101,'Clients'!$A$6:$A$205,0))="","Name missing",INDEX('Clients'!$B$6:$B$205,MATCH(B101,'Clients'!$A$6:$A$205,0))))))</x:f>
      </x:c>
      <x:c r="L101" s="265" t="str">
        <x:f>IF(A101="","",IF(C101="","",IF(COUNTIFS('Properties'!$A$6:$A$205,C101)&lt;&gt;1,"Check Property ID",IF(INDEX('Properties'!$B$6:$B$205,MATCH(C101,'Properties'!$A$6:$A$205,0))="","Name missing",INDEX('Properties'!$B$6:$B$205,MATCH(C101,'Properties'!$A$6:$A$205,0))))))</x:f>
      </x:c>
      <x:c r="M101" s="265" t="str">
        <x:f>IF(A101="","",IF(COUNTIFS($A$6:$A$205,A101)&gt;1,"Duplicate ID",IF(OR(B101="",COUNTIFS('Clients'!$A$6:$A$205,B101)&lt;&gt;1),"Check Client ID",IF(AND(C101&lt;&gt;"",COUNTIFS('Properties'!$A$6:$A$205,C101)&lt;&gt;1),"Check Property ID",IF(I101="","Set task status",IF(AND(I101="Open",G101=""),"Add next action",IF(AND(I101="Open",NOT(ISNUMBER(H101))),"Add due date",IF(AND(ISNUMBER(D101),D101&gt;TODAY()),"Contact date is future",""))))))))</x:f>
      </x:c>
      <x:c r="N101" s="379" t="str">
        <x:f>IF(OR(A101="",I101&lt;&gt;"Open",NOT(ISNUMBER(H101))),"",COUNTIFS($A$6:$A$205,"&lt;&gt;",$I$6:$I$205,"Open",$H$6:$H$205,"&gt;0",$H$6:$H$205,"&lt;"&amp;H101)+COUNTIFS($A$6:A101,"&lt;&gt;",$I$6:I101,"Open",$H$6:H101,H101))</x:f>
      </x:c>
    </x:row>
    <x:row r="102" ht="26" customHeight="1">
      <x:c r="A102" s="317"/>
      <x:c r="B102" s="318"/>
      <x:c r="C102" s="235"/>
      <x:c r="D102" s="238"/>
      <x:c r="E102" s="235"/>
      <x:c r="F102" s="235"/>
      <x:c r="G102" s="235"/>
      <x:c r="H102" s="238"/>
      <x:c r="I102" s="235"/>
      <x:c r="J102" s="315" t="str">
        <x:f>IF(A102="","",IF(I102&lt;&gt;"Open","",IF(H102="","Set due date",IF(H102&lt;TODAY(),"Overdue",IF(H102=TODAY(),"Due today","Upcoming")))))</x:f>
      </x:c>
      <x:c r="K102" s="265" t="str">
        <x:f>IF(A102="","",IF(B102="","",IF(COUNTIFS('Clients'!$A$6:$A$205,B102)&lt;&gt;1,"Check Client ID",IF(INDEX('Clients'!$B$6:$B$205,MATCH(B102,'Clients'!$A$6:$A$205,0))="","Name missing",INDEX('Clients'!$B$6:$B$205,MATCH(B102,'Clients'!$A$6:$A$205,0))))))</x:f>
      </x:c>
      <x:c r="L102" s="265" t="str">
        <x:f>IF(A102="","",IF(C102="","",IF(COUNTIFS('Properties'!$A$6:$A$205,C102)&lt;&gt;1,"Check Property ID",IF(INDEX('Properties'!$B$6:$B$205,MATCH(C102,'Properties'!$A$6:$A$205,0))="","Name missing",INDEX('Properties'!$B$6:$B$205,MATCH(C102,'Properties'!$A$6:$A$205,0))))))</x:f>
      </x:c>
      <x:c r="M102" s="265" t="str">
        <x:f>IF(A102="","",IF(COUNTIFS($A$6:$A$205,A102)&gt;1,"Duplicate ID",IF(OR(B102="",COUNTIFS('Clients'!$A$6:$A$205,B102)&lt;&gt;1),"Check Client ID",IF(AND(C102&lt;&gt;"",COUNTIFS('Properties'!$A$6:$A$205,C102)&lt;&gt;1),"Check Property ID",IF(I102="","Set task status",IF(AND(I102="Open",G102=""),"Add next action",IF(AND(I102="Open",NOT(ISNUMBER(H102))),"Add due date",IF(AND(ISNUMBER(D102),D102&gt;TODAY()),"Contact date is future",""))))))))</x:f>
      </x:c>
      <x:c r="N102" s="379" t="str">
        <x:f>IF(OR(A102="",I102&lt;&gt;"Open",NOT(ISNUMBER(H102))),"",COUNTIFS($A$6:$A$205,"&lt;&gt;",$I$6:$I$205,"Open",$H$6:$H$205,"&gt;0",$H$6:$H$205,"&lt;"&amp;H102)+COUNTIFS($A$6:A102,"&lt;&gt;",$I$6:I102,"Open",$H$6:H102,H102))</x:f>
      </x:c>
    </x:row>
    <x:row r="103" ht="26" customHeight="1">
      <x:c r="A103" s="319"/>
      <x:c r="B103" s="320"/>
      <x:c r="C103" s="274"/>
      <x:c r="D103" s="304"/>
      <x:c r="E103" s="274"/>
      <x:c r="F103" s="274"/>
      <x:c r="G103" s="274"/>
      <x:c r="H103" s="304"/>
      <x:c r="I103" s="274"/>
      <x:c r="J103" s="315" t="str">
        <x:f>IF(A103="","",IF(I103&lt;&gt;"Open","",IF(H103="","Set due date",IF(H103&lt;TODAY(),"Overdue",IF(H103=TODAY(),"Due today","Upcoming")))))</x:f>
      </x:c>
      <x:c r="K103" s="265" t="str">
        <x:f>IF(A103="","",IF(B103="","",IF(COUNTIFS('Clients'!$A$6:$A$205,B103)&lt;&gt;1,"Check Client ID",IF(INDEX('Clients'!$B$6:$B$205,MATCH(B103,'Clients'!$A$6:$A$205,0))="","Name missing",INDEX('Clients'!$B$6:$B$205,MATCH(B103,'Clients'!$A$6:$A$205,0))))))</x:f>
      </x:c>
      <x:c r="L103" s="265" t="str">
        <x:f>IF(A103="","",IF(C103="","",IF(COUNTIFS('Properties'!$A$6:$A$205,C103)&lt;&gt;1,"Check Property ID",IF(INDEX('Properties'!$B$6:$B$205,MATCH(C103,'Properties'!$A$6:$A$205,0))="","Name missing",INDEX('Properties'!$B$6:$B$205,MATCH(C103,'Properties'!$A$6:$A$205,0))))))</x:f>
      </x:c>
      <x:c r="M103" s="265" t="str">
        <x:f>IF(A103="","",IF(COUNTIFS($A$6:$A$205,A103)&gt;1,"Duplicate ID",IF(OR(B103="",COUNTIFS('Clients'!$A$6:$A$205,B103)&lt;&gt;1),"Check Client ID",IF(AND(C103&lt;&gt;"",COUNTIFS('Properties'!$A$6:$A$205,C103)&lt;&gt;1),"Check Property ID",IF(I103="","Set task status",IF(AND(I103="Open",G103=""),"Add next action",IF(AND(I103="Open",NOT(ISNUMBER(H103))),"Add due date",IF(AND(ISNUMBER(D103),D103&gt;TODAY()),"Contact date is future",""))))))))</x:f>
      </x:c>
      <x:c r="N103" s="379" t="str">
        <x:f>IF(OR(A103="",I103&lt;&gt;"Open",NOT(ISNUMBER(H103))),"",COUNTIFS($A$6:$A$205,"&lt;&gt;",$I$6:$I$205,"Open",$H$6:$H$205,"&gt;0",$H$6:$H$205,"&lt;"&amp;H103)+COUNTIFS($A$6:A103,"&lt;&gt;",$I$6:I103,"Open",$H$6:H103,H103))</x:f>
      </x:c>
    </x:row>
    <x:row r="104" ht="26" customHeight="1">
      <x:c r="A104" s="317"/>
      <x:c r="B104" s="318"/>
      <x:c r="C104" s="235"/>
      <x:c r="D104" s="238"/>
      <x:c r="E104" s="235"/>
      <x:c r="F104" s="235"/>
      <x:c r="G104" s="235"/>
      <x:c r="H104" s="238"/>
      <x:c r="I104" s="235"/>
      <x:c r="J104" s="315" t="str">
        <x:f>IF(A104="","",IF(I104&lt;&gt;"Open","",IF(H104="","Set due date",IF(H104&lt;TODAY(),"Overdue",IF(H104=TODAY(),"Due today","Upcoming")))))</x:f>
      </x:c>
      <x:c r="K104" s="265" t="str">
        <x:f>IF(A104="","",IF(B104="","",IF(COUNTIFS('Clients'!$A$6:$A$205,B104)&lt;&gt;1,"Check Client ID",IF(INDEX('Clients'!$B$6:$B$205,MATCH(B104,'Clients'!$A$6:$A$205,0))="","Name missing",INDEX('Clients'!$B$6:$B$205,MATCH(B104,'Clients'!$A$6:$A$205,0))))))</x:f>
      </x:c>
      <x:c r="L104" s="265" t="str">
        <x:f>IF(A104="","",IF(C104="","",IF(COUNTIFS('Properties'!$A$6:$A$205,C104)&lt;&gt;1,"Check Property ID",IF(INDEX('Properties'!$B$6:$B$205,MATCH(C104,'Properties'!$A$6:$A$205,0))="","Name missing",INDEX('Properties'!$B$6:$B$205,MATCH(C104,'Properties'!$A$6:$A$205,0))))))</x:f>
      </x:c>
      <x:c r="M104" s="265" t="str">
        <x:f>IF(A104="","",IF(COUNTIFS($A$6:$A$205,A104)&gt;1,"Duplicate ID",IF(OR(B104="",COUNTIFS('Clients'!$A$6:$A$205,B104)&lt;&gt;1),"Check Client ID",IF(AND(C104&lt;&gt;"",COUNTIFS('Properties'!$A$6:$A$205,C104)&lt;&gt;1),"Check Property ID",IF(I104="","Set task status",IF(AND(I104="Open",G104=""),"Add next action",IF(AND(I104="Open",NOT(ISNUMBER(H104))),"Add due date",IF(AND(ISNUMBER(D104),D104&gt;TODAY()),"Contact date is future",""))))))))</x:f>
      </x:c>
      <x:c r="N104" s="379" t="str">
        <x:f>IF(OR(A104="",I104&lt;&gt;"Open",NOT(ISNUMBER(H104))),"",COUNTIFS($A$6:$A$205,"&lt;&gt;",$I$6:$I$205,"Open",$H$6:$H$205,"&gt;0",$H$6:$H$205,"&lt;"&amp;H104)+COUNTIFS($A$6:A104,"&lt;&gt;",$I$6:I104,"Open",$H$6:H104,H104))</x:f>
      </x:c>
    </x:row>
    <x:row r="105" ht="26" customHeight="1">
      <x:c r="A105" s="319"/>
      <x:c r="B105" s="320"/>
      <x:c r="C105" s="274"/>
      <x:c r="D105" s="304"/>
      <x:c r="E105" s="274"/>
      <x:c r="F105" s="274"/>
      <x:c r="G105" s="274"/>
      <x:c r="H105" s="304"/>
      <x:c r="I105" s="274"/>
      <x:c r="J105" s="315" t="str">
        <x:f>IF(A105="","",IF(I105&lt;&gt;"Open","",IF(H105="","Set due date",IF(H105&lt;TODAY(),"Overdue",IF(H105=TODAY(),"Due today","Upcoming")))))</x:f>
      </x:c>
      <x:c r="K105" s="265" t="str">
        <x:f>IF(A105="","",IF(B105="","",IF(COUNTIFS('Clients'!$A$6:$A$205,B105)&lt;&gt;1,"Check Client ID",IF(INDEX('Clients'!$B$6:$B$205,MATCH(B105,'Clients'!$A$6:$A$205,0))="","Name missing",INDEX('Clients'!$B$6:$B$205,MATCH(B105,'Clients'!$A$6:$A$205,0))))))</x:f>
      </x:c>
      <x:c r="L105" s="265" t="str">
        <x:f>IF(A105="","",IF(C105="","",IF(COUNTIFS('Properties'!$A$6:$A$205,C105)&lt;&gt;1,"Check Property ID",IF(INDEX('Properties'!$B$6:$B$205,MATCH(C105,'Properties'!$A$6:$A$205,0))="","Name missing",INDEX('Properties'!$B$6:$B$205,MATCH(C105,'Properties'!$A$6:$A$205,0))))))</x:f>
      </x:c>
      <x:c r="M105" s="265" t="str">
        <x:f>IF(A105="","",IF(COUNTIFS($A$6:$A$205,A105)&gt;1,"Duplicate ID",IF(OR(B105="",COUNTIFS('Clients'!$A$6:$A$205,B105)&lt;&gt;1),"Check Client ID",IF(AND(C105&lt;&gt;"",COUNTIFS('Properties'!$A$6:$A$205,C105)&lt;&gt;1),"Check Property ID",IF(I105="","Set task status",IF(AND(I105="Open",G105=""),"Add next action",IF(AND(I105="Open",NOT(ISNUMBER(H105))),"Add due date",IF(AND(ISNUMBER(D105),D105&gt;TODAY()),"Contact date is future",""))))))))</x:f>
      </x:c>
      <x:c r="N105" s="379" t="str">
        <x:f>IF(OR(A105="",I105&lt;&gt;"Open",NOT(ISNUMBER(H105))),"",COUNTIFS($A$6:$A$205,"&lt;&gt;",$I$6:$I$205,"Open",$H$6:$H$205,"&gt;0",$H$6:$H$205,"&lt;"&amp;H105)+COUNTIFS($A$6:A105,"&lt;&gt;",$I$6:I105,"Open",$H$6:H105,H105))</x:f>
      </x:c>
    </x:row>
    <x:row r="106" ht="26" customHeight="1">
      <x:c r="A106" s="317"/>
      <x:c r="B106" s="318"/>
      <x:c r="C106" s="235"/>
      <x:c r="D106" s="238"/>
      <x:c r="E106" s="235"/>
      <x:c r="F106" s="235"/>
      <x:c r="G106" s="235"/>
      <x:c r="H106" s="238"/>
      <x:c r="I106" s="235"/>
      <x:c r="J106" s="315" t="str">
        <x:f>IF(A106="","",IF(I106&lt;&gt;"Open","",IF(H106="","Set due date",IF(H106&lt;TODAY(),"Overdue",IF(H106=TODAY(),"Due today","Upcoming")))))</x:f>
      </x:c>
      <x:c r="K106" s="265" t="str">
        <x:f>IF(A106="","",IF(B106="","",IF(COUNTIFS('Clients'!$A$6:$A$205,B106)&lt;&gt;1,"Check Client ID",IF(INDEX('Clients'!$B$6:$B$205,MATCH(B106,'Clients'!$A$6:$A$205,0))="","Name missing",INDEX('Clients'!$B$6:$B$205,MATCH(B106,'Clients'!$A$6:$A$205,0))))))</x:f>
      </x:c>
      <x:c r="L106" s="265" t="str">
        <x:f>IF(A106="","",IF(C106="","",IF(COUNTIFS('Properties'!$A$6:$A$205,C106)&lt;&gt;1,"Check Property ID",IF(INDEX('Properties'!$B$6:$B$205,MATCH(C106,'Properties'!$A$6:$A$205,0))="","Name missing",INDEX('Properties'!$B$6:$B$205,MATCH(C106,'Properties'!$A$6:$A$205,0))))))</x:f>
      </x:c>
      <x:c r="M106" s="265" t="str">
        <x:f>IF(A106="","",IF(COUNTIFS($A$6:$A$205,A106)&gt;1,"Duplicate ID",IF(OR(B106="",COUNTIFS('Clients'!$A$6:$A$205,B106)&lt;&gt;1),"Check Client ID",IF(AND(C106&lt;&gt;"",COUNTIFS('Properties'!$A$6:$A$205,C106)&lt;&gt;1),"Check Property ID",IF(I106="","Set task status",IF(AND(I106="Open",G106=""),"Add next action",IF(AND(I106="Open",NOT(ISNUMBER(H106))),"Add due date",IF(AND(ISNUMBER(D106),D106&gt;TODAY()),"Contact date is future",""))))))))</x:f>
      </x:c>
      <x:c r="N106" s="379" t="str">
        <x:f>IF(OR(A106="",I106&lt;&gt;"Open",NOT(ISNUMBER(H106))),"",COUNTIFS($A$6:$A$205,"&lt;&gt;",$I$6:$I$205,"Open",$H$6:$H$205,"&gt;0",$H$6:$H$205,"&lt;"&amp;H106)+COUNTIFS($A$6:A106,"&lt;&gt;",$I$6:I106,"Open",$H$6:H106,H106))</x:f>
      </x:c>
    </x:row>
    <x:row r="107" ht="26" customHeight="1">
      <x:c r="A107" s="319"/>
      <x:c r="B107" s="320"/>
      <x:c r="C107" s="274"/>
      <x:c r="D107" s="304"/>
      <x:c r="E107" s="274"/>
      <x:c r="F107" s="274"/>
      <x:c r="G107" s="274"/>
      <x:c r="H107" s="304"/>
      <x:c r="I107" s="274"/>
      <x:c r="J107" s="315" t="str">
        <x:f>IF(A107="","",IF(I107&lt;&gt;"Open","",IF(H107="","Set due date",IF(H107&lt;TODAY(),"Overdue",IF(H107=TODAY(),"Due today","Upcoming")))))</x:f>
      </x:c>
      <x:c r="K107" s="265" t="str">
        <x:f>IF(A107="","",IF(B107="","",IF(COUNTIFS('Clients'!$A$6:$A$205,B107)&lt;&gt;1,"Check Client ID",IF(INDEX('Clients'!$B$6:$B$205,MATCH(B107,'Clients'!$A$6:$A$205,0))="","Name missing",INDEX('Clients'!$B$6:$B$205,MATCH(B107,'Clients'!$A$6:$A$205,0))))))</x:f>
      </x:c>
      <x:c r="L107" s="265" t="str">
        <x:f>IF(A107="","",IF(C107="","",IF(COUNTIFS('Properties'!$A$6:$A$205,C107)&lt;&gt;1,"Check Property ID",IF(INDEX('Properties'!$B$6:$B$205,MATCH(C107,'Properties'!$A$6:$A$205,0))="","Name missing",INDEX('Properties'!$B$6:$B$205,MATCH(C107,'Properties'!$A$6:$A$205,0))))))</x:f>
      </x:c>
      <x:c r="M107" s="265" t="str">
        <x:f>IF(A107="","",IF(COUNTIFS($A$6:$A$205,A107)&gt;1,"Duplicate ID",IF(OR(B107="",COUNTIFS('Clients'!$A$6:$A$205,B107)&lt;&gt;1),"Check Client ID",IF(AND(C107&lt;&gt;"",COUNTIFS('Properties'!$A$6:$A$205,C107)&lt;&gt;1),"Check Property ID",IF(I107="","Set task status",IF(AND(I107="Open",G107=""),"Add next action",IF(AND(I107="Open",NOT(ISNUMBER(H107))),"Add due date",IF(AND(ISNUMBER(D107),D107&gt;TODAY()),"Contact date is future",""))))))))</x:f>
      </x:c>
      <x:c r="N107" s="379" t="str">
        <x:f>IF(OR(A107="",I107&lt;&gt;"Open",NOT(ISNUMBER(H107))),"",COUNTIFS($A$6:$A$205,"&lt;&gt;",$I$6:$I$205,"Open",$H$6:$H$205,"&gt;0",$H$6:$H$205,"&lt;"&amp;H107)+COUNTIFS($A$6:A107,"&lt;&gt;",$I$6:I107,"Open",$H$6:H107,H107))</x:f>
      </x:c>
    </x:row>
    <x:row r="108" ht="26" customHeight="1">
      <x:c r="A108" s="317"/>
      <x:c r="B108" s="318"/>
      <x:c r="C108" s="235"/>
      <x:c r="D108" s="238"/>
      <x:c r="E108" s="235"/>
      <x:c r="F108" s="235"/>
      <x:c r="G108" s="235"/>
      <x:c r="H108" s="238"/>
      <x:c r="I108" s="235"/>
      <x:c r="J108" s="315" t="str">
        <x:f>IF(A108="","",IF(I108&lt;&gt;"Open","",IF(H108="","Set due date",IF(H108&lt;TODAY(),"Overdue",IF(H108=TODAY(),"Due today","Upcoming")))))</x:f>
      </x:c>
      <x:c r="K108" s="265" t="str">
        <x:f>IF(A108="","",IF(B108="","",IF(COUNTIFS('Clients'!$A$6:$A$205,B108)&lt;&gt;1,"Check Client ID",IF(INDEX('Clients'!$B$6:$B$205,MATCH(B108,'Clients'!$A$6:$A$205,0))="","Name missing",INDEX('Clients'!$B$6:$B$205,MATCH(B108,'Clients'!$A$6:$A$205,0))))))</x:f>
      </x:c>
      <x:c r="L108" s="265" t="str">
        <x:f>IF(A108="","",IF(C108="","",IF(COUNTIFS('Properties'!$A$6:$A$205,C108)&lt;&gt;1,"Check Property ID",IF(INDEX('Properties'!$B$6:$B$205,MATCH(C108,'Properties'!$A$6:$A$205,0))="","Name missing",INDEX('Properties'!$B$6:$B$205,MATCH(C108,'Properties'!$A$6:$A$205,0))))))</x:f>
      </x:c>
      <x:c r="M108" s="265" t="str">
        <x:f>IF(A108="","",IF(COUNTIFS($A$6:$A$205,A108)&gt;1,"Duplicate ID",IF(OR(B108="",COUNTIFS('Clients'!$A$6:$A$205,B108)&lt;&gt;1),"Check Client ID",IF(AND(C108&lt;&gt;"",COUNTIFS('Properties'!$A$6:$A$205,C108)&lt;&gt;1),"Check Property ID",IF(I108="","Set task status",IF(AND(I108="Open",G108=""),"Add next action",IF(AND(I108="Open",NOT(ISNUMBER(H108))),"Add due date",IF(AND(ISNUMBER(D108),D108&gt;TODAY()),"Contact date is future",""))))))))</x:f>
      </x:c>
      <x:c r="N108" s="379" t="str">
        <x:f>IF(OR(A108="",I108&lt;&gt;"Open",NOT(ISNUMBER(H108))),"",COUNTIFS($A$6:$A$205,"&lt;&gt;",$I$6:$I$205,"Open",$H$6:$H$205,"&gt;0",$H$6:$H$205,"&lt;"&amp;H108)+COUNTIFS($A$6:A108,"&lt;&gt;",$I$6:I108,"Open",$H$6:H108,H108))</x:f>
      </x:c>
    </x:row>
    <x:row r="109" ht="26" customHeight="1">
      <x:c r="A109" s="319"/>
      <x:c r="B109" s="320"/>
      <x:c r="C109" s="274"/>
      <x:c r="D109" s="304"/>
      <x:c r="E109" s="274"/>
      <x:c r="F109" s="274"/>
      <x:c r="G109" s="274"/>
      <x:c r="H109" s="304"/>
      <x:c r="I109" s="274"/>
      <x:c r="J109" s="315" t="str">
        <x:f>IF(A109="","",IF(I109&lt;&gt;"Open","",IF(H109="","Set due date",IF(H109&lt;TODAY(),"Overdue",IF(H109=TODAY(),"Due today","Upcoming")))))</x:f>
      </x:c>
      <x:c r="K109" s="265" t="str">
        <x:f>IF(A109="","",IF(B109="","",IF(COUNTIFS('Clients'!$A$6:$A$205,B109)&lt;&gt;1,"Check Client ID",IF(INDEX('Clients'!$B$6:$B$205,MATCH(B109,'Clients'!$A$6:$A$205,0))="","Name missing",INDEX('Clients'!$B$6:$B$205,MATCH(B109,'Clients'!$A$6:$A$205,0))))))</x:f>
      </x:c>
      <x:c r="L109" s="265" t="str">
        <x:f>IF(A109="","",IF(C109="","",IF(COUNTIFS('Properties'!$A$6:$A$205,C109)&lt;&gt;1,"Check Property ID",IF(INDEX('Properties'!$B$6:$B$205,MATCH(C109,'Properties'!$A$6:$A$205,0))="","Name missing",INDEX('Properties'!$B$6:$B$205,MATCH(C109,'Properties'!$A$6:$A$205,0))))))</x:f>
      </x:c>
      <x:c r="M109" s="265" t="str">
        <x:f>IF(A109="","",IF(COUNTIFS($A$6:$A$205,A109)&gt;1,"Duplicate ID",IF(OR(B109="",COUNTIFS('Clients'!$A$6:$A$205,B109)&lt;&gt;1),"Check Client ID",IF(AND(C109&lt;&gt;"",COUNTIFS('Properties'!$A$6:$A$205,C109)&lt;&gt;1),"Check Property ID",IF(I109="","Set task status",IF(AND(I109="Open",G109=""),"Add next action",IF(AND(I109="Open",NOT(ISNUMBER(H109))),"Add due date",IF(AND(ISNUMBER(D109),D109&gt;TODAY()),"Contact date is future",""))))))))</x:f>
      </x:c>
      <x:c r="N109" s="379" t="str">
        <x:f>IF(OR(A109="",I109&lt;&gt;"Open",NOT(ISNUMBER(H109))),"",COUNTIFS($A$6:$A$205,"&lt;&gt;",$I$6:$I$205,"Open",$H$6:$H$205,"&gt;0",$H$6:$H$205,"&lt;"&amp;H109)+COUNTIFS($A$6:A109,"&lt;&gt;",$I$6:I109,"Open",$H$6:H109,H109))</x:f>
      </x:c>
    </x:row>
    <x:row r="110" ht="26" customHeight="1">
      <x:c r="A110" s="317"/>
      <x:c r="B110" s="318"/>
      <x:c r="C110" s="235"/>
      <x:c r="D110" s="238"/>
      <x:c r="E110" s="235"/>
      <x:c r="F110" s="235"/>
      <x:c r="G110" s="235"/>
      <x:c r="H110" s="238"/>
      <x:c r="I110" s="235"/>
      <x:c r="J110" s="315" t="str">
        <x:f>IF(A110="","",IF(I110&lt;&gt;"Open","",IF(H110="","Set due date",IF(H110&lt;TODAY(),"Overdue",IF(H110=TODAY(),"Due today","Upcoming")))))</x:f>
      </x:c>
      <x:c r="K110" s="265" t="str">
        <x:f>IF(A110="","",IF(B110="","",IF(COUNTIFS('Clients'!$A$6:$A$205,B110)&lt;&gt;1,"Check Client ID",IF(INDEX('Clients'!$B$6:$B$205,MATCH(B110,'Clients'!$A$6:$A$205,0))="","Name missing",INDEX('Clients'!$B$6:$B$205,MATCH(B110,'Clients'!$A$6:$A$205,0))))))</x:f>
      </x:c>
      <x:c r="L110" s="265" t="str">
        <x:f>IF(A110="","",IF(C110="","",IF(COUNTIFS('Properties'!$A$6:$A$205,C110)&lt;&gt;1,"Check Property ID",IF(INDEX('Properties'!$B$6:$B$205,MATCH(C110,'Properties'!$A$6:$A$205,0))="","Name missing",INDEX('Properties'!$B$6:$B$205,MATCH(C110,'Properties'!$A$6:$A$205,0))))))</x:f>
      </x:c>
      <x:c r="M110" s="265" t="str">
        <x:f>IF(A110="","",IF(COUNTIFS($A$6:$A$205,A110)&gt;1,"Duplicate ID",IF(OR(B110="",COUNTIFS('Clients'!$A$6:$A$205,B110)&lt;&gt;1),"Check Client ID",IF(AND(C110&lt;&gt;"",COUNTIFS('Properties'!$A$6:$A$205,C110)&lt;&gt;1),"Check Property ID",IF(I110="","Set task status",IF(AND(I110="Open",G110=""),"Add next action",IF(AND(I110="Open",NOT(ISNUMBER(H110))),"Add due date",IF(AND(ISNUMBER(D110),D110&gt;TODAY()),"Contact date is future",""))))))))</x:f>
      </x:c>
      <x:c r="N110" s="379" t="str">
        <x:f>IF(OR(A110="",I110&lt;&gt;"Open",NOT(ISNUMBER(H110))),"",COUNTIFS($A$6:$A$205,"&lt;&gt;",$I$6:$I$205,"Open",$H$6:$H$205,"&gt;0",$H$6:$H$205,"&lt;"&amp;H110)+COUNTIFS($A$6:A110,"&lt;&gt;",$I$6:I110,"Open",$H$6:H110,H110))</x:f>
      </x:c>
    </x:row>
    <x:row r="111" ht="26" customHeight="1">
      <x:c r="A111" s="319"/>
      <x:c r="B111" s="320"/>
      <x:c r="C111" s="274"/>
      <x:c r="D111" s="304"/>
      <x:c r="E111" s="274"/>
      <x:c r="F111" s="274"/>
      <x:c r="G111" s="274"/>
      <x:c r="H111" s="304"/>
      <x:c r="I111" s="274"/>
      <x:c r="J111" s="315" t="str">
        <x:f>IF(A111="","",IF(I111&lt;&gt;"Open","",IF(H111="","Set due date",IF(H111&lt;TODAY(),"Overdue",IF(H111=TODAY(),"Due today","Upcoming")))))</x:f>
      </x:c>
      <x:c r="K111" s="265" t="str">
        <x:f>IF(A111="","",IF(B111="","",IF(COUNTIFS('Clients'!$A$6:$A$205,B111)&lt;&gt;1,"Check Client ID",IF(INDEX('Clients'!$B$6:$B$205,MATCH(B111,'Clients'!$A$6:$A$205,0))="","Name missing",INDEX('Clients'!$B$6:$B$205,MATCH(B111,'Clients'!$A$6:$A$205,0))))))</x:f>
      </x:c>
      <x:c r="L111" s="265" t="str">
        <x:f>IF(A111="","",IF(C111="","",IF(COUNTIFS('Properties'!$A$6:$A$205,C111)&lt;&gt;1,"Check Property ID",IF(INDEX('Properties'!$B$6:$B$205,MATCH(C111,'Properties'!$A$6:$A$205,0))="","Name missing",INDEX('Properties'!$B$6:$B$205,MATCH(C111,'Properties'!$A$6:$A$205,0))))))</x:f>
      </x:c>
      <x:c r="M111" s="265" t="str">
        <x:f>IF(A111="","",IF(COUNTIFS($A$6:$A$205,A111)&gt;1,"Duplicate ID",IF(OR(B111="",COUNTIFS('Clients'!$A$6:$A$205,B111)&lt;&gt;1),"Check Client ID",IF(AND(C111&lt;&gt;"",COUNTIFS('Properties'!$A$6:$A$205,C111)&lt;&gt;1),"Check Property ID",IF(I111="","Set task status",IF(AND(I111="Open",G111=""),"Add next action",IF(AND(I111="Open",NOT(ISNUMBER(H111))),"Add due date",IF(AND(ISNUMBER(D111),D111&gt;TODAY()),"Contact date is future",""))))))))</x:f>
      </x:c>
      <x:c r="N111" s="379" t="str">
        <x:f>IF(OR(A111="",I111&lt;&gt;"Open",NOT(ISNUMBER(H111))),"",COUNTIFS($A$6:$A$205,"&lt;&gt;",$I$6:$I$205,"Open",$H$6:$H$205,"&gt;0",$H$6:$H$205,"&lt;"&amp;H111)+COUNTIFS($A$6:A111,"&lt;&gt;",$I$6:I111,"Open",$H$6:H111,H111))</x:f>
      </x:c>
    </x:row>
    <x:row r="112" ht="26" customHeight="1">
      <x:c r="A112" s="317"/>
      <x:c r="B112" s="318"/>
      <x:c r="C112" s="235"/>
      <x:c r="D112" s="238"/>
      <x:c r="E112" s="235"/>
      <x:c r="F112" s="235"/>
      <x:c r="G112" s="235"/>
      <x:c r="H112" s="238"/>
      <x:c r="I112" s="235"/>
      <x:c r="J112" s="315" t="str">
        <x:f>IF(A112="","",IF(I112&lt;&gt;"Open","",IF(H112="","Set due date",IF(H112&lt;TODAY(),"Overdue",IF(H112=TODAY(),"Due today","Upcoming")))))</x:f>
      </x:c>
      <x:c r="K112" s="265" t="str">
        <x:f>IF(A112="","",IF(B112="","",IF(COUNTIFS('Clients'!$A$6:$A$205,B112)&lt;&gt;1,"Check Client ID",IF(INDEX('Clients'!$B$6:$B$205,MATCH(B112,'Clients'!$A$6:$A$205,0))="","Name missing",INDEX('Clients'!$B$6:$B$205,MATCH(B112,'Clients'!$A$6:$A$205,0))))))</x:f>
      </x:c>
      <x:c r="L112" s="265" t="str">
        <x:f>IF(A112="","",IF(C112="","",IF(COUNTIFS('Properties'!$A$6:$A$205,C112)&lt;&gt;1,"Check Property ID",IF(INDEX('Properties'!$B$6:$B$205,MATCH(C112,'Properties'!$A$6:$A$205,0))="","Name missing",INDEX('Properties'!$B$6:$B$205,MATCH(C112,'Properties'!$A$6:$A$205,0))))))</x:f>
      </x:c>
      <x:c r="M112" s="265" t="str">
        <x:f>IF(A112="","",IF(COUNTIFS($A$6:$A$205,A112)&gt;1,"Duplicate ID",IF(OR(B112="",COUNTIFS('Clients'!$A$6:$A$205,B112)&lt;&gt;1),"Check Client ID",IF(AND(C112&lt;&gt;"",COUNTIFS('Properties'!$A$6:$A$205,C112)&lt;&gt;1),"Check Property ID",IF(I112="","Set task status",IF(AND(I112="Open",G112=""),"Add next action",IF(AND(I112="Open",NOT(ISNUMBER(H112))),"Add due date",IF(AND(ISNUMBER(D112),D112&gt;TODAY()),"Contact date is future",""))))))))</x:f>
      </x:c>
      <x:c r="N112" s="379" t="str">
        <x:f>IF(OR(A112="",I112&lt;&gt;"Open",NOT(ISNUMBER(H112))),"",COUNTIFS($A$6:$A$205,"&lt;&gt;",$I$6:$I$205,"Open",$H$6:$H$205,"&gt;0",$H$6:$H$205,"&lt;"&amp;H112)+COUNTIFS($A$6:A112,"&lt;&gt;",$I$6:I112,"Open",$H$6:H112,H112))</x:f>
      </x:c>
    </x:row>
    <x:row r="113" ht="26" customHeight="1">
      <x:c r="A113" s="319"/>
      <x:c r="B113" s="320"/>
      <x:c r="C113" s="274"/>
      <x:c r="D113" s="304"/>
      <x:c r="E113" s="274"/>
      <x:c r="F113" s="274"/>
      <x:c r="G113" s="274"/>
      <x:c r="H113" s="304"/>
      <x:c r="I113" s="274"/>
      <x:c r="J113" s="315" t="str">
        <x:f>IF(A113="","",IF(I113&lt;&gt;"Open","",IF(H113="","Set due date",IF(H113&lt;TODAY(),"Overdue",IF(H113=TODAY(),"Due today","Upcoming")))))</x:f>
      </x:c>
      <x:c r="K113" s="265" t="str">
        <x:f>IF(A113="","",IF(B113="","",IF(COUNTIFS('Clients'!$A$6:$A$205,B113)&lt;&gt;1,"Check Client ID",IF(INDEX('Clients'!$B$6:$B$205,MATCH(B113,'Clients'!$A$6:$A$205,0))="","Name missing",INDEX('Clients'!$B$6:$B$205,MATCH(B113,'Clients'!$A$6:$A$205,0))))))</x:f>
      </x:c>
      <x:c r="L113" s="265" t="str">
        <x:f>IF(A113="","",IF(C113="","",IF(COUNTIFS('Properties'!$A$6:$A$205,C113)&lt;&gt;1,"Check Property ID",IF(INDEX('Properties'!$B$6:$B$205,MATCH(C113,'Properties'!$A$6:$A$205,0))="","Name missing",INDEX('Properties'!$B$6:$B$205,MATCH(C113,'Properties'!$A$6:$A$205,0))))))</x:f>
      </x:c>
      <x:c r="M113" s="265" t="str">
        <x:f>IF(A113="","",IF(COUNTIFS($A$6:$A$205,A113)&gt;1,"Duplicate ID",IF(OR(B113="",COUNTIFS('Clients'!$A$6:$A$205,B113)&lt;&gt;1),"Check Client ID",IF(AND(C113&lt;&gt;"",COUNTIFS('Properties'!$A$6:$A$205,C113)&lt;&gt;1),"Check Property ID",IF(I113="","Set task status",IF(AND(I113="Open",G113=""),"Add next action",IF(AND(I113="Open",NOT(ISNUMBER(H113))),"Add due date",IF(AND(ISNUMBER(D113),D113&gt;TODAY()),"Contact date is future",""))))))))</x:f>
      </x:c>
      <x:c r="N113" s="379" t="str">
        <x:f>IF(OR(A113="",I113&lt;&gt;"Open",NOT(ISNUMBER(H113))),"",COUNTIFS($A$6:$A$205,"&lt;&gt;",$I$6:$I$205,"Open",$H$6:$H$205,"&gt;0",$H$6:$H$205,"&lt;"&amp;H113)+COUNTIFS($A$6:A113,"&lt;&gt;",$I$6:I113,"Open",$H$6:H113,H113))</x:f>
      </x:c>
    </x:row>
    <x:row r="114" ht="26" customHeight="1">
      <x:c r="A114" s="317"/>
      <x:c r="B114" s="318"/>
      <x:c r="C114" s="235"/>
      <x:c r="D114" s="238"/>
      <x:c r="E114" s="235"/>
      <x:c r="F114" s="235"/>
      <x:c r="G114" s="235"/>
      <x:c r="H114" s="238"/>
      <x:c r="I114" s="235"/>
      <x:c r="J114" s="315" t="str">
        <x:f>IF(A114="","",IF(I114&lt;&gt;"Open","",IF(H114="","Set due date",IF(H114&lt;TODAY(),"Overdue",IF(H114=TODAY(),"Due today","Upcoming")))))</x:f>
      </x:c>
      <x:c r="K114" s="265" t="str">
        <x:f>IF(A114="","",IF(B114="","",IF(COUNTIFS('Clients'!$A$6:$A$205,B114)&lt;&gt;1,"Check Client ID",IF(INDEX('Clients'!$B$6:$B$205,MATCH(B114,'Clients'!$A$6:$A$205,0))="","Name missing",INDEX('Clients'!$B$6:$B$205,MATCH(B114,'Clients'!$A$6:$A$205,0))))))</x:f>
      </x:c>
      <x:c r="L114" s="265" t="str">
        <x:f>IF(A114="","",IF(C114="","",IF(COUNTIFS('Properties'!$A$6:$A$205,C114)&lt;&gt;1,"Check Property ID",IF(INDEX('Properties'!$B$6:$B$205,MATCH(C114,'Properties'!$A$6:$A$205,0))="","Name missing",INDEX('Properties'!$B$6:$B$205,MATCH(C114,'Properties'!$A$6:$A$205,0))))))</x:f>
      </x:c>
      <x:c r="M114" s="265" t="str">
        <x:f>IF(A114="","",IF(COUNTIFS($A$6:$A$205,A114)&gt;1,"Duplicate ID",IF(OR(B114="",COUNTIFS('Clients'!$A$6:$A$205,B114)&lt;&gt;1),"Check Client ID",IF(AND(C114&lt;&gt;"",COUNTIFS('Properties'!$A$6:$A$205,C114)&lt;&gt;1),"Check Property ID",IF(I114="","Set task status",IF(AND(I114="Open",G114=""),"Add next action",IF(AND(I114="Open",NOT(ISNUMBER(H114))),"Add due date",IF(AND(ISNUMBER(D114),D114&gt;TODAY()),"Contact date is future",""))))))))</x:f>
      </x:c>
      <x:c r="N114" s="379" t="str">
        <x:f>IF(OR(A114="",I114&lt;&gt;"Open",NOT(ISNUMBER(H114))),"",COUNTIFS($A$6:$A$205,"&lt;&gt;",$I$6:$I$205,"Open",$H$6:$H$205,"&gt;0",$H$6:$H$205,"&lt;"&amp;H114)+COUNTIFS($A$6:A114,"&lt;&gt;",$I$6:I114,"Open",$H$6:H114,H114))</x:f>
      </x:c>
    </x:row>
    <x:row r="115" ht="26" customHeight="1">
      <x:c r="A115" s="319"/>
      <x:c r="B115" s="320"/>
      <x:c r="C115" s="274"/>
      <x:c r="D115" s="304"/>
      <x:c r="E115" s="274"/>
      <x:c r="F115" s="274"/>
      <x:c r="G115" s="274"/>
      <x:c r="H115" s="304"/>
      <x:c r="I115" s="274"/>
      <x:c r="J115" s="315" t="str">
        <x:f>IF(A115="","",IF(I115&lt;&gt;"Open","",IF(H115="","Set due date",IF(H115&lt;TODAY(),"Overdue",IF(H115=TODAY(),"Due today","Upcoming")))))</x:f>
      </x:c>
      <x:c r="K115" s="265" t="str">
        <x:f>IF(A115="","",IF(B115="","",IF(COUNTIFS('Clients'!$A$6:$A$205,B115)&lt;&gt;1,"Check Client ID",IF(INDEX('Clients'!$B$6:$B$205,MATCH(B115,'Clients'!$A$6:$A$205,0))="","Name missing",INDEX('Clients'!$B$6:$B$205,MATCH(B115,'Clients'!$A$6:$A$205,0))))))</x:f>
      </x:c>
      <x:c r="L115" s="265" t="str">
        <x:f>IF(A115="","",IF(C115="","",IF(COUNTIFS('Properties'!$A$6:$A$205,C115)&lt;&gt;1,"Check Property ID",IF(INDEX('Properties'!$B$6:$B$205,MATCH(C115,'Properties'!$A$6:$A$205,0))="","Name missing",INDEX('Properties'!$B$6:$B$205,MATCH(C115,'Properties'!$A$6:$A$205,0))))))</x:f>
      </x:c>
      <x:c r="M115" s="265" t="str">
        <x:f>IF(A115="","",IF(COUNTIFS($A$6:$A$205,A115)&gt;1,"Duplicate ID",IF(OR(B115="",COUNTIFS('Clients'!$A$6:$A$205,B115)&lt;&gt;1),"Check Client ID",IF(AND(C115&lt;&gt;"",COUNTIFS('Properties'!$A$6:$A$205,C115)&lt;&gt;1),"Check Property ID",IF(I115="","Set task status",IF(AND(I115="Open",G115=""),"Add next action",IF(AND(I115="Open",NOT(ISNUMBER(H115))),"Add due date",IF(AND(ISNUMBER(D115),D115&gt;TODAY()),"Contact date is future",""))))))))</x:f>
      </x:c>
      <x:c r="N115" s="379" t="str">
        <x:f>IF(OR(A115="",I115&lt;&gt;"Open",NOT(ISNUMBER(H115))),"",COUNTIFS($A$6:$A$205,"&lt;&gt;",$I$6:$I$205,"Open",$H$6:$H$205,"&gt;0",$H$6:$H$205,"&lt;"&amp;H115)+COUNTIFS($A$6:A115,"&lt;&gt;",$I$6:I115,"Open",$H$6:H115,H115))</x:f>
      </x:c>
    </x:row>
    <x:row r="116" ht="26" customHeight="1">
      <x:c r="A116" s="317"/>
      <x:c r="B116" s="318"/>
      <x:c r="C116" s="235"/>
      <x:c r="D116" s="238"/>
      <x:c r="E116" s="235"/>
      <x:c r="F116" s="235"/>
      <x:c r="G116" s="235"/>
      <x:c r="H116" s="238"/>
      <x:c r="I116" s="235"/>
      <x:c r="J116" s="315" t="str">
        <x:f>IF(A116="","",IF(I116&lt;&gt;"Open","",IF(H116="","Set due date",IF(H116&lt;TODAY(),"Overdue",IF(H116=TODAY(),"Due today","Upcoming")))))</x:f>
      </x:c>
      <x:c r="K116" s="265" t="str">
        <x:f>IF(A116="","",IF(B116="","",IF(COUNTIFS('Clients'!$A$6:$A$205,B116)&lt;&gt;1,"Check Client ID",IF(INDEX('Clients'!$B$6:$B$205,MATCH(B116,'Clients'!$A$6:$A$205,0))="","Name missing",INDEX('Clients'!$B$6:$B$205,MATCH(B116,'Clients'!$A$6:$A$205,0))))))</x:f>
      </x:c>
      <x:c r="L116" s="265" t="str">
        <x:f>IF(A116="","",IF(C116="","",IF(COUNTIFS('Properties'!$A$6:$A$205,C116)&lt;&gt;1,"Check Property ID",IF(INDEX('Properties'!$B$6:$B$205,MATCH(C116,'Properties'!$A$6:$A$205,0))="","Name missing",INDEX('Properties'!$B$6:$B$205,MATCH(C116,'Properties'!$A$6:$A$205,0))))))</x:f>
      </x:c>
      <x:c r="M116" s="265" t="str">
        <x:f>IF(A116="","",IF(COUNTIFS($A$6:$A$205,A116)&gt;1,"Duplicate ID",IF(OR(B116="",COUNTIFS('Clients'!$A$6:$A$205,B116)&lt;&gt;1),"Check Client ID",IF(AND(C116&lt;&gt;"",COUNTIFS('Properties'!$A$6:$A$205,C116)&lt;&gt;1),"Check Property ID",IF(I116="","Set task status",IF(AND(I116="Open",G116=""),"Add next action",IF(AND(I116="Open",NOT(ISNUMBER(H116))),"Add due date",IF(AND(ISNUMBER(D116),D116&gt;TODAY()),"Contact date is future",""))))))))</x:f>
      </x:c>
      <x:c r="N116" s="379" t="str">
        <x:f>IF(OR(A116="",I116&lt;&gt;"Open",NOT(ISNUMBER(H116))),"",COUNTIFS($A$6:$A$205,"&lt;&gt;",$I$6:$I$205,"Open",$H$6:$H$205,"&gt;0",$H$6:$H$205,"&lt;"&amp;H116)+COUNTIFS($A$6:A116,"&lt;&gt;",$I$6:I116,"Open",$H$6:H116,H116))</x:f>
      </x:c>
    </x:row>
    <x:row r="117" ht="26" customHeight="1">
      <x:c r="A117" s="319"/>
      <x:c r="B117" s="320"/>
      <x:c r="C117" s="274"/>
      <x:c r="D117" s="304"/>
      <x:c r="E117" s="274"/>
      <x:c r="F117" s="274"/>
      <x:c r="G117" s="274"/>
      <x:c r="H117" s="304"/>
      <x:c r="I117" s="274"/>
      <x:c r="J117" s="315" t="str">
        <x:f>IF(A117="","",IF(I117&lt;&gt;"Open","",IF(H117="","Set due date",IF(H117&lt;TODAY(),"Overdue",IF(H117=TODAY(),"Due today","Upcoming")))))</x:f>
      </x:c>
      <x:c r="K117" s="265" t="str">
        <x:f>IF(A117="","",IF(B117="","",IF(COUNTIFS('Clients'!$A$6:$A$205,B117)&lt;&gt;1,"Check Client ID",IF(INDEX('Clients'!$B$6:$B$205,MATCH(B117,'Clients'!$A$6:$A$205,0))="","Name missing",INDEX('Clients'!$B$6:$B$205,MATCH(B117,'Clients'!$A$6:$A$205,0))))))</x:f>
      </x:c>
      <x:c r="L117" s="265" t="str">
        <x:f>IF(A117="","",IF(C117="","",IF(COUNTIFS('Properties'!$A$6:$A$205,C117)&lt;&gt;1,"Check Property ID",IF(INDEX('Properties'!$B$6:$B$205,MATCH(C117,'Properties'!$A$6:$A$205,0))="","Name missing",INDEX('Properties'!$B$6:$B$205,MATCH(C117,'Properties'!$A$6:$A$205,0))))))</x:f>
      </x:c>
      <x:c r="M117" s="265" t="str">
        <x:f>IF(A117="","",IF(COUNTIFS($A$6:$A$205,A117)&gt;1,"Duplicate ID",IF(OR(B117="",COUNTIFS('Clients'!$A$6:$A$205,B117)&lt;&gt;1),"Check Client ID",IF(AND(C117&lt;&gt;"",COUNTIFS('Properties'!$A$6:$A$205,C117)&lt;&gt;1),"Check Property ID",IF(I117="","Set task status",IF(AND(I117="Open",G117=""),"Add next action",IF(AND(I117="Open",NOT(ISNUMBER(H117))),"Add due date",IF(AND(ISNUMBER(D117),D117&gt;TODAY()),"Contact date is future",""))))))))</x:f>
      </x:c>
      <x:c r="N117" s="379" t="str">
        <x:f>IF(OR(A117="",I117&lt;&gt;"Open",NOT(ISNUMBER(H117))),"",COUNTIFS($A$6:$A$205,"&lt;&gt;",$I$6:$I$205,"Open",$H$6:$H$205,"&gt;0",$H$6:$H$205,"&lt;"&amp;H117)+COUNTIFS($A$6:A117,"&lt;&gt;",$I$6:I117,"Open",$H$6:H117,H117))</x:f>
      </x:c>
    </x:row>
    <x:row r="118" ht="26" customHeight="1">
      <x:c r="A118" s="317"/>
      <x:c r="B118" s="318"/>
      <x:c r="C118" s="235"/>
      <x:c r="D118" s="238"/>
      <x:c r="E118" s="235"/>
      <x:c r="F118" s="235"/>
      <x:c r="G118" s="235"/>
      <x:c r="H118" s="238"/>
      <x:c r="I118" s="235"/>
      <x:c r="J118" s="315" t="str">
        <x:f>IF(A118="","",IF(I118&lt;&gt;"Open","",IF(H118="","Set due date",IF(H118&lt;TODAY(),"Overdue",IF(H118=TODAY(),"Due today","Upcoming")))))</x:f>
      </x:c>
      <x:c r="K118" s="265" t="str">
        <x:f>IF(A118="","",IF(B118="","",IF(COUNTIFS('Clients'!$A$6:$A$205,B118)&lt;&gt;1,"Check Client ID",IF(INDEX('Clients'!$B$6:$B$205,MATCH(B118,'Clients'!$A$6:$A$205,0))="","Name missing",INDEX('Clients'!$B$6:$B$205,MATCH(B118,'Clients'!$A$6:$A$205,0))))))</x:f>
      </x:c>
      <x:c r="L118" s="265" t="str">
        <x:f>IF(A118="","",IF(C118="","",IF(COUNTIFS('Properties'!$A$6:$A$205,C118)&lt;&gt;1,"Check Property ID",IF(INDEX('Properties'!$B$6:$B$205,MATCH(C118,'Properties'!$A$6:$A$205,0))="","Name missing",INDEX('Properties'!$B$6:$B$205,MATCH(C118,'Properties'!$A$6:$A$205,0))))))</x:f>
      </x:c>
      <x:c r="M118" s="265" t="str">
        <x:f>IF(A118="","",IF(COUNTIFS($A$6:$A$205,A118)&gt;1,"Duplicate ID",IF(OR(B118="",COUNTIFS('Clients'!$A$6:$A$205,B118)&lt;&gt;1),"Check Client ID",IF(AND(C118&lt;&gt;"",COUNTIFS('Properties'!$A$6:$A$205,C118)&lt;&gt;1),"Check Property ID",IF(I118="","Set task status",IF(AND(I118="Open",G118=""),"Add next action",IF(AND(I118="Open",NOT(ISNUMBER(H118))),"Add due date",IF(AND(ISNUMBER(D118),D118&gt;TODAY()),"Contact date is future",""))))))))</x:f>
      </x:c>
      <x:c r="N118" s="379" t="str">
        <x:f>IF(OR(A118="",I118&lt;&gt;"Open",NOT(ISNUMBER(H118))),"",COUNTIFS($A$6:$A$205,"&lt;&gt;",$I$6:$I$205,"Open",$H$6:$H$205,"&gt;0",$H$6:$H$205,"&lt;"&amp;H118)+COUNTIFS($A$6:A118,"&lt;&gt;",$I$6:I118,"Open",$H$6:H118,H118))</x:f>
      </x:c>
    </x:row>
    <x:row r="119" ht="26" customHeight="1">
      <x:c r="A119" s="319"/>
      <x:c r="B119" s="320"/>
      <x:c r="C119" s="274"/>
      <x:c r="D119" s="304"/>
      <x:c r="E119" s="274"/>
      <x:c r="F119" s="274"/>
      <x:c r="G119" s="274"/>
      <x:c r="H119" s="304"/>
      <x:c r="I119" s="274"/>
      <x:c r="J119" s="315" t="str">
        <x:f>IF(A119="","",IF(I119&lt;&gt;"Open","",IF(H119="","Set due date",IF(H119&lt;TODAY(),"Overdue",IF(H119=TODAY(),"Due today","Upcoming")))))</x:f>
      </x:c>
      <x:c r="K119" s="265" t="str">
        <x:f>IF(A119="","",IF(B119="","",IF(COUNTIFS('Clients'!$A$6:$A$205,B119)&lt;&gt;1,"Check Client ID",IF(INDEX('Clients'!$B$6:$B$205,MATCH(B119,'Clients'!$A$6:$A$205,0))="","Name missing",INDEX('Clients'!$B$6:$B$205,MATCH(B119,'Clients'!$A$6:$A$205,0))))))</x:f>
      </x:c>
      <x:c r="L119" s="265" t="str">
        <x:f>IF(A119="","",IF(C119="","",IF(COUNTIFS('Properties'!$A$6:$A$205,C119)&lt;&gt;1,"Check Property ID",IF(INDEX('Properties'!$B$6:$B$205,MATCH(C119,'Properties'!$A$6:$A$205,0))="","Name missing",INDEX('Properties'!$B$6:$B$205,MATCH(C119,'Properties'!$A$6:$A$205,0))))))</x:f>
      </x:c>
      <x:c r="M119" s="265" t="str">
        <x:f>IF(A119="","",IF(COUNTIFS($A$6:$A$205,A119)&gt;1,"Duplicate ID",IF(OR(B119="",COUNTIFS('Clients'!$A$6:$A$205,B119)&lt;&gt;1),"Check Client ID",IF(AND(C119&lt;&gt;"",COUNTIFS('Properties'!$A$6:$A$205,C119)&lt;&gt;1),"Check Property ID",IF(I119="","Set task status",IF(AND(I119="Open",G119=""),"Add next action",IF(AND(I119="Open",NOT(ISNUMBER(H119))),"Add due date",IF(AND(ISNUMBER(D119),D119&gt;TODAY()),"Contact date is future",""))))))))</x:f>
      </x:c>
      <x:c r="N119" s="379" t="str">
        <x:f>IF(OR(A119="",I119&lt;&gt;"Open",NOT(ISNUMBER(H119))),"",COUNTIFS($A$6:$A$205,"&lt;&gt;",$I$6:$I$205,"Open",$H$6:$H$205,"&gt;0",$H$6:$H$205,"&lt;"&amp;H119)+COUNTIFS($A$6:A119,"&lt;&gt;",$I$6:I119,"Open",$H$6:H119,H119))</x:f>
      </x:c>
    </x:row>
    <x:row r="120" ht="26" customHeight="1">
      <x:c r="A120" s="317"/>
      <x:c r="B120" s="318"/>
      <x:c r="C120" s="235"/>
      <x:c r="D120" s="238"/>
      <x:c r="E120" s="235"/>
      <x:c r="F120" s="235"/>
      <x:c r="G120" s="235"/>
      <x:c r="H120" s="238"/>
      <x:c r="I120" s="235"/>
      <x:c r="J120" s="315" t="str">
        <x:f>IF(A120="","",IF(I120&lt;&gt;"Open","",IF(H120="","Set due date",IF(H120&lt;TODAY(),"Overdue",IF(H120=TODAY(),"Due today","Upcoming")))))</x:f>
      </x:c>
      <x:c r="K120" s="265" t="str">
        <x:f>IF(A120="","",IF(B120="","",IF(COUNTIFS('Clients'!$A$6:$A$205,B120)&lt;&gt;1,"Check Client ID",IF(INDEX('Clients'!$B$6:$B$205,MATCH(B120,'Clients'!$A$6:$A$205,0))="","Name missing",INDEX('Clients'!$B$6:$B$205,MATCH(B120,'Clients'!$A$6:$A$205,0))))))</x:f>
      </x:c>
      <x:c r="L120" s="265" t="str">
        <x:f>IF(A120="","",IF(C120="","",IF(COUNTIFS('Properties'!$A$6:$A$205,C120)&lt;&gt;1,"Check Property ID",IF(INDEX('Properties'!$B$6:$B$205,MATCH(C120,'Properties'!$A$6:$A$205,0))="","Name missing",INDEX('Properties'!$B$6:$B$205,MATCH(C120,'Properties'!$A$6:$A$205,0))))))</x:f>
      </x:c>
      <x:c r="M120" s="265" t="str">
        <x:f>IF(A120="","",IF(COUNTIFS($A$6:$A$205,A120)&gt;1,"Duplicate ID",IF(OR(B120="",COUNTIFS('Clients'!$A$6:$A$205,B120)&lt;&gt;1),"Check Client ID",IF(AND(C120&lt;&gt;"",COUNTIFS('Properties'!$A$6:$A$205,C120)&lt;&gt;1),"Check Property ID",IF(I120="","Set task status",IF(AND(I120="Open",G120=""),"Add next action",IF(AND(I120="Open",NOT(ISNUMBER(H120))),"Add due date",IF(AND(ISNUMBER(D120),D120&gt;TODAY()),"Contact date is future",""))))))))</x:f>
      </x:c>
      <x:c r="N120" s="379" t="str">
        <x:f>IF(OR(A120="",I120&lt;&gt;"Open",NOT(ISNUMBER(H120))),"",COUNTIFS($A$6:$A$205,"&lt;&gt;",$I$6:$I$205,"Open",$H$6:$H$205,"&gt;0",$H$6:$H$205,"&lt;"&amp;H120)+COUNTIFS($A$6:A120,"&lt;&gt;",$I$6:I120,"Open",$H$6:H120,H120))</x:f>
      </x:c>
    </x:row>
    <x:row r="121" ht="26" customHeight="1">
      <x:c r="A121" s="319"/>
      <x:c r="B121" s="320"/>
      <x:c r="C121" s="274"/>
      <x:c r="D121" s="304"/>
      <x:c r="E121" s="274"/>
      <x:c r="F121" s="274"/>
      <x:c r="G121" s="274"/>
      <x:c r="H121" s="304"/>
      <x:c r="I121" s="274"/>
      <x:c r="J121" s="315" t="str">
        <x:f>IF(A121="","",IF(I121&lt;&gt;"Open","",IF(H121="","Set due date",IF(H121&lt;TODAY(),"Overdue",IF(H121=TODAY(),"Due today","Upcoming")))))</x:f>
      </x:c>
      <x:c r="K121" s="265" t="str">
        <x:f>IF(A121="","",IF(B121="","",IF(COUNTIFS('Clients'!$A$6:$A$205,B121)&lt;&gt;1,"Check Client ID",IF(INDEX('Clients'!$B$6:$B$205,MATCH(B121,'Clients'!$A$6:$A$205,0))="","Name missing",INDEX('Clients'!$B$6:$B$205,MATCH(B121,'Clients'!$A$6:$A$205,0))))))</x:f>
      </x:c>
      <x:c r="L121" s="265" t="str">
        <x:f>IF(A121="","",IF(C121="","",IF(COUNTIFS('Properties'!$A$6:$A$205,C121)&lt;&gt;1,"Check Property ID",IF(INDEX('Properties'!$B$6:$B$205,MATCH(C121,'Properties'!$A$6:$A$205,0))="","Name missing",INDEX('Properties'!$B$6:$B$205,MATCH(C121,'Properties'!$A$6:$A$205,0))))))</x:f>
      </x:c>
      <x:c r="M121" s="265" t="str">
        <x:f>IF(A121="","",IF(COUNTIFS($A$6:$A$205,A121)&gt;1,"Duplicate ID",IF(OR(B121="",COUNTIFS('Clients'!$A$6:$A$205,B121)&lt;&gt;1),"Check Client ID",IF(AND(C121&lt;&gt;"",COUNTIFS('Properties'!$A$6:$A$205,C121)&lt;&gt;1),"Check Property ID",IF(I121="","Set task status",IF(AND(I121="Open",G121=""),"Add next action",IF(AND(I121="Open",NOT(ISNUMBER(H121))),"Add due date",IF(AND(ISNUMBER(D121),D121&gt;TODAY()),"Contact date is future",""))))))))</x:f>
      </x:c>
      <x:c r="N121" s="379" t="str">
        <x:f>IF(OR(A121="",I121&lt;&gt;"Open",NOT(ISNUMBER(H121))),"",COUNTIFS($A$6:$A$205,"&lt;&gt;",$I$6:$I$205,"Open",$H$6:$H$205,"&gt;0",$H$6:$H$205,"&lt;"&amp;H121)+COUNTIFS($A$6:A121,"&lt;&gt;",$I$6:I121,"Open",$H$6:H121,H121))</x:f>
      </x:c>
    </x:row>
    <x:row r="122" ht="26" customHeight="1">
      <x:c r="A122" s="317"/>
      <x:c r="B122" s="318"/>
      <x:c r="C122" s="235"/>
      <x:c r="D122" s="238"/>
      <x:c r="E122" s="235"/>
      <x:c r="F122" s="235"/>
      <x:c r="G122" s="235"/>
      <x:c r="H122" s="238"/>
      <x:c r="I122" s="235"/>
      <x:c r="J122" s="315" t="str">
        <x:f>IF(A122="","",IF(I122&lt;&gt;"Open","",IF(H122="","Set due date",IF(H122&lt;TODAY(),"Overdue",IF(H122=TODAY(),"Due today","Upcoming")))))</x:f>
      </x:c>
      <x:c r="K122" s="265" t="str">
        <x:f>IF(A122="","",IF(B122="","",IF(COUNTIFS('Clients'!$A$6:$A$205,B122)&lt;&gt;1,"Check Client ID",IF(INDEX('Clients'!$B$6:$B$205,MATCH(B122,'Clients'!$A$6:$A$205,0))="","Name missing",INDEX('Clients'!$B$6:$B$205,MATCH(B122,'Clients'!$A$6:$A$205,0))))))</x:f>
      </x:c>
      <x:c r="L122" s="265" t="str">
        <x:f>IF(A122="","",IF(C122="","",IF(COUNTIFS('Properties'!$A$6:$A$205,C122)&lt;&gt;1,"Check Property ID",IF(INDEX('Properties'!$B$6:$B$205,MATCH(C122,'Properties'!$A$6:$A$205,0))="","Name missing",INDEX('Properties'!$B$6:$B$205,MATCH(C122,'Properties'!$A$6:$A$205,0))))))</x:f>
      </x:c>
      <x:c r="M122" s="265" t="str">
        <x:f>IF(A122="","",IF(COUNTIFS($A$6:$A$205,A122)&gt;1,"Duplicate ID",IF(OR(B122="",COUNTIFS('Clients'!$A$6:$A$205,B122)&lt;&gt;1),"Check Client ID",IF(AND(C122&lt;&gt;"",COUNTIFS('Properties'!$A$6:$A$205,C122)&lt;&gt;1),"Check Property ID",IF(I122="","Set task status",IF(AND(I122="Open",G122=""),"Add next action",IF(AND(I122="Open",NOT(ISNUMBER(H122))),"Add due date",IF(AND(ISNUMBER(D122),D122&gt;TODAY()),"Contact date is future",""))))))))</x:f>
      </x:c>
      <x:c r="N122" s="379" t="str">
        <x:f>IF(OR(A122="",I122&lt;&gt;"Open",NOT(ISNUMBER(H122))),"",COUNTIFS($A$6:$A$205,"&lt;&gt;",$I$6:$I$205,"Open",$H$6:$H$205,"&gt;0",$H$6:$H$205,"&lt;"&amp;H122)+COUNTIFS($A$6:A122,"&lt;&gt;",$I$6:I122,"Open",$H$6:H122,H122))</x:f>
      </x:c>
    </x:row>
    <x:row r="123" ht="26" customHeight="1">
      <x:c r="A123" s="319"/>
      <x:c r="B123" s="320"/>
      <x:c r="C123" s="274"/>
      <x:c r="D123" s="304"/>
      <x:c r="E123" s="274"/>
      <x:c r="F123" s="274"/>
      <x:c r="G123" s="274"/>
      <x:c r="H123" s="304"/>
      <x:c r="I123" s="274"/>
      <x:c r="J123" s="315" t="str">
        <x:f>IF(A123="","",IF(I123&lt;&gt;"Open","",IF(H123="","Set due date",IF(H123&lt;TODAY(),"Overdue",IF(H123=TODAY(),"Due today","Upcoming")))))</x:f>
      </x:c>
      <x:c r="K123" s="265" t="str">
        <x:f>IF(A123="","",IF(B123="","",IF(COUNTIFS('Clients'!$A$6:$A$205,B123)&lt;&gt;1,"Check Client ID",IF(INDEX('Clients'!$B$6:$B$205,MATCH(B123,'Clients'!$A$6:$A$205,0))="","Name missing",INDEX('Clients'!$B$6:$B$205,MATCH(B123,'Clients'!$A$6:$A$205,0))))))</x:f>
      </x:c>
      <x:c r="L123" s="265" t="str">
        <x:f>IF(A123="","",IF(C123="","",IF(COUNTIFS('Properties'!$A$6:$A$205,C123)&lt;&gt;1,"Check Property ID",IF(INDEX('Properties'!$B$6:$B$205,MATCH(C123,'Properties'!$A$6:$A$205,0))="","Name missing",INDEX('Properties'!$B$6:$B$205,MATCH(C123,'Properties'!$A$6:$A$205,0))))))</x:f>
      </x:c>
      <x:c r="M123" s="265" t="str">
        <x:f>IF(A123="","",IF(COUNTIFS($A$6:$A$205,A123)&gt;1,"Duplicate ID",IF(OR(B123="",COUNTIFS('Clients'!$A$6:$A$205,B123)&lt;&gt;1),"Check Client ID",IF(AND(C123&lt;&gt;"",COUNTIFS('Properties'!$A$6:$A$205,C123)&lt;&gt;1),"Check Property ID",IF(I123="","Set task status",IF(AND(I123="Open",G123=""),"Add next action",IF(AND(I123="Open",NOT(ISNUMBER(H123))),"Add due date",IF(AND(ISNUMBER(D123),D123&gt;TODAY()),"Contact date is future",""))))))))</x:f>
      </x:c>
      <x:c r="N123" s="379" t="str">
        <x:f>IF(OR(A123="",I123&lt;&gt;"Open",NOT(ISNUMBER(H123))),"",COUNTIFS($A$6:$A$205,"&lt;&gt;",$I$6:$I$205,"Open",$H$6:$H$205,"&gt;0",$H$6:$H$205,"&lt;"&amp;H123)+COUNTIFS($A$6:A123,"&lt;&gt;",$I$6:I123,"Open",$H$6:H123,H123))</x:f>
      </x:c>
    </x:row>
    <x:row r="124" ht="26" customHeight="1">
      <x:c r="A124" s="317"/>
      <x:c r="B124" s="318"/>
      <x:c r="C124" s="235"/>
      <x:c r="D124" s="238"/>
      <x:c r="E124" s="235"/>
      <x:c r="F124" s="235"/>
      <x:c r="G124" s="235"/>
      <x:c r="H124" s="238"/>
      <x:c r="I124" s="235"/>
      <x:c r="J124" s="315" t="str">
        <x:f>IF(A124="","",IF(I124&lt;&gt;"Open","",IF(H124="","Set due date",IF(H124&lt;TODAY(),"Overdue",IF(H124=TODAY(),"Due today","Upcoming")))))</x:f>
      </x:c>
      <x:c r="K124" s="265" t="str">
        <x:f>IF(A124="","",IF(B124="","",IF(COUNTIFS('Clients'!$A$6:$A$205,B124)&lt;&gt;1,"Check Client ID",IF(INDEX('Clients'!$B$6:$B$205,MATCH(B124,'Clients'!$A$6:$A$205,0))="","Name missing",INDEX('Clients'!$B$6:$B$205,MATCH(B124,'Clients'!$A$6:$A$205,0))))))</x:f>
      </x:c>
      <x:c r="L124" s="265" t="str">
        <x:f>IF(A124="","",IF(C124="","",IF(COUNTIFS('Properties'!$A$6:$A$205,C124)&lt;&gt;1,"Check Property ID",IF(INDEX('Properties'!$B$6:$B$205,MATCH(C124,'Properties'!$A$6:$A$205,0))="","Name missing",INDEX('Properties'!$B$6:$B$205,MATCH(C124,'Properties'!$A$6:$A$205,0))))))</x:f>
      </x:c>
      <x:c r="M124" s="265" t="str">
        <x:f>IF(A124="","",IF(COUNTIFS($A$6:$A$205,A124)&gt;1,"Duplicate ID",IF(OR(B124="",COUNTIFS('Clients'!$A$6:$A$205,B124)&lt;&gt;1),"Check Client ID",IF(AND(C124&lt;&gt;"",COUNTIFS('Properties'!$A$6:$A$205,C124)&lt;&gt;1),"Check Property ID",IF(I124="","Set task status",IF(AND(I124="Open",G124=""),"Add next action",IF(AND(I124="Open",NOT(ISNUMBER(H124))),"Add due date",IF(AND(ISNUMBER(D124),D124&gt;TODAY()),"Contact date is future",""))))))))</x:f>
      </x:c>
      <x:c r="N124" s="379" t="str">
        <x:f>IF(OR(A124="",I124&lt;&gt;"Open",NOT(ISNUMBER(H124))),"",COUNTIFS($A$6:$A$205,"&lt;&gt;",$I$6:$I$205,"Open",$H$6:$H$205,"&gt;0",$H$6:$H$205,"&lt;"&amp;H124)+COUNTIFS($A$6:A124,"&lt;&gt;",$I$6:I124,"Open",$H$6:H124,H124))</x:f>
      </x:c>
    </x:row>
    <x:row r="125" ht="26" customHeight="1">
      <x:c r="A125" s="319"/>
      <x:c r="B125" s="320"/>
      <x:c r="C125" s="274"/>
      <x:c r="D125" s="304"/>
      <x:c r="E125" s="274"/>
      <x:c r="F125" s="274"/>
      <x:c r="G125" s="274"/>
      <x:c r="H125" s="304"/>
      <x:c r="I125" s="274"/>
      <x:c r="J125" s="315" t="str">
        <x:f>IF(A125="","",IF(I125&lt;&gt;"Open","",IF(H125="","Set due date",IF(H125&lt;TODAY(),"Overdue",IF(H125=TODAY(),"Due today","Upcoming")))))</x:f>
      </x:c>
      <x:c r="K125" s="265" t="str">
        <x:f>IF(A125="","",IF(B125="","",IF(COUNTIFS('Clients'!$A$6:$A$205,B125)&lt;&gt;1,"Check Client ID",IF(INDEX('Clients'!$B$6:$B$205,MATCH(B125,'Clients'!$A$6:$A$205,0))="","Name missing",INDEX('Clients'!$B$6:$B$205,MATCH(B125,'Clients'!$A$6:$A$205,0))))))</x:f>
      </x:c>
      <x:c r="L125" s="265" t="str">
        <x:f>IF(A125="","",IF(C125="","",IF(COUNTIFS('Properties'!$A$6:$A$205,C125)&lt;&gt;1,"Check Property ID",IF(INDEX('Properties'!$B$6:$B$205,MATCH(C125,'Properties'!$A$6:$A$205,0))="","Name missing",INDEX('Properties'!$B$6:$B$205,MATCH(C125,'Properties'!$A$6:$A$205,0))))))</x:f>
      </x:c>
      <x:c r="M125" s="265" t="str">
        <x:f>IF(A125="","",IF(COUNTIFS($A$6:$A$205,A125)&gt;1,"Duplicate ID",IF(OR(B125="",COUNTIFS('Clients'!$A$6:$A$205,B125)&lt;&gt;1),"Check Client ID",IF(AND(C125&lt;&gt;"",COUNTIFS('Properties'!$A$6:$A$205,C125)&lt;&gt;1),"Check Property ID",IF(I125="","Set task status",IF(AND(I125="Open",G125=""),"Add next action",IF(AND(I125="Open",NOT(ISNUMBER(H125))),"Add due date",IF(AND(ISNUMBER(D125),D125&gt;TODAY()),"Contact date is future",""))))))))</x:f>
      </x:c>
      <x:c r="N125" s="379" t="str">
        <x:f>IF(OR(A125="",I125&lt;&gt;"Open",NOT(ISNUMBER(H125))),"",COUNTIFS($A$6:$A$205,"&lt;&gt;",$I$6:$I$205,"Open",$H$6:$H$205,"&gt;0",$H$6:$H$205,"&lt;"&amp;H125)+COUNTIFS($A$6:A125,"&lt;&gt;",$I$6:I125,"Open",$H$6:H125,H125))</x:f>
      </x:c>
    </x:row>
    <x:row r="126" ht="26" customHeight="1">
      <x:c r="A126" s="317"/>
      <x:c r="B126" s="318"/>
      <x:c r="C126" s="235"/>
      <x:c r="D126" s="238"/>
      <x:c r="E126" s="235"/>
      <x:c r="F126" s="235"/>
      <x:c r="G126" s="235"/>
      <x:c r="H126" s="238"/>
      <x:c r="I126" s="235"/>
      <x:c r="J126" s="315" t="str">
        <x:f>IF(A126="","",IF(I126&lt;&gt;"Open","",IF(H126="","Set due date",IF(H126&lt;TODAY(),"Overdue",IF(H126=TODAY(),"Due today","Upcoming")))))</x:f>
      </x:c>
      <x:c r="K126" s="265" t="str">
        <x:f>IF(A126="","",IF(B126="","",IF(COUNTIFS('Clients'!$A$6:$A$205,B126)&lt;&gt;1,"Check Client ID",IF(INDEX('Clients'!$B$6:$B$205,MATCH(B126,'Clients'!$A$6:$A$205,0))="","Name missing",INDEX('Clients'!$B$6:$B$205,MATCH(B126,'Clients'!$A$6:$A$205,0))))))</x:f>
      </x:c>
      <x:c r="L126" s="265" t="str">
        <x:f>IF(A126="","",IF(C126="","",IF(COUNTIFS('Properties'!$A$6:$A$205,C126)&lt;&gt;1,"Check Property ID",IF(INDEX('Properties'!$B$6:$B$205,MATCH(C126,'Properties'!$A$6:$A$205,0))="","Name missing",INDEX('Properties'!$B$6:$B$205,MATCH(C126,'Properties'!$A$6:$A$205,0))))))</x:f>
      </x:c>
      <x:c r="M126" s="265" t="str">
        <x:f>IF(A126="","",IF(COUNTIFS($A$6:$A$205,A126)&gt;1,"Duplicate ID",IF(OR(B126="",COUNTIFS('Clients'!$A$6:$A$205,B126)&lt;&gt;1),"Check Client ID",IF(AND(C126&lt;&gt;"",COUNTIFS('Properties'!$A$6:$A$205,C126)&lt;&gt;1),"Check Property ID",IF(I126="","Set task status",IF(AND(I126="Open",G126=""),"Add next action",IF(AND(I126="Open",NOT(ISNUMBER(H126))),"Add due date",IF(AND(ISNUMBER(D126),D126&gt;TODAY()),"Contact date is future",""))))))))</x:f>
      </x:c>
      <x:c r="N126" s="379" t="str">
        <x:f>IF(OR(A126="",I126&lt;&gt;"Open",NOT(ISNUMBER(H126))),"",COUNTIFS($A$6:$A$205,"&lt;&gt;",$I$6:$I$205,"Open",$H$6:$H$205,"&gt;0",$H$6:$H$205,"&lt;"&amp;H126)+COUNTIFS($A$6:A126,"&lt;&gt;",$I$6:I126,"Open",$H$6:H126,H126))</x:f>
      </x:c>
    </x:row>
    <x:row r="127" ht="26" customHeight="1">
      <x:c r="A127" s="319"/>
      <x:c r="B127" s="320"/>
      <x:c r="C127" s="274"/>
      <x:c r="D127" s="304"/>
      <x:c r="E127" s="274"/>
      <x:c r="F127" s="274"/>
      <x:c r="G127" s="274"/>
      <x:c r="H127" s="304"/>
      <x:c r="I127" s="274"/>
      <x:c r="J127" s="315" t="str">
        <x:f>IF(A127="","",IF(I127&lt;&gt;"Open","",IF(H127="","Set due date",IF(H127&lt;TODAY(),"Overdue",IF(H127=TODAY(),"Due today","Upcoming")))))</x:f>
      </x:c>
      <x:c r="K127" s="265" t="str">
        <x:f>IF(A127="","",IF(B127="","",IF(COUNTIFS('Clients'!$A$6:$A$205,B127)&lt;&gt;1,"Check Client ID",IF(INDEX('Clients'!$B$6:$B$205,MATCH(B127,'Clients'!$A$6:$A$205,0))="","Name missing",INDEX('Clients'!$B$6:$B$205,MATCH(B127,'Clients'!$A$6:$A$205,0))))))</x:f>
      </x:c>
      <x:c r="L127" s="265" t="str">
        <x:f>IF(A127="","",IF(C127="","",IF(COUNTIFS('Properties'!$A$6:$A$205,C127)&lt;&gt;1,"Check Property ID",IF(INDEX('Properties'!$B$6:$B$205,MATCH(C127,'Properties'!$A$6:$A$205,0))="","Name missing",INDEX('Properties'!$B$6:$B$205,MATCH(C127,'Properties'!$A$6:$A$205,0))))))</x:f>
      </x:c>
      <x:c r="M127" s="265" t="str">
        <x:f>IF(A127="","",IF(COUNTIFS($A$6:$A$205,A127)&gt;1,"Duplicate ID",IF(OR(B127="",COUNTIFS('Clients'!$A$6:$A$205,B127)&lt;&gt;1),"Check Client ID",IF(AND(C127&lt;&gt;"",COUNTIFS('Properties'!$A$6:$A$205,C127)&lt;&gt;1),"Check Property ID",IF(I127="","Set task status",IF(AND(I127="Open",G127=""),"Add next action",IF(AND(I127="Open",NOT(ISNUMBER(H127))),"Add due date",IF(AND(ISNUMBER(D127),D127&gt;TODAY()),"Contact date is future",""))))))))</x:f>
      </x:c>
      <x:c r="N127" s="379" t="str">
        <x:f>IF(OR(A127="",I127&lt;&gt;"Open",NOT(ISNUMBER(H127))),"",COUNTIFS($A$6:$A$205,"&lt;&gt;",$I$6:$I$205,"Open",$H$6:$H$205,"&gt;0",$H$6:$H$205,"&lt;"&amp;H127)+COUNTIFS($A$6:A127,"&lt;&gt;",$I$6:I127,"Open",$H$6:H127,H127))</x:f>
      </x:c>
    </x:row>
    <x:row r="128" ht="26" customHeight="1">
      <x:c r="A128" s="317"/>
      <x:c r="B128" s="318"/>
      <x:c r="C128" s="235"/>
      <x:c r="D128" s="238"/>
      <x:c r="E128" s="235"/>
      <x:c r="F128" s="235"/>
      <x:c r="G128" s="235"/>
      <x:c r="H128" s="238"/>
      <x:c r="I128" s="235"/>
      <x:c r="J128" s="315" t="str">
        <x:f>IF(A128="","",IF(I128&lt;&gt;"Open","",IF(H128="","Set due date",IF(H128&lt;TODAY(),"Overdue",IF(H128=TODAY(),"Due today","Upcoming")))))</x:f>
      </x:c>
      <x:c r="K128" s="265" t="str">
        <x:f>IF(A128="","",IF(B128="","",IF(COUNTIFS('Clients'!$A$6:$A$205,B128)&lt;&gt;1,"Check Client ID",IF(INDEX('Clients'!$B$6:$B$205,MATCH(B128,'Clients'!$A$6:$A$205,0))="","Name missing",INDEX('Clients'!$B$6:$B$205,MATCH(B128,'Clients'!$A$6:$A$205,0))))))</x:f>
      </x:c>
      <x:c r="L128" s="265" t="str">
        <x:f>IF(A128="","",IF(C128="","",IF(COUNTIFS('Properties'!$A$6:$A$205,C128)&lt;&gt;1,"Check Property ID",IF(INDEX('Properties'!$B$6:$B$205,MATCH(C128,'Properties'!$A$6:$A$205,0))="","Name missing",INDEX('Properties'!$B$6:$B$205,MATCH(C128,'Properties'!$A$6:$A$205,0))))))</x:f>
      </x:c>
      <x:c r="M128" s="265" t="str">
        <x:f>IF(A128="","",IF(COUNTIFS($A$6:$A$205,A128)&gt;1,"Duplicate ID",IF(OR(B128="",COUNTIFS('Clients'!$A$6:$A$205,B128)&lt;&gt;1),"Check Client ID",IF(AND(C128&lt;&gt;"",COUNTIFS('Properties'!$A$6:$A$205,C128)&lt;&gt;1),"Check Property ID",IF(I128="","Set task status",IF(AND(I128="Open",G128=""),"Add next action",IF(AND(I128="Open",NOT(ISNUMBER(H128))),"Add due date",IF(AND(ISNUMBER(D128),D128&gt;TODAY()),"Contact date is future",""))))))))</x:f>
      </x:c>
      <x:c r="N128" s="379" t="str">
        <x:f>IF(OR(A128="",I128&lt;&gt;"Open",NOT(ISNUMBER(H128))),"",COUNTIFS($A$6:$A$205,"&lt;&gt;",$I$6:$I$205,"Open",$H$6:$H$205,"&gt;0",$H$6:$H$205,"&lt;"&amp;H128)+COUNTIFS($A$6:A128,"&lt;&gt;",$I$6:I128,"Open",$H$6:H128,H128))</x:f>
      </x:c>
    </x:row>
    <x:row r="129" ht="26" customHeight="1">
      <x:c r="A129" s="319"/>
      <x:c r="B129" s="320"/>
      <x:c r="C129" s="274"/>
      <x:c r="D129" s="304"/>
      <x:c r="E129" s="274"/>
      <x:c r="F129" s="274"/>
      <x:c r="G129" s="274"/>
      <x:c r="H129" s="304"/>
      <x:c r="I129" s="274"/>
      <x:c r="J129" s="315" t="str">
        <x:f>IF(A129="","",IF(I129&lt;&gt;"Open","",IF(H129="","Set due date",IF(H129&lt;TODAY(),"Overdue",IF(H129=TODAY(),"Due today","Upcoming")))))</x:f>
      </x:c>
      <x:c r="K129" s="265" t="str">
        <x:f>IF(A129="","",IF(B129="","",IF(COUNTIFS('Clients'!$A$6:$A$205,B129)&lt;&gt;1,"Check Client ID",IF(INDEX('Clients'!$B$6:$B$205,MATCH(B129,'Clients'!$A$6:$A$205,0))="","Name missing",INDEX('Clients'!$B$6:$B$205,MATCH(B129,'Clients'!$A$6:$A$205,0))))))</x:f>
      </x:c>
      <x:c r="L129" s="265" t="str">
        <x:f>IF(A129="","",IF(C129="","",IF(COUNTIFS('Properties'!$A$6:$A$205,C129)&lt;&gt;1,"Check Property ID",IF(INDEX('Properties'!$B$6:$B$205,MATCH(C129,'Properties'!$A$6:$A$205,0))="","Name missing",INDEX('Properties'!$B$6:$B$205,MATCH(C129,'Properties'!$A$6:$A$205,0))))))</x:f>
      </x:c>
      <x:c r="M129" s="265" t="str">
        <x:f>IF(A129="","",IF(COUNTIFS($A$6:$A$205,A129)&gt;1,"Duplicate ID",IF(OR(B129="",COUNTIFS('Clients'!$A$6:$A$205,B129)&lt;&gt;1),"Check Client ID",IF(AND(C129&lt;&gt;"",COUNTIFS('Properties'!$A$6:$A$205,C129)&lt;&gt;1),"Check Property ID",IF(I129="","Set task status",IF(AND(I129="Open",G129=""),"Add next action",IF(AND(I129="Open",NOT(ISNUMBER(H129))),"Add due date",IF(AND(ISNUMBER(D129),D129&gt;TODAY()),"Contact date is future",""))))))))</x:f>
      </x:c>
      <x:c r="N129" s="379" t="str">
        <x:f>IF(OR(A129="",I129&lt;&gt;"Open",NOT(ISNUMBER(H129))),"",COUNTIFS($A$6:$A$205,"&lt;&gt;",$I$6:$I$205,"Open",$H$6:$H$205,"&gt;0",$H$6:$H$205,"&lt;"&amp;H129)+COUNTIFS($A$6:A129,"&lt;&gt;",$I$6:I129,"Open",$H$6:H129,H129))</x:f>
      </x:c>
    </x:row>
    <x:row r="130" ht="26" customHeight="1">
      <x:c r="A130" s="317"/>
      <x:c r="B130" s="318"/>
      <x:c r="C130" s="235"/>
      <x:c r="D130" s="238"/>
      <x:c r="E130" s="235"/>
      <x:c r="F130" s="235"/>
      <x:c r="G130" s="235"/>
      <x:c r="H130" s="238"/>
      <x:c r="I130" s="235"/>
      <x:c r="J130" s="315" t="str">
        <x:f>IF(A130="","",IF(I130&lt;&gt;"Open","",IF(H130="","Set due date",IF(H130&lt;TODAY(),"Overdue",IF(H130=TODAY(),"Due today","Upcoming")))))</x:f>
      </x:c>
      <x:c r="K130" s="265" t="str">
        <x:f>IF(A130="","",IF(B130="","",IF(COUNTIFS('Clients'!$A$6:$A$205,B130)&lt;&gt;1,"Check Client ID",IF(INDEX('Clients'!$B$6:$B$205,MATCH(B130,'Clients'!$A$6:$A$205,0))="","Name missing",INDEX('Clients'!$B$6:$B$205,MATCH(B130,'Clients'!$A$6:$A$205,0))))))</x:f>
      </x:c>
      <x:c r="L130" s="265" t="str">
        <x:f>IF(A130="","",IF(C130="","",IF(COUNTIFS('Properties'!$A$6:$A$205,C130)&lt;&gt;1,"Check Property ID",IF(INDEX('Properties'!$B$6:$B$205,MATCH(C130,'Properties'!$A$6:$A$205,0))="","Name missing",INDEX('Properties'!$B$6:$B$205,MATCH(C130,'Properties'!$A$6:$A$205,0))))))</x:f>
      </x:c>
      <x:c r="M130" s="265" t="str">
        <x:f>IF(A130="","",IF(COUNTIFS($A$6:$A$205,A130)&gt;1,"Duplicate ID",IF(OR(B130="",COUNTIFS('Clients'!$A$6:$A$205,B130)&lt;&gt;1),"Check Client ID",IF(AND(C130&lt;&gt;"",COUNTIFS('Properties'!$A$6:$A$205,C130)&lt;&gt;1),"Check Property ID",IF(I130="","Set task status",IF(AND(I130="Open",G130=""),"Add next action",IF(AND(I130="Open",NOT(ISNUMBER(H130))),"Add due date",IF(AND(ISNUMBER(D130),D130&gt;TODAY()),"Contact date is future",""))))))))</x:f>
      </x:c>
      <x:c r="N130" s="379" t="str">
        <x:f>IF(OR(A130="",I130&lt;&gt;"Open",NOT(ISNUMBER(H130))),"",COUNTIFS($A$6:$A$205,"&lt;&gt;",$I$6:$I$205,"Open",$H$6:$H$205,"&gt;0",$H$6:$H$205,"&lt;"&amp;H130)+COUNTIFS($A$6:A130,"&lt;&gt;",$I$6:I130,"Open",$H$6:H130,H130))</x:f>
      </x:c>
    </x:row>
    <x:row r="131" ht="26" customHeight="1">
      <x:c r="A131" s="319"/>
      <x:c r="B131" s="320"/>
      <x:c r="C131" s="274"/>
      <x:c r="D131" s="304"/>
      <x:c r="E131" s="274"/>
      <x:c r="F131" s="274"/>
      <x:c r="G131" s="274"/>
      <x:c r="H131" s="304"/>
      <x:c r="I131" s="274"/>
      <x:c r="J131" s="315" t="str">
        <x:f>IF(A131="","",IF(I131&lt;&gt;"Open","",IF(H131="","Set due date",IF(H131&lt;TODAY(),"Overdue",IF(H131=TODAY(),"Due today","Upcoming")))))</x:f>
      </x:c>
      <x:c r="K131" s="265" t="str">
        <x:f>IF(A131="","",IF(B131="","",IF(COUNTIFS('Clients'!$A$6:$A$205,B131)&lt;&gt;1,"Check Client ID",IF(INDEX('Clients'!$B$6:$B$205,MATCH(B131,'Clients'!$A$6:$A$205,0))="","Name missing",INDEX('Clients'!$B$6:$B$205,MATCH(B131,'Clients'!$A$6:$A$205,0))))))</x:f>
      </x:c>
      <x:c r="L131" s="265" t="str">
        <x:f>IF(A131="","",IF(C131="","",IF(COUNTIFS('Properties'!$A$6:$A$205,C131)&lt;&gt;1,"Check Property ID",IF(INDEX('Properties'!$B$6:$B$205,MATCH(C131,'Properties'!$A$6:$A$205,0))="","Name missing",INDEX('Properties'!$B$6:$B$205,MATCH(C131,'Properties'!$A$6:$A$205,0))))))</x:f>
      </x:c>
      <x:c r="M131" s="265" t="str">
        <x:f>IF(A131="","",IF(COUNTIFS($A$6:$A$205,A131)&gt;1,"Duplicate ID",IF(OR(B131="",COUNTIFS('Clients'!$A$6:$A$205,B131)&lt;&gt;1),"Check Client ID",IF(AND(C131&lt;&gt;"",COUNTIFS('Properties'!$A$6:$A$205,C131)&lt;&gt;1),"Check Property ID",IF(I131="","Set task status",IF(AND(I131="Open",G131=""),"Add next action",IF(AND(I131="Open",NOT(ISNUMBER(H131))),"Add due date",IF(AND(ISNUMBER(D131),D131&gt;TODAY()),"Contact date is future",""))))))))</x:f>
      </x:c>
      <x:c r="N131" s="379" t="str">
        <x:f>IF(OR(A131="",I131&lt;&gt;"Open",NOT(ISNUMBER(H131))),"",COUNTIFS($A$6:$A$205,"&lt;&gt;",$I$6:$I$205,"Open",$H$6:$H$205,"&gt;0",$H$6:$H$205,"&lt;"&amp;H131)+COUNTIFS($A$6:A131,"&lt;&gt;",$I$6:I131,"Open",$H$6:H131,H131))</x:f>
      </x:c>
    </x:row>
    <x:row r="132" ht="26" customHeight="1">
      <x:c r="A132" s="317"/>
      <x:c r="B132" s="318"/>
      <x:c r="C132" s="235"/>
      <x:c r="D132" s="238"/>
      <x:c r="E132" s="235"/>
      <x:c r="F132" s="235"/>
      <x:c r="G132" s="235"/>
      <x:c r="H132" s="238"/>
      <x:c r="I132" s="235"/>
      <x:c r="J132" s="315" t="str">
        <x:f>IF(A132="","",IF(I132&lt;&gt;"Open","",IF(H132="","Set due date",IF(H132&lt;TODAY(),"Overdue",IF(H132=TODAY(),"Due today","Upcoming")))))</x:f>
      </x:c>
      <x:c r="K132" s="265" t="str">
        <x:f>IF(A132="","",IF(B132="","",IF(COUNTIFS('Clients'!$A$6:$A$205,B132)&lt;&gt;1,"Check Client ID",IF(INDEX('Clients'!$B$6:$B$205,MATCH(B132,'Clients'!$A$6:$A$205,0))="","Name missing",INDEX('Clients'!$B$6:$B$205,MATCH(B132,'Clients'!$A$6:$A$205,0))))))</x:f>
      </x:c>
      <x:c r="L132" s="265" t="str">
        <x:f>IF(A132="","",IF(C132="","",IF(COUNTIFS('Properties'!$A$6:$A$205,C132)&lt;&gt;1,"Check Property ID",IF(INDEX('Properties'!$B$6:$B$205,MATCH(C132,'Properties'!$A$6:$A$205,0))="","Name missing",INDEX('Properties'!$B$6:$B$205,MATCH(C132,'Properties'!$A$6:$A$205,0))))))</x:f>
      </x:c>
      <x:c r="M132" s="265" t="str">
        <x:f>IF(A132="","",IF(COUNTIFS($A$6:$A$205,A132)&gt;1,"Duplicate ID",IF(OR(B132="",COUNTIFS('Clients'!$A$6:$A$205,B132)&lt;&gt;1),"Check Client ID",IF(AND(C132&lt;&gt;"",COUNTIFS('Properties'!$A$6:$A$205,C132)&lt;&gt;1),"Check Property ID",IF(I132="","Set task status",IF(AND(I132="Open",G132=""),"Add next action",IF(AND(I132="Open",NOT(ISNUMBER(H132))),"Add due date",IF(AND(ISNUMBER(D132),D132&gt;TODAY()),"Contact date is future",""))))))))</x:f>
      </x:c>
      <x:c r="N132" s="379" t="str">
        <x:f>IF(OR(A132="",I132&lt;&gt;"Open",NOT(ISNUMBER(H132))),"",COUNTIFS($A$6:$A$205,"&lt;&gt;",$I$6:$I$205,"Open",$H$6:$H$205,"&gt;0",$H$6:$H$205,"&lt;"&amp;H132)+COUNTIFS($A$6:A132,"&lt;&gt;",$I$6:I132,"Open",$H$6:H132,H132))</x:f>
      </x:c>
    </x:row>
    <x:row r="133" ht="26" customHeight="1">
      <x:c r="A133" s="319"/>
      <x:c r="B133" s="320"/>
      <x:c r="C133" s="274"/>
      <x:c r="D133" s="304"/>
      <x:c r="E133" s="274"/>
      <x:c r="F133" s="274"/>
      <x:c r="G133" s="274"/>
      <x:c r="H133" s="304"/>
      <x:c r="I133" s="274"/>
      <x:c r="J133" s="315" t="str">
        <x:f>IF(A133="","",IF(I133&lt;&gt;"Open","",IF(H133="","Set due date",IF(H133&lt;TODAY(),"Overdue",IF(H133=TODAY(),"Due today","Upcoming")))))</x:f>
      </x:c>
      <x:c r="K133" s="265" t="str">
        <x:f>IF(A133="","",IF(B133="","",IF(COUNTIFS('Clients'!$A$6:$A$205,B133)&lt;&gt;1,"Check Client ID",IF(INDEX('Clients'!$B$6:$B$205,MATCH(B133,'Clients'!$A$6:$A$205,0))="","Name missing",INDEX('Clients'!$B$6:$B$205,MATCH(B133,'Clients'!$A$6:$A$205,0))))))</x:f>
      </x:c>
      <x:c r="L133" s="265" t="str">
        <x:f>IF(A133="","",IF(C133="","",IF(COUNTIFS('Properties'!$A$6:$A$205,C133)&lt;&gt;1,"Check Property ID",IF(INDEX('Properties'!$B$6:$B$205,MATCH(C133,'Properties'!$A$6:$A$205,0))="","Name missing",INDEX('Properties'!$B$6:$B$205,MATCH(C133,'Properties'!$A$6:$A$205,0))))))</x:f>
      </x:c>
      <x:c r="M133" s="265" t="str">
        <x:f>IF(A133="","",IF(COUNTIFS($A$6:$A$205,A133)&gt;1,"Duplicate ID",IF(OR(B133="",COUNTIFS('Clients'!$A$6:$A$205,B133)&lt;&gt;1),"Check Client ID",IF(AND(C133&lt;&gt;"",COUNTIFS('Properties'!$A$6:$A$205,C133)&lt;&gt;1),"Check Property ID",IF(I133="","Set task status",IF(AND(I133="Open",G133=""),"Add next action",IF(AND(I133="Open",NOT(ISNUMBER(H133))),"Add due date",IF(AND(ISNUMBER(D133),D133&gt;TODAY()),"Contact date is future",""))))))))</x:f>
      </x:c>
      <x:c r="N133" s="379" t="str">
        <x:f>IF(OR(A133="",I133&lt;&gt;"Open",NOT(ISNUMBER(H133))),"",COUNTIFS($A$6:$A$205,"&lt;&gt;",$I$6:$I$205,"Open",$H$6:$H$205,"&gt;0",$H$6:$H$205,"&lt;"&amp;H133)+COUNTIFS($A$6:A133,"&lt;&gt;",$I$6:I133,"Open",$H$6:H133,H133))</x:f>
      </x:c>
    </x:row>
    <x:row r="134" ht="26" customHeight="1">
      <x:c r="A134" s="317"/>
      <x:c r="B134" s="318"/>
      <x:c r="C134" s="235"/>
      <x:c r="D134" s="238"/>
      <x:c r="E134" s="235"/>
      <x:c r="F134" s="235"/>
      <x:c r="G134" s="235"/>
      <x:c r="H134" s="238"/>
      <x:c r="I134" s="235"/>
      <x:c r="J134" s="315" t="str">
        <x:f>IF(A134="","",IF(I134&lt;&gt;"Open","",IF(H134="","Set due date",IF(H134&lt;TODAY(),"Overdue",IF(H134=TODAY(),"Due today","Upcoming")))))</x:f>
      </x:c>
      <x:c r="K134" s="265" t="str">
        <x:f>IF(A134="","",IF(B134="","",IF(COUNTIFS('Clients'!$A$6:$A$205,B134)&lt;&gt;1,"Check Client ID",IF(INDEX('Clients'!$B$6:$B$205,MATCH(B134,'Clients'!$A$6:$A$205,0))="","Name missing",INDEX('Clients'!$B$6:$B$205,MATCH(B134,'Clients'!$A$6:$A$205,0))))))</x:f>
      </x:c>
      <x:c r="L134" s="265" t="str">
        <x:f>IF(A134="","",IF(C134="","",IF(COUNTIFS('Properties'!$A$6:$A$205,C134)&lt;&gt;1,"Check Property ID",IF(INDEX('Properties'!$B$6:$B$205,MATCH(C134,'Properties'!$A$6:$A$205,0))="","Name missing",INDEX('Properties'!$B$6:$B$205,MATCH(C134,'Properties'!$A$6:$A$205,0))))))</x:f>
      </x:c>
      <x:c r="M134" s="265" t="str">
        <x:f>IF(A134="","",IF(COUNTIFS($A$6:$A$205,A134)&gt;1,"Duplicate ID",IF(OR(B134="",COUNTIFS('Clients'!$A$6:$A$205,B134)&lt;&gt;1),"Check Client ID",IF(AND(C134&lt;&gt;"",COUNTIFS('Properties'!$A$6:$A$205,C134)&lt;&gt;1),"Check Property ID",IF(I134="","Set task status",IF(AND(I134="Open",G134=""),"Add next action",IF(AND(I134="Open",NOT(ISNUMBER(H134))),"Add due date",IF(AND(ISNUMBER(D134),D134&gt;TODAY()),"Contact date is future",""))))))))</x:f>
      </x:c>
      <x:c r="N134" s="379" t="str">
        <x:f>IF(OR(A134="",I134&lt;&gt;"Open",NOT(ISNUMBER(H134))),"",COUNTIFS($A$6:$A$205,"&lt;&gt;",$I$6:$I$205,"Open",$H$6:$H$205,"&gt;0",$H$6:$H$205,"&lt;"&amp;H134)+COUNTIFS($A$6:A134,"&lt;&gt;",$I$6:I134,"Open",$H$6:H134,H134))</x:f>
      </x:c>
    </x:row>
    <x:row r="135" ht="26" customHeight="1">
      <x:c r="A135" s="319"/>
      <x:c r="B135" s="320"/>
      <x:c r="C135" s="274"/>
      <x:c r="D135" s="304"/>
      <x:c r="E135" s="274"/>
      <x:c r="F135" s="274"/>
      <x:c r="G135" s="274"/>
      <x:c r="H135" s="304"/>
      <x:c r="I135" s="274"/>
      <x:c r="J135" s="315" t="str">
        <x:f>IF(A135="","",IF(I135&lt;&gt;"Open","",IF(H135="","Set due date",IF(H135&lt;TODAY(),"Overdue",IF(H135=TODAY(),"Due today","Upcoming")))))</x:f>
      </x:c>
      <x:c r="K135" s="265" t="str">
        <x:f>IF(A135="","",IF(B135="","",IF(COUNTIFS('Clients'!$A$6:$A$205,B135)&lt;&gt;1,"Check Client ID",IF(INDEX('Clients'!$B$6:$B$205,MATCH(B135,'Clients'!$A$6:$A$205,0))="","Name missing",INDEX('Clients'!$B$6:$B$205,MATCH(B135,'Clients'!$A$6:$A$205,0))))))</x:f>
      </x:c>
      <x:c r="L135" s="265" t="str">
        <x:f>IF(A135="","",IF(C135="","",IF(COUNTIFS('Properties'!$A$6:$A$205,C135)&lt;&gt;1,"Check Property ID",IF(INDEX('Properties'!$B$6:$B$205,MATCH(C135,'Properties'!$A$6:$A$205,0))="","Name missing",INDEX('Properties'!$B$6:$B$205,MATCH(C135,'Properties'!$A$6:$A$205,0))))))</x:f>
      </x:c>
      <x:c r="M135" s="265" t="str">
        <x:f>IF(A135="","",IF(COUNTIFS($A$6:$A$205,A135)&gt;1,"Duplicate ID",IF(OR(B135="",COUNTIFS('Clients'!$A$6:$A$205,B135)&lt;&gt;1),"Check Client ID",IF(AND(C135&lt;&gt;"",COUNTIFS('Properties'!$A$6:$A$205,C135)&lt;&gt;1),"Check Property ID",IF(I135="","Set task status",IF(AND(I135="Open",G135=""),"Add next action",IF(AND(I135="Open",NOT(ISNUMBER(H135))),"Add due date",IF(AND(ISNUMBER(D135),D135&gt;TODAY()),"Contact date is future",""))))))))</x:f>
      </x:c>
      <x:c r="N135" s="379" t="str">
        <x:f>IF(OR(A135="",I135&lt;&gt;"Open",NOT(ISNUMBER(H135))),"",COUNTIFS($A$6:$A$205,"&lt;&gt;",$I$6:$I$205,"Open",$H$6:$H$205,"&gt;0",$H$6:$H$205,"&lt;"&amp;H135)+COUNTIFS($A$6:A135,"&lt;&gt;",$I$6:I135,"Open",$H$6:H135,H135))</x:f>
      </x:c>
    </x:row>
    <x:row r="136" ht="26" customHeight="1">
      <x:c r="A136" s="317"/>
      <x:c r="B136" s="318"/>
      <x:c r="C136" s="235"/>
      <x:c r="D136" s="238"/>
      <x:c r="E136" s="235"/>
      <x:c r="F136" s="235"/>
      <x:c r="G136" s="235"/>
      <x:c r="H136" s="238"/>
      <x:c r="I136" s="235"/>
      <x:c r="J136" s="315" t="str">
        <x:f>IF(A136="","",IF(I136&lt;&gt;"Open","",IF(H136="","Set due date",IF(H136&lt;TODAY(),"Overdue",IF(H136=TODAY(),"Due today","Upcoming")))))</x:f>
      </x:c>
      <x:c r="K136" s="265" t="str">
        <x:f>IF(A136="","",IF(B136="","",IF(COUNTIFS('Clients'!$A$6:$A$205,B136)&lt;&gt;1,"Check Client ID",IF(INDEX('Clients'!$B$6:$B$205,MATCH(B136,'Clients'!$A$6:$A$205,0))="","Name missing",INDEX('Clients'!$B$6:$B$205,MATCH(B136,'Clients'!$A$6:$A$205,0))))))</x:f>
      </x:c>
      <x:c r="L136" s="265" t="str">
        <x:f>IF(A136="","",IF(C136="","",IF(COUNTIFS('Properties'!$A$6:$A$205,C136)&lt;&gt;1,"Check Property ID",IF(INDEX('Properties'!$B$6:$B$205,MATCH(C136,'Properties'!$A$6:$A$205,0))="","Name missing",INDEX('Properties'!$B$6:$B$205,MATCH(C136,'Properties'!$A$6:$A$205,0))))))</x:f>
      </x:c>
      <x:c r="M136" s="265" t="str">
        <x:f>IF(A136="","",IF(COUNTIFS($A$6:$A$205,A136)&gt;1,"Duplicate ID",IF(OR(B136="",COUNTIFS('Clients'!$A$6:$A$205,B136)&lt;&gt;1),"Check Client ID",IF(AND(C136&lt;&gt;"",COUNTIFS('Properties'!$A$6:$A$205,C136)&lt;&gt;1),"Check Property ID",IF(I136="","Set task status",IF(AND(I136="Open",G136=""),"Add next action",IF(AND(I136="Open",NOT(ISNUMBER(H136))),"Add due date",IF(AND(ISNUMBER(D136),D136&gt;TODAY()),"Contact date is future",""))))))))</x:f>
      </x:c>
      <x:c r="N136" s="379" t="str">
        <x:f>IF(OR(A136="",I136&lt;&gt;"Open",NOT(ISNUMBER(H136))),"",COUNTIFS($A$6:$A$205,"&lt;&gt;",$I$6:$I$205,"Open",$H$6:$H$205,"&gt;0",$H$6:$H$205,"&lt;"&amp;H136)+COUNTIFS($A$6:A136,"&lt;&gt;",$I$6:I136,"Open",$H$6:H136,H136))</x:f>
      </x:c>
    </x:row>
    <x:row r="137" ht="26" customHeight="1">
      <x:c r="A137" s="319"/>
      <x:c r="B137" s="320"/>
      <x:c r="C137" s="274"/>
      <x:c r="D137" s="304"/>
      <x:c r="E137" s="274"/>
      <x:c r="F137" s="274"/>
      <x:c r="G137" s="274"/>
      <x:c r="H137" s="304"/>
      <x:c r="I137" s="274"/>
      <x:c r="J137" s="315" t="str">
        <x:f>IF(A137="","",IF(I137&lt;&gt;"Open","",IF(H137="","Set due date",IF(H137&lt;TODAY(),"Overdue",IF(H137=TODAY(),"Due today","Upcoming")))))</x:f>
      </x:c>
      <x:c r="K137" s="265" t="str">
        <x:f>IF(A137="","",IF(B137="","",IF(COUNTIFS('Clients'!$A$6:$A$205,B137)&lt;&gt;1,"Check Client ID",IF(INDEX('Clients'!$B$6:$B$205,MATCH(B137,'Clients'!$A$6:$A$205,0))="","Name missing",INDEX('Clients'!$B$6:$B$205,MATCH(B137,'Clients'!$A$6:$A$205,0))))))</x:f>
      </x:c>
      <x:c r="L137" s="265" t="str">
        <x:f>IF(A137="","",IF(C137="","",IF(COUNTIFS('Properties'!$A$6:$A$205,C137)&lt;&gt;1,"Check Property ID",IF(INDEX('Properties'!$B$6:$B$205,MATCH(C137,'Properties'!$A$6:$A$205,0))="","Name missing",INDEX('Properties'!$B$6:$B$205,MATCH(C137,'Properties'!$A$6:$A$205,0))))))</x:f>
      </x:c>
      <x:c r="M137" s="265" t="str">
        <x:f>IF(A137="","",IF(COUNTIFS($A$6:$A$205,A137)&gt;1,"Duplicate ID",IF(OR(B137="",COUNTIFS('Clients'!$A$6:$A$205,B137)&lt;&gt;1),"Check Client ID",IF(AND(C137&lt;&gt;"",COUNTIFS('Properties'!$A$6:$A$205,C137)&lt;&gt;1),"Check Property ID",IF(I137="","Set task status",IF(AND(I137="Open",G137=""),"Add next action",IF(AND(I137="Open",NOT(ISNUMBER(H137))),"Add due date",IF(AND(ISNUMBER(D137),D137&gt;TODAY()),"Contact date is future",""))))))))</x:f>
      </x:c>
      <x:c r="N137" s="379" t="str">
        <x:f>IF(OR(A137="",I137&lt;&gt;"Open",NOT(ISNUMBER(H137))),"",COUNTIFS($A$6:$A$205,"&lt;&gt;",$I$6:$I$205,"Open",$H$6:$H$205,"&gt;0",$H$6:$H$205,"&lt;"&amp;H137)+COUNTIFS($A$6:A137,"&lt;&gt;",$I$6:I137,"Open",$H$6:H137,H137))</x:f>
      </x:c>
    </x:row>
    <x:row r="138" ht="26" customHeight="1">
      <x:c r="A138" s="317"/>
      <x:c r="B138" s="318"/>
      <x:c r="C138" s="235"/>
      <x:c r="D138" s="238"/>
      <x:c r="E138" s="235"/>
      <x:c r="F138" s="235"/>
      <x:c r="G138" s="235"/>
      <x:c r="H138" s="238"/>
      <x:c r="I138" s="235"/>
      <x:c r="J138" s="315" t="str">
        <x:f>IF(A138="","",IF(I138&lt;&gt;"Open","",IF(H138="","Set due date",IF(H138&lt;TODAY(),"Overdue",IF(H138=TODAY(),"Due today","Upcoming")))))</x:f>
      </x:c>
      <x:c r="K138" s="265" t="str">
        <x:f>IF(A138="","",IF(B138="","",IF(COUNTIFS('Clients'!$A$6:$A$205,B138)&lt;&gt;1,"Check Client ID",IF(INDEX('Clients'!$B$6:$B$205,MATCH(B138,'Clients'!$A$6:$A$205,0))="","Name missing",INDEX('Clients'!$B$6:$B$205,MATCH(B138,'Clients'!$A$6:$A$205,0))))))</x:f>
      </x:c>
      <x:c r="L138" s="265" t="str">
        <x:f>IF(A138="","",IF(C138="","",IF(COUNTIFS('Properties'!$A$6:$A$205,C138)&lt;&gt;1,"Check Property ID",IF(INDEX('Properties'!$B$6:$B$205,MATCH(C138,'Properties'!$A$6:$A$205,0))="","Name missing",INDEX('Properties'!$B$6:$B$205,MATCH(C138,'Properties'!$A$6:$A$205,0))))))</x:f>
      </x:c>
      <x:c r="M138" s="265" t="str">
        <x:f>IF(A138="","",IF(COUNTIFS($A$6:$A$205,A138)&gt;1,"Duplicate ID",IF(OR(B138="",COUNTIFS('Clients'!$A$6:$A$205,B138)&lt;&gt;1),"Check Client ID",IF(AND(C138&lt;&gt;"",COUNTIFS('Properties'!$A$6:$A$205,C138)&lt;&gt;1),"Check Property ID",IF(I138="","Set task status",IF(AND(I138="Open",G138=""),"Add next action",IF(AND(I138="Open",NOT(ISNUMBER(H138))),"Add due date",IF(AND(ISNUMBER(D138),D138&gt;TODAY()),"Contact date is future",""))))))))</x:f>
      </x:c>
      <x:c r="N138" s="379" t="str">
        <x:f>IF(OR(A138="",I138&lt;&gt;"Open",NOT(ISNUMBER(H138))),"",COUNTIFS($A$6:$A$205,"&lt;&gt;",$I$6:$I$205,"Open",$H$6:$H$205,"&gt;0",$H$6:$H$205,"&lt;"&amp;H138)+COUNTIFS($A$6:A138,"&lt;&gt;",$I$6:I138,"Open",$H$6:H138,H138))</x:f>
      </x:c>
    </x:row>
    <x:row r="139" ht="26" customHeight="1">
      <x:c r="A139" s="319"/>
      <x:c r="B139" s="320"/>
      <x:c r="C139" s="274"/>
      <x:c r="D139" s="304"/>
      <x:c r="E139" s="274"/>
      <x:c r="F139" s="274"/>
      <x:c r="G139" s="274"/>
      <x:c r="H139" s="304"/>
      <x:c r="I139" s="274"/>
      <x:c r="J139" s="315" t="str">
        <x:f>IF(A139="","",IF(I139&lt;&gt;"Open","",IF(H139="","Set due date",IF(H139&lt;TODAY(),"Overdue",IF(H139=TODAY(),"Due today","Upcoming")))))</x:f>
      </x:c>
      <x:c r="K139" s="265" t="str">
        <x:f>IF(A139="","",IF(B139="","",IF(COUNTIFS('Clients'!$A$6:$A$205,B139)&lt;&gt;1,"Check Client ID",IF(INDEX('Clients'!$B$6:$B$205,MATCH(B139,'Clients'!$A$6:$A$205,0))="","Name missing",INDEX('Clients'!$B$6:$B$205,MATCH(B139,'Clients'!$A$6:$A$205,0))))))</x:f>
      </x:c>
      <x:c r="L139" s="265" t="str">
        <x:f>IF(A139="","",IF(C139="","",IF(COUNTIFS('Properties'!$A$6:$A$205,C139)&lt;&gt;1,"Check Property ID",IF(INDEX('Properties'!$B$6:$B$205,MATCH(C139,'Properties'!$A$6:$A$205,0))="","Name missing",INDEX('Properties'!$B$6:$B$205,MATCH(C139,'Properties'!$A$6:$A$205,0))))))</x:f>
      </x:c>
      <x:c r="M139" s="265" t="str">
        <x:f>IF(A139="","",IF(COUNTIFS($A$6:$A$205,A139)&gt;1,"Duplicate ID",IF(OR(B139="",COUNTIFS('Clients'!$A$6:$A$205,B139)&lt;&gt;1),"Check Client ID",IF(AND(C139&lt;&gt;"",COUNTIFS('Properties'!$A$6:$A$205,C139)&lt;&gt;1),"Check Property ID",IF(I139="","Set task status",IF(AND(I139="Open",G139=""),"Add next action",IF(AND(I139="Open",NOT(ISNUMBER(H139))),"Add due date",IF(AND(ISNUMBER(D139),D139&gt;TODAY()),"Contact date is future",""))))))))</x:f>
      </x:c>
      <x:c r="N139" s="379" t="str">
        <x:f>IF(OR(A139="",I139&lt;&gt;"Open",NOT(ISNUMBER(H139))),"",COUNTIFS($A$6:$A$205,"&lt;&gt;",$I$6:$I$205,"Open",$H$6:$H$205,"&gt;0",$H$6:$H$205,"&lt;"&amp;H139)+COUNTIFS($A$6:A139,"&lt;&gt;",$I$6:I139,"Open",$H$6:H139,H139))</x:f>
      </x:c>
    </x:row>
    <x:row r="140" ht="26" customHeight="1">
      <x:c r="A140" s="317"/>
      <x:c r="B140" s="318"/>
      <x:c r="C140" s="235"/>
      <x:c r="D140" s="238"/>
      <x:c r="E140" s="235"/>
      <x:c r="F140" s="235"/>
      <x:c r="G140" s="235"/>
      <x:c r="H140" s="238"/>
      <x:c r="I140" s="235"/>
      <x:c r="J140" s="315" t="str">
        <x:f>IF(A140="","",IF(I140&lt;&gt;"Open","",IF(H140="","Set due date",IF(H140&lt;TODAY(),"Overdue",IF(H140=TODAY(),"Due today","Upcoming")))))</x:f>
      </x:c>
      <x:c r="K140" s="265" t="str">
        <x:f>IF(A140="","",IF(B140="","",IF(COUNTIFS('Clients'!$A$6:$A$205,B140)&lt;&gt;1,"Check Client ID",IF(INDEX('Clients'!$B$6:$B$205,MATCH(B140,'Clients'!$A$6:$A$205,0))="","Name missing",INDEX('Clients'!$B$6:$B$205,MATCH(B140,'Clients'!$A$6:$A$205,0))))))</x:f>
      </x:c>
      <x:c r="L140" s="265" t="str">
        <x:f>IF(A140="","",IF(C140="","",IF(COUNTIFS('Properties'!$A$6:$A$205,C140)&lt;&gt;1,"Check Property ID",IF(INDEX('Properties'!$B$6:$B$205,MATCH(C140,'Properties'!$A$6:$A$205,0))="","Name missing",INDEX('Properties'!$B$6:$B$205,MATCH(C140,'Properties'!$A$6:$A$205,0))))))</x:f>
      </x:c>
      <x:c r="M140" s="265" t="str">
        <x:f>IF(A140="","",IF(COUNTIFS($A$6:$A$205,A140)&gt;1,"Duplicate ID",IF(OR(B140="",COUNTIFS('Clients'!$A$6:$A$205,B140)&lt;&gt;1),"Check Client ID",IF(AND(C140&lt;&gt;"",COUNTIFS('Properties'!$A$6:$A$205,C140)&lt;&gt;1),"Check Property ID",IF(I140="","Set task status",IF(AND(I140="Open",G140=""),"Add next action",IF(AND(I140="Open",NOT(ISNUMBER(H140))),"Add due date",IF(AND(ISNUMBER(D140),D140&gt;TODAY()),"Contact date is future",""))))))))</x:f>
      </x:c>
      <x:c r="N140" s="379" t="str">
        <x:f>IF(OR(A140="",I140&lt;&gt;"Open",NOT(ISNUMBER(H140))),"",COUNTIFS($A$6:$A$205,"&lt;&gt;",$I$6:$I$205,"Open",$H$6:$H$205,"&gt;0",$H$6:$H$205,"&lt;"&amp;H140)+COUNTIFS($A$6:A140,"&lt;&gt;",$I$6:I140,"Open",$H$6:H140,H140))</x:f>
      </x:c>
    </x:row>
    <x:row r="141" ht="26" customHeight="1">
      <x:c r="A141" s="319"/>
      <x:c r="B141" s="320"/>
      <x:c r="C141" s="274"/>
      <x:c r="D141" s="304"/>
      <x:c r="E141" s="274"/>
      <x:c r="F141" s="274"/>
      <x:c r="G141" s="274"/>
      <x:c r="H141" s="304"/>
      <x:c r="I141" s="274"/>
      <x:c r="J141" s="315" t="str">
        <x:f>IF(A141="","",IF(I141&lt;&gt;"Open","",IF(H141="","Set due date",IF(H141&lt;TODAY(),"Overdue",IF(H141=TODAY(),"Due today","Upcoming")))))</x:f>
      </x:c>
      <x:c r="K141" s="265" t="str">
        <x:f>IF(A141="","",IF(B141="","",IF(COUNTIFS('Clients'!$A$6:$A$205,B141)&lt;&gt;1,"Check Client ID",IF(INDEX('Clients'!$B$6:$B$205,MATCH(B141,'Clients'!$A$6:$A$205,0))="","Name missing",INDEX('Clients'!$B$6:$B$205,MATCH(B141,'Clients'!$A$6:$A$205,0))))))</x:f>
      </x:c>
      <x:c r="L141" s="265" t="str">
        <x:f>IF(A141="","",IF(C141="","",IF(COUNTIFS('Properties'!$A$6:$A$205,C141)&lt;&gt;1,"Check Property ID",IF(INDEX('Properties'!$B$6:$B$205,MATCH(C141,'Properties'!$A$6:$A$205,0))="","Name missing",INDEX('Properties'!$B$6:$B$205,MATCH(C141,'Properties'!$A$6:$A$205,0))))))</x:f>
      </x:c>
      <x:c r="M141" s="265" t="str">
        <x:f>IF(A141="","",IF(COUNTIFS($A$6:$A$205,A141)&gt;1,"Duplicate ID",IF(OR(B141="",COUNTIFS('Clients'!$A$6:$A$205,B141)&lt;&gt;1),"Check Client ID",IF(AND(C141&lt;&gt;"",COUNTIFS('Properties'!$A$6:$A$205,C141)&lt;&gt;1),"Check Property ID",IF(I141="","Set task status",IF(AND(I141="Open",G141=""),"Add next action",IF(AND(I141="Open",NOT(ISNUMBER(H141))),"Add due date",IF(AND(ISNUMBER(D141),D141&gt;TODAY()),"Contact date is future",""))))))))</x:f>
      </x:c>
      <x:c r="N141" s="379" t="str">
        <x:f>IF(OR(A141="",I141&lt;&gt;"Open",NOT(ISNUMBER(H141))),"",COUNTIFS($A$6:$A$205,"&lt;&gt;",$I$6:$I$205,"Open",$H$6:$H$205,"&gt;0",$H$6:$H$205,"&lt;"&amp;H141)+COUNTIFS($A$6:A141,"&lt;&gt;",$I$6:I141,"Open",$H$6:H141,H141))</x:f>
      </x:c>
    </x:row>
    <x:row r="142" ht="26" customHeight="1">
      <x:c r="A142" s="317"/>
      <x:c r="B142" s="318"/>
      <x:c r="C142" s="235"/>
      <x:c r="D142" s="238"/>
      <x:c r="E142" s="235"/>
      <x:c r="F142" s="235"/>
      <x:c r="G142" s="235"/>
      <x:c r="H142" s="238"/>
      <x:c r="I142" s="235"/>
      <x:c r="J142" s="315" t="str">
        <x:f>IF(A142="","",IF(I142&lt;&gt;"Open","",IF(H142="","Set due date",IF(H142&lt;TODAY(),"Overdue",IF(H142=TODAY(),"Due today","Upcoming")))))</x:f>
      </x:c>
      <x:c r="K142" s="265" t="str">
        <x:f>IF(A142="","",IF(B142="","",IF(COUNTIFS('Clients'!$A$6:$A$205,B142)&lt;&gt;1,"Check Client ID",IF(INDEX('Clients'!$B$6:$B$205,MATCH(B142,'Clients'!$A$6:$A$205,0))="","Name missing",INDEX('Clients'!$B$6:$B$205,MATCH(B142,'Clients'!$A$6:$A$205,0))))))</x:f>
      </x:c>
      <x:c r="L142" s="265" t="str">
        <x:f>IF(A142="","",IF(C142="","",IF(COUNTIFS('Properties'!$A$6:$A$205,C142)&lt;&gt;1,"Check Property ID",IF(INDEX('Properties'!$B$6:$B$205,MATCH(C142,'Properties'!$A$6:$A$205,0))="","Name missing",INDEX('Properties'!$B$6:$B$205,MATCH(C142,'Properties'!$A$6:$A$205,0))))))</x:f>
      </x:c>
      <x:c r="M142" s="265" t="str">
        <x:f>IF(A142="","",IF(COUNTIFS($A$6:$A$205,A142)&gt;1,"Duplicate ID",IF(OR(B142="",COUNTIFS('Clients'!$A$6:$A$205,B142)&lt;&gt;1),"Check Client ID",IF(AND(C142&lt;&gt;"",COUNTIFS('Properties'!$A$6:$A$205,C142)&lt;&gt;1),"Check Property ID",IF(I142="","Set task status",IF(AND(I142="Open",G142=""),"Add next action",IF(AND(I142="Open",NOT(ISNUMBER(H142))),"Add due date",IF(AND(ISNUMBER(D142),D142&gt;TODAY()),"Contact date is future",""))))))))</x:f>
      </x:c>
      <x:c r="N142" s="379" t="str">
        <x:f>IF(OR(A142="",I142&lt;&gt;"Open",NOT(ISNUMBER(H142))),"",COUNTIFS($A$6:$A$205,"&lt;&gt;",$I$6:$I$205,"Open",$H$6:$H$205,"&gt;0",$H$6:$H$205,"&lt;"&amp;H142)+COUNTIFS($A$6:A142,"&lt;&gt;",$I$6:I142,"Open",$H$6:H142,H142))</x:f>
      </x:c>
    </x:row>
    <x:row r="143" ht="26" customHeight="1">
      <x:c r="A143" s="319"/>
      <x:c r="B143" s="320"/>
      <x:c r="C143" s="274"/>
      <x:c r="D143" s="304"/>
      <x:c r="E143" s="274"/>
      <x:c r="F143" s="274"/>
      <x:c r="G143" s="274"/>
      <x:c r="H143" s="304"/>
      <x:c r="I143" s="274"/>
      <x:c r="J143" s="315" t="str">
        <x:f>IF(A143="","",IF(I143&lt;&gt;"Open","",IF(H143="","Set due date",IF(H143&lt;TODAY(),"Overdue",IF(H143=TODAY(),"Due today","Upcoming")))))</x:f>
      </x:c>
      <x:c r="K143" s="265" t="str">
        <x:f>IF(A143="","",IF(B143="","",IF(COUNTIFS('Clients'!$A$6:$A$205,B143)&lt;&gt;1,"Check Client ID",IF(INDEX('Clients'!$B$6:$B$205,MATCH(B143,'Clients'!$A$6:$A$205,0))="","Name missing",INDEX('Clients'!$B$6:$B$205,MATCH(B143,'Clients'!$A$6:$A$205,0))))))</x:f>
      </x:c>
      <x:c r="L143" s="265" t="str">
        <x:f>IF(A143="","",IF(C143="","",IF(COUNTIFS('Properties'!$A$6:$A$205,C143)&lt;&gt;1,"Check Property ID",IF(INDEX('Properties'!$B$6:$B$205,MATCH(C143,'Properties'!$A$6:$A$205,0))="","Name missing",INDEX('Properties'!$B$6:$B$205,MATCH(C143,'Properties'!$A$6:$A$205,0))))))</x:f>
      </x:c>
      <x:c r="M143" s="265" t="str">
        <x:f>IF(A143="","",IF(COUNTIFS($A$6:$A$205,A143)&gt;1,"Duplicate ID",IF(OR(B143="",COUNTIFS('Clients'!$A$6:$A$205,B143)&lt;&gt;1),"Check Client ID",IF(AND(C143&lt;&gt;"",COUNTIFS('Properties'!$A$6:$A$205,C143)&lt;&gt;1),"Check Property ID",IF(I143="","Set task status",IF(AND(I143="Open",G143=""),"Add next action",IF(AND(I143="Open",NOT(ISNUMBER(H143))),"Add due date",IF(AND(ISNUMBER(D143),D143&gt;TODAY()),"Contact date is future",""))))))))</x:f>
      </x:c>
      <x:c r="N143" s="379" t="str">
        <x:f>IF(OR(A143="",I143&lt;&gt;"Open",NOT(ISNUMBER(H143))),"",COUNTIFS($A$6:$A$205,"&lt;&gt;",$I$6:$I$205,"Open",$H$6:$H$205,"&gt;0",$H$6:$H$205,"&lt;"&amp;H143)+COUNTIFS($A$6:A143,"&lt;&gt;",$I$6:I143,"Open",$H$6:H143,H143))</x:f>
      </x:c>
    </x:row>
    <x:row r="144" ht="26" customHeight="1">
      <x:c r="A144" s="317"/>
      <x:c r="B144" s="318"/>
      <x:c r="C144" s="235"/>
      <x:c r="D144" s="238"/>
      <x:c r="E144" s="235"/>
      <x:c r="F144" s="235"/>
      <x:c r="G144" s="235"/>
      <x:c r="H144" s="238"/>
      <x:c r="I144" s="235"/>
      <x:c r="J144" s="315" t="str">
        <x:f>IF(A144="","",IF(I144&lt;&gt;"Open","",IF(H144="","Set due date",IF(H144&lt;TODAY(),"Overdue",IF(H144=TODAY(),"Due today","Upcoming")))))</x:f>
      </x:c>
      <x:c r="K144" s="265" t="str">
        <x:f>IF(A144="","",IF(B144="","",IF(COUNTIFS('Clients'!$A$6:$A$205,B144)&lt;&gt;1,"Check Client ID",IF(INDEX('Clients'!$B$6:$B$205,MATCH(B144,'Clients'!$A$6:$A$205,0))="","Name missing",INDEX('Clients'!$B$6:$B$205,MATCH(B144,'Clients'!$A$6:$A$205,0))))))</x:f>
      </x:c>
      <x:c r="L144" s="265" t="str">
        <x:f>IF(A144="","",IF(C144="","",IF(COUNTIFS('Properties'!$A$6:$A$205,C144)&lt;&gt;1,"Check Property ID",IF(INDEX('Properties'!$B$6:$B$205,MATCH(C144,'Properties'!$A$6:$A$205,0))="","Name missing",INDEX('Properties'!$B$6:$B$205,MATCH(C144,'Properties'!$A$6:$A$205,0))))))</x:f>
      </x:c>
      <x:c r="M144" s="265" t="str">
        <x:f>IF(A144="","",IF(COUNTIFS($A$6:$A$205,A144)&gt;1,"Duplicate ID",IF(OR(B144="",COUNTIFS('Clients'!$A$6:$A$205,B144)&lt;&gt;1),"Check Client ID",IF(AND(C144&lt;&gt;"",COUNTIFS('Properties'!$A$6:$A$205,C144)&lt;&gt;1),"Check Property ID",IF(I144="","Set task status",IF(AND(I144="Open",G144=""),"Add next action",IF(AND(I144="Open",NOT(ISNUMBER(H144))),"Add due date",IF(AND(ISNUMBER(D144),D144&gt;TODAY()),"Contact date is future",""))))))))</x:f>
      </x:c>
      <x:c r="N144" s="379" t="str">
        <x:f>IF(OR(A144="",I144&lt;&gt;"Open",NOT(ISNUMBER(H144))),"",COUNTIFS($A$6:$A$205,"&lt;&gt;",$I$6:$I$205,"Open",$H$6:$H$205,"&gt;0",$H$6:$H$205,"&lt;"&amp;H144)+COUNTIFS($A$6:A144,"&lt;&gt;",$I$6:I144,"Open",$H$6:H144,H144))</x:f>
      </x:c>
    </x:row>
    <x:row r="145" ht="26" customHeight="1">
      <x:c r="A145" s="319"/>
      <x:c r="B145" s="320"/>
      <x:c r="C145" s="274"/>
      <x:c r="D145" s="304"/>
      <x:c r="E145" s="274"/>
      <x:c r="F145" s="274"/>
      <x:c r="G145" s="274"/>
      <x:c r="H145" s="304"/>
      <x:c r="I145" s="274"/>
      <x:c r="J145" s="315" t="str">
        <x:f>IF(A145="","",IF(I145&lt;&gt;"Open","",IF(H145="","Set due date",IF(H145&lt;TODAY(),"Overdue",IF(H145=TODAY(),"Due today","Upcoming")))))</x:f>
      </x:c>
      <x:c r="K145" s="265" t="str">
        <x:f>IF(A145="","",IF(B145="","",IF(COUNTIFS('Clients'!$A$6:$A$205,B145)&lt;&gt;1,"Check Client ID",IF(INDEX('Clients'!$B$6:$B$205,MATCH(B145,'Clients'!$A$6:$A$205,0))="","Name missing",INDEX('Clients'!$B$6:$B$205,MATCH(B145,'Clients'!$A$6:$A$205,0))))))</x:f>
      </x:c>
      <x:c r="L145" s="265" t="str">
        <x:f>IF(A145="","",IF(C145="","",IF(COUNTIFS('Properties'!$A$6:$A$205,C145)&lt;&gt;1,"Check Property ID",IF(INDEX('Properties'!$B$6:$B$205,MATCH(C145,'Properties'!$A$6:$A$205,0))="","Name missing",INDEX('Properties'!$B$6:$B$205,MATCH(C145,'Properties'!$A$6:$A$205,0))))))</x:f>
      </x:c>
      <x:c r="M145" s="265" t="str">
        <x:f>IF(A145="","",IF(COUNTIFS($A$6:$A$205,A145)&gt;1,"Duplicate ID",IF(OR(B145="",COUNTIFS('Clients'!$A$6:$A$205,B145)&lt;&gt;1),"Check Client ID",IF(AND(C145&lt;&gt;"",COUNTIFS('Properties'!$A$6:$A$205,C145)&lt;&gt;1),"Check Property ID",IF(I145="","Set task status",IF(AND(I145="Open",G145=""),"Add next action",IF(AND(I145="Open",NOT(ISNUMBER(H145))),"Add due date",IF(AND(ISNUMBER(D145),D145&gt;TODAY()),"Contact date is future",""))))))))</x:f>
      </x:c>
      <x:c r="N145" s="379" t="str">
        <x:f>IF(OR(A145="",I145&lt;&gt;"Open",NOT(ISNUMBER(H145))),"",COUNTIFS($A$6:$A$205,"&lt;&gt;",$I$6:$I$205,"Open",$H$6:$H$205,"&gt;0",$H$6:$H$205,"&lt;"&amp;H145)+COUNTIFS($A$6:A145,"&lt;&gt;",$I$6:I145,"Open",$H$6:H145,H145))</x:f>
      </x:c>
    </x:row>
    <x:row r="146" ht="26" customHeight="1">
      <x:c r="A146" s="317"/>
      <x:c r="B146" s="318"/>
      <x:c r="C146" s="235"/>
      <x:c r="D146" s="238"/>
      <x:c r="E146" s="235"/>
      <x:c r="F146" s="235"/>
      <x:c r="G146" s="235"/>
      <x:c r="H146" s="238"/>
      <x:c r="I146" s="235"/>
      <x:c r="J146" s="315" t="str">
        <x:f>IF(A146="","",IF(I146&lt;&gt;"Open","",IF(H146="","Set due date",IF(H146&lt;TODAY(),"Overdue",IF(H146=TODAY(),"Due today","Upcoming")))))</x:f>
      </x:c>
      <x:c r="K146" s="265" t="str">
        <x:f>IF(A146="","",IF(B146="","",IF(COUNTIFS('Clients'!$A$6:$A$205,B146)&lt;&gt;1,"Check Client ID",IF(INDEX('Clients'!$B$6:$B$205,MATCH(B146,'Clients'!$A$6:$A$205,0))="","Name missing",INDEX('Clients'!$B$6:$B$205,MATCH(B146,'Clients'!$A$6:$A$205,0))))))</x:f>
      </x:c>
      <x:c r="L146" s="265" t="str">
        <x:f>IF(A146="","",IF(C146="","",IF(COUNTIFS('Properties'!$A$6:$A$205,C146)&lt;&gt;1,"Check Property ID",IF(INDEX('Properties'!$B$6:$B$205,MATCH(C146,'Properties'!$A$6:$A$205,0))="","Name missing",INDEX('Properties'!$B$6:$B$205,MATCH(C146,'Properties'!$A$6:$A$205,0))))))</x:f>
      </x:c>
      <x:c r="M146" s="265" t="str">
        <x:f>IF(A146="","",IF(COUNTIFS($A$6:$A$205,A146)&gt;1,"Duplicate ID",IF(OR(B146="",COUNTIFS('Clients'!$A$6:$A$205,B146)&lt;&gt;1),"Check Client ID",IF(AND(C146&lt;&gt;"",COUNTIFS('Properties'!$A$6:$A$205,C146)&lt;&gt;1),"Check Property ID",IF(I146="","Set task status",IF(AND(I146="Open",G146=""),"Add next action",IF(AND(I146="Open",NOT(ISNUMBER(H146))),"Add due date",IF(AND(ISNUMBER(D146),D146&gt;TODAY()),"Contact date is future",""))))))))</x:f>
      </x:c>
      <x:c r="N146" s="379" t="str">
        <x:f>IF(OR(A146="",I146&lt;&gt;"Open",NOT(ISNUMBER(H146))),"",COUNTIFS($A$6:$A$205,"&lt;&gt;",$I$6:$I$205,"Open",$H$6:$H$205,"&gt;0",$H$6:$H$205,"&lt;"&amp;H146)+COUNTIFS($A$6:A146,"&lt;&gt;",$I$6:I146,"Open",$H$6:H146,H146))</x:f>
      </x:c>
    </x:row>
    <x:row r="147" ht="26" customHeight="1">
      <x:c r="A147" s="319"/>
      <x:c r="B147" s="320"/>
      <x:c r="C147" s="274"/>
      <x:c r="D147" s="304"/>
      <x:c r="E147" s="274"/>
      <x:c r="F147" s="274"/>
      <x:c r="G147" s="274"/>
      <x:c r="H147" s="304"/>
      <x:c r="I147" s="274"/>
      <x:c r="J147" s="315" t="str">
        <x:f>IF(A147="","",IF(I147&lt;&gt;"Open","",IF(H147="","Set due date",IF(H147&lt;TODAY(),"Overdue",IF(H147=TODAY(),"Due today","Upcoming")))))</x:f>
      </x:c>
      <x:c r="K147" s="265" t="str">
        <x:f>IF(A147="","",IF(B147="","",IF(COUNTIFS('Clients'!$A$6:$A$205,B147)&lt;&gt;1,"Check Client ID",IF(INDEX('Clients'!$B$6:$B$205,MATCH(B147,'Clients'!$A$6:$A$205,0))="","Name missing",INDEX('Clients'!$B$6:$B$205,MATCH(B147,'Clients'!$A$6:$A$205,0))))))</x:f>
      </x:c>
      <x:c r="L147" s="265" t="str">
        <x:f>IF(A147="","",IF(C147="","",IF(COUNTIFS('Properties'!$A$6:$A$205,C147)&lt;&gt;1,"Check Property ID",IF(INDEX('Properties'!$B$6:$B$205,MATCH(C147,'Properties'!$A$6:$A$205,0))="","Name missing",INDEX('Properties'!$B$6:$B$205,MATCH(C147,'Properties'!$A$6:$A$205,0))))))</x:f>
      </x:c>
      <x:c r="M147" s="265" t="str">
        <x:f>IF(A147="","",IF(COUNTIFS($A$6:$A$205,A147)&gt;1,"Duplicate ID",IF(OR(B147="",COUNTIFS('Clients'!$A$6:$A$205,B147)&lt;&gt;1),"Check Client ID",IF(AND(C147&lt;&gt;"",COUNTIFS('Properties'!$A$6:$A$205,C147)&lt;&gt;1),"Check Property ID",IF(I147="","Set task status",IF(AND(I147="Open",G147=""),"Add next action",IF(AND(I147="Open",NOT(ISNUMBER(H147))),"Add due date",IF(AND(ISNUMBER(D147),D147&gt;TODAY()),"Contact date is future",""))))))))</x:f>
      </x:c>
      <x:c r="N147" s="379" t="str">
        <x:f>IF(OR(A147="",I147&lt;&gt;"Open",NOT(ISNUMBER(H147))),"",COUNTIFS($A$6:$A$205,"&lt;&gt;",$I$6:$I$205,"Open",$H$6:$H$205,"&gt;0",$H$6:$H$205,"&lt;"&amp;H147)+COUNTIFS($A$6:A147,"&lt;&gt;",$I$6:I147,"Open",$H$6:H147,H147))</x:f>
      </x:c>
    </x:row>
    <x:row r="148" ht="26" customHeight="1">
      <x:c r="A148" s="317"/>
      <x:c r="B148" s="318"/>
      <x:c r="C148" s="235"/>
      <x:c r="D148" s="238"/>
      <x:c r="E148" s="235"/>
      <x:c r="F148" s="235"/>
      <x:c r="G148" s="235"/>
      <x:c r="H148" s="238"/>
      <x:c r="I148" s="235"/>
      <x:c r="J148" s="315" t="str">
        <x:f>IF(A148="","",IF(I148&lt;&gt;"Open","",IF(H148="","Set due date",IF(H148&lt;TODAY(),"Overdue",IF(H148=TODAY(),"Due today","Upcoming")))))</x:f>
      </x:c>
      <x:c r="K148" s="265" t="str">
        <x:f>IF(A148="","",IF(B148="","",IF(COUNTIFS('Clients'!$A$6:$A$205,B148)&lt;&gt;1,"Check Client ID",IF(INDEX('Clients'!$B$6:$B$205,MATCH(B148,'Clients'!$A$6:$A$205,0))="","Name missing",INDEX('Clients'!$B$6:$B$205,MATCH(B148,'Clients'!$A$6:$A$205,0))))))</x:f>
      </x:c>
      <x:c r="L148" s="265" t="str">
        <x:f>IF(A148="","",IF(C148="","",IF(COUNTIFS('Properties'!$A$6:$A$205,C148)&lt;&gt;1,"Check Property ID",IF(INDEX('Properties'!$B$6:$B$205,MATCH(C148,'Properties'!$A$6:$A$205,0))="","Name missing",INDEX('Properties'!$B$6:$B$205,MATCH(C148,'Properties'!$A$6:$A$205,0))))))</x:f>
      </x:c>
      <x:c r="M148" s="265" t="str">
        <x:f>IF(A148="","",IF(COUNTIFS($A$6:$A$205,A148)&gt;1,"Duplicate ID",IF(OR(B148="",COUNTIFS('Clients'!$A$6:$A$205,B148)&lt;&gt;1),"Check Client ID",IF(AND(C148&lt;&gt;"",COUNTIFS('Properties'!$A$6:$A$205,C148)&lt;&gt;1),"Check Property ID",IF(I148="","Set task status",IF(AND(I148="Open",G148=""),"Add next action",IF(AND(I148="Open",NOT(ISNUMBER(H148))),"Add due date",IF(AND(ISNUMBER(D148),D148&gt;TODAY()),"Contact date is future",""))))))))</x:f>
      </x:c>
      <x:c r="N148" s="379" t="str">
        <x:f>IF(OR(A148="",I148&lt;&gt;"Open",NOT(ISNUMBER(H148))),"",COUNTIFS($A$6:$A$205,"&lt;&gt;",$I$6:$I$205,"Open",$H$6:$H$205,"&gt;0",$H$6:$H$205,"&lt;"&amp;H148)+COUNTIFS($A$6:A148,"&lt;&gt;",$I$6:I148,"Open",$H$6:H148,H148))</x:f>
      </x:c>
    </x:row>
    <x:row r="149" ht="26" customHeight="1">
      <x:c r="A149" s="319"/>
      <x:c r="B149" s="320"/>
      <x:c r="C149" s="274"/>
      <x:c r="D149" s="304"/>
      <x:c r="E149" s="274"/>
      <x:c r="F149" s="274"/>
      <x:c r="G149" s="274"/>
      <x:c r="H149" s="304"/>
      <x:c r="I149" s="274"/>
      <x:c r="J149" s="315" t="str">
        <x:f>IF(A149="","",IF(I149&lt;&gt;"Open","",IF(H149="","Set due date",IF(H149&lt;TODAY(),"Overdue",IF(H149=TODAY(),"Due today","Upcoming")))))</x:f>
      </x:c>
      <x:c r="K149" s="265" t="str">
        <x:f>IF(A149="","",IF(B149="","",IF(COUNTIFS('Clients'!$A$6:$A$205,B149)&lt;&gt;1,"Check Client ID",IF(INDEX('Clients'!$B$6:$B$205,MATCH(B149,'Clients'!$A$6:$A$205,0))="","Name missing",INDEX('Clients'!$B$6:$B$205,MATCH(B149,'Clients'!$A$6:$A$205,0))))))</x:f>
      </x:c>
      <x:c r="L149" s="265" t="str">
        <x:f>IF(A149="","",IF(C149="","",IF(COUNTIFS('Properties'!$A$6:$A$205,C149)&lt;&gt;1,"Check Property ID",IF(INDEX('Properties'!$B$6:$B$205,MATCH(C149,'Properties'!$A$6:$A$205,0))="","Name missing",INDEX('Properties'!$B$6:$B$205,MATCH(C149,'Properties'!$A$6:$A$205,0))))))</x:f>
      </x:c>
      <x:c r="M149" s="265" t="str">
        <x:f>IF(A149="","",IF(COUNTIFS($A$6:$A$205,A149)&gt;1,"Duplicate ID",IF(OR(B149="",COUNTIFS('Clients'!$A$6:$A$205,B149)&lt;&gt;1),"Check Client ID",IF(AND(C149&lt;&gt;"",COUNTIFS('Properties'!$A$6:$A$205,C149)&lt;&gt;1),"Check Property ID",IF(I149="","Set task status",IF(AND(I149="Open",G149=""),"Add next action",IF(AND(I149="Open",NOT(ISNUMBER(H149))),"Add due date",IF(AND(ISNUMBER(D149),D149&gt;TODAY()),"Contact date is future",""))))))))</x:f>
      </x:c>
      <x:c r="N149" s="379" t="str">
        <x:f>IF(OR(A149="",I149&lt;&gt;"Open",NOT(ISNUMBER(H149))),"",COUNTIFS($A$6:$A$205,"&lt;&gt;",$I$6:$I$205,"Open",$H$6:$H$205,"&gt;0",$H$6:$H$205,"&lt;"&amp;H149)+COUNTIFS($A$6:A149,"&lt;&gt;",$I$6:I149,"Open",$H$6:H149,H149))</x:f>
      </x:c>
    </x:row>
    <x:row r="150" ht="26" customHeight="1">
      <x:c r="A150" s="317"/>
      <x:c r="B150" s="318"/>
      <x:c r="C150" s="235"/>
      <x:c r="D150" s="238"/>
      <x:c r="E150" s="235"/>
      <x:c r="F150" s="235"/>
      <x:c r="G150" s="235"/>
      <x:c r="H150" s="238"/>
      <x:c r="I150" s="235"/>
      <x:c r="J150" s="315" t="str">
        <x:f>IF(A150="","",IF(I150&lt;&gt;"Open","",IF(H150="","Set due date",IF(H150&lt;TODAY(),"Overdue",IF(H150=TODAY(),"Due today","Upcoming")))))</x:f>
      </x:c>
      <x:c r="K150" s="265" t="str">
        <x:f>IF(A150="","",IF(B150="","",IF(COUNTIFS('Clients'!$A$6:$A$205,B150)&lt;&gt;1,"Check Client ID",IF(INDEX('Clients'!$B$6:$B$205,MATCH(B150,'Clients'!$A$6:$A$205,0))="","Name missing",INDEX('Clients'!$B$6:$B$205,MATCH(B150,'Clients'!$A$6:$A$205,0))))))</x:f>
      </x:c>
      <x:c r="L150" s="265" t="str">
        <x:f>IF(A150="","",IF(C150="","",IF(COUNTIFS('Properties'!$A$6:$A$205,C150)&lt;&gt;1,"Check Property ID",IF(INDEX('Properties'!$B$6:$B$205,MATCH(C150,'Properties'!$A$6:$A$205,0))="","Name missing",INDEX('Properties'!$B$6:$B$205,MATCH(C150,'Properties'!$A$6:$A$205,0))))))</x:f>
      </x:c>
      <x:c r="M150" s="265" t="str">
        <x:f>IF(A150="","",IF(COUNTIFS($A$6:$A$205,A150)&gt;1,"Duplicate ID",IF(OR(B150="",COUNTIFS('Clients'!$A$6:$A$205,B150)&lt;&gt;1),"Check Client ID",IF(AND(C150&lt;&gt;"",COUNTIFS('Properties'!$A$6:$A$205,C150)&lt;&gt;1),"Check Property ID",IF(I150="","Set task status",IF(AND(I150="Open",G150=""),"Add next action",IF(AND(I150="Open",NOT(ISNUMBER(H150))),"Add due date",IF(AND(ISNUMBER(D150),D150&gt;TODAY()),"Contact date is future",""))))))))</x:f>
      </x:c>
      <x:c r="N150" s="379" t="str">
        <x:f>IF(OR(A150="",I150&lt;&gt;"Open",NOT(ISNUMBER(H150))),"",COUNTIFS($A$6:$A$205,"&lt;&gt;",$I$6:$I$205,"Open",$H$6:$H$205,"&gt;0",$H$6:$H$205,"&lt;"&amp;H150)+COUNTIFS($A$6:A150,"&lt;&gt;",$I$6:I150,"Open",$H$6:H150,H150))</x:f>
      </x:c>
    </x:row>
    <x:row r="151" ht="26" customHeight="1">
      <x:c r="A151" s="319"/>
      <x:c r="B151" s="320"/>
      <x:c r="C151" s="274"/>
      <x:c r="D151" s="304"/>
      <x:c r="E151" s="274"/>
      <x:c r="F151" s="274"/>
      <x:c r="G151" s="274"/>
      <x:c r="H151" s="304"/>
      <x:c r="I151" s="274"/>
      <x:c r="J151" s="315" t="str">
        <x:f>IF(A151="","",IF(I151&lt;&gt;"Open","",IF(H151="","Set due date",IF(H151&lt;TODAY(),"Overdue",IF(H151=TODAY(),"Due today","Upcoming")))))</x:f>
      </x:c>
      <x:c r="K151" s="265" t="str">
        <x:f>IF(A151="","",IF(B151="","",IF(COUNTIFS('Clients'!$A$6:$A$205,B151)&lt;&gt;1,"Check Client ID",IF(INDEX('Clients'!$B$6:$B$205,MATCH(B151,'Clients'!$A$6:$A$205,0))="","Name missing",INDEX('Clients'!$B$6:$B$205,MATCH(B151,'Clients'!$A$6:$A$205,0))))))</x:f>
      </x:c>
      <x:c r="L151" s="265" t="str">
        <x:f>IF(A151="","",IF(C151="","",IF(COUNTIFS('Properties'!$A$6:$A$205,C151)&lt;&gt;1,"Check Property ID",IF(INDEX('Properties'!$B$6:$B$205,MATCH(C151,'Properties'!$A$6:$A$205,0))="","Name missing",INDEX('Properties'!$B$6:$B$205,MATCH(C151,'Properties'!$A$6:$A$205,0))))))</x:f>
      </x:c>
      <x:c r="M151" s="265" t="str">
        <x:f>IF(A151="","",IF(COUNTIFS($A$6:$A$205,A151)&gt;1,"Duplicate ID",IF(OR(B151="",COUNTIFS('Clients'!$A$6:$A$205,B151)&lt;&gt;1),"Check Client ID",IF(AND(C151&lt;&gt;"",COUNTIFS('Properties'!$A$6:$A$205,C151)&lt;&gt;1),"Check Property ID",IF(I151="","Set task status",IF(AND(I151="Open",G151=""),"Add next action",IF(AND(I151="Open",NOT(ISNUMBER(H151))),"Add due date",IF(AND(ISNUMBER(D151),D151&gt;TODAY()),"Contact date is future",""))))))))</x:f>
      </x:c>
      <x:c r="N151" s="379" t="str">
        <x:f>IF(OR(A151="",I151&lt;&gt;"Open",NOT(ISNUMBER(H151))),"",COUNTIFS($A$6:$A$205,"&lt;&gt;",$I$6:$I$205,"Open",$H$6:$H$205,"&gt;0",$H$6:$H$205,"&lt;"&amp;H151)+COUNTIFS($A$6:A151,"&lt;&gt;",$I$6:I151,"Open",$H$6:H151,H151))</x:f>
      </x:c>
    </x:row>
    <x:row r="152" ht="26" customHeight="1">
      <x:c r="A152" s="317"/>
      <x:c r="B152" s="318"/>
      <x:c r="C152" s="235"/>
      <x:c r="D152" s="238"/>
      <x:c r="E152" s="235"/>
      <x:c r="F152" s="235"/>
      <x:c r="G152" s="235"/>
      <x:c r="H152" s="238"/>
      <x:c r="I152" s="235"/>
      <x:c r="J152" s="315" t="str">
        <x:f>IF(A152="","",IF(I152&lt;&gt;"Open","",IF(H152="","Set due date",IF(H152&lt;TODAY(),"Overdue",IF(H152=TODAY(),"Due today","Upcoming")))))</x:f>
      </x:c>
      <x:c r="K152" s="265" t="str">
        <x:f>IF(A152="","",IF(B152="","",IF(COUNTIFS('Clients'!$A$6:$A$205,B152)&lt;&gt;1,"Check Client ID",IF(INDEX('Clients'!$B$6:$B$205,MATCH(B152,'Clients'!$A$6:$A$205,0))="","Name missing",INDEX('Clients'!$B$6:$B$205,MATCH(B152,'Clients'!$A$6:$A$205,0))))))</x:f>
      </x:c>
      <x:c r="L152" s="265" t="str">
        <x:f>IF(A152="","",IF(C152="","",IF(COUNTIFS('Properties'!$A$6:$A$205,C152)&lt;&gt;1,"Check Property ID",IF(INDEX('Properties'!$B$6:$B$205,MATCH(C152,'Properties'!$A$6:$A$205,0))="","Name missing",INDEX('Properties'!$B$6:$B$205,MATCH(C152,'Properties'!$A$6:$A$205,0))))))</x:f>
      </x:c>
      <x:c r="M152" s="265" t="str">
        <x:f>IF(A152="","",IF(COUNTIFS($A$6:$A$205,A152)&gt;1,"Duplicate ID",IF(OR(B152="",COUNTIFS('Clients'!$A$6:$A$205,B152)&lt;&gt;1),"Check Client ID",IF(AND(C152&lt;&gt;"",COUNTIFS('Properties'!$A$6:$A$205,C152)&lt;&gt;1),"Check Property ID",IF(I152="","Set task status",IF(AND(I152="Open",G152=""),"Add next action",IF(AND(I152="Open",NOT(ISNUMBER(H152))),"Add due date",IF(AND(ISNUMBER(D152),D152&gt;TODAY()),"Contact date is future",""))))))))</x:f>
      </x:c>
      <x:c r="N152" s="379" t="str">
        <x:f>IF(OR(A152="",I152&lt;&gt;"Open",NOT(ISNUMBER(H152))),"",COUNTIFS($A$6:$A$205,"&lt;&gt;",$I$6:$I$205,"Open",$H$6:$H$205,"&gt;0",$H$6:$H$205,"&lt;"&amp;H152)+COUNTIFS($A$6:A152,"&lt;&gt;",$I$6:I152,"Open",$H$6:H152,H152))</x:f>
      </x:c>
    </x:row>
    <x:row r="153" ht="26" customHeight="1">
      <x:c r="A153" s="319"/>
      <x:c r="B153" s="320"/>
      <x:c r="C153" s="274"/>
      <x:c r="D153" s="304"/>
      <x:c r="E153" s="274"/>
      <x:c r="F153" s="274"/>
      <x:c r="G153" s="274"/>
      <x:c r="H153" s="304"/>
      <x:c r="I153" s="274"/>
      <x:c r="J153" s="315" t="str">
        <x:f>IF(A153="","",IF(I153&lt;&gt;"Open","",IF(H153="","Set due date",IF(H153&lt;TODAY(),"Overdue",IF(H153=TODAY(),"Due today","Upcoming")))))</x:f>
      </x:c>
      <x:c r="K153" s="265" t="str">
        <x:f>IF(A153="","",IF(B153="","",IF(COUNTIFS('Clients'!$A$6:$A$205,B153)&lt;&gt;1,"Check Client ID",IF(INDEX('Clients'!$B$6:$B$205,MATCH(B153,'Clients'!$A$6:$A$205,0))="","Name missing",INDEX('Clients'!$B$6:$B$205,MATCH(B153,'Clients'!$A$6:$A$205,0))))))</x:f>
      </x:c>
      <x:c r="L153" s="265" t="str">
        <x:f>IF(A153="","",IF(C153="","",IF(COUNTIFS('Properties'!$A$6:$A$205,C153)&lt;&gt;1,"Check Property ID",IF(INDEX('Properties'!$B$6:$B$205,MATCH(C153,'Properties'!$A$6:$A$205,0))="","Name missing",INDEX('Properties'!$B$6:$B$205,MATCH(C153,'Properties'!$A$6:$A$205,0))))))</x:f>
      </x:c>
      <x:c r="M153" s="265" t="str">
        <x:f>IF(A153="","",IF(COUNTIFS($A$6:$A$205,A153)&gt;1,"Duplicate ID",IF(OR(B153="",COUNTIFS('Clients'!$A$6:$A$205,B153)&lt;&gt;1),"Check Client ID",IF(AND(C153&lt;&gt;"",COUNTIFS('Properties'!$A$6:$A$205,C153)&lt;&gt;1),"Check Property ID",IF(I153="","Set task status",IF(AND(I153="Open",G153=""),"Add next action",IF(AND(I153="Open",NOT(ISNUMBER(H153))),"Add due date",IF(AND(ISNUMBER(D153),D153&gt;TODAY()),"Contact date is future",""))))))))</x:f>
      </x:c>
      <x:c r="N153" s="379" t="str">
        <x:f>IF(OR(A153="",I153&lt;&gt;"Open",NOT(ISNUMBER(H153))),"",COUNTIFS($A$6:$A$205,"&lt;&gt;",$I$6:$I$205,"Open",$H$6:$H$205,"&gt;0",$H$6:$H$205,"&lt;"&amp;H153)+COUNTIFS($A$6:A153,"&lt;&gt;",$I$6:I153,"Open",$H$6:H153,H153))</x:f>
      </x:c>
    </x:row>
    <x:row r="154" ht="26" customHeight="1">
      <x:c r="A154" s="317"/>
      <x:c r="B154" s="318"/>
      <x:c r="C154" s="235"/>
      <x:c r="D154" s="238"/>
      <x:c r="E154" s="235"/>
      <x:c r="F154" s="235"/>
      <x:c r="G154" s="235"/>
      <x:c r="H154" s="238"/>
      <x:c r="I154" s="235"/>
      <x:c r="J154" s="315" t="str">
        <x:f>IF(A154="","",IF(I154&lt;&gt;"Open","",IF(H154="","Set due date",IF(H154&lt;TODAY(),"Overdue",IF(H154=TODAY(),"Due today","Upcoming")))))</x:f>
      </x:c>
      <x:c r="K154" s="265" t="str">
        <x:f>IF(A154="","",IF(B154="","",IF(COUNTIFS('Clients'!$A$6:$A$205,B154)&lt;&gt;1,"Check Client ID",IF(INDEX('Clients'!$B$6:$B$205,MATCH(B154,'Clients'!$A$6:$A$205,0))="","Name missing",INDEX('Clients'!$B$6:$B$205,MATCH(B154,'Clients'!$A$6:$A$205,0))))))</x:f>
      </x:c>
      <x:c r="L154" s="265" t="str">
        <x:f>IF(A154="","",IF(C154="","",IF(COUNTIFS('Properties'!$A$6:$A$205,C154)&lt;&gt;1,"Check Property ID",IF(INDEX('Properties'!$B$6:$B$205,MATCH(C154,'Properties'!$A$6:$A$205,0))="","Name missing",INDEX('Properties'!$B$6:$B$205,MATCH(C154,'Properties'!$A$6:$A$205,0))))))</x:f>
      </x:c>
      <x:c r="M154" s="265" t="str">
        <x:f>IF(A154="","",IF(COUNTIFS($A$6:$A$205,A154)&gt;1,"Duplicate ID",IF(OR(B154="",COUNTIFS('Clients'!$A$6:$A$205,B154)&lt;&gt;1),"Check Client ID",IF(AND(C154&lt;&gt;"",COUNTIFS('Properties'!$A$6:$A$205,C154)&lt;&gt;1),"Check Property ID",IF(I154="","Set task status",IF(AND(I154="Open",G154=""),"Add next action",IF(AND(I154="Open",NOT(ISNUMBER(H154))),"Add due date",IF(AND(ISNUMBER(D154),D154&gt;TODAY()),"Contact date is future",""))))))))</x:f>
      </x:c>
      <x:c r="N154" s="379" t="str">
        <x:f>IF(OR(A154="",I154&lt;&gt;"Open",NOT(ISNUMBER(H154))),"",COUNTIFS($A$6:$A$205,"&lt;&gt;",$I$6:$I$205,"Open",$H$6:$H$205,"&gt;0",$H$6:$H$205,"&lt;"&amp;H154)+COUNTIFS($A$6:A154,"&lt;&gt;",$I$6:I154,"Open",$H$6:H154,H154))</x:f>
      </x:c>
    </x:row>
    <x:row r="155" ht="26" customHeight="1">
      <x:c r="A155" s="319"/>
      <x:c r="B155" s="320"/>
      <x:c r="C155" s="274"/>
      <x:c r="D155" s="304"/>
      <x:c r="E155" s="274"/>
      <x:c r="F155" s="274"/>
      <x:c r="G155" s="274"/>
      <x:c r="H155" s="304"/>
      <x:c r="I155" s="274"/>
      <x:c r="J155" s="315" t="str">
        <x:f>IF(A155="","",IF(I155&lt;&gt;"Open","",IF(H155="","Set due date",IF(H155&lt;TODAY(),"Overdue",IF(H155=TODAY(),"Due today","Upcoming")))))</x:f>
      </x:c>
      <x:c r="K155" s="265" t="str">
        <x:f>IF(A155="","",IF(B155="","",IF(COUNTIFS('Clients'!$A$6:$A$205,B155)&lt;&gt;1,"Check Client ID",IF(INDEX('Clients'!$B$6:$B$205,MATCH(B155,'Clients'!$A$6:$A$205,0))="","Name missing",INDEX('Clients'!$B$6:$B$205,MATCH(B155,'Clients'!$A$6:$A$205,0))))))</x:f>
      </x:c>
      <x:c r="L155" s="265" t="str">
        <x:f>IF(A155="","",IF(C155="","",IF(COUNTIFS('Properties'!$A$6:$A$205,C155)&lt;&gt;1,"Check Property ID",IF(INDEX('Properties'!$B$6:$B$205,MATCH(C155,'Properties'!$A$6:$A$205,0))="","Name missing",INDEX('Properties'!$B$6:$B$205,MATCH(C155,'Properties'!$A$6:$A$205,0))))))</x:f>
      </x:c>
      <x:c r="M155" s="265" t="str">
        <x:f>IF(A155="","",IF(COUNTIFS($A$6:$A$205,A155)&gt;1,"Duplicate ID",IF(OR(B155="",COUNTIFS('Clients'!$A$6:$A$205,B155)&lt;&gt;1),"Check Client ID",IF(AND(C155&lt;&gt;"",COUNTIFS('Properties'!$A$6:$A$205,C155)&lt;&gt;1),"Check Property ID",IF(I155="","Set task status",IF(AND(I155="Open",G155=""),"Add next action",IF(AND(I155="Open",NOT(ISNUMBER(H155))),"Add due date",IF(AND(ISNUMBER(D155),D155&gt;TODAY()),"Contact date is future",""))))))))</x:f>
      </x:c>
      <x:c r="N155" s="379" t="str">
        <x:f>IF(OR(A155="",I155&lt;&gt;"Open",NOT(ISNUMBER(H155))),"",COUNTIFS($A$6:$A$205,"&lt;&gt;",$I$6:$I$205,"Open",$H$6:$H$205,"&gt;0",$H$6:$H$205,"&lt;"&amp;H155)+COUNTIFS($A$6:A155,"&lt;&gt;",$I$6:I155,"Open",$H$6:H155,H155))</x:f>
      </x:c>
    </x:row>
    <x:row r="156" ht="26" customHeight="1">
      <x:c r="A156" s="317"/>
      <x:c r="B156" s="318"/>
      <x:c r="C156" s="235"/>
      <x:c r="D156" s="238"/>
      <x:c r="E156" s="235"/>
      <x:c r="F156" s="235"/>
      <x:c r="G156" s="235"/>
      <x:c r="H156" s="238"/>
      <x:c r="I156" s="235"/>
      <x:c r="J156" s="315" t="str">
        <x:f>IF(A156="","",IF(I156&lt;&gt;"Open","",IF(H156="","Set due date",IF(H156&lt;TODAY(),"Overdue",IF(H156=TODAY(),"Due today","Upcoming")))))</x:f>
      </x:c>
      <x:c r="K156" s="265" t="str">
        <x:f>IF(A156="","",IF(B156="","",IF(COUNTIFS('Clients'!$A$6:$A$205,B156)&lt;&gt;1,"Check Client ID",IF(INDEX('Clients'!$B$6:$B$205,MATCH(B156,'Clients'!$A$6:$A$205,0))="","Name missing",INDEX('Clients'!$B$6:$B$205,MATCH(B156,'Clients'!$A$6:$A$205,0))))))</x:f>
      </x:c>
      <x:c r="L156" s="265" t="str">
        <x:f>IF(A156="","",IF(C156="","",IF(COUNTIFS('Properties'!$A$6:$A$205,C156)&lt;&gt;1,"Check Property ID",IF(INDEX('Properties'!$B$6:$B$205,MATCH(C156,'Properties'!$A$6:$A$205,0))="","Name missing",INDEX('Properties'!$B$6:$B$205,MATCH(C156,'Properties'!$A$6:$A$205,0))))))</x:f>
      </x:c>
      <x:c r="M156" s="265" t="str">
        <x:f>IF(A156="","",IF(COUNTIFS($A$6:$A$205,A156)&gt;1,"Duplicate ID",IF(OR(B156="",COUNTIFS('Clients'!$A$6:$A$205,B156)&lt;&gt;1),"Check Client ID",IF(AND(C156&lt;&gt;"",COUNTIFS('Properties'!$A$6:$A$205,C156)&lt;&gt;1),"Check Property ID",IF(I156="","Set task status",IF(AND(I156="Open",G156=""),"Add next action",IF(AND(I156="Open",NOT(ISNUMBER(H156))),"Add due date",IF(AND(ISNUMBER(D156),D156&gt;TODAY()),"Contact date is future",""))))))))</x:f>
      </x:c>
      <x:c r="N156" s="379" t="str">
        <x:f>IF(OR(A156="",I156&lt;&gt;"Open",NOT(ISNUMBER(H156))),"",COUNTIFS($A$6:$A$205,"&lt;&gt;",$I$6:$I$205,"Open",$H$6:$H$205,"&gt;0",$H$6:$H$205,"&lt;"&amp;H156)+COUNTIFS($A$6:A156,"&lt;&gt;",$I$6:I156,"Open",$H$6:H156,H156))</x:f>
      </x:c>
    </x:row>
    <x:row r="157" ht="26" customHeight="1">
      <x:c r="A157" s="319"/>
      <x:c r="B157" s="320"/>
      <x:c r="C157" s="274"/>
      <x:c r="D157" s="304"/>
      <x:c r="E157" s="274"/>
      <x:c r="F157" s="274"/>
      <x:c r="G157" s="274"/>
      <x:c r="H157" s="304"/>
      <x:c r="I157" s="274"/>
      <x:c r="J157" s="315" t="str">
        <x:f>IF(A157="","",IF(I157&lt;&gt;"Open","",IF(H157="","Set due date",IF(H157&lt;TODAY(),"Overdue",IF(H157=TODAY(),"Due today","Upcoming")))))</x:f>
      </x:c>
      <x:c r="K157" s="265" t="str">
        <x:f>IF(A157="","",IF(B157="","",IF(COUNTIFS('Clients'!$A$6:$A$205,B157)&lt;&gt;1,"Check Client ID",IF(INDEX('Clients'!$B$6:$B$205,MATCH(B157,'Clients'!$A$6:$A$205,0))="","Name missing",INDEX('Clients'!$B$6:$B$205,MATCH(B157,'Clients'!$A$6:$A$205,0))))))</x:f>
      </x:c>
      <x:c r="L157" s="265" t="str">
        <x:f>IF(A157="","",IF(C157="","",IF(COUNTIFS('Properties'!$A$6:$A$205,C157)&lt;&gt;1,"Check Property ID",IF(INDEX('Properties'!$B$6:$B$205,MATCH(C157,'Properties'!$A$6:$A$205,0))="","Name missing",INDEX('Properties'!$B$6:$B$205,MATCH(C157,'Properties'!$A$6:$A$205,0))))))</x:f>
      </x:c>
      <x:c r="M157" s="265" t="str">
        <x:f>IF(A157="","",IF(COUNTIFS($A$6:$A$205,A157)&gt;1,"Duplicate ID",IF(OR(B157="",COUNTIFS('Clients'!$A$6:$A$205,B157)&lt;&gt;1),"Check Client ID",IF(AND(C157&lt;&gt;"",COUNTIFS('Properties'!$A$6:$A$205,C157)&lt;&gt;1),"Check Property ID",IF(I157="","Set task status",IF(AND(I157="Open",G157=""),"Add next action",IF(AND(I157="Open",NOT(ISNUMBER(H157))),"Add due date",IF(AND(ISNUMBER(D157),D157&gt;TODAY()),"Contact date is future",""))))))))</x:f>
      </x:c>
      <x:c r="N157" s="379" t="str">
        <x:f>IF(OR(A157="",I157&lt;&gt;"Open",NOT(ISNUMBER(H157))),"",COUNTIFS($A$6:$A$205,"&lt;&gt;",$I$6:$I$205,"Open",$H$6:$H$205,"&gt;0",$H$6:$H$205,"&lt;"&amp;H157)+COUNTIFS($A$6:A157,"&lt;&gt;",$I$6:I157,"Open",$H$6:H157,H157))</x:f>
      </x:c>
    </x:row>
    <x:row r="158" ht="26" customHeight="1">
      <x:c r="A158" s="317"/>
      <x:c r="B158" s="318"/>
      <x:c r="C158" s="235"/>
      <x:c r="D158" s="238"/>
      <x:c r="E158" s="235"/>
      <x:c r="F158" s="235"/>
      <x:c r="G158" s="235"/>
      <x:c r="H158" s="238"/>
      <x:c r="I158" s="235"/>
      <x:c r="J158" s="315" t="str">
        <x:f>IF(A158="","",IF(I158&lt;&gt;"Open","",IF(H158="","Set due date",IF(H158&lt;TODAY(),"Overdue",IF(H158=TODAY(),"Due today","Upcoming")))))</x:f>
      </x:c>
      <x:c r="K158" s="265" t="str">
        <x:f>IF(A158="","",IF(B158="","",IF(COUNTIFS('Clients'!$A$6:$A$205,B158)&lt;&gt;1,"Check Client ID",IF(INDEX('Clients'!$B$6:$B$205,MATCH(B158,'Clients'!$A$6:$A$205,0))="","Name missing",INDEX('Clients'!$B$6:$B$205,MATCH(B158,'Clients'!$A$6:$A$205,0))))))</x:f>
      </x:c>
      <x:c r="L158" s="265" t="str">
        <x:f>IF(A158="","",IF(C158="","",IF(COUNTIFS('Properties'!$A$6:$A$205,C158)&lt;&gt;1,"Check Property ID",IF(INDEX('Properties'!$B$6:$B$205,MATCH(C158,'Properties'!$A$6:$A$205,0))="","Name missing",INDEX('Properties'!$B$6:$B$205,MATCH(C158,'Properties'!$A$6:$A$205,0))))))</x:f>
      </x:c>
      <x:c r="M158" s="265" t="str">
        <x:f>IF(A158="","",IF(COUNTIFS($A$6:$A$205,A158)&gt;1,"Duplicate ID",IF(OR(B158="",COUNTIFS('Clients'!$A$6:$A$205,B158)&lt;&gt;1),"Check Client ID",IF(AND(C158&lt;&gt;"",COUNTIFS('Properties'!$A$6:$A$205,C158)&lt;&gt;1),"Check Property ID",IF(I158="","Set task status",IF(AND(I158="Open",G158=""),"Add next action",IF(AND(I158="Open",NOT(ISNUMBER(H158))),"Add due date",IF(AND(ISNUMBER(D158),D158&gt;TODAY()),"Contact date is future",""))))))))</x:f>
      </x:c>
      <x:c r="N158" s="379" t="str">
        <x:f>IF(OR(A158="",I158&lt;&gt;"Open",NOT(ISNUMBER(H158))),"",COUNTIFS($A$6:$A$205,"&lt;&gt;",$I$6:$I$205,"Open",$H$6:$H$205,"&gt;0",$H$6:$H$205,"&lt;"&amp;H158)+COUNTIFS($A$6:A158,"&lt;&gt;",$I$6:I158,"Open",$H$6:H158,H158))</x:f>
      </x:c>
    </x:row>
    <x:row r="159" ht="26" customHeight="1">
      <x:c r="A159" s="319"/>
      <x:c r="B159" s="320"/>
      <x:c r="C159" s="274"/>
      <x:c r="D159" s="304"/>
      <x:c r="E159" s="274"/>
      <x:c r="F159" s="274"/>
      <x:c r="G159" s="274"/>
      <x:c r="H159" s="304"/>
      <x:c r="I159" s="274"/>
      <x:c r="J159" s="315" t="str">
        <x:f>IF(A159="","",IF(I159&lt;&gt;"Open","",IF(H159="","Set due date",IF(H159&lt;TODAY(),"Overdue",IF(H159=TODAY(),"Due today","Upcoming")))))</x:f>
      </x:c>
      <x:c r="K159" s="265" t="str">
        <x:f>IF(A159="","",IF(B159="","",IF(COUNTIFS('Clients'!$A$6:$A$205,B159)&lt;&gt;1,"Check Client ID",IF(INDEX('Clients'!$B$6:$B$205,MATCH(B159,'Clients'!$A$6:$A$205,0))="","Name missing",INDEX('Clients'!$B$6:$B$205,MATCH(B159,'Clients'!$A$6:$A$205,0))))))</x:f>
      </x:c>
      <x:c r="L159" s="265" t="str">
        <x:f>IF(A159="","",IF(C159="","",IF(COUNTIFS('Properties'!$A$6:$A$205,C159)&lt;&gt;1,"Check Property ID",IF(INDEX('Properties'!$B$6:$B$205,MATCH(C159,'Properties'!$A$6:$A$205,0))="","Name missing",INDEX('Properties'!$B$6:$B$205,MATCH(C159,'Properties'!$A$6:$A$205,0))))))</x:f>
      </x:c>
      <x:c r="M159" s="265" t="str">
        <x:f>IF(A159="","",IF(COUNTIFS($A$6:$A$205,A159)&gt;1,"Duplicate ID",IF(OR(B159="",COUNTIFS('Clients'!$A$6:$A$205,B159)&lt;&gt;1),"Check Client ID",IF(AND(C159&lt;&gt;"",COUNTIFS('Properties'!$A$6:$A$205,C159)&lt;&gt;1),"Check Property ID",IF(I159="","Set task status",IF(AND(I159="Open",G159=""),"Add next action",IF(AND(I159="Open",NOT(ISNUMBER(H159))),"Add due date",IF(AND(ISNUMBER(D159),D159&gt;TODAY()),"Contact date is future",""))))))))</x:f>
      </x:c>
      <x:c r="N159" s="379" t="str">
        <x:f>IF(OR(A159="",I159&lt;&gt;"Open",NOT(ISNUMBER(H159))),"",COUNTIFS($A$6:$A$205,"&lt;&gt;",$I$6:$I$205,"Open",$H$6:$H$205,"&gt;0",$H$6:$H$205,"&lt;"&amp;H159)+COUNTIFS($A$6:A159,"&lt;&gt;",$I$6:I159,"Open",$H$6:H159,H159))</x:f>
      </x:c>
    </x:row>
    <x:row r="160" ht="26" customHeight="1">
      <x:c r="A160" s="317"/>
      <x:c r="B160" s="318"/>
      <x:c r="C160" s="235"/>
      <x:c r="D160" s="238"/>
      <x:c r="E160" s="235"/>
      <x:c r="F160" s="235"/>
      <x:c r="G160" s="235"/>
      <x:c r="H160" s="238"/>
      <x:c r="I160" s="235"/>
      <x:c r="J160" s="315" t="str">
        <x:f>IF(A160="","",IF(I160&lt;&gt;"Open","",IF(H160="","Set due date",IF(H160&lt;TODAY(),"Overdue",IF(H160=TODAY(),"Due today","Upcoming")))))</x:f>
      </x:c>
      <x:c r="K160" s="265" t="str">
        <x:f>IF(A160="","",IF(B160="","",IF(COUNTIFS('Clients'!$A$6:$A$205,B160)&lt;&gt;1,"Check Client ID",IF(INDEX('Clients'!$B$6:$B$205,MATCH(B160,'Clients'!$A$6:$A$205,0))="","Name missing",INDEX('Clients'!$B$6:$B$205,MATCH(B160,'Clients'!$A$6:$A$205,0))))))</x:f>
      </x:c>
      <x:c r="L160" s="265" t="str">
        <x:f>IF(A160="","",IF(C160="","",IF(COUNTIFS('Properties'!$A$6:$A$205,C160)&lt;&gt;1,"Check Property ID",IF(INDEX('Properties'!$B$6:$B$205,MATCH(C160,'Properties'!$A$6:$A$205,0))="","Name missing",INDEX('Properties'!$B$6:$B$205,MATCH(C160,'Properties'!$A$6:$A$205,0))))))</x:f>
      </x:c>
      <x:c r="M160" s="265" t="str">
        <x:f>IF(A160="","",IF(COUNTIFS($A$6:$A$205,A160)&gt;1,"Duplicate ID",IF(OR(B160="",COUNTIFS('Clients'!$A$6:$A$205,B160)&lt;&gt;1),"Check Client ID",IF(AND(C160&lt;&gt;"",COUNTIFS('Properties'!$A$6:$A$205,C160)&lt;&gt;1),"Check Property ID",IF(I160="","Set task status",IF(AND(I160="Open",G160=""),"Add next action",IF(AND(I160="Open",NOT(ISNUMBER(H160))),"Add due date",IF(AND(ISNUMBER(D160),D160&gt;TODAY()),"Contact date is future",""))))))))</x:f>
      </x:c>
      <x:c r="N160" s="379" t="str">
        <x:f>IF(OR(A160="",I160&lt;&gt;"Open",NOT(ISNUMBER(H160))),"",COUNTIFS($A$6:$A$205,"&lt;&gt;",$I$6:$I$205,"Open",$H$6:$H$205,"&gt;0",$H$6:$H$205,"&lt;"&amp;H160)+COUNTIFS($A$6:A160,"&lt;&gt;",$I$6:I160,"Open",$H$6:H160,H160))</x:f>
      </x:c>
    </x:row>
    <x:row r="161" ht="26" customHeight="1">
      <x:c r="A161" s="319"/>
      <x:c r="B161" s="320"/>
      <x:c r="C161" s="274"/>
      <x:c r="D161" s="304"/>
      <x:c r="E161" s="274"/>
      <x:c r="F161" s="274"/>
      <x:c r="G161" s="274"/>
      <x:c r="H161" s="304"/>
      <x:c r="I161" s="274"/>
      <x:c r="J161" s="315" t="str">
        <x:f>IF(A161="","",IF(I161&lt;&gt;"Open","",IF(H161="","Set due date",IF(H161&lt;TODAY(),"Overdue",IF(H161=TODAY(),"Due today","Upcoming")))))</x:f>
      </x:c>
      <x:c r="K161" s="265" t="str">
        <x:f>IF(A161="","",IF(B161="","",IF(COUNTIFS('Clients'!$A$6:$A$205,B161)&lt;&gt;1,"Check Client ID",IF(INDEX('Clients'!$B$6:$B$205,MATCH(B161,'Clients'!$A$6:$A$205,0))="","Name missing",INDEX('Clients'!$B$6:$B$205,MATCH(B161,'Clients'!$A$6:$A$205,0))))))</x:f>
      </x:c>
      <x:c r="L161" s="265" t="str">
        <x:f>IF(A161="","",IF(C161="","",IF(COUNTIFS('Properties'!$A$6:$A$205,C161)&lt;&gt;1,"Check Property ID",IF(INDEX('Properties'!$B$6:$B$205,MATCH(C161,'Properties'!$A$6:$A$205,0))="","Name missing",INDEX('Properties'!$B$6:$B$205,MATCH(C161,'Properties'!$A$6:$A$205,0))))))</x:f>
      </x:c>
      <x:c r="M161" s="265" t="str">
        <x:f>IF(A161="","",IF(COUNTIFS($A$6:$A$205,A161)&gt;1,"Duplicate ID",IF(OR(B161="",COUNTIFS('Clients'!$A$6:$A$205,B161)&lt;&gt;1),"Check Client ID",IF(AND(C161&lt;&gt;"",COUNTIFS('Properties'!$A$6:$A$205,C161)&lt;&gt;1),"Check Property ID",IF(I161="","Set task status",IF(AND(I161="Open",G161=""),"Add next action",IF(AND(I161="Open",NOT(ISNUMBER(H161))),"Add due date",IF(AND(ISNUMBER(D161),D161&gt;TODAY()),"Contact date is future",""))))))))</x:f>
      </x:c>
      <x:c r="N161" s="379" t="str">
        <x:f>IF(OR(A161="",I161&lt;&gt;"Open",NOT(ISNUMBER(H161))),"",COUNTIFS($A$6:$A$205,"&lt;&gt;",$I$6:$I$205,"Open",$H$6:$H$205,"&gt;0",$H$6:$H$205,"&lt;"&amp;H161)+COUNTIFS($A$6:A161,"&lt;&gt;",$I$6:I161,"Open",$H$6:H161,H161))</x:f>
      </x:c>
    </x:row>
    <x:row r="162" ht="26" customHeight="1">
      <x:c r="A162" s="317"/>
      <x:c r="B162" s="318"/>
      <x:c r="C162" s="235"/>
      <x:c r="D162" s="238"/>
      <x:c r="E162" s="235"/>
      <x:c r="F162" s="235"/>
      <x:c r="G162" s="235"/>
      <x:c r="H162" s="238"/>
      <x:c r="I162" s="235"/>
      <x:c r="J162" s="315" t="str">
        <x:f>IF(A162="","",IF(I162&lt;&gt;"Open","",IF(H162="","Set due date",IF(H162&lt;TODAY(),"Overdue",IF(H162=TODAY(),"Due today","Upcoming")))))</x:f>
      </x:c>
      <x:c r="K162" s="265" t="str">
        <x:f>IF(A162="","",IF(B162="","",IF(COUNTIFS('Clients'!$A$6:$A$205,B162)&lt;&gt;1,"Check Client ID",IF(INDEX('Clients'!$B$6:$B$205,MATCH(B162,'Clients'!$A$6:$A$205,0))="","Name missing",INDEX('Clients'!$B$6:$B$205,MATCH(B162,'Clients'!$A$6:$A$205,0))))))</x:f>
      </x:c>
      <x:c r="L162" s="265" t="str">
        <x:f>IF(A162="","",IF(C162="","",IF(COUNTIFS('Properties'!$A$6:$A$205,C162)&lt;&gt;1,"Check Property ID",IF(INDEX('Properties'!$B$6:$B$205,MATCH(C162,'Properties'!$A$6:$A$205,0))="","Name missing",INDEX('Properties'!$B$6:$B$205,MATCH(C162,'Properties'!$A$6:$A$205,0))))))</x:f>
      </x:c>
      <x:c r="M162" s="265" t="str">
        <x:f>IF(A162="","",IF(COUNTIFS($A$6:$A$205,A162)&gt;1,"Duplicate ID",IF(OR(B162="",COUNTIFS('Clients'!$A$6:$A$205,B162)&lt;&gt;1),"Check Client ID",IF(AND(C162&lt;&gt;"",COUNTIFS('Properties'!$A$6:$A$205,C162)&lt;&gt;1),"Check Property ID",IF(I162="","Set task status",IF(AND(I162="Open",G162=""),"Add next action",IF(AND(I162="Open",NOT(ISNUMBER(H162))),"Add due date",IF(AND(ISNUMBER(D162),D162&gt;TODAY()),"Contact date is future",""))))))))</x:f>
      </x:c>
      <x:c r="N162" s="379" t="str">
        <x:f>IF(OR(A162="",I162&lt;&gt;"Open",NOT(ISNUMBER(H162))),"",COUNTIFS($A$6:$A$205,"&lt;&gt;",$I$6:$I$205,"Open",$H$6:$H$205,"&gt;0",$H$6:$H$205,"&lt;"&amp;H162)+COUNTIFS($A$6:A162,"&lt;&gt;",$I$6:I162,"Open",$H$6:H162,H162))</x:f>
      </x:c>
    </x:row>
    <x:row r="163" ht="26" customHeight="1">
      <x:c r="A163" s="319"/>
      <x:c r="B163" s="320"/>
      <x:c r="C163" s="274"/>
      <x:c r="D163" s="304"/>
      <x:c r="E163" s="274"/>
      <x:c r="F163" s="274"/>
      <x:c r="G163" s="274"/>
      <x:c r="H163" s="304"/>
      <x:c r="I163" s="274"/>
      <x:c r="J163" s="315" t="str">
        <x:f>IF(A163="","",IF(I163&lt;&gt;"Open","",IF(H163="","Set due date",IF(H163&lt;TODAY(),"Overdue",IF(H163=TODAY(),"Due today","Upcoming")))))</x:f>
      </x:c>
      <x:c r="K163" s="265" t="str">
        <x:f>IF(A163="","",IF(B163="","",IF(COUNTIFS('Clients'!$A$6:$A$205,B163)&lt;&gt;1,"Check Client ID",IF(INDEX('Clients'!$B$6:$B$205,MATCH(B163,'Clients'!$A$6:$A$205,0))="","Name missing",INDEX('Clients'!$B$6:$B$205,MATCH(B163,'Clients'!$A$6:$A$205,0))))))</x:f>
      </x:c>
      <x:c r="L163" s="265" t="str">
        <x:f>IF(A163="","",IF(C163="","",IF(COUNTIFS('Properties'!$A$6:$A$205,C163)&lt;&gt;1,"Check Property ID",IF(INDEX('Properties'!$B$6:$B$205,MATCH(C163,'Properties'!$A$6:$A$205,0))="","Name missing",INDEX('Properties'!$B$6:$B$205,MATCH(C163,'Properties'!$A$6:$A$205,0))))))</x:f>
      </x:c>
      <x:c r="M163" s="265" t="str">
        <x:f>IF(A163="","",IF(COUNTIFS($A$6:$A$205,A163)&gt;1,"Duplicate ID",IF(OR(B163="",COUNTIFS('Clients'!$A$6:$A$205,B163)&lt;&gt;1),"Check Client ID",IF(AND(C163&lt;&gt;"",COUNTIFS('Properties'!$A$6:$A$205,C163)&lt;&gt;1),"Check Property ID",IF(I163="","Set task status",IF(AND(I163="Open",G163=""),"Add next action",IF(AND(I163="Open",NOT(ISNUMBER(H163))),"Add due date",IF(AND(ISNUMBER(D163),D163&gt;TODAY()),"Contact date is future",""))))))))</x:f>
      </x:c>
      <x:c r="N163" s="379" t="str">
        <x:f>IF(OR(A163="",I163&lt;&gt;"Open",NOT(ISNUMBER(H163))),"",COUNTIFS($A$6:$A$205,"&lt;&gt;",$I$6:$I$205,"Open",$H$6:$H$205,"&gt;0",$H$6:$H$205,"&lt;"&amp;H163)+COUNTIFS($A$6:A163,"&lt;&gt;",$I$6:I163,"Open",$H$6:H163,H163))</x:f>
      </x:c>
    </x:row>
    <x:row r="164" ht="26" customHeight="1">
      <x:c r="A164" s="317"/>
      <x:c r="B164" s="318"/>
      <x:c r="C164" s="235"/>
      <x:c r="D164" s="238"/>
      <x:c r="E164" s="235"/>
      <x:c r="F164" s="235"/>
      <x:c r="G164" s="235"/>
      <x:c r="H164" s="238"/>
      <x:c r="I164" s="235"/>
      <x:c r="J164" s="315" t="str">
        <x:f>IF(A164="","",IF(I164&lt;&gt;"Open","",IF(H164="","Set due date",IF(H164&lt;TODAY(),"Overdue",IF(H164=TODAY(),"Due today","Upcoming")))))</x:f>
      </x:c>
      <x:c r="K164" s="265" t="str">
        <x:f>IF(A164="","",IF(B164="","",IF(COUNTIFS('Clients'!$A$6:$A$205,B164)&lt;&gt;1,"Check Client ID",IF(INDEX('Clients'!$B$6:$B$205,MATCH(B164,'Clients'!$A$6:$A$205,0))="","Name missing",INDEX('Clients'!$B$6:$B$205,MATCH(B164,'Clients'!$A$6:$A$205,0))))))</x:f>
      </x:c>
      <x:c r="L164" s="265" t="str">
        <x:f>IF(A164="","",IF(C164="","",IF(COUNTIFS('Properties'!$A$6:$A$205,C164)&lt;&gt;1,"Check Property ID",IF(INDEX('Properties'!$B$6:$B$205,MATCH(C164,'Properties'!$A$6:$A$205,0))="","Name missing",INDEX('Properties'!$B$6:$B$205,MATCH(C164,'Properties'!$A$6:$A$205,0))))))</x:f>
      </x:c>
      <x:c r="M164" s="265" t="str">
        <x:f>IF(A164="","",IF(COUNTIFS($A$6:$A$205,A164)&gt;1,"Duplicate ID",IF(OR(B164="",COUNTIFS('Clients'!$A$6:$A$205,B164)&lt;&gt;1),"Check Client ID",IF(AND(C164&lt;&gt;"",COUNTIFS('Properties'!$A$6:$A$205,C164)&lt;&gt;1),"Check Property ID",IF(I164="","Set task status",IF(AND(I164="Open",G164=""),"Add next action",IF(AND(I164="Open",NOT(ISNUMBER(H164))),"Add due date",IF(AND(ISNUMBER(D164),D164&gt;TODAY()),"Contact date is future",""))))))))</x:f>
      </x:c>
      <x:c r="N164" s="379" t="str">
        <x:f>IF(OR(A164="",I164&lt;&gt;"Open",NOT(ISNUMBER(H164))),"",COUNTIFS($A$6:$A$205,"&lt;&gt;",$I$6:$I$205,"Open",$H$6:$H$205,"&gt;0",$H$6:$H$205,"&lt;"&amp;H164)+COUNTIFS($A$6:A164,"&lt;&gt;",$I$6:I164,"Open",$H$6:H164,H164))</x:f>
      </x:c>
    </x:row>
    <x:row r="165" ht="26" customHeight="1">
      <x:c r="A165" s="319"/>
      <x:c r="B165" s="320"/>
      <x:c r="C165" s="274"/>
      <x:c r="D165" s="304"/>
      <x:c r="E165" s="274"/>
      <x:c r="F165" s="274"/>
      <x:c r="G165" s="274"/>
      <x:c r="H165" s="304"/>
      <x:c r="I165" s="274"/>
      <x:c r="J165" s="315" t="str">
        <x:f>IF(A165="","",IF(I165&lt;&gt;"Open","",IF(H165="","Set due date",IF(H165&lt;TODAY(),"Overdue",IF(H165=TODAY(),"Due today","Upcoming")))))</x:f>
      </x:c>
      <x:c r="K165" s="265" t="str">
        <x:f>IF(A165="","",IF(B165="","",IF(COUNTIFS('Clients'!$A$6:$A$205,B165)&lt;&gt;1,"Check Client ID",IF(INDEX('Clients'!$B$6:$B$205,MATCH(B165,'Clients'!$A$6:$A$205,0))="","Name missing",INDEX('Clients'!$B$6:$B$205,MATCH(B165,'Clients'!$A$6:$A$205,0))))))</x:f>
      </x:c>
      <x:c r="L165" s="265" t="str">
        <x:f>IF(A165="","",IF(C165="","",IF(COUNTIFS('Properties'!$A$6:$A$205,C165)&lt;&gt;1,"Check Property ID",IF(INDEX('Properties'!$B$6:$B$205,MATCH(C165,'Properties'!$A$6:$A$205,0))="","Name missing",INDEX('Properties'!$B$6:$B$205,MATCH(C165,'Properties'!$A$6:$A$205,0))))))</x:f>
      </x:c>
      <x:c r="M165" s="265" t="str">
        <x:f>IF(A165="","",IF(COUNTIFS($A$6:$A$205,A165)&gt;1,"Duplicate ID",IF(OR(B165="",COUNTIFS('Clients'!$A$6:$A$205,B165)&lt;&gt;1),"Check Client ID",IF(AND(C165&lt;&gt;"",COUNTIFS('Properties'!$A$6:$A$205,C165)&lt;&gt;1),"Check Property ID",IF(I165="","Set task status",IF(AND(I165="Open",G165=""),"Add next action",IF(AND(I165="Open",NOT(ISNUMBER(H165))),"Add due date",IF(AND(ISNUMBER(D165),D165&gt;TODAY()),"Contact date is future",""))))))))</x:f>
      </x:c>
      <x:c r="N165" s="379" t="str">
        <x:f>IF(OR(A165="",I165&lt;&gt;"Open",NOT(ISNUMBER(H165))),"",COUNTIFS($A$6:$A$205,"&lt;&gt;",$I$6:$I$205,"Open",$H$6:$H$205,"&gt;0",$H$6:$H$205,"&lt;"&amp;H165)+COUNTIFS($A$6:A165,"&lt;&gt;",$I$6:I165,"Open",$H$6:H165,H165))</x:f>
      </x:c>
    </x:row>
    <x:row r="166" ht="26" customHeight="1">
      <x:c r="A166" s="317"/>
      <x:c r="B166" s="318"/>
      <x:c r="C166" s="235"/>
      <x:c r="D166" s="238"/>
      <x:c r="E166" s="235"/>
      <x:c r="F166" s="235"/>
      <x:c r="G166" s="235"/>
      <x:c r="H166" s="238"/>
      <x:c r="I166" s="235"/>
      <x:c r="J166" s="315" t="str">
        <x:f>IF(A166="","",IF(I166&lt;&gt;"Open","",IF(H166="","Set due date",IF(H166&lt;TODAY(),"Overdue",IF(H166=TODAY(),"Due today","Upcoming")))))</x:f>
      </x:c>
      <x:c r="K166" s="265" t="str">
        <x:f>IF(A166="","",IF(B166="","",IF(COUNTIFS('Clients'!$A$6:$A$205,B166)&lt;&gt;1,"Check Client ID",IF(INDEX('Clients'!$B$6:$B$205,MATCH(B166,'Clients'!$A$6:$A$205,0))="","Name missing",INDEX('Clients'!$B$6:$B$205,MATCH(B166,'Clients'!$A$6:$A$205,0))))))</x:f>
      </x:c>
      <x:c r="L166" s="265" t="str">
        <x:f>IF(A166="","",IF(C166="","",IF(COUNTIFS('Properties'!$A$6:$A$205,C166)&lt;&gt;1,"Check Property ID",IF(INDEX('Properties'!$B$6:$B$205,MATCH(C166,'Properties'!$A$6:$A$205,0))="","Name missing",INDEX('Properties'!$B$6:$B$205,MATCH(C166,'Properties'!$A$6:$A$205,0))))))</x:f>
      </x:c>
      <x:c r="M166" s="265" t="str">
        <x:f>IF(A166="","",IF(COUNTIFS($A$6:$A$205,A166)&gt;1,"Duplicate ID",IF(OR(B166="",COUNTIFS('Clients'!$A$6:$A$205,B166)&lt;&gt;1),"Check Client ID",IF(AND(C166&lt;&gt;"",COUNTIFS('Properties'!$A$6:$A$205,C166)&lt;&gt;1),"Check Property ID",IF(I166="","Set task status",IF(AND(I166="Open",G166=""),"Add next action",IF(AND(I166="Open",NOT(ISNUMBER(H166))),"Add due date",IF(AND(ISNUMBER(D166),D166&gt;TODAY()),"Contact date is future",""))))))))</x:f>
      </x:c>
      <x:c r="N166" s="379" t="str">
        <x:f>IF(OR(A166="",I166&lt;&gt;"Open",NOT(ISNUMBER(H166))),"",COUNTIFS($A$6:$A$205,"&lt;&gt;",$I$6:$I$205,"Open",$H$6:$H$205,"&gt;0",$H$6:$H$205,"&lt;"&amp;H166)+COUNTIFS($A$6:A166,"&lt;&gt;",$I$6:I166,"Open",$H$6:H166,H166))</x:f>
      </x:c>
    </x:row>
    <x:row r="167" ht="26" customHeight="1">
      <x:c r="A167" s="319"/>
      <x:c r="B167" s="320"/>
      <x:c r="C167" s="274"/>
      <x:c r="D167" s="304"/>
      <x:c r="E167" s="274"/>
      <x:c r="F167" s="274"/>
      <x:c r="G167" s="274"/>
      <x:c r="H167" s="304"/>
      <x:c r="I167" s="274"/>
      <x:c r="J167" s="315" t="str">
        <x:f>IF(A167="","",IF(I167&lt;&gt;"Open","",IF(H167="","Set due date",IF(H167&lt;TODAY(),"Overdue",IF(H167=TODAY(),"Due today","Upcoming")))))</x:f>
      </x:c>
      <x:c r="K167" s="265" t="str">
        <x:f>IF(A167="","",IF(B167="","",IF(COUNTIFS('Clients'!$A$6:$A$205,B167)&lt;&gt;1,"Check Client ID",IF(INDEX('Clients'!$B$6:$B$205,MATCH(B167,'Clients'!$A$6:$A$205,0))="","Name missing",INDEX('Clients'!$B$6:$B$205,MATCH(B167,'Clients'!$A$6:$A$205,0))))))</x:f>
      </x:c>
      <x:c r="L167" s="265" t="str">
        <x:f>IF(A167="","",IF(C167="","",IF(COUNTIFS('Properties'!$A$6:$A$205,C167)&lt;&gt;1,"Check Property ID",IF(INDEX('Properties'!$B$6:$B$205,MATCH(C167,'Properties'!$A$6:$A$205,0))="","Name missing",INDEX('Properties'!$B$6:$B$205,MATCH(C167,'Properties'!$A$6:$A$205,0))))))</x:f>
      </x:c>
      <x:c r="M167" s="265" t="str">
        <x:f>IF(A167="","",IF(COUNTIFS($A$6:$A$205,A167)&gt;1,"Duplicate ID",IF(OR(B167="",COUNTIFS('Clients'!$A$6:$A$205,B167)&lt;&gt;1),"Check Client ID",IF(AND(C167&lt;&gt;"",COUNTIFS('Properties'!$A$6:$A$205,C167)&lt;&gt;1),"Check Property ID",IF(I167="","Set task status",IF(AND(I167="Open",G167=""),"Add next action",IF(AND(I167="Open",NOT(ISNUMBER(H167))),"Add due date",IF(AND(ISNUMBER(D167),D167&gt;TODAY()),"Contact date is future",""))))))))</x:f>
      </x:c>
      <x:c r="N167" s="379" t="str">
        <x:f>IF(OR(A167="",I167&lt;&gt;"Open",NOT(ISNUMBER(H167))),"",COUNTIFS($A$6:$A$205,"&lt;&gt;",$I$6:$I$205,"Open",$H$6:$H$205,"&gt;0",$H$6:$H$205,"&lt;"&amp;H167)+COUNTIFS($A$6:A167,"&lt;&gt;",$I$6:I167,"Open",$H$6:H167,H167))</x:f>
      </x:c>
    </x:row>
    <x:row r="168" ht="26" customHeight="1">
      <x:c r="A168" s="317"/>
      <x:c r="B168" s="318"/>
      <x:c r="C168" s="235"/>
      <x:c r="D168" s="238"/>
      <x:c r="E168" s="235"/>
      <x:c r="F168" s="235"/>
      <x:c r="G168" s="235"/>
      <x:c r="H168" s="238"/>
      <x:c r="I168" s="235"/>
      <x:c r="J168" s="315" t="str">
        <x:f>IF(A168="","",IF(I168&lt;&gt;"Open","",IF(H168="","Set due date",IF(H168&lt;TODAY(),"Overdue",IF(H168=TODAY(),"Due today","Upcoming")))))</x:f>
      </x:c>
      <x:c r="K168" s="265" t="str">
        <x:f>IF(A168="","",IF(B168="","",IF(COUNTIFS('Clients'!$A$6:$A$205,B168)&lt;&gt;1,"Check Client ID",IF(INDEX('Clients'!$B$6:$B$205,MATCH(B168,'Clients'!$A$6:$A$205,0))="","Name missing",INDEX('Clients'!$B$6:$B$205,MATCH(B168,'Clients'!$A$6:$A$205,0))))))</x:f>
      </x:c>
      <x:c r="L168" s="265" t="str">
        <x:f>IF(A168="","",IF(C168="","",IF(COUNTIFS('Properties'!$A$6:$A$205,C168)&lt;&gt;1,"Check Property ID",IF(INDEX('Properties'!$B$6:$B$205,MATCH(C168,'Properties'!$A$6:$A$205,0))="","Name missing",INDEX('Properties'!$B$6:$B$205,MATCH(C168,'Properties'!$A$6:$A$205,0))))))</x:f>
      </x:c>
      <x:c r="M168" s="265" t="str">
        <x:f>IF(A168="","",IF(COUNTIFS($A$6:$A$205,A168)&gt;1,"Duplicate ID",IF(OR(B168="",COUNTIFS('Clients'!$A$6:$A$205,B168)&lt;&gt;1),"Check Client ID",IF(AND(C168&lt;&gt;"",COUNTIFS('Properties'!$A$6:$A$205,C168)&lt;&gt;1),"Check Property ID",IF(I168="","Set task status",IF(AND(I168="Open",G168=""),"Add next action",IF(AND(I168="Open",NOT(ISNUMBER(H168))),"Add due date",IF(AND(ISNUMBER(D168),D168&gt;TODAY()),"Contact date is future",""))))))))</x:f>
      </x:c>
      <x:c r="N168" s="379" t="str">
        <x:f>IF(OR(A168="",I168&lt;&gt;"Open",NOT(ISNUMBER(H168))),"",COUNTIFS($A$6:$A$205,"&lt;&gt;",$I$6:$I$205,"Open",$H$6:$H$205,"&gt;0",$H$6:$H$205,"&lt;"&amp;H168)+COUNTIFS($A$6:A168,"&lt;&gt;",$I$6:I168,"Open",$H$6:H168,H168))</x:f>
      </x:c>
    </x:row>
    <x:row r="169" ht="26" customHeight="1">
      <x:c r="A169" s="319"/>
      <x:c r="B169" s="320"/>
      <x:c r="C169" s="274"/>
      <x:c r="D169" s="304"/>
      <x:c r="E169" s="274"/>
      <x:c r="F169" s="274"/>
      <x:c r="G169" s="274"/>
      <x:c r="H169" s="304"/>
      <x:c r="I169" s="274"/>
      <x:c r="J169" s="315" t="str">
        <x:f>IF(A169="","",IF(I169&lt;&gt;"Open","",IF(H169="","Set due date",IF(H169&lt;TODAY(),"Overdue",IF(H169=TODAY(),"Due today","Upcoming")))))</x:f>
      </x:c>
      <x:c r="K169" s="265" t="str">
        <x:f>IF(A169="","",IF(B169="","",IF(COUNTIFS('Clients'!$A$6:$A$205,B169)&lt;&gt;1,"Check Client ID",IF(INDEX('Clients'!$B$6:$B$205,MATCH(B169,'Clients'!$A$6:$A$205,0))="","Name missing",INDEX('Clients'!$B$6:$B$205,MATCH(B169,'Clients'!$A$6:$A$205,0))))))</x:f>
      </x:c>
      <x:c r="L169" s="265" t="str">
        <x:f>IF(A169="","",IF(C169="","",IF(COUNTIFS('Properties'!$A$6:$A$205,C169)&lt;&gt;1,"Check Property ID",IF(INDEX('Properties'!$B$6:$B$205,MATCH(C169,'Properties'!$A$6:$A$205,0))="","Name missing",INDEX('Properties'!$B$6:$B$205,MATCH(C169,'Properties'!$A$6:$A$205,0))))))</x:f>
      </x:c>
      <x:c r="M169" s="265" t="str">
        <x:f>IF(A169="","",IF(COUNTIFS($A$6:$A$205,A169)&gt;1,"Duplicate ID",IF(OR(B169="",COUNTIFS('Clients'!$A$6:$A$205,B169)&lt;&gt;1),"Check Client ID",IF(AND(C169&lt;&gt;"",COUNTIFS('Properties'!$A$6:$A$205,C169)&lt;&gt;1),"Check Property ID",IF(I169="","Set task status",IF(AND(I169="Open",G169=""),"Add next action",IF(AND(I169="Open",NOT(ISNUMBER(H169))),"Add due date",IF(AND(ISNUMBER(D169),D169&gt;TODAY()),"Contact date is future",""))))))))</x:f>
      </x:c>
      <x:c r="N169" s="379" t="str">
        <x:f>IF(OR(A169="",I169&lt;&gt;"Open",NOT(ISNUMBER(H169))),"",COUNTIFS($A$6:$A$205,"&lt;&gt;",$I$6:$I$205,"Open",$H$6:$H$205,"&gt;0",$H$6:$H$205,"&lt;"&amp;H169)+COUNTIFS($A$6:A169,"&lt;&gt;",$I$6:I169,"Open",$H$6:H169,H169))</x:f>
      </x:c>
    </x:row>
    <x:row r="170" ht="26" customHeight="1">
      <x:c r="A170" s="317"/>
      <x:c r="B170" s="318"/>
      <x:c r="C170" s="235"/>
      <x:c r="D170" s="238"/>
      <x:c r="E170" s="235"/>
      <x:c r="F170" s="235"/>
      <x:c r="G170" s="235"/>
      <x:c r="H170" s="238"/>
      <x:c r="I170" s="235"/>
      <x:c r="J170" s="315" t="str">
        <x:f>IF(A170="","",IF(I170&lt;&gt;"Open","",IF(H170="","Set due date",IF(H170&lt;TODAY(),"Overdue",IF(H170=TODAY(),"Due today","Upcoming")))))</x:f>
      </x:c>
      <x:c r="K170" s="265" t="str">
        <x:f>IF(A170="","",IF(B170="","",IF(COUNTIFS('Clients'!$A$6:$A$205,B170)&lt;&gt;1,"Check Client ID",IF(INDEX('Clients'!$B$6:$B$205,MATCH(B170,'Clients'!$A$6:$A$205,0))="","Name missing",INDEX('Clients'!$B$6:$B$205,MATCH(B170,'Clients'!$A$6:$A$205,0))))))</x:f>
      </x:c>
      <x:c r="L170" s="265" t="str">
        <x:f>IF(A170="","",IF(C170="","",IF(COUNTIFS('Properties'!$A$6:$A$205,C170)&lt;&gt;1,"Check Property ID",IF(INDEX('Properties'!$B$6:$B$205,MATCH(C170,'Properties'!$A$6:$A$205,0))="","Name missing",INDEX('Properties'!$B$6:$B$205,MATCH(C170,'Properties'!$A$6:$A$205,0))))))</x:f>
      </x:c>
      <x:c r="M170" s="265" t="str">
        <x:f>IF(A170="","",IF(COUNTIFS($A$6:$A$205,A170)&gt;1,"Duplicate ID",IF(OR(B170="",COUNTIFS('Clients'!$A$6:$A$205,B170)&lt;&gt;1),"Check Client ID",IF(AND(C170&lt;&gt;"",COUNTIFS('Properties'!$A$6:$A$205,C170)&lt;&gt;1),"Check Property ID",IF(I170="","Set task status",IF(AND(I170="Open",G170=""),"Add next action",IF(AND(I170="Open",NOT(ISNUMBER(H170))),"Add due date",IF(AND(ISNUMBER(D170),D170&gt;TODAY()),"Contact date is future",""))))))))</x:f>
      </x:c>
      <x:c r="N170" s="379" t="str">
        <x:f>IF(OR(A170="",I170&lt;&gt;"Open",NOT(ISNUMBER(H170))),"",COUNTIFS($A$6:$A$205,"&lt;&gt;",$I$6:$I$205,"Open",$H$6:$H$205,"&gt;0",$H$6:$H$205,"&lt;"&amp;H170)+COUNTIFS($A$6:A170,"&lt;&gt;",$I$6:I170,"Open",$H$6:H170,H170))</x:f>
      </x:c>
    </x:row>
    <x:row r="171" ht="26" customHeight="1">
      <x:c r="A171" s="319"/>
      <x:c r="B171" s="320"/>
      <x:c r="C171" s="274"/>
      <x:c r="D171" s="304"/>
      <x:c r="E171" s="274"/>
      <x:c r="F171" s="274"/>
      <x:c r="G171" s="274"/>
      <x:c r="H171" s="304"/>
      <x:c r="I171" s="274"/>
      <x:c r="J171" s="315" t="str">
        <x:f>IF(A171="","",IF(I171&lt;&gt;"Open","",IF(H171="","Set due date",IF(H171&lt;TODAY(),"Overdue",IF(H171=TODAY(),"Due today","Upcoming")))))</x:f>
      </x:c>
      <x:c r="K171" s="265" t="str">
        <x:f>IF(A171="","",IF(B171="","",IF(COUNTIFS('Clients'!$A$6:$A$205,B171)&lt;&gt;1,"Check Client ID",IF(INDEX('Clients'!$B$6:$B$205,MATCH(B171,'Clients'!$A$6:$A$205,0))="","Name missing",INDEX('Clients'!$B$6:$B$205,MATCH(B171,'Clients'!$A$6:$A$205,0))))))</x:f>
      </x:c>
      <x:c r="L171" s="265" t="str">
        <x:f>IF(A171="","",IF(C171="","",IF(COUNTIFS('Properties'!$A$6:$A$205,C171)&lt;&gt;1,"Check Property ID",IF(INDEX('Properties'!$B$6:$B$205,MATCH(C171,'Properties'!$A$6:$A$205,0))="","Name missing",INDEX('Properties'!$B$6:$B$205,MATCH(C171,'Properties'!$A$6:$A$205,0))))))</x:f>
      </x:c>
      <x:c r="M171" s="265" t="str">
        <x:f>IF(A171="","",IF(COUNTIFS($A$6:$A$205,A171)&gt;1,"Duplicate ID",IF(OR(B171="",COUNTIFS('Clients'!$A$6:$A$205,B171)&lt;&gt;1),"Check Client ID",IF(AND(C171&lt;&gt;"",COUNTIFS('Properties'!$A$6:$A$205,C171)&lt;&gt;1),"Check Property ID",IF(I171="","Set task status",IF(AND(I171="Open",G171=""),"Add next action",IF(AND(I171="Open",NOT(ISNUMBER(H171))),"Add due date",IF(AND(ISNUMBER(D171),D171&gt;TODAY()),"Contact date is future",""))))))))</x:f>
      </x:c>
      <x:c r="N171" s="379" t="str">
        <x:f>IF(OR(A171="",I171&lt;&gt;"Open",NOT(ISNUMBER(H171))),"",COUNTIFS($A$6:$A$205,"&lt;&gt;",$I$6:$I$205,"Open",$H$6:$H$205,"&gt;0",$H$6:$H$205,"&lt;"&amp;H171)+COUNTIFS($A$6:A171,"&lt;&gt;",$I$6:I171,"Open",$H$6:H171,H171))</x:f>
      </x:c>
    </x:row>
    <x:row r="172" ht="26" customHeight="1">
      <x:c r="A172" s="317"/>
      <x:c r="B172" s="318"/>
      <x:c r="C172" s="235"/>
      <x:c r="D172" s="238"/>
      <x:c r="E172" s="235"/>
      <x:c r="F172" s="235"/>
      <x:c r="G172" s="235"/>
      <x:c r="H172" s="238"/>
      <x:c r="I172" s="235"/>
      <x:c r="J172" s="315" t="str">
        <x:f>IF(A172="","",IF(I172&lt;&gt;"Open","",IF(H172="","Set due date",IF(H172&lt;TODAY(),"Overdue",IF(H172=TODAY(),"Due today","Upcoming")))))</x:f>
      </x:c>
      <x:c r="K172" s="265" t="str">
        <x:f>IF(A172="","",IF(B172="","",IF(COUNTIFS('Clients'!$A$6:$A$205,B172)&lt;&gt;1,"Check Client ID",IF(INDEX('Clients'!$B$6:$B$205,MATCH(B172,'Clients'!$A$6:$A$205,0))="","Name missing",INDEX('Clients'!$B$6:$B$205,MATCH(B172,'Clients'!$A$6:$A$205,0))))))</x:f>
      </x:c>
      <x:c r="L172" s="265" t="str">
        <x:f>IF(A172="","",IF(C172="","",IF(COUNTIFS('Properties'!$A$6:$A$205,C172)&lt;&gt;1,"Check Property ID",IF(INDEX('Properties'!$B$6:$B$205,MATCH(C172,'Properties'!$A$6:$A$205,0))="","Name missing",INDEX('Properties'!$B$6:$B$205,MATCH(C172,'Properties'!$A$6:$A$205,0))))))</x:f>
      </x:c>
      <x:c r="M172" s="265" t="str">
        <x:f>IF(A172="","",IF(COUNTIFS($A$6:$A$205,A172)&gt;1,"Duplicate ID",IF(OR(B172="",COUNTIFS('Clients'!$A$6:$A$205,B172)&lt;&gt;1),"Check Client ID",IF(AND(C172&lt;&gt;"",COUNTIFS('Properties'!$A$6:$A$205,C172)&lt;&gt;1),"Check Property ID",IF(I172="","Set task status",IF(AND(I172="Open",G172=""),"Add next action",IF(AND(I172="Open",NOT(ISNUMBER(H172))),"Add due date",IF(AND(ISNUMBER(D172),D172&gt;TODAY()),"Contact date is future",""))))))))</x:f>
      </x:c>
      <x:c r="N172" s="379" t="str">
        <x:f>IF(OR(A172="",I172&lt;&gt;"Open",NOT(ISNUMBER(H172))),"",COUNTIFS($A$6:$A$205,"&lt;&gt;",$I$6:$I$205,"Open",$H$6:$H$205,"&gt;0",$H$6:$H$205,"&lt;"&amp;H172)+COUNTIFS($A$6:A172,"&lt;&gt;",$I$6:I172,"Open",$H$6:H172,H172))</x:f>
      </x:c>
    </x:row>
    <x:row r="173" ht="26" customHeight="1">
      <x:c r="A173" s="319"/>
      <x:c r="B173" s="320"/>
      <x:c r="C173" s="274"/>
      <x:c r="D173" s="304"/>
      <x:c r="E173" s="274"/>
      <x:c r="F173" s="274"/>
      <x:c r="G173" s="274"/>
      <x:c r="H173" s="304"/>
      <x:c r="I173" s="274"/>
      <x:c r="J173" s="315" t="str">
        <x:f>IF(A173="","",IF(I173&lt;&gt;"Open","",IF(H173="","Set due date",IF(H173&lt;TODAY(),"Overdue",IF(H173=TODAY(),"Due today","Upcoming")))))</x:f>
      </x:c>
      <x:c r="K173" s="265" t="str">
        <x:f>IF(A173="","",IF(B173="","",IF(COUNTIFS('Clients'!$A$6:$A$205,B173)&lt;&gt;1,"Check Client ID",IF(INDEX('Clients'!$B$6:$B$205,MATCH(B173,'Clients'!$A$6:$A$205,0))="","Name missing",INDEX('Clients'!$B$6:$B$205,MATCH(B173,'Clients'!$A$6:$A$205,0))))))</x:f>
      </x:c>
      <x:c r="L173" s="265" t="str">
        <x:f>IF(A173="","",IF(C173="","",IF(COUNTIFS('Properties'!$A$6:$A$205,C173)&lt;&gt;1,"Check Property ID",IF(INDEX('Properties'!$B$6:$B$205,MATCH(C173,'Properties'!$A$6:$A$205,0))="","Name missing",INDEX('Properties'!$B$6:$B$205,MATCH(C173,'Properties'!$A$6:$A$205,0))))))</x:f>
      </x:c>
      <x:c r="M173" s="265" t="str">
        <x:f>IF(A173="","",IF(COUNTIFS($A$6:$A$205,A173)&gt;1,"Duplicate ID",IF(OR(B173="",COUNTIFS('Clients'!$A$6:$A$205,B173)&lt;&gt;1),"Check Client ID",IF(AND(C173&lt;&gt;"",COUNTIFS('Properties'!$A$6:$A$205,C173)&lt;&gt;1),"Check Property ID",IF(I173="","Set task status",IF(AND(I173="Open",G173=""),"Add next action",IF(AND(I173="Open",NOT(ISNUMBER(H173))),"Add due date",IF(AND(ISNUMBER(D173),D173&gt;TODAY()),"Contact date is future",""))))))))</x:f>
      </x:c>
      <x:c r="N173" s="379" t="str">
        <x:f>IF(OR(A173="",I173&lt;&gt;"Open",NOT(ISNUMBER(H173))),"",COUNTIFS($A$6:$A$205,"&lt;&gt;",$I$6:$I$205,"Open",$H$6:$H$205,"&gt;0",$H$6:$H$205,"&lt;"&amp;H173)+COUNTIFS($A$6:A173,"&lt;&gt;",$I$6:I173,"Open",$H$6:H173,H173))</x:f>
      </x:c>
    </x:row>
    <x:row r="174" ht="26" customHeight="1">
      <x:c r="A174" s="317"/>
      <x:c r="B174" s="318"/>
      <x:c r="C174" s="235"/>
      <x:c r="D174" s="238"/>
      <x:c r="E174" s="235"/>
      <x:c r="F174" s="235"/>
      <x:c r="G174" s="235"/>
      <x:c r="H174" s="238"/>
      <x:c r="I174" s="235"/>
      <x:c r="J174" s="315" t="str">
        <x:f>IF(A174="","",IF(I174&lt;&gt;"Open","",IF(H174="","Set due date",IF(H174&lt;TODAY(),"Overdue",IF(H174=TODAY(),"Due today","Upcoming")))))</x:f>
      </x:c>
      <x:c r="K174" s="265" t="str">
        <x:f>IF(A174="","",IF(B174="","",IF(COUNTIFS('Clients'!$A$6:$A$205,B174)&lt;&gt;1,"Check Client ID",IF(INDEX('Clients'!$B$6:$B$205,MATCH(B174,'Clients'!$A$6:$A$205,0))="","Name missing",INDEX('Clients'!$B$6:$B$205,MATCH(B174,'Clients'!$A$6:$A$205,0))))))</x:f>
      </x:c>
      <x:c r="L174" s="265" t="str">
        <x:f>IF(A174="","",IF(C174="","",IF(COUNTIFS('Properties'!$A$6:$A$205,C174)&lt;&gt;1,"Check Property ID",IF(INDEX('Properties'!$B$6:$B$205,MATCH(C174,'Properties'!$A$6:$A$205,0))="","Name missing",INDEX('Properties'!$B$6:$B$205,MATCH(C174,'Properties'!$A$6:$A$205,0))))))</x:f>
      </x:c>
      <x:c r="M174" s="265" t="str">
        <x:f>IF(A174="","",IF(COUNTIFS($A$6:$A$205,A174)&gt;1,"Duplicate ID",IF(OR(B174="",COUNTIFS('Clients'!$A$6:$A$205,B174)&lt;&gt;1),"Check Client ID",IF(AND(C174&lt;&gt;"",COUNTIFS('Properties'!$A$6:$A$205,C174)&lt;&gt;1),"Check Property ID",IF(I174="","Set task status",IF(AND(I174="Open",G174=""),"Add next action",IF(AND(I174="Open",NOT(ISNUMBER(H174))),"Add due date",IF(AND(ISNUMBER(D174),D174&gt;TODAY()),"Contact date is future",""))))))))</x:f>
      </x:c>
      <x:c r="N174" s="379" t="str">
        <x:f>IF(OR(A174="",I174&lt;&gt;"Open",NOT(ISNUMBER(H174))),"",COUNTIFS($A$6:$A$205,"&lt;&gt;",$I$6:$I$205,"Open",$H$6:$H$205,"&gt;0",$H$6:$H$205,"&lt;"&amp;H174)+COUNTIFS($A$6:A174,"&lt;&gt;",$I$6:I174,"Open",$H$6:H174,H174))</x:f>
      </x:c>
    </x:row>
    <x:row r="175" ht="26" customHeight="1">
      <x:c r="A175" s="319"/>
      <x:c r="B175" s="320"/>
      <x:c r="C175" s="274"/>
      <x:c r="D175" s="304"/>
      <x:c r="E175" s="274"/>
      <x:c r="F175" s="274"/>
      <x:c r="G175" s="274"/>
      <x:c r="H175" s="304"/>
      <x:c r="I175" s="274"/>
      <x:c r="J175" s="315" t="str">
        <x:f>IF(A175="","",IF(I175&lt;&gt;"Open","",IF(H175="","Set due date",IF(H175&lt;TODAY(),"Overdue",IF(H175=TODAY(),"Due today","Upcoming")))))</x:f>
      </x:c>
      <x:c r="K175" s="265" t="str">
        <x:f>IF(A175="","",IF(B175="","",IF(COUNTIFS('Clients'!$A$6:$A$205,B175)&lt;&gt;1,"Check Client ID",IF(INDEX('Clients'!$B$6:$B$205,MATCH(B175,'Clients'!$A$6:$A$205,0))="","Name missing",INDEX('Clients'!$B$6:$B$205,MATCH(B175,'Clients'!$A$6:$A$205,0))))))</x:f>
      </x:c>
      <x:c r="L175" s="265" t="str">
        <x:f>IF(A175="","",IF(C175="","",IF(COUNTIFS('Properties'!$A$6:$A$205,C175)&lt;&gt;1,"Check Property ID",IF(INDEX('Properties'!$B$6:$B$205,MATCH(C175,'Properties'!$A$6:$A$205,0))="","Name missing",INDEX('Properties'!$B$6:$B$205,MATCH(C175,'Properties'!$A$6:$A$205,0))))))</x:f>
      </x:c>
      <x:c r="M175" s="265" t="str">
        <x:f>IF(A175="","",IF(COUNTIFS($A$6:$A$205,A175)&gt;1,"Duplicate ID",IF(OR(B175="",COUNTIFS('Clients'!$A$6:$A$205,B175)&lt;&gt;1),"Check Client ID",IF(AND(C175&lt;&gt;"",COUNTIFS('Properties'!$A$6:$A$205,C175)&lt;&gt;1),"Check Property ID",IF(I175="","Set task status",IF(AND(I175="Open",G175=""),"Add next action",IF(AND(I175="Open",NOT(ISNUMBER(H175))),"Add due date",IF(AND(ISNUMBER(D175),D175&gt;TODAY()),"Contact date is future",""))))))))</x:f>
      </x:c>
      <x:c r="N175" s="379" t="str">
        <x:f>IF(OR(A175="",I175&lt;&gt;"Open",NOT(ISNUMBER(H175))),"",COUNTIFS($A$6:$A$205,"&lt;&gt;",$I$6:$I$205,"Open",$H$6:$H$205,"&gt;0",$H$6:$H$205,"&lt;"&amp;H175)+COUNTIFS($A$6:A175,"&lt;&gt;",$I$6:I175,"Open",$H$6:H175,H175))</x:f>
      </x:c>
    </x:row>
    <x:row r="176" ht="26" customHeight="1">
      <x:c r="A176" s="317"/>
      <x:c r="B176" s="318"/>
      <x:c r="C176" s="235"/>
      <x:c r="D176" s="238"/>
      <x:c r="E176" s="235"/>
      <x:c r="F176" s="235"/>
      <x:c r="G176" s="235"/>
      <x:c r="H176" s="238"/>
      <x:c r="I176" s="235"/>
      <x:c r="J176" s="315" t="str">
        <x:f>IF(A176="","",IF(I176&lt;&gt;"Open","",IF(H176="","Set due date",IF(H176&lt;TODAY(),"Overdue",IF(H176=TODAY(),"Due today","Upcoming")))))</x:f>
      </x:c>
      <x:c r="K176" s="265" t="str">
        <x:f>IF(A176="","",IF(B176="","",IF(COUNTIFS('Clients'!$A$6:$A$205,B176)&lt;&gt;1,"Check Client ID",IF(INDEX('Clients'!$B$6:$B$205,MATCH(B176,'Clients'!$A$6:$A$205,0))="","Name missing",INDEX('Clients'!$B$6:$B$205,MATCH(B176,'Clients'!$A$6:$A$205,0))))))</x:f>
      </x:c>
      <x:c r="L176" s="265" t="str">
        <x:f>IF(A176="","",IF(C176="","",IF(COUNTIFS('Properties'!$A$6:$A$205,C176)&lt;&gt;1,"Check Property ID",IF(INDEX('Properties'!$B$6:$B$205,MATCH(C176,'Properties'!$A$6:$A$205,0))="","Name missing",INDEX('Properties'!$B$6:$B$205,MATCH(C176,'Properties'!$A$6:$A$205,0))))))</x:f>
      </x:c>
      <x:c r="M176" s="265" t="str">
        <x:f>IF(A176="","",IF(COUNTIFS($A$6:$A$205,A176)&gt;1,"Duplicate ID",IF(OR(B176="",COUNTIFS('Clients'!$A$6:$A$205,B176)&lt;&gt;1),"Check Client ID",IF(AND(C176&lt;&gt;"",COUNTIFS('Properties'!$A$6:$A$205,C176)&lt;&gt;1),"Check Property ID",IF(I176="","Set task status",IF(AND(I176="Open",G176=""),"Add next action",IF(AND(I176="Open",NOT(ISNUMBER(H176))),"Add due date",IF(AND(ISNUMBER(D176),D176&gt;TODAY()),"Contact date is future",""))))))))</x:f>
      </x:c>
      <x:c r="N176" s="379" t="str">
        <x:f>IF(OR(A176="",I176&lt;&gt;"Open",NOT(ISNUMBER(H176))),"",COUNTIFS($A$6:$A$205,"&lt;&gt;",$I$6:$I$205,"Open",$H$6:$H$205,"&gt;0",$H$6:$H$205,"&lt;"&amp;H176)+COUNTIFS($A$6:A176,"&lt;&gt;",$I$6:I176,"Open",$H$6:H176,H176))</x:f>
      </x:c>
    </x:row>
    <x:row r="177" ht="26" customHeight="1">
      <x:c r="A177" s="319"/>
      <x:c r="B177" s="320"/>
      <x:c r="C177" s="274"/>
      <x:c r="D177" s="304"/>
      <x:c r="E177" s="274"/>
      <x:c r="F177" s="274"/>
      <x:c r="G177" s="274"/>
      <x:c r="H177" s="304"/>
      <x:c r="I177" s="274"/>
      <x:c r="J177" s="315" t="str">
        <x:f>IF(A177="","",IF(I177&lt;&gt;"Open","",IF(H177="","Set due date",IF(H177&lt;TODAY(),"Overdue",IF(H177=TODAY(),"Due today","Upcoming")))))</x:f>
      </x:c>
      <x:c r="K177" s="265" t="str">
        <x:f>IF(A177="","",IF(B177="","",IF(COUNTIFS('Clients'!$A$6:$A$205,B177)&lt;&gt;1,"Check Client ID",IF(INDEX('Clients'!$B$6:$B$205,MATCH(B177,'Clients'!$A$6:$A$205,0))="","Name missing",INDEX('Clients'!$B$6:$B$205,MATCH(B177,'Clients'!$A$6:$A$205,0))))))</x:f>
      </x:c>
      <x:c r="L177" s="265" t="str">
        <x:f>IF(A177="","",IF(C177="","",IF(COUNTIFS('Properties'!$A$6:$A$205,C177)&lt;&gt;1,"Check Property ID",IF(INDEX('Properties'!$B$6:$B$205,MATCH(C177,'Properties'!$A$6:$A$205,0))="","Name missing",INDEX('Properties'!$B$6:$B$205,MATCH(C177,'Properties'!$A$6:$A$205,0))))))</x:f>
      </x:c>
      <x:c r="M177" s="265" t="str">
        <x:f>IF(A177="","",IF(COUNTIFS($A$6:$A$205,A177)&gt;1,"Duplicate ID",IF(OR(B177="",COUNTIFS('Clients'!$A$6:$A$205,B177)&lt;&gt;1),"Check Client ID",IF(AND(C177&lt;&gt;"",COUNTIFS('Properties'!$A$6:$A$205,C177)&lt;&gt;1),"Check Property ID",IF(I177="","Set task status",IF(AND(I177="Open",G177=""),"Add next action",IF(AND(I177="Open",NOT(ISNUMBER(H177))),"Add due date",IF(AND(ISNUMBER(D177),D177&gt;TODAY()),"Contact date is future",""))))))))</x:f>
      </x:c>
      <x:c r="N177" s="379" t="str">
        <x:f>IF(OR(A177="",I177&lt;&gt;"Open",NOT(ISNUMBER(H177))),"",COUNTIFS($A$6:$A$205,"&lt;&gt;",$I$6:$I$205,"Open",$H$6:$H$205,"&gt;0",$H$6:$H$205,"&lt;"&amp;H177)+COUNTIFS($A$6:A177,"&lt;&gt;",$I$6:I177,"Open",$H$6:H177,H177))</x:f>
      </x:c>
    </x:row>
    <x:row r="178" ht="26" customHeight="1">
      <x:c r="A178" s="317"/>
      <x:c r="B178" s="318"/>
      <x:c r="C178" s="235"/>
      <x:c r="D178" s="238"/>
      <x:c r="E178" s="235"/>
      <x:c r="F178" s="235"/>
      <x:c r="G178" s="235"/>
      <x:c r="H178" s="238"/>
      <x:c r="I178" s="235"/>
      <x:c r="J178" s="315" t="str">
        <x:f>IF(A178="","",IF(I178&lt;&gt;"Open","",IF(H178="","Set due date",IF(H178&lt;TODAY(),"Overdue",IF(H178=TODAY(),"Due today","Upcoming")))))</x:f>
      </x:c>
      <x:c r="K178" s="265" t="str">
        <x:f>IF(A178="","",IF(B178="","",IF(COUNTIFS('Clients'!$A$6:$A$205,B178)&lt;&gt;1,"Check Client ID",IF(INDEX('Clients'!$B$6:$B$205,MATCH(B178,'Clients'!$A$6:$A$205,0))="","Name missing",INDEX('Clients'!$B$6:$B$205,MATCH(B178,'Clients'!$A$6:$A$205,0))))))</x:f>
      </x:c>
      <x:c r="L178" s="265" t="str">
        <x:f>IF(A178="","",IF(C178="","",IF(COUNTIFS('Properties'!$A$6:$A$205,C178)&lt;&gt;1,"Check Property ID",IF(INDEX('Properties'!$B$6:$B$205,MATCH(C178,'Properties'!$A$6:$A$205,0))="","Name missing",INDEX('Properties'!$B$6:$B$205,MATCH(C178,'Properties'!$A$6:$A$205,0))))))</x:f>
      </x:c>
      <x:c r="M178" s="265" t="str">
        <x:f>IF(A178="","",IF(COUNTIFS($A$6:$A$205,A178)&gt;1,"Duplicate ID",IF(OR(B178="",COUNTIFS('Clients'!$A$6:$A$205,B178)&lt;&gt;1),"Check Client ID",IF(AND(C178&lt;&gt;"",COUNTIFS('Properties'!$A$6:$A$205,C178)&lt;&gt;1),"Check Property ID",IF(I178="","Set task status",IF(AND(I178="Open",G178=""),"Add next action",IF(AND(I178="Open",NOT(ISNUMBER(H178))),"Add due date",IF(AND(ISNUMBER(D178),D178&gt;TODAY()),"Contact date is future",""))))))))</x:f>
      </x:c>
      <x:c r="N178" s="379" t="str">
        <x:f>IF(OR(A178="",I178&lt;&gt;"Open",NOT(ISNUMBER(H178))),"",COUNTIFS($A$6:$A$205,"&lt;&gt;",$I$6:$I$205,"Open",$H$6:$H$205,"&gt;0",$H$6:$H$205,"&lt;"&amp;H178)+COUNTIFS($A$6:A178,"&lt;&gt;",$I$6:I178,"Open",$H$6:H178,H178))</x:f>
      </x:c>
    </x:row>
    <x:row r="179" ht="26" customHeight="1">
      <x:c r="A179" s="319"/>
      <x:c r="B179" s="320"/>
      <x:c r="C179" s="274"/>
      <x:c r="D179" s="304"/>
      <x:c r="E179" s="274"/>
      <x:c r="F179" s="274"/>
      <x:c r="G179" s="274"/>
      <x:c r="H179" s="304"/>
      <x:c r="I179" s="274"/>
      <x:c r="J179" s="315" t="str">
        <x:f>IF(A179="","",IF(I179&lt;&gt;"Open","",IF(H179="","Set due date",IF(H179&lt;TODAY(),"Overdue",IF(H179=TODAY(),"Due today","Upcoming")))))</x:f>
      </x:c>
      <x:c r="K179" s="265" t="str">
        <x:f>IF(A179="","",IF(B179="","",IF(COUNTIFS('Clients'!$A$6:$A$205,B179)&lt;&gt;1,"Check Client ID",IF(INDEX('Clients'!$B$6:$B$205,MATCH(B179,'Clients'!$A$6:$A$205,0))="","Name missing",INDEX('Clients'!$B$6:$B$205,MATCH(B179,'Clients'!$A$6:$A$205,0))))))</x:f>
      </x:c>
      <x:c r="L179" s="265" t="str">
        <x:f>IF(A179="","",IF(C179="","",IF(COUNTIFS('Properties'!$A$6:$A$205,C179)&lt;&gt;1,"Check Property ID",IF(INDEX('Properties'!$B$6:$B$205,MATCH(C179,'Properties'!$A$6:$A$205,0))="","Name missing",INDEX('Properties'!$B$6:$B$205,MATCH(C179,'Properties'!$A$6:$A$205,0))))))</x:f>
      </x:c>
      <x:c r="M179" s="265" t="str">
        <x:f>IF(A179="","",IF(COUNTIFS($A$6:$A$205,A179)&gt;1,"Duplicate ID",IF(OR(B179="",COUNTIFS('Clients'!$A$6:$A$205,B179)&lt;&gt;1),"Check Client ID",IF(AND(C179&lt;&gt;"",COUNTIFS('Properties'!$A$6:$A$205,C179)&lt;&gt;1),"Check Property ID",IF(I179="","Set task status",IF(AND(I179="Open",G179=""),"Add next action",IF(AND(I179="Open",NOT(ISNUMBER(H179))),"Add due date",IF(AND(ISNUMBER(D179),D179&gt;TODAY()),"Contact date is future",""))))))))</x:f>
      </x:c>
      <x:c r="N179" s="379" t="str">
        <x:f>IF(OR(A179="",I179&lt;&gt;"Open",NOT(ISNUMBER(H179))),"",COUNTIFS($A$6:$A$205,"&lt;&gt;",$I$6:$I$205,"Open",$H$6:$H$205,"&gt;0",$H$6:$H$205,"&lt;"&amp;H179)+COUNTIFS($A$6:A179,"&lt;&gt;",$I$6:I179,"Open",$H$6:H179,H179))</x:f>
      </x:c>
    </x:row>
    <x:row r="180" ht="26" customHeight="1">
      <x:c r="A180" s="317"/>
      <x:c r="B180" s="318"/>
      <x:c r="C180" s="235"/>
      <x:c r="D180" s="238"/>
      <x:c r="E180" s="235"/>
      <x:c r="F180" s="235"/>
      <x:c r="G180" s="235"/>
      <x:c r="H180" s="238"/>
      <x:c r="I180" s="235"/>
      <x:c r="J180" s="315" t="str">
        <x:f>IF(A180="","",IF(I180&lt;&gt;"Open","",IF(H180="","Set due date",IF(H180&lt;TODAY(),"Overdue",IF(H180=TODAY(),"Due today","Upcoming")))))</x:f>
      </x:c>
      <x:c r="K180" s="265" t="str">
        <x:f>IF(A180="","",IF(B180="","",IF(COUNTIFS('Clients'!$A$6:$A$205,B180)&lt;&gt;1,"Check Client ID",IF(INDEX('Clients'!$B$6:$B$205,MATCH(B180,'Clients'!$A$6:$A$205,0))="","Name missing",INDEX('Clients'!$B$6:$B$205,MATCH(B180,'Clients'!$A$6:$A$205,0))))))</x:f>
      </x:c>
      <x:c r="L180" s="265" t="str">
        <x:f>IF(A180="","",IF(C180="","",IF(COUNTIFS('Properties'!$A$6:$A$205,C180)&lt;&gt;1,"Check Property ID",IF(INDEX('Properties'!$B$6:$B$205,MATCH(C180,'Properties'!$A$6:$A$205,0))="","Name missing",INDEX('Properties'!$B$6:$B$205,MATCH(C180,'Properties'!$A$6:$A$205,0))))))</x:f>
      </x:c>
      <x:c r="M180" s="265" t="str">
        <x:f>IF(A180="","",IF(COUNTIFS($A$6:$A$205,A180)&gt;1,"Duplicate ID",IF(OR(B180="",COUNTIFS('Clients'!$A$6:$A$205,B180)&lt;&gt;1),"Check Client ID",IF(AND(C180&lt;&gt;"",COUNTIFS('Properties'!$A$6:$A$205,C180)&lt;&gt;1),"Check Property ID",IF(I180="","Set task status",IF(AND(I180="Open",G180=""),"Add next action",IF(AND(I180="Open",NOT(ISNUMBER(H180))),"Add due date",IF(AND(ISNUMBER(D180),D180&gt;TODAY()),"Contact date is future",""))))))))</x:f>
      </x:c>
      <x:c r="N180" s="379" t="str">
        <x:f>IF(OR(A180="",I180&lt;&gt;"Open",NOT(ISNUMBER(H180))),"",COUNTIFS($A$6:$A$205,"&lt;&gt;",$I$6:$I$205,"Open",$H$6:$H$205,"&gt;0",$H$6:$H$205,"&lt;"&amp;H180)+COUNTIFS($A$6:A180,"&lt;&gt;",$I$6:I180,"Open",$H$6:H180,H180))</x:f>
      </x:c>
    </x:row>
    <x:row r="181" ht="26" customHeight="1">
      <x:c r="A181" s="319"/>
      <x:c r="B181" s="320"/>
      <x:c r="C181" s="274"/>
      <x:c r="D181" s="304"/>
      <x:c r="E181" s="274"/>
      <x:c r="F181" s="274"/>
      <x:c r="G181" s="274"/>
      <x:c r="H181" s="304"/>
      <x:c r="I181" s="274"/>
      <x:c r="J181" s="315" t="str">
        <x:f>IF(A181="","",IF(I181&lt;&gt;"Open","",IF(H181="","Set due date",IF(H181&lt;TODAY(),"Overdue",IF(H181=TODAY(),"Due today","Upcoming")))))</x:f>
      </x:c>
      <x:c r="K181" s="265" t="str">
        <x:f>IF(A181="","",IF(B181="","",IF(COUNTIFS('Clients'!$A$6:$A$205,B181)&lt;&gt;1,"Check Client ID",IF(INDEX('Clients'!$B$6:$B$205,MATCH(B181,'Clients'!$A$6:$A$205,0))="","Name missing",INDEX('Clients'!$B$6:$B$205,MATCH(B181,'Clients'!$A$6:$A$205,0))))))</x:f>
      </x:c>
      <x:c r="L181" s="265" t="str">
        <x:f>IF(A181="","",IF(C181="","",IF(COUNTIFS('Properties'!$A$6:$A$205,C181)&lt;&gt;1,"Check Property ID",IF(INDEX('Properties'!$B$6:$B$205,MATCH(C181,'Properties'!$A$6:$A$205,0))="","Name missing",INDEX('Properties'!$B$6:$B$205,MATCH(C181,'Properties'!$A$6:$A$205,0))))))</x:f>
      </x:c>
      <x:c r="M181" s="265" t="str">
        <x:f>IF(A181="","",IF(COUNTIFS($A$6:$A$205,A181)&gt;1,"Duplicate ID",IF(OR(B181="",COUNTIFS('Clients'!$A$6:$A$205,B181)&lt;&gt;1),"Check Client ID",IF(AND(C181&lt;&gt;"",COUNTIFS('Properties'!$A$6:$A$205,C181)&lt;&gt;1),"Check Property ID",IF(I181="","Set task status",IF(AND(I181="Open",G181=""),"Add next action",IF(AND(I181="Open",NOT(ISNUMBER(H181))),"Add due date",IF(AND(ISNUMBER(D181),D181&gt;TODAY()),"Contact date is future",""))))))))</x:f>
      </x:c>
      <x:c r="N181" s="379" t="str">
        <x:f>IF(OR(A181="",I181&lt;&gt;"Open",NOT(ISNUMBER(H181))),"",COUNTIFS($A$6:$A$205,"&lt;&gt;",$I$6:$I$205,"Open",$H$6:$H$205,"&gt;0",$H$6:$H$205,"&lt;"&amp;H181)+COUNTIFS($A$6:A181,"&lt;&gt;",$I$6:I181,"Open",$H$6:H181,H181))</x:f>
      </x:c>
    </x:row>
    <x:row r="182" ht="26" customHeight="1">
      <x:c r="A182" s="317"/>
      <x:c r="B182" s="318"/>
      <x:c r="C182" s="235"/>
      <x:c r="D182" s="238"/>
      <x:c r="E182" s="235"/>
      <x:c r="F182" s="235"/>
      <x:c r="G182" s="235"/>
      <x:c r="H182" s="238"/>
      <x:c r="I182" s="235"/>
      <x:c r="J182" s="315" t="str">
        <x:f>IF(A182="","",IF(I182&lt;&gt;"Open","",IF(H182="","Set due date",IF(H182&lt;TODAY(),"Overdue",IF(H182=TODAY(),"Due today","Upcoming")))))</x:f>
      </x:c>
      <x:c r="K182" s="265" t="str">
        <x:f>IF(A182="","",IF(B182="","",IF(COUNTIFS('Clients'!$A$6:$A$205,B182)&lt;&gt;1,"Check Client ID",IF(INDEX('Clients'!$B$6:$B$205,MATCH(B182,'Clients'!$A$6:$A$205,0))="","Name missing",INDEX('Clients'!$B$6:$B$205,MATCH(B182,'Clients'!$A$6:$A$205,0))))))</x:f>
      </x:c>
      <x:c r="L182" s="265" t="str">
        <x:f>IF(A182="","",IF(C182="","",IF(COUNTIFS('Properties'!$A$6:$A$205,C182)&lt;&gt;1,"Check Property ID",IF(INDEX('Properties'!$B$6:$B$205,MATCH(C182,'Properties'!$A$6:$A$205,0))="","Name missing",INDEX('Properties'!$B$6:$B$205,MATCH(C182,'Properties'!$A$6:$A$205,0))))))</x:f>
      </x:c>
      <x:c r="M182" s="265" t="str">
        <x:f>IF(A182="","",IF(COUNTIFS($A$6:$A$205,A182)&gt;1,"Duplicate ID",IF(OR(B182="",COUNTIFS('Clients'!$A$6:$A$205,B182)&lt;&gt;1),"Check Client ID",IF(AND(C182&lt;&gt;"",COUNTIFS('Properties'!$A$6:$A$205,C182)&lt;&gt;1),"Check Property ID",IF(I182="","Set task status",IF(AND(I182="Open",G182=""),"Add next action",IF(AND(I182="Open",NOT(ISNUMBER(H182))),"Add due date",IF(AND(ISNUMBER(D182),D182&gt;TODAY()),"Contact date is future",""))))))))</x:f>
      </x:c>
      <x:c r="N182" s="379" t="str">
        <x:f>IF(OR(A182="",I182&lt;&gt;"Open",NOT(ISNUMBER(H182))),"",COUNTIFS($A$6:$A$205,"&lt;&gt;",$I$6:$I$205,"Open",$H$6:$H$205,"&gt;0",$H$6:$H$205,"&lt;"&amp;H182)+COUNTIFS($A$6:A182,"&lt;&gt;",$I$6:I182,"Open",$H$6:H182,H182))</x:f>
      </x:c>
    </x:row>
    <x:row r="183" ht="26" customHeight="1">
      <x:c r="A183" s="319"/>
      <x:c r="B183" s="320"/>
      <x:c r="C183" s="274"/>
      <x:c r="D183" s="304"/>
      <x:c r="E183" s="274"/>
      <x:c r="F183" s="274"/>
      <x:c r="G183" s="274"/>
      <x:c r="H183" s="304"/>
      <x:c r="I183" s="274"/>
      <x:c r="J183" s="315" t="str">
        <x:f>IF(A183="","",IF(I183&lt;&gt;"Open","",IF(H183="","Set due date",IF(H183&lt;TODAY(),"Overdue",IF(H183=TODAY(),"Due today","Upcoming")))))</x:f>
      </x:c>
      <x:c r="K183" s="265" t="str">
        <x:f>IF(A183="","",IF(B183="","",IF(COUNTIFS('Clients'!$A$6:$A$205,B183)&lt;&gt;1,"Check Client ID",IF(INDEX('Clients'!$B$6:$B$205,MATCH(B183,'Clients'!$A$6:$A$205,0))="","Name missing",INDEX('Clients'!$B$6:$B$205,MATCH(B183,'Clients'!$A$6:$A$205,0))))))</x:f>
      </x:c>
      <x:c r="L183" s="265" t="str">
        <x:f>IF(A183="","",IF(C183="","",IF(COUNTIFS('Properties'!$A$6:$A$205,C183)&lt;&gt;1,"Check Property ID",IF(INDEX('Properties'!$B$6:$B$205,MATCH(C183,'Properties'!$A$6:$A$205,0))="","Name missing",INDEX('Properties'!$B$6:$B$205,MATCH(C183,'Properties'!$A$6:$A$205,0))))))</x:f>
      </x:c>
      <x:c r="M183" s="265" t="str">
        <x:f>IF(A183="","",IF(COUNTIFS($A$6:$A$205,A183)&gt;1,"Duplicate ID",IF(OR(B183="",COUNTIFS('Clients'!$A$6:$A$205,B183)&lt;&gt;1),"Check Client ID",IF(AND(C183&lt;&gt;"",COUNTIFS('Properties'!$A$6:$A$205,C183)&lt;&gt;1),"Check Property ID",IF(I183="","Set task status",IF(AND(I183="Open",G183=""),"Add next action",IF(AND(I183="Open",NOT(ISNUMBER(H183))),"Add due date",IF(AND(ISNUMBER(D183),D183&gt;TODAY()),"Contact date is future",""))))))))</x:f>
      </x:c>
      <x:c r="N183" s="379" t="str">
        <x:f>IF(OR(A183="",I183&lt;&gt;"Open",NOT(ISNUMBER(H183))),"",COUNTIFS($A$6:$A$205,"&lt;&gt;",$I$6:$I$205,"Open",$H$6:$H$205,"&gt;0",$H$6:$H$205,"&lt;"&amp;H183)+COUNTIFS($A$6:A183,"&lt;&gt;",$I$6:I183,"Open",$H$6:H183,H183))</x:f>
      </x:c>
    </x:row>
    <x:row r="184" ht="26" customHeight="1">
      <x:c r="A184" s="317"/>
      <x:c r="B184" s="318"/>
      <x:c r="C184" s="235"/>
      <x:c r="D184" s="238"/>
      <x:c r="E184" s="235"/>
      <x:c r="F184" s="235"/>
      <x:c r="G184" s="235"/>
      <x:c r="H184" s="238"/>
      <x:c r="I184" s="235"/>
      <x:c r="J184" s="315" t="str">
        <x:f>IF(A184="","",IF(I184&lt;&gt;"Open","",IF(H184="","Set due date",IF(H184&lt;TODAY(),"Overdue",IF(H184=TODAY(),"Due today","Upcoming")))))</x:f>
      </x:c>
      <x:c r="K184" s="265" t="str">
        <x:f>IF(A184="","",IF(B184="","",IF(COUNTIFS('Clients'!$A$6:$A$205,B184)&lt;&gt;1,"Check Client ID",IF(INDEX('Clients'!$B$6:$B$205,MATCH(B184,'Clients'!$A$6:$A$205,0))="","Name missing",INDEX('Clients'!$B$6:$B$205,MATCH(B184,'Clients'!$A$6:$A$205,0))))))</x:f>
      </x:c>
      <x:c r="L184" s="265" t="str">
        <x:f>IF(A184="","",IF(C184="","",IF(COUNTIFS('Properties'!$A$6:$A$205,C184)&lt;&gt;1,"Check Property ID",IF(INDEX('Properties'!$B$6:$B$205,MATCH(C184,'Properties'!$A$6:$A$205,0))="","Name missing",INDEX('Properties'!$B$6:$B$205,MATCH(C184,'Properties'!$A$6:$A$205,0))))))</x:f>
      </x:c>
      <x:c r="M184" s="265" t="str">
        <x:f>IF(A184="","",IF(COUNTIFS($A$6:$A$205,A184)&gt;1,"Duplicate ID",IF(OR(B184="",COUNTIFS('Clients'!$A$6:$A$205,B184)&lt;&gt;1),"Check Client ID",IF(AND(C184&lt;&gt;"",COUNTIFS('Properties'!$A$6:$A$205,C184)&lt;&gt;1),"Check Property ID",IF(I184="","Set task status",IF(AND(I184="Open",G184=""),"Add next action",IF(AND(I184="Open",NOT(ISNUMBER(H184))),"Add due date",IF(AND(ISNUMBER(D184),D184&gt;TODAY()),"Contact date is future",""))))))))</x:f>
      </x:c>
      <x:c r="N184" s="379" t="str">
        <x:f>IF(OR(A184="",I184&lt;&gt;"Open",NOT(ISNUMBER(H184))),"",COUNTIFS($A$6:$A$205,"&lt;&gt;",$I$6:$I$205,"Open",$H$6:$H$205,"&gt;0",$H$6:$H$205,"&lt;"&amp;H184)+COUNTIFS($A$6:A184,"&lt;&gt;",$I$6:I184,"Open",$H$6:H184,H184))</x:f>
      </x:c>
    </x:row>
    <x:row r="185" ht="26" customHeight="1">
      <x:c r="A185" s="319"/>
      <x:c r="B185" s="320"/>
      <x:c r="C185" s="274"/>
      <x:c r="D185" s="304"/>
      <x:c r="E185" s="274"/>
      <x:c r="F185" s="274"/>
      <x:c r="G185" s="274"/>
      <x:c r="H185" s="304"/>
      <x:c r="I185" s="274"/>
      <x:c r="J185" s="315" t="str">
        <x:f>IF(A185="","",IF(I185&lt;&gt;"Open","",IF(H185="","Set due date",IF(H185&lt;TODAY(),"Overdue",IF(H185=TODAY(),"Due today","Upcoming")))))</x:f>
      </x:c>
      <x:c r="K185" s="265" t="str">
        <x:f>IF(A185="","",IF(B185="","",IF(COUNTIFS('Clients'!$A$6:$A$205,B185)&lt;&gt;1,"Check Client ID",IF(INDEX('Clients'!$B$6:$B$205,MATCH(B185,'Clients'!$A$6:$A$205,0))="","Name missing",INDEX('Clients'!$B$6:$B$205,MATCH(B185,'Clients'!$A$6:$A$205,0))))))</x:f>
      </x:c>
      <x:c r="L185" s="265" t="str">
        <x:f>IF(A185="","",IF(C185="","",IF(COUNTIFS('Properties'!$A$6:$A$205,C185)&lt;&gt;1,"Check Property ID",IF(INDEX('Properties'!$B$6:$B$205,MATCH(C185,'Properties'!$A$6:$A$205,0))="","Name missing",INDEX('Properties'!$B$6:$B$205,MATCH(C185,'Properties'!$A$6:$A$205,0))))))</x:f>
      </x:c>
      <x:c r="M185" s="265" t="str">
        <x:f>IF(A185="","",IF(COUNTIFS($A$6:$A$205,A185)&gt;1,"Duplicate ID",IF(OR(B185="",COUNTIFS('Clients'!$A$6:$A$205,B185)&lt;&gt;1),"Check Client ID",IF(AND(C185&lt;&gt;"",COUNTIFS('Properties'!$A$6:$A$205,C185)&lt;&gt;1),"Check Property ID",IF(I185="","Set task status",IF(AND(I185="Open",G185=""),"Add next action",IF(AND(I185="Open",NOT(ISNUMBER(H185))),"Add due date",IF(AND(ISNUMBER(D185),D185&gt;TODAY()),"Contact date is future",""))))))))</x:f>
      </x:c>
      <x:c r="N185" s="379" t="str">
        <x:f>IF(OR(A185="",I185&lt;&gt;"Open",NOT(ISNUMBER(H185))),"",COUNTIFS($A$6:$A$205,"&lt;&gt;",$I$6:$I$205,"Open",$H$6:$H$205,"&gt;0",$H$6:$H$205,"&lt;"&amp;H185)+COUNTIFS($A$6:A185,"&lt;&gt;",$I$6:I185,"Open",$H$6:H185,H185))</x:f>
      </x:c>
    </x:row>
    <x:row r="186" ht="26" customHeight="1">
      <x:c r="A186" s="317"/>
      <x:c r="B186" s="318"/>
      <x:c r="C186" s="235"/>
      <x:c r="D186" s="238"/>
      <x:c r="E186" s="235"/>
      <x:c r="F186" s="235"/>
      <x:c r="G186" s="235"/>
      <x:c r="H186" s="238"/>
      <x:c r="I186" s="235"/>
      <x:c r="J186" s="315" t="str">
        <x:f>IF(A186="","",IF(I186&lt;&gt;"Open","",IF(H186="","Set due date",IF(H186&lt;TODAY(),"Overdue",IF(H186=TODAY(),"Due today","Upcoming")))))</x:f>
      </x:c>
      <x:c r="K186" s="265" t="str">
        <x:f>IF(A186="","",IF(B186="","",IF(COUNTIFS('Clients'!$A$6:$A$205,B186)&lt;&gt;1,"Check Client ID",IF(INDEX('Clients'!$B$6:$B$205,MATCH(B186,'Clients'!$A$6:$A$205,0))="","Name missing",INDEX('Clients'!$B$6:$B$205,MATCH(B186,'Clients'!$A$6:$A$205,0))))))</x:f>
      </x:c>
      <x:c r="L186" s="265" t="str">
        <x:f>IF(A186="","",IF(C186="","",IF(COUNTIFS('Properties'!$A$6:$A$205,C186)&lt;&gt;1,"Check Property ID",IF(INDEX('Properties'!$B$6:$B$205,MATCH(C186,'Properties'!$A$6:$A$205,0))="","Name missing",INDEX('Properties'!$B$6:$B$205,MATCH(C186,'Properties'!$A$6:$A$205,0))))))</x:f>
      </x:c>
      <x:c r="M186" s="265" t="str">
        <x:f>IF(A186="","",IF(COUNTIFS($A$6:$A$205,A186)&gt;1,"Duplicate ID",IF(OR(B186="",COUNTIFS('Clients'!$A$6:$A$205,B186)&lt;&gt;1),"Check Client ID",IF(AND(C186&lt;&gt;"",COUNTIFS('Properties'!$A$6:$A$205,C186)&lt;&gt;1),"Check Property ID",IF(I186="","Set task status",IF(AND(I186="Open",G186=""),"Add next action",IF(AND(I186="Open",NOT(ISNUMBER(H186))),"Add due date",IF(AND(ISNUMBER(D186),D186&gt;TODAY()),"Contact date is future",""))))))))</x:f>
      </x:c>
      <x:c r="N186" s="379" t="str">
        <x:f>IF(OR(A186="",I186&lt;&gt;"Open",NOT(ISNUMBER(H186))),"",COUNTIFS($A$6:$A$205,"&lt;&gt;",$I$6:$I$205,"Open",$H$6:$H$205,"&gt;0",$H$6:$H$205,"&lt;"&amp;H186)+COUNTIFS($A$6:A186,"&lt;&gt;",$I$6:I186,"Open",$H$6:H186,H186))</x:f>
      </x:c>
    </x:row>
    <x:row r="187" ht="26" customHeight="1">
      <x:c r="A187" s="319"/>
      <x:c r="B187" s="320"/>
      <x:c r="C187" s="274"/>
      <x:c r="D187" s="304"/>
      <x:c r="E187" s="274"/>
      <x:c r="F187" s="274"/>
      <x:c r="G187" s="274"/>
      <x:c r="H187" s="304"/>
      <x:c r="I187" s="274"/>
      <x:c r="J187" s="315" t="str">
        <x:f>IF(A187="","",IF(I187&lt;&gt;"Open","",IF(H187="","Set due date",IF(H187&lt;TODAY(),"Overdue",IF(H187=TODAY(),"Due today","Upcoming")))))</x:f>
      </x:c>
      <x:c r="K187" s="265" t="str">
        <x:f>IF(A187="","",IF(B187="","",IF(COUNTIFS('Clients'!$A$6:$A$205,B187)&lt;&gt;1,"Check Client ID",IF(INDEX('Clients'!$B$6:$B$205,MATCH(B187,'Clients'!$A$6:$A$205,0))="","Name missing",INDEX('Clients'!$B$6:$B$205,MATCH(B187,'Clients'!$A$6:$A$205,0))))))</x:f>
      </x:c>
      <x:c r="L187" s="265" t="str">
        <x:f>IF(A187="","",IF(C187="","",IF(COUNTIFS('Properties'!$A$6:$A$205,C187)&lt;&gt;1,"Check Property ID",IF(INDEX('Properties'!$B$6:$B$205,MATCH(C187,'Properties'!$A$6:$A$205,0))="","Name missing",INDEX('Properties'!$B$6:$B$205,MATCH(C187,'Properties'!$A$6:$A$205,0))))))</x:f>
      </x:c>
      <x:c r="M187" s="265" t="str">
        <x:f>IF(A187="","",IF(COUNTIFS($A$6:$A$205,A187)&gt;1,"Duplicate ID",IF(OR(B187="",COUNTIFS('Clients'!$A$6:$A$205,B187)&lt;&gt;1),"Check Client ID",IF(AND(C187&lt;&gt;"",COUNTIFS('Properties'!$A$6:$A$205,C187)&lt;&gt;1),"Check Property ID",IF(I187="","Set task status",IF(AND(I187="Open",G187=""),"Add next action",IF(AND(I187="Open",NOT(ISNUMBER(H187))),"Add due date",IF(AND(ISNUMBER(D187),D187&gt;TODAY()),"Contact date is future",""))))))))</x:f>
      </x:c>
      <x:c r="N187" s="379" t="str">
        <x:f>IF(OR(A187="",I187&lt;&gt;"Open",NOT(ISNUMBER(H187))),"",COUNTIFS($A$6:$A$205,"&lt;&gt;",$I$6:$I$205,"Open",$H$6:$H$205,"&gt;0",$H$6:$H$205,"&lt;"&amp;H187)+COUNTIFS($A$6:A187,"&lt;&gt;",$I$6:I187,"Open",$H$6:H187,H187))</x:f>
      </x:c>
    </x:row>
    <x:row r="188" ht="26" customHeight="1">
      <x:c r="A188" s="317"/>
      <x:c r="B188" s="318"/>
      <x:c r="C188" s="235"/>
      <x:c r="D188" s="238"/>
      <x:c r="E188" s="235"/>
      <x:c r="F188" s="235"/>
      <x:c r="G188" s="235"/>
      <x:c r="H188" s="238"/>
      <x:c r="I188" s="235"/>
      <x:c r="J188" s="315" t="str">
        <x:f>IF(A188="","",IF(I188&lt;&gt;"Open","",IF(H188="","Set due date",IF(H188&lt;TODAY(),"Overdue",IF(H188=TODAY(),"Due today","Upcoming")))))</x:f>
      </x:c>
      <x:c r="K188" s="265" t="str">
        <x:f>IF(A188="","",IF(B188="","",IF(COUNTIFS('Clients'!$A$6:$A$205,B188)&lt;&gt;1,"Check Client ID",IF(INDEX('Clients'!$B$6:$B$205,MATCH(B188,'Clients'!$A$6:$A$205,0))="","Name missing",INDEX('Clients'!$B$6:$B$205,MATCH(B188,'Clients'!$A$6:$A$205,0))))))</x:f>
      </x:c>
      <x:c r="L188" s="265" t="str">
        <x:f>IF(A188="","",IF(C188="","",IF(COUNTIFS('Properties'!$A$6:$A$205,C188)&lt;&gt;1,"Check Property ID",IF(INDEX('Properties'!$B$6:$B$205,MATCH(C188,'Properties'!$A$6:$A$205,0))="","Name missing",INDEX('Properties'!$B$6:$B$205,MATCH(C188,'Properties'!$A$6:$A$205,0))))))</x:f>
      </x:c>
      <x:c r="M188" s="265" t="str">
        <x:f>IF(A188="","",IF(COUNTIFS($A$6:$A$205,A188)&gt;1,"Duplicate ID",IF(OR(B188="",COUNTIFS('Clients'!$A$6:$A$205,B188)&lt;&gt;1),"Check Client ID",IF(AND(C188&lt;&gt;"",COUNTIFS('Properties'!$A$6:$A$205,C188)&lt;&gt;1),"Check Property ID",IF(I188="","Set task status",IF(AND(I188="Open",G188=""),"Add next action",IF(AND(I188="Open",NOT(ISNUMBER(H188))),"Add due date",IF(AND(ISNUMBER(D188),D188&gt;TODAY()),"Contact date is future",""))))))))</x:f>
      </x:c>
      <x:c r="N188" s="379" t="str">
        <x:f>IF(OR(A188="",I188&lt;&gt;"Open",NOT(ISNUMBER(H188))),"",COUNTIFS($A$6:$A$205,"&lt;&gt;",$I$6:$I$205,"Open",$H$6:$H$205,"&gt;0",$H$6:$H$205,"&lt;"&amp;H188)+COUNTIFS($A$6:A188,"&lt;&gt;",$I$6:I188,"Open",$H$6:H188,H188))</x:f>
      </x:c>
    </x:row>
    <x:row r="189" ht="26" customHeight="1">
      <x:c r="A189" s="319"/>
      <x:c r="B189" s="320"/>
      <x:c r="C189" s="274"/>
      <x:c r="D189" s="304"/>
      <x:c r="E189" s="274"/>
      <x:c r="F189" s="274"/>
      <x:c r="G189" s="274"/>
      <x:c r="H189" s="304"/>
      <x:c r="I189" s="274"/>
      <x:c r="J189" s="315" t="str">
        <x:f>IF(A189="","",IF(I189&lt;&gt;"Open","",IF(H189="","Set due date",IF(H189&lt;TODAY(),"Overdue",IF(H189=TODAY(),"Due today","Upcoming")))))</x:f>
      </x:c>
      <x:c r="K189" s="265" t="str">
        <x:f>IF(A189="","",IF(B189="","",IF(COUNTIFS('Clients'!$A$6:$A$205,B189)&lt;&gt;1,"Check Client ID",IF(INDEX('Clients'!$B$6:$B$205,MATCH(B189,'Clients'!$A$6:$A$205,0))="","Name missing",INDEX('Clients'!$B$6:$B$205,MATCH(B189,'Clients'!$A$6:$A$205,0))))))</x:f>
      </x:c>
      <x:c r="L189" s="265" t="str">
        <x:f>IF(A189="","",IF(C189="","",IF(COUNTIFS('Properties'!$A$6:$A$205,C189)&lt;&gt;1,"Check Property ID",IF(INDEX('Properties'!$B$6:$B$205,MATCH(C189,'Properties'!$A$6:$A$205,0))="","Name missing",INDEX('Properties'!$B$6:$B$205,MATCH(C189,'Properties'!$A$6:$A$205,0))))))</x:f>
      </x:c>
      <x:c r="M189" s="265" t="str">
        <x:f>IF(A189="","",IF(COUNTIFS($A$6:$A$205,A189)&gt;1,"Duplicate ID",IF(OR(B189="",COUNTIFS('Clients'!$A$6:$A$205,B189)&lt;&gt;1),"Check Client ID",IF(AND(C189&lt;&gt;"",COUNTIFS('Properties'!$A$6:$A$205,C189)&lt;&gt;1),"Check Property ID",IF(I189="","Set task status",IF(AND(I189="Open",G189=""),"Add next action",IF(AND(I189="Open",NOT(ISNUMBER(H189))),"Add due date",IF(AND(ISNUMBER(D189),D189&gt;TODAY()),"Contact date is future",""))))))))</x:f>
      </x:c>
      <x:c r="N189" s="379" t="str">
        <x:f>IF(OR(A189="",I189&lt;&gt;"Open",NOT(ISNUMBER(H189))),"",COUNTIFS($A$6:$A$205,"&lt;&gt;",$I$6:$I$205,"Open",$H$6:$H$205,"&gt;0",$H$6:$H$205,"&lt;"&amp;H189)+COUNTIFS($A$6:A189,"&lt;&gt;",$I$6:I189,"Open",$H$6:H189,H189))</x:f>
      </x:c>
    </x:row>
    <x:row r="190" ht="26" customHeight="1">
      <x:c r="A190" s="317"/>
      <x:c r="B190" s="318"/>
      <x:c r="C190" s="235"/>
      <x:c r="D190" s="238"/>
      <x:c r="E190" s="235"/>
      <x:c r="F190" s="235"/>
      <x:c r="G190" s="235"/>
      <x:c r="H190" s="238"/>
      <x:c r="I190" s="235"/>
      <x:c r="J190" s="315" t="str">
        <x:f>IF(A190="","",IF(I190&lt;&gt;"Open","",IF(H190="","Set due date",IF(H190&lt;TODAY(),"Overdue",IF(H190=TODAY(),"Due today","Upcoming")))))</x:f>
      </x:c>
      <x:c r="K190" s="265" t="str">
        <x:f>IF(A190="","",IF(B190="","",IF(COUNTIFS('Clients'!$A$6:$A$205,B190)&lt;&gt;1,"Check Client ID",IF(INDEX('Clients'!$B$6:$B$205,MATCH(B190,'Clients'!$A$6:$A$205,0))="","Name missing",INDEX('Clients'!$B$6:$B$205,MATCH(B190,'Clients'!$A$6:$A$205,0))))))</x:f>
      </x:c>
      <x:c r="L190" s="265" t="str">
        <x:f>IF(A190="","",IF(C190="","",IF(COUNTIFS('Properties'!$A$6:$A$205,C190)&lt;&gt;1,"Check Property ID",IF(INDEX('Properties'!$B$6:$B$205,MATCH(C190,'Properties'!$A$6:$A$205,0))="","Name missing",INDEX('Properties'!$B$6:$B$205,MATCH(C190,'Properties'!$A$6:$A$205,0))))))</x:f>
      </x:c>
      <x:c r="M190" s="265" t="str">
        <x:f>IF(A190="","",IF(COUNTIFS($A$6:$A$205,A190)&gt;1,"Duplicate ID",IF(OR(B190="",COUNTIFS('Clients'!$A$6:$A$205,B190)&lt;&gt;1),"Check Client ID",IF(AND(C190&lt;&gt;"",COUNTIFS('Properties'!$A$6:$A$205,C190)&lt;&gt;1),"Check Property ID",IF(I190="","Set task status",IF(AND(I190="Open",G190=""),"Add next action",IF(AND(I190="Open",NOT(ISNUMBER(H190))),"Add due date",IF(AND(ISNUMBER(D190),D190&gt;TODAY()),"Contact date is future",""))))))))</x:f>
      </x:c>
      <x:c r="N190" s="379" t="str">
        <x:f>IF(OR(A190="",I190&lt;&gt;"Open",NOT(ISNUMBER(H190))),"",COUNTIFS($A$6:$A$205,"&lt;&gt;",$I$6:$I$205,"Open",$H$6:$H$205,"&gt;0",$H$6:$H$205,"&lt;"&amp;H190)+COUNTIFS($A$6:A190,"&lt;&gt;",$I$6:I190,"Open",$H$6:H190,H190))</x:f>
      </x:c>
    </x:row>
    <x:row r="191" ht="26" customHeight="1">
      <x:c r="A191" s="319"/>
      <x:c r="B191" s="320"/>
      <x:c r="C191" s="274"/>
      <x:c r="D191" s="304"/>
      <x:c r="E191" s="274"/>
      <x:c r="F191" s="274"/>
      <x:c r="G191" s="274"/>
      <x:c r="H191" s="304"/>
      <x:c r="I191" s="274"/>
      <x:c r="J191" s="315" t="str">
        <x:f>IF(A191="","",IF(I191&lt;&gt;"Open","",IF(H191="","Set due date",IF(H191&lt;TODAY(),"Overdue",IF(H191=TODAY(),"Due today","Upcoming")))))</x:f>
      </x:c>
      <x:c r="K191" s="265" t="str">
        <x:f>IF(A191="","",IF(B191="","",IF(COUNTIFS('Clients'!$A$6:$A$205,B191)&lt;&gt;1,"Check Client ID",IF(INDEX('Clients'!$B$6:$B$205,MATCH(B191,'Clients'!$A$6:$A$205,0))="","Name missing",INDEX('Clients'!$B$6:$B$205,MATCH(B191,'Clients'!$A$6:$A$205,0))))))</x:f>
      </x:c>
      <x:c r="L191" s="265" t="str">
        <x:f>IF(A191="","",IF(C191="","",IF(COUNTIFS('Properties'!$A$6:$A$205,C191)&lt;&gt;1,"Check Property ID",IF(INDEX('Properties'!$B$6:$B$205,MATCH(C191,'Properties'!$A$6:$A$205,0))="","Name missing",INDEX('Properties'!$B$6:$B$205,MATCH(C191,'Properties'!$A$6:$A$205,0))))))</x:f>
      </x:c>
      <x:c r="M191" s="265" t="str">
        <x:f>IF(A191="","",IF(COUNTIFS($A$6:$A$205,A191)&gt;1,"Duplicate ID",IF(OR(B191="",COUNTIFS('Clients'!$A$6:$A$205,B191)&lt;&gt;1),"Check Client ID",IF(AND(C191&lt;&gt;"",COUNTIFS('Properties'!$A$6:$A$205,C191)&lt;&gt;1),"Check Property ID",IF(I191="","Set task status",IF(AND(I191="Open",G191=""),"Add next action",IF(AND(I191="Open",NOT(ISNUMBER(H191))),"Add due date",IF(AND(ISNUMBER(D191),D191&gt;TODAY()),"Contact date is future",""))))))))</x:f>
      </x:c>
      <x:c r="N191" s="379" t="str">
        <x:f>IF(OR(A191="",I191&lt;&gt;"Open",NOT(ISNUMBER(H191))),"",COUNTIFS($A$6:$A$205,"&lt;&gt;",$I$6:$I$205,"Open",$H$6:$H$205,"&gt;0",$H$6:$H$205,"&lt;"&amp;H191)+COUNTIFS($A$6:A191,"&lt;&gt;",$I$6:I191,"Open",$H$6:H191,H191))</x:f>
      </x:c>
    </x:row>
    <x:row r="192" ht="26" customHeight="1">
      <x:c r="A192" s="317"/>
      <x:c r="B192" s="318"/>
      <x:c r="C192" s="235"/>
      <x:c r="D192" s="238"/>
      <x:c r="E192" s="235"/>
      <x:c r="F192" s="235"/>
      <x:c r="G192" s="235"/>
      <x:c r="H192" s="238"/>
      <x:c r="I192" s="235"/>
      <x:c r="J192" s="315" t="str">
        <x:f>IF(A192="","",IF(I192&lt;&gt;"Open","",IF(H192="","Set due date",IF(H192&lt;TODAY(),"Overdue",IF(H192=TODAY(),"Due today","Upcoming")))))</x:f>
      </x:c>
      <x:c r="K192" s="265" t="str">
        <x:f>IF(A192="","",IF(B192="","",IF(COUNTIFS('Clients'!$A$6:$A$205,B192)&lt;&gt;1,"Check Client ID",IF(INDEX('Clients'!$B$6:$B$205,MATCH(B192,'Clients'!$A$6:$A$205,0))="","Name missing",INDEX('Clients'!$B$6:$B$205,MATCH(B192,'Clients'!$A$6:$A$205,0))))))</x:f>
      </x:c>
      <x:c r="L192" s="265" t="str">
        <x:f>IF(A192="","",IF(C192="","",IF(COUNTIFS('Properties'!$A$6:$A$205,C192)&lt;&gt;1,"Check Property ID",IF(INDEX('Properties'!$B$6:$B$205,MATCH(C192,'Properties'!$A$6:$A$205,0))="","Name missing",INDEX('Properties'!$B$6:$B$205,MATCH(C192,'Properties'!$A$6:$A$205,0))))))</x:f>
      </x:c>
      <x:c r="M192" s="265" t="str">
        <x:f>IF(A192="","",IF(COUNTIFS($A$6:$A$205,A192)&gt;1,"Duplicate ID",IF(OR(B192="",COUNTIFS('Clients'!$A$6:$A$205,B192)&lt;&gt;1),"Check Client ID",IF(AND(C192&lt;&gt;"",COUNTIFS('Properties'!$A$6:$A$205,C192)&lt;&gt;1),"Check Property ID",IF(I192="","Set task status",IF(AND(I192="Open",G192=""),"Add next action",IF(AND(I192="Open",NOT(ISNUMBER(H192))),"Add due date",IF(AND(ISNUMBER(D192),D192&gt;TODAY()),"Contact date is future",""))))))))</x:f>
      </x:c>
      <x:c r="N192" s="379" t="str">
        <x:f>IF(OR(A192="",I192&lt;&gt;"Open",NOT(ISNUMBER(H192))),"",COUNTIFS($A$6:$A$205,"&lt;&gt;",$I$6:$I$205,"Open",$H$6:$H$205,"&gt;0",$H$6:$H$205,"&lt;"&amp;H192)+COUNTIFS($A$6:A192,"&lt;&gt;",$I$6:I192,"Open",$H$6:H192,H192))</x:f>
      </x:c>
    </x:row>
    <x:row r="193" ht="26" customHeight="1">
      <x:c r="A193" s="319"/>
      <x:c r="B193" s="320"/>
      <x:c r="C193" s="274"/>
      <x:c r="D193" s="304"/>
      <x:c r="E193" s="274"/>
      <x:c r="F193" s="274"/>
      <x:c r="G193" s="274"/>
      <x:c r="H193" s="304"/>
      <x:c r="I193" s="274"/>
      <x:c r="J193" s="315" t="str">
        <x:f>IF(A193="","",IF(I193&lt;&gt;"Open","",IF(H193="","Set due date",IF(H193&lt;TODAY(),"Overdue",IF(H193=TODAY(),"Due today","Upcoming")))))</x:f>
      </x:c>
      <x:c r="K193" s="265" t="str">
        <x:f>IF(A193="","",IF(B193="","",IF(COUNTIFS('Clients'!$A$6:$A$205,B193)&lt;&gt;1,"Check Client ID",IF(INDEX('Clients'!$B$6:$B$205,MATCH(B193,'Clients'!$A$6:$A$205,0))="","Name missing",INDEX('Clients'!$B$6:$B$205,MATCH(B193,'Clients'!$A$6:$A$205,0))))))</x:f>
      </x:c>
      <x:c r="L193" s="265" t="str">
        <x:f>IF(A193="","",IF(C193="","",IF(COUNTIFS('Properties'!$A$6:$A$205,C193)&lt;&gt;1,"Check Property ID",IF(INDEX('Properties'!$B$6:$B$205,MATCH(C193,'Properties'!$A$6:$A$205,0))="","Name missing",INDEX('Properties'!$B$6:$B$205,MATCH(C193,'Properties'!$A$6:$A$205,0))))))</x:f>
      </x:c>
      <x:c r="M193" s="265" t="str">
        <x:f>IF(A193="","",IF(COUNTIFS($A$6:$A$205,A193)&gt;1,"Duplicate ID",IF(OR(B193="",COUNTIFS('Clients'!$A$6:$A$205,B193)&lt;&gt;1),"Check Client ID",IF(AND(C193&lt;&gt;"",COUNTIFS('Properties'!$A$6:$A$205,C193)&lt;&gt;1),"Check Property ID",IF(I193="","Set task status",IF(AND(I193="Open",G193=""),"Add next action",IF(AND(I193="Open",NOT(ISNUMBER(H193))),"Add due date",IF(AND(ISNUMBER(D193),D193&gt;TODAY()),"Contact date is future",""))))))))</x:f>
      </x:c>
      <x:c r="N193" s="379" t="str">
        <x:f>IF(OR(A193="",I193&lt;&gt;"Open",NOT(ISNUMBER(H193))),"",COUNTIFS($A$6:$A$205,"&lt;&gt;",$I$6:$I$205,"Open",$H$6:$H$205,"&gt;0",$H$6:$H$205,"&lt;"&amp;H193)+COUNTIFS($A$6:A193,"&lt;&gt;",$I$6:I193,"Open",$H$6:H193,H193))</x:f>
      </x:c>
    </x:row>
    <x:row r="194" ht="26" customHeight="1">
      <x:c r="A194" s="317"/>
      <x:c r="B194" s="318"/>
      <x:c r="C194" s="235"/>
      <x:c r="D194" s="238"/>
      <x:c r="E194" s="235"/>
      <x:c r="F194" s="235"/>
      <x:c r="G194" s="235"/>
      <x:c r="H194" s="238"/>
      <x:c r="I194" s="235"/>
      <x:c r="J194" s="315" t="str">
        <x:f>IF(A194="","",IF(I194&lt;&gt;"Open","",IF(H194="","Set due date",IF(H194&lt;TODAY(),"Overdue",IF(H194=TODAY(),"Due today","Upcoming")))))</x:f>
      </x:c>
      <x:c r="K194" s="265" t="str">
        <x:f>IF(A194="","",IF(B194="","",IF(COUNTIFS('Clients'!$A$6:$A$205,B194)&lt;&gt;1,"Check Client ID",IF(INDEX('Clients'!$B$6:$B$205,MATCH(B194,'Clients'!$A$6:$A$205,0))="","Name missing",INDEX('Clients'!$B$6:$B$205,MATCH(B194,'Clients'!$A$6:$A$205,0))))))</x:f>
      </x:c>
      <x:c r="L194" s="265" t="str">
        <x:f>IF(A194="","",IF(C194="","",IF(COUNTIFS('Properties'!$A$6:$A$205,C194)&lt;&gt;1,"Check Property ID",IF(INDEX('Properties'!$B$6:$B$205,MATCH(C194,'Properties'!$A$6:$A$205,0))="","Name missing",INDEX('Properties'!$B$6:$B$205,MATCH(C194,'Properties'!$A$6:$A$205,0))))))</x:f>
      </x:c>
      <x:c r="M194" s="265" t="str">
        <x:f>IF(A194="","",IF(COUNTIFS($A$6:$A$205,A194)&gt;1,"Duplicate ID",IF(OR(B194="",COUNTIFS('Clients'!$A$6:$A$205,B194)&lt;&gt;1),"Check Client ID",IF(AND(C194&lt;&gt;"",COUNTIFS('Properties'!$A$6:$A$205,C194)&lt;&gt;1),"Check Property ID",IF(I194="","Set task status",IF(AND(I194="Open",G194=""),"Add next action",IF(AND(I194="Open",NOT(ISNUMBER(H194))),"Add due date",IF(AND(ISNUMBER(D194),D194&gt;TODAY()),"Contact date is future",""))))))))</x:f>
      </x:c>
      <x:c r="N194" s="379" t="str">
        <x:f>IF(OR(A194="",I194&lt;&gt;"Open",NOT(ISNUMBER(H194))),"",COUNTIFS($A$6:$A$205,"&lt;&gt;",$I$6:$I$205,"Open",$H$6:$H$205,"&gt;0",$H$6:$H$205,"&lt;"&amp;H194)+COUNTIFS($A$6:A194,"&lt;&gt;",$I$6:I194,"Open",$H$6:H194,H194))</x:f>
      </x:c>
    </x:row>
    <x:row r="195" ht="26" customHeight="1">
      <x:c r="A195" s="319"/>
      <x:c r="B195" s="320"/>
      <x:c r="C195" s="274"/>
      <x:c r="D195" s="304"/>
      <x:c r="E195" s="274"/>
      <x:c r="F195" s="274"/>
      <x:c r="G195" s="274"/>
      <x:c r="H195" s="304"/>
      <x:c r="I195" s="274"/>
      <x:c r="J195" s="315" t="str">
        <x:f>IF(A195="","",IF(I195&lt;&gt;"Open","",IF(H195="","Set due date",IF(H195&lt;TODAY(),"Overdue",IF(H195=TODAY(),"Due today","Upcoming")))))</x:f>
      </x:c>
      <x:c r="K195" s="265" t="str">
        <x:f>IF(A195="","",IF(B195="","",IF(COUNTIFS('Clients'!$A$6:$A$205,B195)&lt;&gt;1,"Check Client ID",IF(INDEX('Clients'!$B$6:$B$205,MATCH(B195,'Clients'!$A$6:$A$205,0))="","Name missing",INDEX('Clients'!$B$6:$B$205,MATCH(B195,'Clients'!$A$6:$A$205,0))))))</x:f>
      </x:c>
      <x:c r="L195" s="265" t="str">
        <x:f>IF(A195="","",IF(C195="","",IF(COUNTIFS('Properties'!$A$6:$A$205,C195)&lt;&gt;1,"Check Property ID",IF(INDEX('Properties'!$B$6:$B$205,MATCH(C195,'Properties'!$A$6:$A$205,0))="","Name missing",INDEX('Properties'!$B$6:$B$205,MATCH(C195,'Properties'!$A$6:$A$205,0))))))</x:f>
      </x:c>
      <x:c r="M195" s="265" t="str">
        <x:f>IF(A195="","",IF(COUNTIFS($A$6:$A$205,A195)&gt;1,"Duplicate ID",IF(OR(B195="",COUNTIFS('Clients'!$A$6:$A$205,B195)&lt;&gt;1),"Check Client ID",IF(AND(C195&lt;&gt;"",COUNTIFS('Properties'!$A$6:$A$205,C195)&lt;&gt;1),"Check Property ID",IF(I195="","Set task status",IF(AND(I195="Open",G195=""),"Add next action",IF(AND(I195="Open",NOT(ISNUMBER(H195))),"Add due date",IF(AND(ISNUMBER(D195),D195&gt;TODAY()),"Contact date is future",""))))))))</x:f>
      </x:c>
      <x:c r="N195" s="379" t="str">
        <x:f>IF(OR(A195="",I195&lt;&gt;"Open",NOT(ISNUMBER(H195))),"",COUNTIFS($A$6:$A$205,"&lt;&gt;",$I$6:$I$205,"Open",$H$6:$H$205,"&gt;0",$H$6:$H$205,"&lt;"&amp;H195)+COUNTIFS($A$6:A195,"&lt;&gt;",$I$6:I195,"Open",$H$6:H195,H195))</x:f>
      </x:c>
    </x:row>
    <x:row r="196" ht="26" customHeight="1">
      <x:c r="A196" s="317"/>
      <x:c r="B196" s="318"/>
      <x:c r="C196" s="235"/>
      <x:c r="D196" s="238"/>
      <x:c r="E196" s="235"/>
      <x:c r="F196" s="235"/>
      <x:c r="G196" s="235"/>
      <x:c r="H196" s="238"/>
      <x:c r="I196" s="235"/>
      <x:c r="J196" s="315" t="str">
        <x:f>IF(A196="","",IF(I196&lt;&gt;"Open","",IF(H196="","Set due date",IF(H196&lt;TODAY(),"Overdue",IF(H196=TODAY(),"Due today","Upcoming")))))</x:f>
      </x:c>
      <x:c r="K196" s="265" t="str">
        <x:f>IF(A196="","",IF(B196="","",IF(COUNTIFS('Clients'!$A$6:$A$205,B196)&lt;&gt;1,"Check Client ID",IF(INDEX('Clients'!$B$6:$B$205,MATCH(B196,'Clients'!$A$6:$A$205,0))="","Name missing",INDEX('Clients'!$B$6:$B$205,MATCH(B196,'Clients'!$A$6:$A$205,0))))))</x:f>
      </x:c>
      <x:c r="L196" s="265" t="str">
        <x:f>IF(A196="","",IF(C196="","",IF(COUNTIFS('Properties'!$A$6:$A$205,C196)&lt;&gt;1,"Check Property ID",IF(INDEX('Properties'!$B$6:$B$205,MATCH(C196,'Properties'!$A$6:$A$205,0))="","Name missing",INDEX('Properties'!$B$6:$B$205,MATCH(C196,'Properties'!$A$6:$A$205,0))))))</x:f>
      </x:c>
      <x:c r="M196" s="265" t="str">
        <x:f>IF(A196="","",IF(COUNTIFS($A$6:$A$205,A196)&gt;1,"Duplicate ID",IF(OR(B196="",COUNTIFS('Clients'!$A$6:$A$205,B196)&lt;&gt;1),"Check Client ID",IF(AND(C196&lt;&gt;"",COUNTIFS('Properties'!$A$6:$A$205,C196)&lt;&gt;1),"Check Property ID",IF(I196="","Set task status",IF(AND(I196="Open",G196=""),"Add next action",IF(AND(I196="Open",NOT(ISNUMBER(H196))),"Add due date",IF(AND(ISNUMBER(D196),D196&gt;TODAY()),"Contact date is future",""))))))))</x:f>
      </x:c>
      <x:c r="N196" s="379" t="str">
        <x:f>IF(OR(A196="",I196&lt;&gt;"Open",NOT(ISNUMBER(H196))),"",COUNTIFS($A$6:$A$205,"&lt;&gt;",$I$6:$I$205,"Open",$H$6:$H$205,"&gt;0",$H$6:$H$205,"&lt;"&amp;H196)+COUNTIFS($A$6:A196,"&lt;&gt;",$I$6:I196,"Open",$H$6:H196,H196))</x:f>
      </x:c>
    </x:row>
    <x:row r="197" ht="26" customHeight="1">
      <x:c r="A197" s="319"/>
      <x:c r="B197" s="320"/>
      <x:c r="C197" s="274"/>
      <x:c r="D197" s="304"/>
      <x:c r="E197" s="274"/>
      <x:c r="F197" s="274"/>
      <x:c r="G197" s="274"/>
      <x:c r="H197" s="304"/>
      <x:c r="I197" s="274"/>
      <x:c r="J197" s="315" t="str">
        <x:f>IF(A197="","",IF(I197&lt;&gt;"Open","",IF(H197="","Set due date",IF(H197&lt;TODAY(),"Overdue",IF(H197=TODAY(),"Due today","Upcoming")))))</x:f>
      </x:c>
      <x:c r="K197" s="265" t="str">
        <x:f>IF(A197="","",IF(B197="","",IF(COUNTIFS('Clients'!$A$6:$A$205,B197)&lt;&gt;1,"Check Client ID",IF(INDEX('Clients'!$B$6:$B$205,MATCH(B197,'Clients'!$A$6:$A$205,0))="","Name missing",INDEX('Clients'!$B$6:$B$205,MATCH(B197,'Clients'!$A$6:$A$205,0))))))</x:f>
      </x:c>
      <x:c r="L197" s="265" t="str">
        <x:f>IF(A197="","",IF(C197="","",IF(COUNTIFS('Properties'!$A$6:$A$205,C197)&lt;&gt;1,"Check Property ID",IF(INDEX('Properties'!$B$6:$B$205,MATCH(C197,'Properties'!$A$6:$A$205,0))="","Name missing",INDEX('Properties'!$B$6:$B$205,MATCH(C197,'Properties'!$A$6:$A$205,0))))))</x:f>
      </x:c>
      <x:c r="M197" s="265" t="str">
        <x:f>IF(A197="","",IF(COUNTIFS($A$6:$A$205,A197)&gt;1,"Duplicate ID",IF(OR(B197="",COUNTIFS('Clients'!$A$6:$A$205,B197)&lt;&gt;1),"Check Client ID",IF(AND(C197&lt;&gt;"",COUNTIFS('Properties'!$A$6:$A$205,C197)&lt;&gt;1),"Check Property ID",IF(I197="","Set task status",IF(AND(I197="Open",G197=""),"Add next action",IF(AND(I197="Open",NOT(ISNUMBER(H197))),"Add due date",IF(AND(ISNUMBER(D197),D197&gt;TODAY()),"Contact date is future",""))))))))</x:f>
      </x:c>
      <x:c r="N197" s="379" t="str">
        <x:f>IF(OR(A197="",I197&lt;&gt;"Open",NOT(ISNUMBER(H197))),"",COUNTIFS($A$6:$A$205,"&lt;&gt;",$I$6:$I$205,"Open",$H$6:$H$205,"&gt;0",$H$6:$H$205,"&lt;"&amp;H197)+COUNTIFS($A$6:A197,"&lt;&gt;",$I$6:I197,"Open",$H$6:H197,H197))</x:f>
      </x:c>
    </x:row>
    <x:row r="198" ht="26" customHeight="1">
      <x:c r="A198" s="317"/>
      <x:c r="B198" s="318"/>
      <x:c r="C198" s="235"/>
      <x:c r="D198" s="238"/>
      <x:c r="E198" s="235"/>
      <x:c r="F198" s="235"/>
      <x:c r="G198" s="235"/>
      <x:c r="H198" s="238"/>
      <x:c r="I198" s="235"/>
      <x:c r="J198" s="315" t="str">
        <x:f>IF(A198="","",IF(I198&lt;&gt;"Open","",IF(H198="","Set due date",IF(H198&lt;TODAY(),"Overdue",IF(H198=TODAY(),"Due today","Upcoming")))))</x:f>
      </x:c>
      <x:c r="K198" s="265" t="str">
        <x:f>IF(A198="","",IF(B198="","",IF(COUNTIFS('Clients'!$A$6:$A$205,B198)&lt;&gt;1,"Check Client ID",IF(INDEX('Clients'!$B$6:$B$205,MATCH(B198,'Clients'!$A$6:$A$205,0))="","Name missing",INDEX('Clients'!$B$6:$B$205,MATCH(B198,'Clients'!$A$6:$A$205,0))))))</x:f>
      </x:c>
      <x:c r="L198" s="265" t="str">
        <x:f>IF(A198="","",IF(C198="","",IF(COUNTIFS('Properties'!$A$6:$A$205,C198)&lt;&gt;1,"Check Property ID",IF(INDEX('Properties'!$B$6:$B$205,MATCH(C198,'Properties'!$A$6:$A$205,0))="","Name missing",INDEX('Properties'!$B$6:$B$205,MATCH(C198,'Properties'!$A$6:$A$205,0))))))</x:f>
      </x:c>
      <x:c r="M198" s="265" t="str">
        <x:f>IF(A198="","",IF(COUNTIFS($A$6:$A$205,A198)&gt;1,"Duplicate ID",IF(OR(B198="",COUNTIFS('Clients'!$A$6:$A$205,B198)&lt;&gt;1),"Check Client ID",IF(AND(C198&lt;&gt;"",COUNTIFS('Properties'!$A$6:$A$205,C198)&lt;&gt;1),"Check Property ID",IF(I198="","Set task status",IF(AND(I198="Open",G198=""),"Add next action",IF(AND(I198="Open",NOT(ISNUMBER(H198))),"Add due date",IF(AND(ISNUMBER(D198),D198&gt;TODAY()),"Contact date is future",""))))))))</x:f>
      </x:c>
      <x:c r="N198" s="379" t="str">
        <x:f>IF(OR(A198="",I198&lt;&gt;"Open",NOT(ISNUMBER(H198))),"",COUNTIFS($A$6:$A$205,"&lt;&gt;",$I$6:$I$205,"Open",$H$6:$H$205,"&gt;0",$H$6:$H$205,"&lt;"&amp;H198)+COUNTIFS($A$6:A198,"&lt;&gt;",$I$6:I198,"Open",$H$6:H198,H198))</x:f>
      </x:c>
    </x:row>
    <x:row r="199" ht="26" customHeight="1">
      <x:c r="A199" s="319"/>
      <x:c r="B199" s="320"/>
      <x:c r="C199" s="274"/>
      <x:c r="D199" s="304"/>
      <x:c r="E199" s="274"/>
      <x:c r="F199" s="274"/>
      <x:c r="G199" s="274"/>
      <x:c r="H199" s="304"/>
      <x:c r="I199" s="274"/>
      <x:c r="J199" s="315" t="str">
        <x:f>IF(A199="","",IF(I199&lt;&gt;"Open","",IF(H199="","Set due date",IF(H199&lt;TODAY(),"Overdue",IF(H199=TODAY(),"Due today","Upcoming")))))</x:f>
      </x:c>
      <x:c r="K199" s="265" t="str">
        <x:f>IF(A199="","",IF(B199="","",IF(COUNTIFS('Clients'!$A$6:$A$205,B199)&lt;&gt;1,"Check Client ID",IF(INDEX('Clients'!$B$6:$B$205,MATCH(B199,'Clients'!$A$6:$A$205,0))="","Name missing",INDEX('Clients'!$B$6:$B$205,MATCH(B199,'Clients'!$A$6:$A$205,0))))))</x:f>
      </x:c>
      <x:c r="L199" s="265" t="str">
        <x:f>IF(A199="","",IF(C199="","",IF(COUNTIFS('Properties'!$A$6:$A$205,C199)&lt;&gt;1,"Check Property ID",IF(INDEX('Properties'!$B$6:$B$205,MATCH(C199,'Properties'!$A$6:$A$205,0))="","Name missing",INDEX('Properties'!$B$6:$B$205,MATCH(C199,'Properties'!$A$6:$A$205,0))))))</x:f>
      </x:c>
      <x:c r="M199" s="265" t="str">
        <x:f>IF(A199="","",IF(COUNTIFS($A$6:$A$205,A199)&gt;1,"Duplicate ID",IF(OR(B199="",COUNTIFS('Clients'!$A$6:$A$205,B199)&lt;&gt;1),"Check Client ID",IF(AND(C199&lt;&gt;"",COUNTIFS('Properties'!$A$6:$A$205,C199)&lt;&gt;1),"Check Property ID",IF(I199="","Set task status",IF(AND(I199="Open",G199=""),"Add next action",IF(AND(I199="Open",NOT(ISNUMBER(H199))),"Add due date",IF(AND(ISNUMBER(D199),D199&gt;TODAY()),"Contact date is future",""))))))))</x:f>
      </x:c>
      <x:c r="N199" s="379" t="str">
        <x:f>IF(OR(A199="",I199&lt;&gt;"Open",NOT(ISNUMBER(H199))),"",COUNTIFS($A$6:$A$205,"&lt;&gt;",$I$6:$I$205,"Open",$H$6:$H$205,"&gt;0",$H$6:$H$205,"&lt;"&amp;H199)+COUNTIFS($A$6:A199,"&lt;&gt;",$I$6:I199,"Open",$H$6:H199,H199))</x:f>
      </x:c>
    </x:row>
    <x:row r="200" ht="26" customHeight="1">
      <x:c r="A200" s="317"/>
      <x:c r="B200" s="318"/>
      <x:c r="C200" s="235"/>
      <x:c r="D200" s="238"/>
      <x:c r="E200" s="235"/>
      <x:c r="F200" s="235"/>
      <x:c r="G200" s="235"/>
      <x:c r="H200" s="238"/>
      <x:c r="I200" s="235"/>
      <x:c r="J200" s="315" t="str">
        <x:f>IF(A200="","",IF(I200&lt;&gt;"Open","",IF(H200="","Set due date",IF(H200&lt;TODAY(),"Overdue",IF(H200=TODAY(),"Due today","Upcoming")))))</x:f>
      </x:c>
      <x:c r="K200" s="265" t="str">
        <x:f>IF(A200="","",IF(B200="","",IF(COUNTIFS('Clients'!$A$6:$A$205,B200)&lt;&gt;1,"Check Client ID",IF(INDEX('Clients'!$B$6:$B$205,MATCH(B200,'Clients'!$A$6:$A$205,0))="","Name missing",INDEX('Clients'!$B$6:$B$205,MATCH(B200,'Clients'!$A$6:$A$205,0))))))</x:f>
      </x:c>
      <x:c r="L200" s="265" t="str">
        <x:f>IF(A200="","",IF(C200="","",IF(COUNTIFS('Properties'!$A$6:$A$205,C200)&lt;&gt;1,"Check Property ID",IF(INDEX('Properties'!$B$6:$B$205,MATCH(C200,'Properties'!$A$6:$A$205,0))="","Name missing",INDEX('Properties'!$B$6:$B$205,MATCH(C200,'Properties'!$A$6:$A$205,0))))))</x:f>
      </x:c>
      <x:c r="M200" s="265" t="str">
        <x:f>IF(A200="","",IF(COUNTIFS($A$6:$A$205,A200)&gt;1,"Duplicate ID",IF(OR(B200="",COUNTIFS('Clients'!$A$6:$A$205,B200)&lt;&gt;1),"Check Client ID",IF(AND(C200&lt;&gt;"",COUNTIFS('Properties'!$A$6:$A$205,C200)&lt;&gt;1),"Check Property ID",IF(I200="","Set task status",IF(AND(I200="Open",G200=""),"Add next action",IF(AND(I200="Open",NOT(ISNUMBER(H200))),"Add due date",IF(AND(ISNUMBER(D200),D200&gt;TODAY()),"Contact date is future",""))))))))</x:f>
      </x:c>
      <x:c r="N200" s="379" t="str">
        <x:f>IF(OR(A200="",I200&lt;&gt;"Open",NOT(ISNUMBER(H200))),"",COUNTIFS($A$6:$A$205,"&lt;&gt;",$I$6:$I$205,"Open",$H$6:$H$205,"&gt;0",$H$6:$H$205,"&lt;"&amp;H200)+COUNTIFS($A$6:A200,"&lt;&gt;",$I$6:I200,"Open",$H$6:H200,H200))</x:f>
      </x:c>
    </x:row>
    <x:row r="201" ht="26" customHeight="1">
      <x:c r="A201" s="319"/>
      <x:c r="B201" s="320"/>
      <x:c r="C201" s="274"/>
      <x:c r="D201" s="304"/>
      <x:c r="E201" s="274"/>
      <x:c r="F201" s="274"/>
      <x:c r="G201" s="274"/>
      <x:c r="H201" s="304"/>
      <x:c r="I201" s="274"/>
      <x:c r="J201" s="315" t="str">
        <x:f>IF(A201="","",IF(I201&lt;&gt;"Open","",IF(H201="","Set due date",IF(H201&lt;TODAY(),"Overdue",IF(H201=TODAY(),"Due today","Upcoming")))))</x:f>
      </x:c>
      <x:c r="K201" s="265" t="str">
        <x:f>IF(A201="","",IF(B201="","",IF(COUNTIFS('Clients'!$A$6:$A$205,B201)&lt;&gt;1,"Check Client ID",IF(INDEX('Clients'!$B$6:$B$205,MATCH(B201,'Clients'!$A$6:$A$205,0))="","Name missing",INDEX('Clients'!$B$6:$B$205,MATCH(B201,'Clients'!$A$6:$A$205,0))))))</x:f>
      </x:c>
      <x:c r="L201" s="265" t="str">
        <x:f>IF(A201="","",IF(C201="","",IF(COUNTIFS('Properties'!$A$6:$A$205,C201)&lt;&gt;1,"Check Property ID",IF(INDEX('Properties'!$B$6:$B$205,MATCH(C201,'Properties'!$A$6:$A$205,0))="","Name missing",INDEX('Properties'!$B$6:$B$205,MATCH(C201,'Properties'!$A$6:$A$205,0))))))</x:f>
      </x:c>
      <x:c r="M201" s="265" t="str">
        <x:f>IF(A201="","",IF(COUNTIFS($A$6:$A$205,A201)&gt;1,"Duplicate ID",IF(OR(B201="",COUNTIFS('Clients'!$A$6:$A$205,B201)&lt;&gt;1),"Check Client ID",IF(AND(C201&lt;&gt;"",COUNTIFS('Properties'!$A$6:$A$205,C201)&lt;&gt;1),"Check Property ID",IF(I201="","Set task status",IF(AND(I201="Open",G201=""),"Add next action",IF(AND(I201="Open",NOT(ISNUMBER(H201))),"Add due date",IF(AND(ISNUMBER(D201),D201&gt;TODAY()),"Contact date is future",""))))))))</x:f>
      </x:c>
      <x:c r="N201" s="379" t="str">
        <x:f>IF(OR(A201="",I201&lt;&gt;"Open",NOT(ISNUMBER(H201))),"",COUNTIFS($A$6:$A$205,"&lt;&gt;",$I$6:$I$205,"Open",$H$6:$H$205,"&gt;0",$H$6:$H$205,"&lt;"&amp;H201)+COUNTIFS($A$6:A201,"&lt;&gt;",$I$6:I201,"Open",$H$6:H201,H201))</x:f>
      </x:c>
    </x:row>
    <x:row r="202" ht="26" customHeight="1">
      <x:c r="A202" s="317"/>
      <x:c r="B202" s="318"/>
      <x:c r="C202" s="235"/>
      <x:c r="D202" s="238"/>
      <x:c r="E202" s="235"/>
      <x:c r="F202" s="235"/>
      <x:c r="G202" s="235"/>
      <x:c r="H202" s="238"/>
      <x:c r="I202" s="235"/>
      <x:c r="J202" s="315" t="str">
        <x:f>IF(A202="","",IF(I202&lt;&gt;"Open","",IF(H202="","Set due date",IF(H202&lt;TODAY(),"Overdue",IF(H202=TODAY(),"Due today","Upcoming")))))</x:f>
      </x:c>
      <x:c r="K202" s="265" t="str">
        <x:f>IF(A202="","",IF(B202="","",IF(COUNTIFS('Clients'!$A$6:$A$205,B202)&lt;&gt;1,"Check Client ID",IF(INDEX('Clients'!$B$6:$B$205,MATCH(B202,'Clients'!$A$6:$A$205,0))="","Name missing",INDEX('Clients'!$B$6:$B$205,MATCH(B202,'Clients'!$A$6:$A$205,0))))))</x:f>
      </x:c>
      <x:c r="L202" s="265" t="str">
        <x:f>IF(A202="","",IF(C202="","",IF(COUNTIFS('Properties'!$A$6:$A$205,C202)&lt;&gt;1,"Check Property ID",IF(INDEX('Properties'!$B$6:$B$205,MATCH(C202,'Properties'!$A$6:$A$205,0))="","Name missing",INDEX('Properties'!$B$6:$B$205,MATCH(C202,'Properties'!$A$6:$A$205,0))))))</x:f>
      </x:c>
      <x:c r="M202" s="265" t="str">
        <x:f>IF(A202="","",IF(COUNTIFS($A$6:$A$205,A202)&gt;1,"Duplicate ID",IF(OR(B202="",COUNTIFS('Clients'!$A$6:$A$205,B202)&lt;&gt;1),"Check Client ID",IF(AND(C202&lt;&gt;"",COUNTIFS('Properties'!$A$6:$A$205,C202)&lt;&gt;1),"Check Property ID",IF(I202="","Set task status",IF(AND(I202="Open",G202=""),"Add next action",IF(AND(I202="Open",NOT(ISNUMBER(H202))),"Add due date",IF(AND(ISNUMBER(D202),D202&gt;TODAY()),"Contact date is future",""))))))))</x:f>
      </x:c>
      <x:c r="N202" s="379" t="str">
        <x:f>IF(OR(A202="",I202&lt;&gt;"Open",NOT(ISNUMBER(H202))),"",COUNTIFS($A$6:$A$205,"&lt;&gt;",$I$6:$I$205,"Open",$H$6:$H$205,"&gt;0",$H$6:$H$205,"&lt;"&amp;H202)+COUNTIFS($A$6:A202,"&lt;&gt;",$I$6:I202,"Open",$H$6:H202,H202))</x:f>
      </x:c>
    </x:row>
    <x:row r="203" ht="26" customHeight="1">
      <x:c r="A203" s="319"/>
      <x:c r="B203" s="320"/>
      <x:c r="C203" s="274"/>
      <x:c r="D203" s="304"/>
      <x:c r="E203" s="274"/>
      <x:c r="F203" s="274"/>
      <x:c r="G203" s="274"/>
      <x:c r="H203" s="304"/>
      <x:c r="I203" s="274"/>
      <x:c r="J203" s="315" t="str">
        <x:f>IF(A203="","",IF(I203&lt;&gt;"Open","",IF(H203="","Set due date",IF(H203&lt;TODAY(),"Overdue",IF(H203=TODAY(),"Due today","Upcoming")))))</x:f>
      </x:c>
      <x:c r="K203" s="265" t="str">
        <x:f>IF(A203="","",IF(B203="","",IF(COUNTIFS('Clients'!$A$6:$A$205,B203)&lt;&gt;1,"Check Client ID",IF(INDEX('Clients'!$B$6:$B$205,MATCH(B203,'Clients'!$A$6:$A$205,0))="","Name missing",INDEX('Clients'!$B$6:$B$205,MATCH(B203,'Clients'!$A$6:$A$205,0))))))</x:f>
      </x:c>
      <x:c r="L203" s="265" t="str">
        <x:f>IF(A203="","",IF(C203="","",IF(COUNTIFS('Properties'!$A$6:$A$205,C203)&lt;&gt;1,"Check Property ID",IF(INDEX('Properties'!$B$6:$B$205,MATCH(C203,'Properties'!$A$6:$A$205,0))="","Name missing",INDEX('Properties'!$B$6:$B$205,MATCH(C203,'Properties'!$A$6:$A$205,0))))))</x:f>
      </x:c>
      <x:c r="M203" s="265" t="str">
        <x:f>IF(A203="","",IF(COUNTIFS($A$6:$A$205,A203)&gt;1,"Duplicate ID",IF(OR(B203="",COUNTIFS('Clients'!$A$6:$A$205,B203)&lt;&gt;1),"Check Client ID",IF(AND(C203&lt;&gt;"",COUNTIFS('Properties'!$A$6:$A$205,C203)&lt;&gt;1),"Check Property ID",IF(I203="","Set task status",IF(AND(I203="Open",G203=""),"Add next action",IF(AND(I203="Open",NOT(ISNUMBER(H203))),"Add due date",IF(AND(ISNUMBER(D203),D203&gt;TODAY()),"Contact date is future",""))))))))</x:f>
      </x:c>
      <x:c r="N203" s="379" t="str">
        <x:f>IF(OR(A203="",I203&lt;&gt;"Open",NOT(ISNUMBER(H203))),"",COUNTIFS($A$6:$A$205,"&lt;&gt;",$I$6:$I$205,"Open",$H$6:$H$205,"&gt;0",$H$6:$H$205,"&lt;"&amp;H203)+COUNTIFS($A$6:A203,"&lt;&gt;",$I$6:I203,"Open",$H$6:H203,H203))</x:f>
      </x:c>
    </x:row>
    <x:row r="204" ht="26" customHeight="1">
      <x:c r="A204" s="317"/>
      <x:c r="B204" s="318"/>
      <x:c r="C204" s="235"/>
      <x:c r="D204" s="238"/>
      <x:c r="E204" s="235"/>
      <x:c r="F204" s="235"/>
      <x:c r="G204" s="235"/>
      <x:c r="H204" s="238"/>
      <x:c r="I204" s="235"/>
      <x:c r="J204" s="315" t="str">
        <x:f>IF(A204="","",IF(I204&lt;&gt;"Open","",IF(H204="","Set due date",IF(H204&lt;TODAY(),"Overdue",IF(H204=TODAY(),"Due today","Upcoming")))))</x:f>
      </x:c>
      <x:c r="K204" s="265" t="str">
        <x:f>IF(A204="","",IF(B204="","",IF(COUNTIFS('Clients'!$A$6:$A$205,B204)&lt;&gt;1,"Check Client ID",IF(INDEX('Clients'!$B$6:$B$205,MATCH(B204,'Clients'!$A$6:$A$205,0))="","Name missing",INDEX('Clients'!$B$6:$B$205,MATCH(B204,'Clients'!$A$6:$A$205,0))))))</x:f>
      </x:c>
      <x:c r="L204" s="265" t="str">
        <x:f>IF(A204="","",IF(C204="","",IF(COUNTIFS('Properties'!$A$6:$A$205,C204)&lt;&gt;1,"Check Property ID",IF(INDEX('Properties'!$B$6:$B$205,MATCH(C204,'Properties'!$A$6:$A$205,0))="","Name missing",INDEX('Properties'!$B$6:$B$205,MATCH(C204,'Properties'!$A$6:$A$205,0))))))</x:f>
      </x:c>
      <x:c r="M204" s="265" t="str">
        <x:f>IF(A204="","",IF(COUNTIFS($A$6:$A$205,A204)&gt;1,"Duplicate ID",IF(OR(B204="",COUNTIFS('Clients'!$A$6:$A$205,B204)&lt;&gt;1),"Check Client ID",IF(AND(C204&lt;&gt;"",COUNTIFS('Properties'!$A$6:$A$205,C204)&lt;&gt;1),"Check Property ID",IF(I204="","Set task status",IF(AND(I204="Open",G204=""),"Add next action",IF(AND(I204="Open",NOT(ISNUMBER(H204))),"Add due date",IF(AND(ISNUMBER(D204),D204&gt;TODAY()),"Contact date is future",""))))))))</x:f>
      </x:c>
      <x:c r="N204" s="379" t="str">
        <x:f>IF(OR(A204="",I204&lt;&gt;"Open",NOT(ISNUMBER(H204))),"",COUNTIFS($A$6:$A$205,"&lt;&gt;",$I$6:$I$205,"Open",$H$6:$H$205,"&gt;0",$H$6:$H$205,"&lt;"&amp;H204)+COUNTIFS($A$6:A204,"&lt;&gt;",$I$6:I204,"Open",$H$6:H204,H204))</x:f>
      </x:c>
    </x:row>
    <x:row r="205" ht="26" customHeight="1">
      <x:c r="A205" s="321"/>
      <x:c r="B205" s="322"/>
      <x:c r="C205" s="307"/>
      <x:c r="D205" s="310"/>
      <x:c r="E205" s="307"/>
      <x:c r="F205" s="307"/>
      <x:c r="G205" s="307"/>
      <x:c r="H205" s="310"/>
      <x:c r="I205" s="307"/>
      <x:c r="J205" s="316" t="str">
        <x:f>IF(A205="","",IF(I205&lt;&gt;"Open","",IF(H205="","Set due date",IF(H205&lt;TODAY(),"Overdue",IF(H205=TODAY(),"Due today","Upcoming")))))</x:f>
      </x:c>
      <x:c r="K205" s="314" t="str">
        <x:f>IF(A205="","",IF(B205="","",IF(COUNTIFS('Clients'!$A$6:$A$205,B205)&lt;&gt;1,"Check Client ID",IF(INDEX('Clients'!$B$6:$B$205,MATCH(B205,'Clients'!$A$6:$A$205,0))="","Name missing",INDEX('Clients'!$B$6:$B$205,MATCH(B205,'Clients'!$A$6:$A$205,0))))))</x:f>
      </x:c>
      <x:c r="L205" s="314" t="str">
        <x:f>IF(A205="","",IF(C205="","",IF(COUNTIFS('Properties'!$A$6:$A$205,C205)&lt;&gt;1,"Check Property ID",IF(INDEX('Properties'!$B$6:$B$205,MATCH(C205,'Properties'!$A$6:$A$205,0))="","Name missing",INDEX('Properties'!$B$6:$B$205,MATCH(C205,'Properties'!$A$6:$A$205,0))))))</x:f>
      </x:c>
      <x:c r="M205" s="314" t="str">
        <x:f>IF(A205="","",IF(COUNTIFS($A$6:$A$205,A205)&gt;1,"Duplicate ID",IF(OR(B205="",COUNTIFS('Clients'!$A$6:$A$205,B205)&lt;&gt;1),"Check Client ID",IF(AND(C205&lt;&gt;"",COUNTIFS('Properties'!$A$6:$A$205,C205)&lt;&gt;1),"Check Property ID",IF(I205="","Set task status",IF(AND(I205="Open",G205=""),"Add next action",IF(AND(I205="Open",NOT(ISNUMBER(H205))),"Add due date",IF(AND(ISNUMBER(D205),D205&gt;TODAY()),"Contact date is future",""))))))))</x:f>
      </x:c>
      <x:c r="N205" s="380" t="str">
        <x:f>IF(OR(A205="",I205&lt;&gt;"Open",NOT(ISNUMBER(H205))),"",COUNTIFS($A$6:$A$205,"&lt;&gt;",$I$6:$I$205,"Open",$H$6:$H$205,"&gt;0",$H$6:$H$205,"&lt;"&amp;H205)+COUNTIFS($A$6:A205,"&lt;&gt;",$I$6:I205,"Open",$H$6:H205,H205))</x:f>
      </x:c>
    </x:row>
  </x:sheetData>
  <x:mergeCells>
    <x:mergeCell ref="A1:D1"/>
    <x:mergeCell ref="A2:E2"/>
    <x:mergeCell ref="F2:H2"/>
    <x:mergeCell ref="A3:H3"/>
    <x:mergeCell ref="E1:G1"/>
  </x:mergeCells>
  <x:conditionalFormatting sqref="A6:A205">
    <x:cfRule type="expression" dxfId="3" priority="1">
      <x:formula>AND(A6&lt;&gt;"",COUNTIFS($A$6:$A$205,A6)&gt;1)</x:formula>
    </x:cfRule>
    <x:cfRule type="expression" dxfId="33" priority="7">
      <x:formula>AND(A6&lt;&gt;"",COUNTIFS($A$6:$A$205,A6)&gt;1)</x:formula>
    </x:cfRule>
  </x:conditionalFormatting>
  <x:conditionalFormatting sqref="J6:J205">
    <x:cfRule type="expression" dxfId="8" priority="2">
      <x:formula>OR(J6="Overdue",J6="Due today",J6="Set due date")</x:formula>
    </x:cfRule>
    <x:cfRule type="cellIs" dxfId="18" priority="4" operator="equal">
      <x:formula>"Due today"</x:formula>
    </x:cfRule>
    <x:cfRule type="cellIs" dxfId="21" priority="5" operator="equal">
      <x:formula>"Overdue"</x:formula>
    </x:cfRule>
  </x:conditionalFormatting>
  <x:conditionalFormatting sqref="I6:I205">
    <x:cfRule type="cellIs" dxfId="13" priority="3" operator="equal">
      <x:formula>"Done"</x:formula>
    </x:cfRule>
  </x:conditionalFormatting>
  <x:conditionalFormatting sqref="M6:M205">
    <x:cfRule type="expression" dxfId="32" priority="6">
      <x:formula>M6&lt;&gt;""</x:formula>
    </x:cfRule>
  </x:conditionalFormatting>
  <x:dataValidations count="4">
    <x:dataValidation type="list" sqref="B6:B205">
      <x:formula1>'Clients'!$A$6:$A$205</x:formula1>
    </x:dataValidation>
    <x:dataValidation type="list" sqref="C6:C205">
      <x:formula1>'Properties'!$A$6:$A$205</x:formula1>
    </x:dataValidation>
    <x:dataValidation type="list" sqref="E6:E205">
      <x:formula1>"Call,WhatsApp,Email,Meeting,Other"</x:formula1>
    </x:dataValidation>
    <x:dataValidation type="list" sqref="I6:I205">
      <x:formula1>"Open,Done,Cancelled"</x:formula1>
    </x:dataValidation>
  </x:dataValidations>
  <x:pageMargins left="0.7" right="0.7" top="0.75" bottom="0.75" header="0.3" footer="0.3"/>
  <x:tableParts count="1">
    <x:tablePart xmlns:r="http://schemas.openxmlformats.org/officeDocument/2006/relationships" r:id="R263a7e51627041bc"/>
  </x:tableParts>
</x:worksheet>
</file>

<file path=xl/worksheets/sheet7.xml><?xml version="1.0" encoding="utf-8"?>
<x:worksheet xmlns:x="http://schemas.openxmlformats.org/spreadsheetml/2006/main">
  <x:sheetPr>
    <x:tabColor rgb="FF738996"/>
  </x:sheetPr>
  <x:sheetViews>
    <x:sheetView showGridLines="0" workbookViewId="0">
      <x:pane xSplit="2" ySplit="5" topLeftCell="C6" activePane="bottomRight" state="frozen"/>
    </x:sheetView>
  </x:sheetViews>
  <x:sheetFormatPr defaultRowHeight="15"/>
  <x:cols>
    <x:col min="1" max="1" width="13" hidden="0" customWidth="1"/>
    <x:col min="2" max="2" width="13" hidden="0" customWidth="1"/>
    <x:col min="3" max="3" width="13" hidden="0" customWidth="1"/>
    <x:col min="4" max="4" width="25" hidden="0" customWidth="1"/>
    <x:col min="5" max="5" width="23" hidden="0" customWidth="1"/>
    <x:col min="6" max="6" width="32" hidden="0" customWidth="1"/>
    <x:col min="7" max="7" width="32" hidden="0" customWidth="1"/>
    <x:col min="8" max="8" width="25" hidden="0" customWidth="1"/>
    <x:col min="9" max="9" width="25" hidden="0" customWidth="1"/>
    <x:col min="10" max="10" width="25" hidden="0" customWidth="1"/>
  </x:cols>
  <x:sheetData>
    <x:row r="1" ht="22" customHeight="1">
      <x:c r="A1" s="259" t="str">
        <x:v>KEYS WITH SIMONI</x:v>
      </x:c>
      <x:c r="B1" s="260"/>
      <x:c r="C1" s="260"/>
      <x:c r="D1" s="260"/>
      <x:c r="E1" s="382" t="str">
        <x:v>Records to review</x:v>
      </x:c>
      <x:c r="F1" s="382"/>
      <x:c r="G1" s="382"/>
      <x:c r="H1" s="385" t="n">
        <x:f>SUM(COUNTIFS($J$6:$J$205,"Duplicate ID"),COUNTIFS($J$6:$J$205,"Check Client ID"),COUNTIFS($J$6:$J$205,"Check Property ID"),COUNTIFS($J$6:$J$205,"Add appointment date"),COUNTIFS($J$6:$J$205,"Set viewing status"))</x:f>
        <x:v>0</x:v>
      </x:c>
      <x:c r="I1" s="256"/>
      <x:c r="J1" s="257"/>
    </x:row>
    <x:row r="2" ht="37" customHeight="1">
      <x:c r="A2" s="263" t="str">
        <x:v>Viewings &amp; feedback</x:v>
      </x:c>
      <x:c r="B2" s="264"/>
      <x:c r="C2" s="264"/>
      <x:c r="D2" s="264"/>
      <x:c r="E2" s="264"/>
      <x:c r="F2" s="268" t="str">
        <x:v>White: enter data. Blue-grey: calculated.</x:v>
      </x:c>
      <x:c r="G2" s="268"/>
      <x:c r="H2" s="268"/>
      <x:c r="I2" s="235"/>
      <x:c r="J2" s="239"/>
    </x:row>
    <x:row r="3" ht="35" customHeight="1">
      <x:c r="A3" s="271" t="str">
        <x:v>Appointment times are UAE local time. Update the viewing result and client feedback after each appointment.</x:v>
      </x:c>
      <x:c r="B3" s="272"/>
      <x:c r="C3" s="272"/>
      <x:c r="D3" s="272"/>
      <x:c r="E3" s="272"/>
      <x:c r="F3" s="272"/>
      <x:c r="G3" s="272"/>
      <x:c r="H3" s="272"/>
      <x:c r="I3" s="235"/>
      <x:c r="J3" s="239"/>
    </x:row>
    <x:row r="4" ht="24" customHeight="1">
      <x:c r="A4" s="277" t="str">
        <x:v>01  APPOINTMENT</x:v>
      </x:c>
      <x:c r="B4" s="278"/>
      <x:c r="C4" s="278"/>
      <x:c r="D4" s="278"/>
      <x:c r="E4" s="278"/>
      <x:c r="F4" s="279" t="str">
        <x:v>02  FEEDBACK</x:v>
      </x:c>
      <x:c r="G4" s="279"/>
      <x:c r="H4" s="279" t="str">
        <x:v>03  LINKED DETAILS &amp; REVIEW</x:v>
      </x:c>
      <x:c r="I4" s="279"/>
      <x:c r="J4" s="282"/>
    </x:row>
    <x:row r="5" ht="44" customHeight="1">
      <x:c r="A5" s="293" t="str">
        <x:v>Viewing
ID</x:v>
      </x:c>
      <x:c r="B5" s="294" t="str">
        <x:v>Client
ID</x:v>
      </x:c>
      <x:c r="C5" s="294" t="str">
        <x:v>Property
ID</x:v>
      </x:c>
      <x:c r="D5" s="294" t="str">
        <x:v>Appointment
date &amp; time</x:v>
      </x:c>
      <x:c r="E5" s="294" t="str">
        <x:v>Viewing
status</x:v>
      </x:c>
      <x:c r="F5" s="294" t="str">
        <x:v>Client
feedback</x:v>
      </x:c>
      <x:c r="G5" s="294" t="str">
        <x:v>Next
action</x:v>
      </x:c>
      <x:c r="H5" s="294" t="str">
        <x:v>Client name
auto</x:v>
      </x:c>
      <x:c r="I5" s="294" t="str">
        <x:v>Property title
auto</x:v>
      </x:c>
      <x:c r="J5" s="299" t="str">
        <x:v>Record
check</x:v>
      </x:c>
    </x:row>
    <x:row r="6" ht="26" customHeight="1">
      <x:c r="A6" s="317"/>
      <x:c r="B6" s="318"/>
      <x:c r="C6" s="235"/>
      <x:c r="D6" s="348"/>
      <x:c r="E6" s="235"/>
      <x:c r="F6" s="235"/>
      <x:c r="G6" s="239"/>
      <x:c r="H6" s="265" t="str">
        <x:f>IF(A6="","",IF(B6="","",IF(COUNTIFS('Clients'!$A$6:$A$205,B6)&lt;&gt;1,"Check Client ID",IF(INDEX('Clients'!$B$6:$B$205,MATCH(B6,'Clients'!$A$6:$A$205,0))="","Name missing",INDEX('Clients'!$B$6:$B$205,MATCH(B6,'Clients'!$A$6:$A$205,0))))))</x:f>
      </x:c>
      <x:c r="I6" s="265" t="str">
        <x:f>IF(A6="","",IF(C6="","",IF(COUNTIFS('Properties'!$A$6:$A$205,C6)&lt;&gt;1,"Check Property ID",IF(INDEX('Properties'!$B$6:$B$205,MATCH(C6,'Properties'!$A$6:$A$205,0))="","Name missing",INDEX('Properties'!$B$6:$B$205,MATCH(C6,'Properties'!$A$6:$A$205,0))))))</x:f>
      </x:c>
      <x:c r="J6" s="315" t="str">
        <x:f>IF(A6="","",IF(COUNTIFS($A$6:$A$205,A6)&gt;1,"Duplicate ID",IF(OR(B6="",COUNTIFS('Clients'!$A$6:$A$205,B6)&lt;&gt;1),"Check Client ID",IF(OR(C6="",COUNTIFS('Properties'!$A$6:$A$205,C6)&lt;&gt;1),"Check Property ID",IF(NOT(ISNUMBER(D6)),"Add appointment date",IF(E6="","Set viewing status",""))))))</x:f>
      </x:c>
    </x:row>
    <x:row r="7" ht="26" customHeight="1">
      <x:c r="A7" s="319"/>
      <x:c r="B7" s="320"/>
      <x:c r="C7" s="274"/>
      <x:c r="D7" s="350"/>
      <x:c r="E7" s="274"/>
      <x:c r="F7" s="274"/>
      <x:c r="G7" s="280"/>
      <x:c r="H7" s="265" t="str">
        <x:f>IF(A7="","",IF(B7="","",IF(COUNTIFS('Clients'!$A$6:$A$205,B7)&lt;&gt;1,"Check Client ID",IF(INDEX('Clients'!$B$6:$B$205,MATCH(B7,'Clients'!$A$6:$A$205,0))="","Name missing",INDEX('Clients'!$B$6:$B$205,MATCH(B7,'Clients'!$A$6:$A$205,0))))))</x:f>
      </x:c>
      <x:c r="I7" s="265" t="str">
        <x:f>IF(A7="","",IF(C7="","",IF(COUNTIFS('Properties'!$A$6:$A$205,C7)&lt;&gt;1,"Check Property ID",IF(INDEX('Properties'!$B$6:$B$205,MATCH(C7,'Properties'!$A$6:$A$205,0))="","Name missing",INDEX('Properties'!$B$6:$B$205,MATCH(C7,'Properties'!$A$6:$A$205,0))))))</x:f>
      </x:c>
      <x:c r="J7" s="315" t="str">
        <x:f>IF(A7="","",IF(COUNTIFS($A$6:$A$205,A7)&gt;1,"Duplicate ID",IF(OR(B7="",COUNTIFS('Clients'!$A$6:$A$205,B7)&lt;&gt;1),"Check Client ID",IF(OR(C7="",COUNTIFS('Properties'!$A$6:$A$205,C7)&lt;&gt;1),"Check Property ID",IF(NOT(ISNUMBER(D7)),"Add appointment date",IF(E7="","Set viewing status",""))))))</x:f>
      </x:c>
    </x:row>
    <x:row r="8" ht="26" customHeight="1">
      <x:c r="A8" s="317"/>
      <x:c r="B8" s="318"/>
      <x:c r="C8" s="235"/>
      <x:c r="D8" s="348"/>
      <x:c r="E8" s="235"/>
      <x:c r="F8" s="235"/>
      <x:c r="G8" s="239"/>
      <x:c r="H8" s="265" t="str">
        <x:f>IF(A8="","",IF(B8="","",IF(COUNTIFS('Clients'!$A$6:$A$205,B8)&lt;&gt;1,"Check Client ID",IF(INDEX('Clients'!$B$6:$B$205,MATCH(B8,'Clients'!$A$6:$A$205,0))="","Name missing",INDEX('Clients'!$B$6:$B$205,MATCH(B8,'Clients'!$A$6:$A$205,0))))))</x:f>
      </x:c>
      <x:c r="I8" s="265" t="str">
        <x:f>IF(A8="","",IF(C8="","",IF(COUNTIFS('Properties'!$A$6:$A$205,C8)&lt;&gt;1,"Check Property ID",IF(INDEX('Properties'!$B$6:$B$205,MATCH(C8,'Properties'!$A$6:$A$205,0))="","Name missing",INDEX('Properties'!$B$6:$B$205,MATCH(C8,'Properties'!$A$6:$A$205,0))))))</x:f>
      </x:c>
      <x:c r="J8" s="315" t="str">
        <x:f>IF(A8="","",IF(COUNTIFS($A$6:$A$205,A8)&gt;1,"Duplicate ID",IF(OR(B8="",COUNTIFS('Clients'!$A$6:$A$205,B8)&lt;&gt;1),"Check Client ID",IF(OR(C8="",COUNTIFS('Properties'!$A$6:$A$205,C8)&lt;&gt;1),"Check Property ID",IF(NOT(ISNUMBER(D8)),"Add appointment date",IF(E8="","Set viewing status",""))))))</x:f>
      </x:c>
    </x:row>
    <x:row r="9" ht="26" customHeight="1">
      <x:c r="A9" s="319"/>
      <x:c r="B9" s="320"/>
      <x:c r="C9" s="274"/>
      <x:c r="D9" s="350"/>
      <x:c r="E9" s="274"/>
      <x:c r="F9" s="274"/>
      <x:c r="G9" s="280"/>
      <x:c r="H9" s="265" t="str">
        <x:f>IF(A9="","",IF(B9="","",IF(COUNTIFS('Clients'!$A$6:$A$205,B9)&lt;&gt;1,"Check Client ID",IF(INDEX('Clients'!$B$6:$B$205,MATCH(B9,'Clients'!$A$6:$A$205,0))="","Name missing",INDEX('Clients'!$B$6:$B$205,MATCH(B9,'Clients'!$A$6:$A$205,0))))))</x:f>
      </x:c>
      <x:c r="I9" s="265" t="str">
        <x:f>IF(A9="","",IF(C9="","",IF(COUNTIFS('Properties'!$A$6:$A$205,C9)&lt;&gt;1,"Check Property ID",IF(INDEX('Properties'!$B$6:$B$205,MATCH(C9,'Properties'!$A$6:$A$205,0))="","Name missing",INDEX('Properties'!$B$6:$B$205,MATCH(C9,'Properties'!$A$6:$A$205,0))))))</x:f>
      </x:c>
      <x:c r="J9" s="315" t="str">
        <x:f>IF(A9="","",IF(COUNTIFS($A$6:$A$205,A9)&gt;1,"Duplicate ID",IF(OR(B9="",COUNTIFS('Clients'!$A$6:$A$205,B9)&lt;&gt;1),"Check Client ID",IF(OR(C9="",COUNTIFS('Properties'!$A$6:$A$205,C9)&lt;&gt;1),"Check Property ID",IF(NOT(ISNUMBER(D9)),"Add appointment date",IF(E9="","Set viewing status",""))))))</x:f>
      </x:c>
    </x:row>
    <x:row r="10" ht="26" customHeight="1">
      <x:c r="A10" s="317"/>
      <x:c r="B10" s="318"/>
      <x:c r="C10" s="235"/>
      <x:c r="D10" s="348"/>
      <x:c r="E10" s="235"/>
      <x:c r="F10" s="235"/>
      <x:c r="G10" s="239"/>
      <x:c r="H10" s="265" t="str">
        <x:f>IF(A10="","",IF(B10="","",IF(COUNTIFS('Clients'!$A$6:$A$205,B10)&lt;&gt;1,"Check Client ID",IF(INDEX('Clients'!$B$6:$B$205,MATCH(B10,'Clients'!$A$6:$A$205,0))="","Name missing",INDEX('Clients'!$B$6:$B$205,MATCH(B10,'Clients'!$A$6:$A$205,0))))))</x:f>
      </x:c>
      <x:c r="I10" s="265" t="str">
        <x:f>IF(A10="","",IF(C10="","",IF(COUNTIFS('Properties'!$A$6:$A$205,C10)&lt;&gt;1,"Check Property ID",IF(INDEX('Properties'!$B$6:$B$205,MATCH(C10,'Properties'!$A$6:$A$205,0))="","Name missing",INDEX('Properties'!$B$6:$B$205,MATCH(C10,'Properties'!$A$6:$A$205,0))))))</x:f>
      </x:c>
      <x:c r="J10" s="315" t="str">
        <x:f>IF(A10="","",IF(COUNTIFS($A$6:$A$205,A10)&gt;1,"Duplicate ID",IF(OR(B10="",COUNTIFS('Clients'!$A$6:$A$205,B10)&lt;&gt;1),"Check Client ID",IF(OR(C10="",COUNTIFS('Properties'!$A$6:$A$205,C10)&lt;&gt;1),"Check Property ID",IF(NOT(ISNUMBER(D10)),"Add appointment date",IF(E10="","Set viewing status",""))))))</x:f>
      </x:c>
    </x:row>
    <x:row r="11" ht="26" customHeight="1">
      <x:c r="A11" s="319"/>
      <x:c r="B11" s="320"/>
      <x:c r="C11" s="274"/>
      <x:c r="D11" s="350"/>
      <x:c r="E11" s="274"/>
      <x:c r="F11" s="274"/>
      <x:c r="G11" s="280"/>
      <x:c r="H11" s="265" t="str">
        <x:f>IF(A11="","",IF(B11="","",IF(COUNTIFS('Clients'!$A$6:$A$205,B11)&lt;&gt;1,"Check Client ID",IF(INDEX('Clients'!$B$6:$B$205,MATCH(B11,'Clients'!$A$6:$A$205,0))="","Name missing",INDEX('Clients'!$B$6:$B$205,MATCH(B11,'Clients'!$A$6:$A$205,0))))))</x:f>
      </x:c>
      <x:c r="I11" s="265" t="str">
        <x:f>IF(A11="","",IF(C11="","",IF(COUNTIFS('Properties'!$A$6:$A$205,C11)&lt;&gt;1,"Check Property ID",IF(INDEX('Properties'!$B$6:$B$205,MATCH(C11,'Properties'!$A$6:$A$205,0))="","Name missing",INDEX('Properties'!$B$6:$B$205,MATCH(C11,'Properties'!$A$6:$A$205,0))))))</x:f>
      </x:c>
      <x:c r="J11" s="315" t="str">
        <x:f>IF(A11="","",IF(COUNTIFS($A$6:$A$205,A11)&gt;1,"Duplicate ID",IF(OR(B11="",COUNTIFS('Clients'!$A$6:$A$205,B11)&lt;&gt;1),"Check Client ID",IF(OR(C11="",COUNTIFS('Properties'!$A$6:$A$205,C11)&lt;&gt;1),"Check Property ID",IF(NOT(ISNUMBER(D11)),"Add appointment date",IF(E11="","Set viewing status",""))))))</x:f>
      </x:c>
    </x:row>
    <x:row r="12" ht="26" customHeight="1">
      <x:c r="A12" s="317"/>
      <x:c r="B12" s="318"/>
      <x:c r="C12" s="235"/>
      <x:c r="D12" s="348"/>
      <x:c r="E12" s="235"/>
      <x:c r="F12" s="235"/>
      <x:c r="G12" s="239"/>
      <x:c r="H12" s="265" t="str">
        <x:f>IF(A12="","",IF(B12="","",IF(COUNTIFS('Clients'!$A$6:$A$205,B12)&lt;&gt;1,"Check Client ID",IF(INDEX('Clients'!$B$6:$B$205,MATCH(B12,'Clients'!$A$6:$A$205,0))="","Name missing",INDEX('Clients'!$B$6:$B$205,MATCH(B12,'Clients'!$A$6:$A$205,0))))))</x:f>
      </x:c>
      <x:c r="I12" s="265" t="str">
        <x:f>IF(A12="","",IF(C12="","",IF(COUNTIFS('Properties'!$A$6:$A$205,C12)&lt;&gt;1,"Check Property ID",IF(INDEX('Properties'!$B$6:$B$205,MATCH(C12,'Properties'!$A$6:$A$205,0))="","Name missing",INDEX('Properties'!$B$6:$B$205,MATCH(C12,'Properties'!$A$6:$A$205,0))))))</x:f>
      </x:c>
      <x:c r="J12" s="315" t="str">
        <x:f>IF(A12="","",IF(COUNTIFS($A$6:$A$205,A12)&gt;1,"Duplicate ID",IF(OR(B12="",COUNTIFS('Clients'!$A$6:$A$205,B12)&lt;&gt;1),"Check Client ID",IF(OR(C12="",COUNTIFS('Properties'!$A$6:$A$205,C12)&lt;&gt;1),"Check Property ID",IF(NOT(ISNUMBER(D12)),"Add appointment date",IF(E12="","Set viewing status",""))))))</x:f>
      </x:c>
    </x:row>
    <x:row r="13" ht="26" customHeight="1">
      <x:c r="A13" s="319"/>
      <x:c r="B13" s="320"/>
      <x:c r="C13" s="274"/>
      <x:c r="D13" s="350"/>
      <x:c r="E13" s="274"/>
      <x:c r="F13" s="274"/>
      <x:c r="G13" s="280"/>
      <x:c r="H13" s="265" t="str">
        <x:f>IF(A13="","",IF(B13="","",IF(COUNTIFS('Clients'!$A$6:$A$205,B13)&lt;&gt;1,"Check Client ID",IF(INDEX('Clients'!$B$6:$B$205,MATCH(B13,'Clients'!$A$6:$A$205,0))="","Name missing",INDEX('Clients'!$B$6:$B$205,MATCH(B13,'Clients'!$A$6:$A$205,0))))))</x:f>
      </x:c>
      <x:c r="I13" s="265" t="str">
        <x:f>IF(A13="","",IF(C13="","",IF(COUNTIFS('Properties'!$A$6:$A$205,C13)&lt;&gt;1,"Check Property ID",IF(INDEX('Properties'!$B$6:$B$205,MATCH(C13,'Properties'!$A$6:$A$205,0))="","Name missing",INDEX('Properties'!$B$6:$B$205,MATCH(C13,'Properties'!$A$6:$A$205,0))))))</x:f>
      </x:c>
      <x:c r="J13" s="315" t="str">
        <x:f>IF(A13="","",IF(COUNTIFS($A$6:$A$205,A13)&gt;1,"Duplicate ID",IF(OR(B13="",COUNTIFS('Clients'!$A$6:$A$205,B13)&lt;&gt;1),"Check Client ID",IF(OR(C13="",COUNTIFS('Properties'!$A$6:$A$205,C13)&lt;&gt;1),"Check Property ID",IF(NOT(ISNUMBER(D13)),"Add appointment date",IF(E13="","Set viewing status",""))))))</x:f>
      </x:c>
    </x:row>
    <x:row r="14" ht="26" customHeight="1">
      <x:c r="A14" s="317"/>
      <x:c r="B14" s="318"/>
      <x:c r="C14" s="235"/>
      <x:c r="D14" s="348"/>
      <x:c r="E14" s="235"/>
      <x:c r="F14" s="235"/>
      <x:c r="G14" s="239"/>
      <x:c r="H14" s="265" t="str">
        <x:f>IF(A14="","",IF(B14="","",IF(COUNTIFS('Clients'!$A$6:$A$205,B14)&lt;&gt;1,"Check Client ID",IF(INDEX('Clients'!$B$6:$B$205,MATCH(B14,'Clients'!$A$6:$A$205,0))="","Name missing",INDEX('Clients'!$B$6:$B$205,MATCH(B14,'Clients'!$A$6:$A$205,0))))))</x:f>
      </x:c>
      <x:c r="I14" s="265" t="str">
        <x:f>IF(A14="","",IF(C14="","",IF(COUNTIFS('Properties'!$A$6:$A$205,C14)&lt;&gt;1,"Check Property ID",IF(INDEX('Properties'!$B$6:$B$205,MATCH(C14,'Properties'!$A$6:$A$205,0))="","Name missing",INDEX('Properties'!$B$6:$B$205,MATCH(C14,'Properties'!$A$6:$A$205,0))))))</x:f>
      </x:c>
      <x:c r="J14" s="315" t="str">
        <x:f>IF(A14="","",IF(COUNTIFS($A$6:$A$205,A14)&gt;1,"Duplicate ID",IF(OR(B14="",COUNTIFS('Clients'!$A$6:$A$205,B14)&lt;&gt;1),"Check Client ID",IF(OR(C14="",COUNTIFS('Properties'!$A$6:$A$205,C14)&lt;&gt;1),"Check Property ID",IF(NOT(ISNUMBER(D14)),"Add appointment date",IF(E14="","Set viewing status",""))))))</x:f>
      </x:c>
    </x:row>
    <x:row r="15" ht="26" customHeight="1">
      <x:c r="A15" s="319"/>
      <x:c r="B15" s="320"/>
      <x:c r="C15" s="274"/>
      <x:c r="D15" s="350"/>
      <x:c r="E15" s="274"/>
      <x:c r="F15" s="274"/>
      <x:c r="G15" s="280"/>
      <x:c r="H15" s="265" t="str">
        <x:f>IF(A15="","",IF(B15="","",IF(COUNTIFS('Clients'!$A$6:$A$205,B15)&lt;&gt;1,"Check Client ID",IF(INDEX('Clients'!$B$6:$B$205,MATCH(B15,'Clients'!$A$6:$A$205,0))="","Name missing",INDEX('Clients'!$B$6:$B$205,MATCH(B15,'Clients'!$A$6:$A$205,0))))))</x:f>
      </x:c>
      <x:c r="I15" s="265" t="str">
        <x:f>IF(A15="","",IF(C15="","",IF(COUNTIFS('Properties'!$A$6:$A$205,C15)&lt;&gt;1,"Check Property ID",IF(INDEX('Properties'!$B$6:$B$205,MATCH(C15,'Properties'!$A$6:$A$205,0))="","Name missing",INDEX('Properties'!$B$6:$B$205,MATCH(C15,'Properties'!$A$6:$A$205,0))))))</x:f>
      </x:c>
      <x:c r="J15" s="315" t="str">
        <x:f>IF(A15="","",IF(COUNTIFS($A$6:$A$205,A15)&gt;1,"Duplicate ID",IF(OR(B15="",COUNTIFS('Clients'!$A$6:$A$205,B15)&lt;&gt;1),"Check Client ID",IF(OR(C15="",COUNTIFS('Properties'!$A$6:$A$205,C15)&lt;&gt;1),"Check Property ID",IF(NOT(ISNUMBER(D15)),"Add appointment date",IF(E15="","Set viewing status",""))))))</x:f>
      </x:c>
    </x:row>
    <x:row r="16" ht="26" customHeight="1">
      <x:c r="A16" s="317"/>
      <x:c r="B16" s="318"/>
      <x:c r="C16" s="235"/>
      <x:c r="D16" s="348"/>
      <x:c r="E16" s="235"/>
      <x:c r="F16" s="235"/>
      <x:c r="G16" s="239"/>
      <x:c r="H16" s="265" t="str">
        <x:f>IF(A16="","",IF(B16="","",IF(COUNTIFS('Clients'!$A$6:$A$205,B16)&lt;&gt;1,"Check Client ID",IF(INDEX('Clients'!$B$6:$B$205,MATCH(B16,'Clients'!$A$6:$A$205,0))="","Name missing",INDEX('Clients'!$B$6:$B$205,MATCH(B16,'Clients'!$A$6:$A$205,0))))))</x:f>
      </x:c>
      <x:c r="I16" s="265" t="str">
        <x:f>IF(A16="","",IF(C16="","",IF(COUNTIFS('Properties'!$A$6:$A$205,C16)&lt;&gt;1,"Check Property ID",IF(INDEX('Properties'!$B$6:$B$205,MATCH(C16,'Properties'!$A$6:$A$205,0))="","Name missing",INDEX('Properties'!$B$6:$B$205,MATCH(C16,'Properties'!$A$6:$A$205,0))))))</x:f>
      </x:c>
      <x:c r="J16" s="315" t="str">
        <x:f>IF(A16="","",IF(COUNTIFS($A$6:$A$205,A16)&gt;1,"Duplicate ID",IF(OR(B16="",COUNTIFS('Clients'!$A$6:$A$205,B16)&lt;&gt;1),"Check Client ID",IF(OR(C16="",COUNTIFS('Properties'!$A$6:$A$205,C16)&lt;&gt;1),"Check Property ID",IF(NOT(ISNUMBER(D16)),"Add appointment date",IF(E16="","Set viewing status",""))))))</x:f>
      </x:c>
    </x:row>
    <x:row r="17" ht="26" customHeight="1">
      <x:c r="A17" s="319"/>
      <x:c r="B17" s="320"/>
      <x:c r="C17" s="274"/>
      <x:c r="D17" s="350"/>
      <x:c r="E17" s="274"/>
      <x:c r="F17" s="274"/>
      <x:c r="G17" s="280"/>
      <x:c r="H17" s="265" t="str">
        <x:f>IF(A17="","",IF(B17="","",IF(COUNTIFS('Clients'!$A$6:$A$205,B17)&lt;&gt;1,"Check Client ID",IF(INDEX('Clients'!$B$6:$B$205,MATCH(B17,'Clients'!$A$6:$A$205,0))="","Name missing",INDEX('Clients'!$B$6:$B$205,MATCH(B17,'Clients'!$A$6:$A$205,0))))))</x:f>
      </x:c>
      <x:c r="I17" s="265" t="str">
        <x:f>IF(A17="","",IF(C17="","",IF(COUNTIFS('Properties'!$A$6:$A$205,C17)&lt;&gt;1,"Check Property ID",IF(INDEX('Properties'!$B$6:$B$205,MATCH(C17,'Properties'!$A$6:$A$205,0))="","Name missing",INDEX('Properties'!$B$6:$B$205,MATCH(C17,'Properties'!$A$6:$A$205,0))))))</x:f>
      </x:c>
      <x:c r="J17" s="315" t="str">
        <x:f>IF(A17="","",IF(COUNTIFS($A$6:$A$205,A17)&gt;1,"Duplicate ID",IF(OR(B17="",COUNTIFS('Clients'!$A$6:$A$205,B17)&lt;&gt;1),"Check Client ID",IF(OR(C17="",COUNTIFS('Properties'!$A$6:$A$205,C17)&lt;&gt;1),"Check Property ID",IF(NOT(ISNUMBER(D17)),"Add appointment date",IF(E17="","Set viewing status",""))))))</x:f>
      </x:c>
    </x:row>
    <x:row r="18" ht="26" customHeight="1">
      <x:c r="A18" s="317"/>
      <x:c r="B18" s="318"/>
      <x:c r="C18" s="235"/>
      <x:c r="D18" s="348"/>
      <x:c r="E18" s="235"/>
      <x:c r="F18" s="235"/>
      <x:c r="G18" s="239"/>
      <x:c r="H18" s="265" t="str">
        <x:f>IF(A18="","",IF(B18="","",IF(COUNTIFS('Clients'!$A$6:$A$205,B18)&lt;&gt;1,"Check Client ID",IF(INDEX('Clients'!$B$6:$B$205,MATCH(B18,'Clients'!$A$6:$A$205,0))="","Name missing",INDEX('Clients'!$B$6:$B$205,MATCH(B18,'Clients'!$A$6:$A$205,0))))))</x:f>
      </x:c>
      <x:c r="I18" s="265" t="str">
        <x:f>IF(A18="","",IF(C18="","",IF(COUNTIFS('Properties'!$A$6:$A$205,C18)&lt;&gt;1,"Check Property ID",IF(INDEX('Properties'!$B$6:$B$205,MATCH(C18,'Properties'!$A$6:$A$205,0))="","Name missing",INDEX('Properties'!$B$6:$B$205,MATCH(C18,'Properties'!$A$6:$A$205,0))))))</x:f>
      </x:c>
      <x:c r="J18" s="315" t="str">
        <x:f>IF(A18="","",IF(COUNTIFS($A$6:$A$205,A18)&gt;1,"Duplicate ID",IF(OR(B18="",COUNTIFS('Clients'!$A$6:$A$205,B18)&lt;&gt;1),"Check Client ID",IF(OR(C18="",COUNTIFS('Properties'!$A$6:$A$205,C18)&lt;&gt;1),"Check Property ID",IF(NOT(ISNUMBER(D18)),"Add appointment date",IF(E18="","Set viewing status",""))))))</x:f>
      </x:c>
    </x:row>
    <x:row r="19" ht="26" customHeight="1">
      <x:c r="A19" s="319"/>
      <x:c r="B19" s="320"/>
      <x:c r="C19" s="274"/>
      <x:c r="D19" s="350"/>
      <x:c r="E19" s="274"/>
      <x:c r="F19" s="274"/>
      <x:c r="G19" s="280"/>
      <x:c r="H19" s="265" t="str">
        <x:f>IF(A19="","",IF(B19="","",IF(COUNTIFS('Clients'!$A$6:$A$205,B19)&lt;&gt;1,"Check Client ID",IF(INDEX('Clients'!$B$6:$B$205,MATCH(B19,'Clients'!$A$6:$A$205,0))="","Name missing",INDEX('Clients'!$B$6:$B$205,MATCH(B19,'Clients'!$A$6:$A$205,0))))))</x:f>
      </x:c>
      <x:c r="I19" s="265" t="str">
        <x:f>IF(A19="","",IF(C19="","",IF(COUNTIFS('Properties'!$A$6:$A$205,C19)&lt;&gt;1,"Check Property ID",IF(INDEX('Properties'!$B$6:$B$205,MATCH(C19,'Properties'!$A$6:$A$205,0))="","Name missing",INDEX('Properties'!$B$6:$B$205,MATCH(C19,'Properties'!$A$6:$A$205,0))))))</x:f>
      </x:c>
      <x:c r="J19" s="315" t="str">
        <x:f>IF(A19="","",IF(COUNTIFS($A$6:$A$205,A19)&gt;1,"Duplicate ID",IF(OR(B19="",COUNTIFS('Clients'!$A$6:$A$205,B19)&lt;&gt;1),"Check Client ID",IF(OR(C19="",COUNTIFS('Properties'!$A$6:$A$205,C19)&lt;&gt;1),"Check Property ID",IF(NOT(ISNUMBER(D19)),"Add appointment date",IF(E19="","Set viewing status",""))))))</x:f>
      </x:c>
    </x:row>
    <x:row r="20" ht="26" customHeight="1">
      <x:c r="A20" s="317"/>
      <x:c r="B20" s="318"/>
      <x:c r="C20" s="235"/>
      <x:c r="D20" s="348"/>
      <x:c r="E20" s="235"/>
      <x:c r="F20" s="235"/>
      <x:c r="G20" s="239"/>
      <x:c r="H20" s="265" t="str">
        <x:f>IF(A20="","",IF(B20="","",IF(COUNTIFS('Clients'!$A$6:$A$205,B20)&lt;&gt;1,"Check Client ID",IF(INDEX('Clients'!$B$6:$B$205,MATCH(B20,'Clients'!$A$6:$A$205,0))="","Name missing",INDEX('Clients'!$B$6:$B$205,MATCH(B20,'Clients'!$A$6:$A$205,0))))))</x:f>
      </x:c>
      <x:c r="I20" s="265" t="str">
        <x:f>IF(A20="","",IF(C20="","",IF(COUNTIFS('Properties'!$A$6:$A$205,C20)&lt;&gt;1,"Check Property ID",IF(INDEX('Properties'!$B$6:$B$205,MATCH(C20,'Properties'!$A$6:$A$205,0))="","Name missing",INDEX('Properties'!$B$6:$B$205,MATCH(C20,'Properties'!$A$6:$A$205,0))))))</x:f>
      </x:c>
      <x:c r="J20" s="315" t="str">
        <x:f>IF(A20="","",IF(COUNTIFS($A$6:$A$205,A20)&gt;1,"Duplicate ID",IF(OR(B20="",COUNTIFS('Clients'!$A$6:$A$205,B20)&lt;&gt;1),"Check Client ID",IF(OR(C20="",COUNTIFS('Properties'!$A$6:$A$205,C20)&lt;&gt;1),"Check Property ID",IF(NOT(ISNUMBER(D20)),"Add appointment date",IF(E20="","Set viewing status",""))))))</x:f>
      </x:c>
    </x:row>
    <x:row r="21" ht="26" customHeight="1">
      <x:c r="A21" s="319"/>
      <x:c r="B21" s="320"/>
      <x:c r="C21" s="274"/>
      <x:c r="D21" s="350"/>
      <x:c r="E21" s="274"/>
      <x:c r="F21" s="274"/>
      <x:c r="G21" s="280"/>
      <x:c r="H21" s="265" t="str">
        <x:f>IF(A21="","",IF(B21="","",IF(COUNTIFS('Clients'!$A$6:$A$205,B21)&lt;&gt;1,"Check Client ID",IF(INDEX('Clients'!$B$6:$B$205,MATCH(B21,'Clients'!$A$6:$A$205,0))="","Name missing",INDEX('Clients'!$B$6:$B$205,MATCH(B21,'Clients'!$A$6:$A$205,0))))))</x:f>
      </x:c>
      <x:c r="I21" s="265" t="str">
        <x:f>IF(A21="","",IF(C21="","",IF(COUNTIFS('Properties'!$A$6:$A$205,C21)&lt;&gt;1,"Check Property ID",IF(INDEX('Properties'!$B$6:$B$205,MATCH(C21,'Properties'!$A$6:$A$205,0))="","Name missing",INDEX('Properties'!$B$6:$B$205,MATCH(C21,'Properties'!$A$6:$A$205,0))))))</x:f>
      </x:c>
      <x:c r="J21" s="315" t="str">
        <x:f>IF(A21="","",IF(COUNTIFS($A$6:$A$205,A21)&gt;1,"Duplicate ID",IF(OR(B21="",COUNTIFS('Clients'!$A$6:$A$205,B21)&lt;&gt;1),"Check Client ID",IF(OR(C21="",COUNTIFS('Properties'!$A$6:$A$205,C21)&lt;&gt;1),"Check Property ID",IF(NOT(ISNUMBER(D21)),"Add appointment date",IF(E21="","Set viewing status",""))))))</x:f>
      </x:c>
    </x:row>
    <x:row r="22" ht="26" customHeight="1">
      <x:c r="A22" s="317"/>
      <x:c r="B22" s="318"/>
      <x:c r="C22" s="235"/>
      <x:c r="D22" s="348"/>
      <x:c r="E22" s="235"/>
      <x:c r="F22" s="235"/>
      <x:c r="G22" s="239"/>
      <x:c r="H22" s="265" t="str">
        <x:f>IF(A22="","",IF(B22="","",IF(COUNTIFS('Clients'!$A$6:$A$205,B22)&lt;&gt;1,"Check Client ID",IF(INDEX('Clients'!$B$6:$B$205,MATCH(B22,'Clients'!$A$6:$A$205,0))="","Name missing",INDEX('Clients'!$B$6:$B$205,MATCH(B22,'Clients'!$A$6:$A$205,0))))))</x:f>
      </x:c>
      <x:c r="I22" s="265" t="str">
        <x:f>IF(A22="","",IF(C22="","",IF(COUNTIFS('Properties'!$A$6:$A$205,C22)&lt;&gt;1,"Check Property ID",IF(INDEX('Properties'!$B$6:$B$205,MATCH(C22,'Properties'!$A$6:$A$205,0))="","Name missing",INDEX('Properties'!$B$6:$B$205,MATCH(C22,'Properties'!$A$6:$A$205,0))))))</x:f>
      </x:c>
      <x:c r="J22" s="315" t="str">
        <x:f>IF(A22="","",IF(COUNTIFS($A$6:$A$205,A22)&gt;1,"Duplicate ID",IF(OR(B22="",COUNTIFS('Clients'!$A$6:$A$205,B22)&lt;&gt;1),"Check Client ID",IF(OR(C22="",COUNTIFS('Properties'!$A$6:$A$205,C22)&lt;&gt;1),"Check Property ID",IF(NOT(ISNUMBER(D22)),"Add appointment date",IF(E22="","Set viewing status",""))))))</x:f>
      </x:c>
    </x:row>
    <x:row r="23" ht="26" customHeight="1">
      <x:c r="A23" s="319"/>
      <x:c r="B23" s="320"/>
      <x:c r="C23" s="274"/>
      <x:c r="D23" s="350"/>
      <x:c r="E23" s="274"/>
      <x:c r="F23" s="274"/>
      <x:c r="G23" s="280"/>
      <x:c r="H23" s="265" t="str">
        <x:f>IF(A23="","",IF(B23="","",IF(COUNTIFS('Clients'!$A$6:$A$205,B23)&lt;&gt;1,"Check Client ID",IF(INDEX('Clients'!$B$6:$B$205,MATCH(B23,'Clients'!$A$6:$A$205,0))="","Name missing",INDEX('Clients'!$B$6:$B$205,MATCH(B23,'Clients'!$A$6:$A$205,0))))))</x:f>
      </x:c>
      <x:c r="I23" s="265" t="str">
        <x:f>IF(A23="","",IF(C23="","",IF(COUNTIFS('Properties'!$A$6:$A$205,C23)&lt;&gt;1,"Check Property ID",IF(INDEX('Properties'!$B$6:$B$205,MATCH(C23,'Properties'!$A$6:$A$205,0))="","Name missing",INDEX('Properties'!$B$6:$B$205,MATCH(C23,'Properties'!$A$6:$A$205,0))))))</x:f>
      </x:c>
      <x:c r="J23" s="315" t="str">
        <x:f>IF(A23="","",IF(COUNTIFS($A$6:$A$205,A23)&gt;1,"Duplicate ID",IF(OR(B23="",COUNTIFS('Clients'!$A$6:$A$205,B23)&lt;&gt;1),"Check Client ID",IF(OR(C23="",COUNTIFS('Properties'!$A$6:$A$205,C23)&lt;&gt;1),"Check Property ID",IF(NOT(ISNUMBER(D23)),"Add appointment date",IF(E23="","Set viewing status",""))))))</x:f>
      </x:c>
    </x:row>
    <x:row r="24" ht="26" customHeight="1">
      <x:c r="A24" s="317"/>
      <x:c r="B24" s="318"/>
      <x:c r="C24" s="235"/>
      <x:c r="D24" s="348"/>
      <x:c r="E24" s="235"/>
      <x:c r="F24" s="235"/>
      <x:c r="G24" s="239"/>
      <x:c r="H24" s="265" t="str">
        <x:f>IF(A24="","",IF(B24="","",IF(COUNTIFS('Clients'!$A$6:$A$205,B24)&lt;&gt;1,"Check Client ID",IF(INDEX('Clients'!$B$6:$B$205,MATCH(B24,'Clients'!$A$6:$A$205,0))="","Name missing",INDEX('Clients'!$B$6:$B$205,MATCH(B24,'Clients'!$A$6:$A$205,0))))))</x:f>
      </x:c>
      <x:c r="I24" s="265" t="str">
        <x:f>IF(A24="","",IF(C24="","",IF(COUNTIFS('Properties'!$A$6:$A$205,C24)&lt;&gt;1,"Check Property ID",IF(INDEX('Properties'!$B$6:$B$205,MATCH(C24,'Properties'!$A$6:$A$205,0))="","Name missing",INDEX('Properties'!$B$6:$B$205,MATCH(C24,'Properties'!$A$6:$A$205,0))))))</x:f>
      </x:c>
      <x:c r="J24" s="315" t="str">
        <x:f>IF(A24="","",IF(COUNTIFS($A$6:$A$205,A24)&gt;1,"Duplicate ID",IF(OR(B24="",COUNTIFS('Clients'!$A$6:$A$205,B24)&lt;&gt;1),"Check Client ID",IF(OR(C24="",COUNTIFS('Properties'!$A$6:$A$205,C24)&lt;&gt;1),"Check Property ID",IF(NOT(ISNUMBER(D24)),"Add appointment date",IF(E24="","Set viewing status",""))))))</x:f>
      </x:c>
    </x:row>
    <x:row r="25" ht="26" customHeight="1">
      <x:c r="A25" s="319"/>
      <x:c r="B25" s="320"/>
      <x:c r="C25" s="274"/>
      <x:c r="D25" s="350"/>
      <x:c r="E25" s="274"/>
      <x:c r="F25" s="274"/>
      <x:c r="G25" s="280"/>
      <x:c r="H25" s="265" t="str">
        <x:f>IF(A25="","",IF(B25="","",IF(COUNTIFS('Clients'!$A$6:$A$205,B25)&lt;&gt;1,"Check Client ID",IF(INDEX('Clients'!$B$6:$B$205,MATCH(B25,'Clients'!$A$6:$A$205,0))="","Name missing",INDEX('Clients'!$B$6:$B$205,MATCH(B25,'Clients'!$A$6:$A$205,0))))))</x:f>
      </x:c>
      <x:c r="I25" s="265" t="str">
        <x:f>IF(A25="","",IF(C25="","",IF(COUNTIFS('Properties'!$A$6:$A$205,C25)&lt;&gt;1,"Check Property ID",IF(INDEX('Properties'!$B$6:$B$205,MATCH(C25,'Properties'!$A$6:$A$205,0))="","Name missing",INDEX('Properties'!$B$6:$B$205,MATCH(C25,'Properties'!$A$6:$A$205,0))))))</x:f>
      </x:c>
      <x:c r="J25" s="315" t="str">
        <x:f>IF(A25="","",IF(COUNTIFS($A$6:$A$205,A25)&gt;1,"Duplicate ID",IF(OR(B25="",COUNTIFS('Clients'!$A$6:$A$205,B25)&lt;&gt;1),"Check Client ID",IF(OR(C25="",COUNTIFS('Properties'!$A$6:$A$205,C25)&lt;&gt;1),"Check Property ID",IF(NOT(ISNUMBER(D25)),"Add appointment date",IF(E25="","Set viewing status",""))))))</x:f>
      </x:c>
    </x:row>
    <x:row r="26" ht="26" customHeight="1">
      <x:c r="A26" s="317"/>
      <x:c r="B26" s="318"/>
      <x:c r="C26" s="235"/>
      <x:c r="D26" s="348"/>
      <x:c r="E26" s="235"/>
      <x:c r="F26" s="235"/>
      <x:c r="G26" s="239"/>
      <x:c r="H26" s="265" t="str">
        <x:f>IF(A26="","",IF(B26="","",IF(COUNTIFS('Clients'!$A$6:$A$205,B26)&lt;&gt;1,"Check Client ID",IF(INDEX('Clients'!$B$6:$B$205,MATCH(B26,'Clients'!$A$6:$A$205,0))="","Name missing",INDEX('Clients'!$B$6:$B$205,MATCH(B26,'Clients'!$A$6:$A$205,0))))))</x:f>
      </x:c>
      <x:c r="I26" s="265" t="str">
        <x:f>IF(A26="","",IF(C26="","",IF(COUNTIFS('Properties'!$A$6:$A$205,C26)&lt;&gt;1,"Check Property ID",IF(INDEX('Properties'!$B$6:$B$205,MATCH(C26,'Properties'!$A$6:$A$205,0))="","Name missing",INDEX('Properties'!$B$6:$B$205,MATCH(C26,'Properties'!$A$6:$A$205,0))))))</x:f>
      </x:c>
      <x:c r="J26" s="315" t="str">
        <x:f>IF(A26="","",IF(COUNTIFS($A$6:$A$205,A26)&gt;1,"Duplicate ID",IF(OR(B26="",COUNTIFS('Clients'!$A$6:$A$205,B26)&lt;&gt;1),"Check Client ID",IF(OR(C26="",COUNTIFS('Properties'!$A$6:$A$205,C26)&lt;&gt;1),"Check Property ID",IF(NOT(ISNUMBER(D26)),"Add appointment date",IF(E26="","Set viewing status",""))))))</x:f>
      </x:c>
    </x:row>
    <x:row r="27" ht="26" customHeight="1">
      <x:c r="A27" s="319"/>
      <x:c r="B27" s="320"/>
      <x:c r="C27" s="274"/>
      <x:c r="D27" s="350"/>
      <x:c r="E27" s="274"/>
      <x:c r="F27" s="274"/>
      <x:c r="G27" s="280"/>
      <x:c r="H27" s="265" t="str">
        <x:f>IF(A27="","",IF(B27="","",IF(COUNTIFS('Clients'!$A$6:$A$205,B27)&lt;&gt;1,"Check Client ID",IF(INDEX('Clients'!$B$6:$B$205,MATCH(B27,'Clients'!$A$6:$A$205,0))="","Name missing",INDEX('Clients'!$B$6:$B$205,MATCH(B27,'Clients'!$A$6:$A$205,0))))))</x:f>
      </x:c>
      <x:c r="I27" s="265" t="str">
        <x:f>IF(A27="","",IF(C27="","",IF(COUNTIFS('Properties'!$A$6:$A$205,C27)&lt;&gt;1,"Check Property ID",IF(INDEX('Properties'!$B$6:$B$205,MATCH(C27,'Properties'!$A$6:$A$205,0))="","Name missing",INDEX('Properties'!$B$6:$B$205,MATCH(C27,'Properties'!$A$6:$A$205,0))))))</x:f>
      </x:c>
      <x:c r="J27" s="315" t="str">
        <x:f>IF(A27="","",IF(COUNTIFS($A$6:$A$205,A27)&gt;1,"Duplicate ID",IF(OR(B27="",COUNTIFS('Clients'!$A$6:$A$205,B27)&lt;&gt;1),"Check Client ID",IF(OR(C27="",COUNTIFS('Properties'!$A$6:$A$205,C27)&lt;&gt;1),"Check Property ID",IF(NOT(ISNUMBER(D27)),"Add appointment date",IF(E27="","Set viewing status",""))))))</x:f>
      </x:c>
    </x:row>
    <x:row r="28" ht="26" customHeight="1">
      <x:c r="A28" s="317"/>
      <x:c r="B28" s="318"/>
      <x:c r="C28" s="235"/>
      <x:c r="D28" s="348"/>
      <x:c r="E28" s="235"/>
      <x:c r="F28" s="235"/>
      <x:c r="G28" s="239"/>
      <x:c r="H28" s="265" t="str">
        <x:f>IF(A28="","",IF(B28="","",IF(COUNTIFS('Clients'!$A$6:$A$205,B28)&lt;&gt;1,"Check Client ID",IF(INDEX('Clients'!$B$6:$B$205,MATCH(B28,'Clients'!$A$6:$A$205,0))="","Name missing",INDEX('Clients'!$B$6:$B$205,MATCH(B28,'Clients'!$A$6:$A$205,0))))))</x:f>
      </x:c>
      <x:c r="I28" s="265" t="str">
        <x:f>IF(A28="","",IF(C28="","",IF(COUNTIFS('Properties'!$A$6:$A$205,C28)&lt;&gt;1,"Check Property ID",IF(INDEX('Properties'!$B$6:$B$205,MATCH(C28,'Properties'!$A$6:$A$205,0))="","Name missing",INDEX('Properties'!$B$6:$B$205,MATCH(C28,'Properties'!$A$6:$A$205,0))))))</x:f>
      </x:c>
      <x:c r="J28" s="315" t="str">
        <x:f>IF(A28="","",IF(COUNTIFS($A$6:$A$205,A28)&gt;1,"Duplicate ID",IF(OR(B28="",COUNTIFS('Clients'!$A$6:$A$205,B28)&lt;&gt;1),"Check Client ID",IF(OR(C28="",COUNTIFS('Properties'!$A$6:$A$205,C28)&lt;&gt;1),"Check Property ID",IF(NOT(ISNUMBER(D28)),"Add appointment date",IF(E28="","Set viewing status",""))))))</x:f>
      </x:c>
    </x:row>
    <x:row r="29" ht="26" customHeight="1">
      <x:c r="A29" s="319"/>
      <x:c r="B29" s="320"/>
      <x:c r="C29" s="274"/>
      <x:c r="D29" s="350"/>
      <x:c r="E29" s="274"/>
      <x:c r="F29" s="274"/>
      <x:c r="G29" s="280"/>
      <x:c r="H29" s="265" t="str">
        <x:f>IF(A29="","",IF(B29="","",IF(COUNTIFS('Clients'!$A$6:$A$205,B29)&lt;&gt;1,"Check Client ID",IF(INDEX('Clients'!$B$6:$B$205,MATCH(B29,'Clients'!$A$6:$A$205,0))="","Name missing",INDEX('Clients'!$B$6:$B$205,MATCH(B29,'Clients'!$A$6:$A$205,0))))))</x:f>
      </x:c>
      <x:c r="I29" s="265" t="str">
        <x:f>IF(A29="","",IF(C29="","",IF(COUNTIFS('Properties'!$A$6:$A$205,C29)&lt;&gt;1,"Check Property ID",IF(INDEX('Properties'!$B$6:$B$205,MATCH(C29,'Properties'!$A$6:$A$205,0))="","Name missing",INDEX('Properties'!$B$6:$B$205,MATCH(C29,'Properties'!$A$6:$A$205,0))))))</x:f>
      </x:c>
      <x:c r="J29" s="315" t="str">
        <x:f>IF(A29="","",IF(COUNTIFS($A$6:$A$205,A29)&gt;1,"Duplicate ID",IF(OR(B29="",COUNTIFS('Clients'!$A$6:$A$205,B29)&lt;&gt;1),"Check Client ID",IF(OR(C29="",COUNTIFS('Properties'!$A$6:$A$205,C29)&lt;&gt;1),"Check Property ID",IF(NOT(ISNUMBER(D29)),"Add appointment date",IF(E29="","Set viewing status",""))))))</x:f>
      </x:c>
    </x:row>
    <x:row r="30" ht="26" customHeight="1">
      <x:c r="A30" s="317"/>
      <x:c r="B30" s="318"/>
      <x:c r="C30" s="235"/>
      <x:c r="D30" s="348"/>
      <x:c r="E30" s="235"/>
      <x:c r="F30" s="235"/>
      <x:c r="G30" s="239"/>
      <x:c r="H30" s="265" t="str">
        <x:f>IF(A30="","",IF(B30="","",IF(COUNTIFS('Clients'!$A$6:$A$205,B30)&lt;&gt;1,"Check Client ID",IF(INDEX('Clients'!$B$6:$B$205,MATCH(B30,'Clients'!$A$6:$A$205,0))="","Name missing",INDEX('Clients'!$B$6:$B$205,MATCH(B30,'Clients'!$A$6:$A$205,0))))))</x:f>
      </x:c>
      <x:c r="I30" s="265" t="str">
        <x:f>IF(A30="","",IF(C30="","",IF(COUNTIFS('Properties'!$A$6:$A$205,C30)&lt;&gt;1,"Check Property ID",IF(INDEX('Properties'!$B$6:$B$205,MATCH(C30,'Properties'!$A$6:$A$205,0))="","Name missing",INDEX('Properties'!$B$6:$B$205,MATCH(C30,'Properties'!$A$6:$A$205,0))))))</x:f>
      </x:c>
      <x:c r="J30" s="315" t="str">
        <x:f>IF(A30="","",IF(COUNTIFS($A$6:$A$205,A30)&gt;1,"Duplicate ID",IF(OR(B30="",COUNTIFS('Clients'!$A$6:$A$205,B30)&lt;&gt;1),"Check Client ID",IF(OR(C30="",COUNTIFS('Properties'!$A$6:$A$205,C30)&lt;&gt;1),"Check Property ID",IF(NOT(ISNUMBER(D30)),"Add appointment date",IF(E30="","Set viewing status",""))))))</x:f>
      </x:c>
    </x:row>
    <x:row r="31" ht="26" customHeight="1">
      <x:c r="A31" s="319"/>
      <x:c r="B31" s="320"/>
      <x:c r="C31" s="274"/>
      <x:c r="D31" s="350"/>
      <x:c r="E31" s="274"/>
      <x:c r="F31" s="274"/>
      <x:c r="G31" s="280"/>
      <x:c r="H31" s="265" t="str">
        <x:f>IF(A31="","",IF(B31="","",IF(COUNTIFS('Clients'!$A$6:$A$205,B31)&lt;&gt;1,"Check Client ID",IF(INDEX('Clients'!$B$6:$B$205,MATCH(B31,'Clients'!$A$6:$A$205,0))="","Name missing",INDEX('Clients'!$B$6:$B$205,MATCH(B31,'Clients'!$A$6:$A$205,0))))))</x:f>
      </x:c>
      <x:c r="I31" s="265" t="str">
        <x:f>IF(A31="","",IF(C31="","",IF(COUNTIFS('Properties'!$A$6:$A$205,C31)&lt;&gt;1,"Check Property ID",IF(INDEX('Properties'!$B$6:$B$205,MATCH(C31,'Properties'!$A$6:$A$205,0))="","Name missing",INDEX('Properties'!$B$6:$B$205,MATCH(C31,'Properties'!$A$6:$A$205,0))))))</x:f>
      </x:c>
      <x:c r="J31" s="315" t="str">
        <x:f>IF(A31="","",IF(COUNTIFS($A$6:$A$205,A31)&gt;1,"Duplicate ID",IF(OR(B31="",COUNTIFS('Clients'!$A$6:$A$205,B31)&lt;&gt;1),"Check Client ID",IF(OR(C31="",COUNTIFS('Properties'!$A$6:$A$205,C31)&lt;&gt;1),"Check Property ID",IF(NOT(ISNUMBER(D31)),"Add appointment date",IF(E31="","Set viewing status",""))))))</x:f>
      </x:c>
    </x:row>
    <x:row r="32" ht="26" customHeight="1">
      <x:c r="A32" s="317"/>
      <x:c r="B32" s="318"/>
      <x:c r="C32" s="235"/>
      <x:c r="D32" s="348"/>
      <x:c r="E32" s="235"/>
      <x:c r="F32" s="235"/>
      <x:c r="G32" s="239"/>
      <x:c r="H32" s="265" t="str">
        <x:f>IF(A32="","",IF(B32="","",IF(COUNTIFS('Clients'!$A$6:$A$205,B32)&lt;&gt;1,"Check Client ID",IF(INDEX('Clients'!$B$6:$B$205,MATCH(B32,'Clients'!$A$6:$A$205,0))="","Name missing",INDEX('Clients'!$B$6:$B$205,MATCH(B32,'Clients'!$A$6:$A$205,0))))))</x:f>
      </x:c>
      <x:c r="I32" s="265" t="str">
        <x:f>IF(A32="","",IF(C32="","",IF(COUNTIFS('Properties'!$A$6:$A$205,C32)&lt;&gt;1,"Check Property ID",IF(INDEX('Properties'!$B$6:$B$205,MATCH(C32,'Properties'!$A$6:$A$205,0))="","Name missing",INDEX('Properties'!$B$6:$B$205,MATCH(C32,'Properties'!$A$6:$A$205,0))))))</x:f>
      </x:c>
      <x:c r="J32" s="315" t="str">
        <x:f>IF(A32="","",IF(COUNTIFS($A$6:$A$205,A32)&gt;1,"Duplicate ID",IF(OR(B32="",COUNTIFS('Clients'!$A$6:$A$205,B32)&lt;&gt;1),"Check Client ID",IF(OR(C32="",COUNTIFS('Properties'!$A$6:$A$205,C32)&lt;&gt;1),"Check Property ID",IF(NOT(ISNUMBER(D32)),"Add appointment date",IF(E32="","Set viewing status",""))))))</x:f>
      </x:c>
    </x:row>
    <x:row r="33" ht="26" customHeight="1">
      <x:c r="A33" s="319"/>
      <x:c r="B33" s="320"/>
      <x:c r="C33" s="274"/>
      <x:c r="D33" s="350"/>
      <x:c r="E33" s="274"/>
      <x:c r="F33" s="274"/>
      <x:c r="G33" s="280"/>
      <x:c r="H33" s="265" t="str">
        <x:f>IF(A33="","",IF(B33="","",IF(COUNTIFS('Clients'!$A$6:$A$205,B33)&lt;&gt;1,"Check Client ID",IF(INDEX('Clients'!$B$6:$B$205,MATCH(B33,'Clients'!$A$6:$A$205,0))="","Name missing",INDEX('Clients'!$B$6:$B$205,MATCH(B33,'Clients'!$A$6:$A$205,0))))))</x:f>
      </x:c>
      <x:c r="I33" s="265" t="str">
        <x:f>IF(A33="","",IF(C33="","",IF(COUNTIFS('Properties'!$A$6:$A$205,C33)&lt;&gt;1,"Check Property ID",IF(INDEX('Properties'!$B$6:$B$205,MATCH(C33,'Properties'!$A$6:$A$205,0))="","Name missing",INDEX('Properties'!$B$6:$B$205,MATCH(C33,'Properties'!$A$6:$A$205,0))))))</x:f>
      </x:c>
      <x:c r="J33" s="315" t="str">
        <x:f>IF(A33="","",IF(COUNTIFS($A$6:$A$205,A33)&gt;1,"Duplicate ID",IF(OR(B33="",COUNTIFS('Clients'!$A$6:$A$205,B33)&lt;&gt;1),"Check Client ID",IF(OR(C33="",COUNTIFS('Properties'!$A$6:$A$205,C33)&lt;&gt;1),"Check Property ID",IF(NOT(ISNUMBER(D33)),"Add appointment date",IF(E33="","Set viewing status",""))))))</x:f>
      </x:c>
    </x:row>
    <x:row r="34" ht="26" customHeight="1">
      <x:c r="A34" s="317"/>
      <x:c r="B34" s="318"/>
      <x:c r="C34" s="235"/>
      <x:c r="D34" s="348"/>
      <x:c r="E34" s="235"/>
      <x:c r="F34" s="235"/>
      <x:c r="G34" s="239"/>
      <x:c r="H34" s="265" t="str">
        <x:f>IF(A34="","",IF(B34="","",IF(COUNTIFS('Clients'!$A$6:$A$205,B34)&lt;&gt;1,"Check Client ID",IF(INDEX('Clients'!$B$6:$B$205,MATCH(B34,'Clients'!$A$6:$A$205,0))="","Name missing",INDEX('Clients'!$B$6:$B$205,MATCH(B34,'Clients'!$A$6:$A$205,0))))))</x:f>
      </x:c>
      <x:c r="I34" s="265" t="str">
        <x:f>IF(A34="","",IF(C34="","",IF(COUNTIFS('Properties'!$A$6:$A$205,C34)&lt;&gt;1,"Check Property ID",IF(INDEX('Properties'!$B$6:$B$205,MATCH(C34,'Properties'!$A$6:$A$205,0))="","Name missing",INDEX('Properties'!$B$6:$B$205,MATCH(C34,'Properties'!$A$6:$A$205,0))))))</x:f>
      </x:c>
      <x:c r="J34" s="315" t="str">
        <x:f>IF(A34="","",IF(COUNTIFS($A$6:$A$205,A34)&gt;1,"Duplicate ID",IF(OR(B34="",COUNTIFS('Clients'!$A$6:$A$205,B34)&lt;&gt;1),"Check Client ID",IF(OR(C34="",COUNTIFS('Properties'!$A$6:$A$205,C34)&lt;&gt;1),"Check Property ID",IF(NOT(ISNUMBER(D34)),"Add appointment date",IF(E34="","Set viewing status",""))))))</x:f>
      </x:c>
    </x:row>
    <x:row r="35" ht="26" customHeight="1">
      <x:c r="A35" s="319"/>
      <x:c r="B35" s="320"/>
      <x:c r="C35" s="274"/>
      <x:c r="D35" s="350"/>
      <x:c r="E35" s="274"/>
      <x:c r="F35" s="274"/>
      <x:c r="G35" s="280"/>
      <x:c r="H35" s="265" t="str">
        <x:f>IF(A35="","",IF(B35="","",IF(COUNTIFS('Clients'!$A$6:$A$205,B35)&lt;&gt;1,"Check Client ID",IF(INDEX('Clients'!$B$6:$B$205,MATCH(B35,'Clients'!$A$6:$A$205,0))="","Name missing",INDEX('Clients'!$B$6:$B$205,MATCH(B35,'Clients'!$A$6:$A$205,0))))))</x:f>
      </x:c>
      <x:c r="I35" s="265" t="str">
        <x:f>IF(A35="","",IF(C35="","",IF(COUNTIFS('Properties'!$A$6:$A$205,C35)&lt;&gt;1,"Check Property ID",IF(INDEX('Properties'!$B$6:$B$205,MATCH(C35,'Properties'!$A$6:$A$205,0))="","Name missing",INDEX('Properties'!$B$6:$B$205,MATCH(C35,'Properties'!$A$6:$A$205,0))))))</x:f>
      </x:c>
      <x:c r="J35" s="315" t="str">
        <x:f>IF(A35="","",IF(COUNTIFS($A$6:$A$205,A35)&gt;1,"Duplicate ID",IF(OR(B35="",COUNTIFS('Clients'!$A$6:$A$205,B35)&lt;&gt;1),"Check Client ID",IF(OR(C35="",COUNTIFS('Properties'!$A$6:$A$205,C35)&lt;&gt;1),"Check Property ID",IF(NOT(ISNUMBER(D35)),"Add appointment date",IF(E35="","Set viewing status",""))))))</x:f>
      </x:c>
    </x:row>
    <x:row r="36" ht="26" customHeight="1">
      <x:c r="A36" s="317"/>
      <x:c r="B36" s="318"/>
      <x:c r="C36" s="235"/>
      <x:c r="D36" s="348"/>
      <x:c r="E36" s="235"/>
      <x:c r="F36" s="235"/>
      <x:c r="G36" s="239"/>
      <x:c r="H36" s="265" t="str">
        <x:f>IF(A36="","",IF(B36="","",IF(COUNTIFS('Clients'!$A$6:$A$205,B36)&lt;&gt;1,"Check Client ID",IF(INDEX('Clients'!$B$6:$B$205,MATCH(B36,'Clients'!$A$6:$A$205,0))="","Name missing",INDEX('Clients'!$B$6:$B$205,MATCH(B36,'Clients'!$A$6:$A$205,0))))))</x:f>
      </x:c>
      <x:c r="I36" s="265" t="str">
        <x:f>IF(A36="","",IF(C36="","",IF(COUNTIFS('Properties'!$A$6:$A$205,C36)&lt;&gt;1,"Check Property ID",IF(INDEX('Properties'!$B$6:$B$205,MATCH(C36,'Properties'!$A$6:$A$205,0))="","Name missing",INDEX('Properties'!$B$6:$B$205,MATCH(C36,'Properties'!$A$6:$A$205,0))))))</x:f>
      </x:c>
      <x:c r="J36" s="315" t="str">
        <x:f>IF(A36="","",IF(COUNTIFS($A$6:$A$205,A36)&gt;1,"Duplicate ID",IF(OR(B36="",COUNTIFS('Clients'!$A$6:$A$205,B36)&lt;&gt;1),"Check Client ID",IF(OR(C36="",COUNTIFS('Properties'!$A$6:$A$205,C36)&lt;&gt;1),"Check Property ID",IF(NOT(ISNUMBER(D36)),"Add appointment date",IF(E36="","Set viewing status",""))))))</x:f>
      </x:c>
    </x:row>
    <x:row r="37" ht="26" customHeight="1">
      <x:c r="A37" s="319"/>
      <x:c r="B37" s="320"/>
      <x:c r="C37" s="274"/>
      <x:c r="D37" s="350"/>
      <x:c r="E37" s="274"/>
      <x:c r="F37" s="274"/>
      <x:c r="G37" s="280"/>
      <x:c r="H37" s="265" t="str">
        <x:f>IF(A37="","",IF(B37="","",IF(COUNTIFS('Clients'!$A$6:$A$205,B37)&lt;&gt;1,"Check Client ID",IF(INDEX('Clients'!$B$6:$B$205,MATCH(B37,'Clients'!$A$6:$A$205,0))="","Name missing",INDEX('Clients'!$B$6:$B$205,MATCH(B37,'Clients'!$A$6:$A$205,0))))))</x:f>
      </x:c>
      <x:c r="I37" s="265" t="str">
        <x:f>IF(A37="","",IF(C37="","",IF(COUNTIFS('Properties'!$A$6:$A$205,C37)&lt;&gt;1,"Check Property ID",IF(INDEX('Properties'!$B$6:$B$205,MATCH(C37,'Properties'!$A$6:$A$205,0))="","Name missing",INDEX('Properties'!$B$6:$B$205,MATCH(C37,'Properties'!$A$6:$A$205,0))))))</x:f>
      </x:c>
      <x:c r="J37" s="315" t="str">
        <x:f>IF(A37="","",IF(COUNTIFS($A$6:$A$205,A37)&gt;1,"Duplicate ID",IF(OR(B37="",COUNTIFS('Clients'!$A$6:$A$205,B37)&lt;&gt;1),"Check Client ID",IF(OR(C37="",COUNTIFS('Properties'!$A$6:$A$205,C37)&lt;&gt;1),"Check Property ID",IF(NOT(ISNUMBER(D37)),"Add appointment date",IF(E37="","Set viewing status",""))))))</x:f>
      </x:c>
    </x:row>
    <x:row r="38" ht="26" customHeight="1">
      <x:c r="A38" s="317"/>
      <x:c r="B38" s="318"/>
      <x:c r="C38" s="235"/>
      <x:c r="D38" s="348"/>
      <x:c r="E38" s="235"/>
      <x:c r="F38" s="235"/>
      <x:c r="G38" s="239"/>
      <x:c r="H38" s="265" t="str">
        <x:f>IF(A38="","",IF(B38="","",IF(COUNTIFS('Clients'!$A$6:$A$205,B38)&lt;&gt;1,"Check Client ID",IF(INDEX('Clients'!$B$6:$B$205,MATCH(B38,'Clients'!$A$6:$A$205,0))="","Name missing",INDEX('Clients'!$B$6:$B$205,MATCH(B38,'Clients'!$A$6:$A$205,0))))))</x:f>
      </x:c>
      <x:c r="I38" s="265" t="str">
        <x:f>IF(A38="","",IF(C38="","",IF(COUNTIFS('Properties'!$A$6:$A$205,C38)&lt;&gt;1,"Check Property ID",IF(INDEX('Properties'!$B$6:$B$205,MATCH(C38,'Properties'!$A$6:$A$205,0))="","Name missing",INDEX('Properties'!$B$6:$B$205,MATCH(C38,'Properties'!$A$6:$A$205,0))))))</x:f>
      </x:c>
      <x:c r="J38" s="315" t="str">
        <x:f>IF(A38="","",IF(COUNTIFS($A$6:$A$205,A38)&gt;1,"Duplicate ID",IF(OR(B38="",COUNTIFS('Clients'!$A$6:$A$205,B38)&lt;&gt;1),"Check Client ID",IF(OR(C38="",COUNTIFS('Properties'!$A$6:$A$205,C38)&lt;&gt;1),"Check Property ID",IF(NOT(ISNUMBER(D38)),"Add appointment date",IF(E38="","Set viewing status",""))))))</x:f>
      </x:c>
    </x:row>
    <x:row r="39" ht="26" customHeight="1">
      <x:c r="A39" s="319"/>
      <x:c r="B39" s="320"/>
      <x:c r="C39" s="274"/>
      <x:c r="D39" s="350"/>
      <x:c r="E39" s="274"/>
      <x:c r="F39" s="274"/>
      <x:c r="G39" s="280"/>
      <x:c r="H39" s="265" t="str">
        <x:f>IF(A39="","",IF(B39="","",IF(COUNTIFS('Clients'!$A$6:$A$205,B39)&lt;&gt;1,"Check Client ID",IF(INDEX('Clients'!$B$6:$B$205,MATCH(B39,'Clients'!$A$6:$A$205,0))="","Name missing",INDEX('Clients'!$B$6:$B$205,MATCH(B39,'Clients'!$A$6:$A$205,0))))))</x:f>
      </x:c>
      <x:c r="I39" s="265" t="str">
        <x:f>IF(A39="","",IF(C39="","",IF(COUNTIFS('Properties'!$A$6:$A$205,C39)&lt;&gt;1,"Check Property ID",IF(INDEX('Properties'!$B$6:$B$205,MATCH(C39,'Properties'!$A$6:$A$205,0))="","Name missing",INDEX('Properties'!$B$6:$B$205,MATCH(C39,'Properties'!$A$6:$A$205,0))))))</x:f>
      </x:c>
      <x:c r="J39" s="315" t="str">
        <x:f>IF(A39="","",IF(COUNTIFS($A$6:$A$205,A39)&gt;1,"Duplicate ID",IF(OR(B39="",COUNTIFS('Clients'!$A$6:$A$205,B39)&lt;&gt;1),"Check Client ID",IF(OR(C39="",COUNTIFS('Properties'!$A$6:$A$205,C39)&lt;&gt;1),"Check Property ID",IF(NOT(ISNUMBER(D39)),"Add appointment date",IF(E39="","Set viewing status",""))))))</x:f>
      </x:c>
    </x:row>
    <x:row r="40" ht="26" customHeight="1">
      <x:c r="A40" s="317"/>
      <x:c r="B40" s="318"/>
      <x:c r="C40" s="235"/>
      <x:c r="D40" s="348"/>
      <x:c r="E40" s="235"/>
      <x:c r="F40" s="235"/>
      <x:c r="G40" s="239"/>
      <x:c r="H40" s="265" t="str">
        <x:f>IF(A40="","",IF(B40="","",IF(COUNTIFS('Clients'!$A$6:$A$205,B40)&lt;&gt;1,"Check Client ID",IF(INDEX('Clients'!$B$6:$B$205,MATCH(B40,'Clients'!$A$6:$A$205,0))="","Name missing",INDEX('Clients'!$B$6:$B$205,MATCH(B40,'Clients'!$A$6:$A$205,0))))))</x:f>
      </x:c>
      <x:c r="I40" s="265" t="str">
        <x:f>IF(A40="","",IF(C40="","",IF(COUNTIFS('Properties'!$A$6:$A$205,C40)&lt;&gt;1,"Check Property ID",IF(INDEX('Properties'!$B$6:$B$205,MATCH(C40,'Properties'!$A$6:$A$205,0))="","Name missing",INDEX('Properties'!$B$6:$B$205,MATCH(C40,'Properties'!$A$6:$A$205,0))))))</x:f>
      </x:c>
      <x:c r="J40" s="315" t="str">
        <x:f>IF(A40="","",IF(COUNTIFS($A$6:$A$205,A40)&gt;1,"Duplicate ID",IF(OR(B40="",COUNTIFS('Clients'!$A$6:$A$205,B40)&lt;&gt;1),"Check Client ID",IF(OR(C40="",COUNTIFS('Properties'!$A$6:$A$205,C40)&lt;&gt;1),"Check Property ID",IF(NOT(ISNUMBER(D40)),"Add appointment date",IF(E40="","Set viewing status",""))))))</x:f>
      </x:c>
    </x:row>
    <x:row r="41" ht="26" customHeight="1">
      <x:c r="A41" s="319"/>
      <x:c r="B41" s="320"/>
      <x:c r="C41" s="274"/>
      <x:c r="D41" s="350"/>
      <x:c r="E41" s="274"/>
      <x:c r="F41" s="274"/>
      <x:c r="G41" s="280"/>
      <x:c r="H41" s="265" t="str">
        <x:f>IF(A41="","",IF(B41="","",IF(COUNTIFS('Clients'!$A$6:$A$205,B41)&lt;&gt;1,"Check Client ID",IF(INDEX('Clients'!$B$6:$B$205,MATCH(B41,'Clients'!$A$6:$A$205,0))="","Name missing",INDEX('Clients'!$B$6:$B$205,MATCH(B41,'Clients'!$A$6:$A$205,0))))))</x:f>
      </x:c>
      <x:c r="I41" s="265" t="str">
        <x:f>IF(A41="","",IF(C41="","",IF(COUNTIFS('Properties'!$A$6:$A$205,C41)&lt;&gt;1,"Check Property ID",IF(INDEX('Properties'!$B$6:$B$205,MATCH(C41,'Properties'!$A$6:$A$205,0))="","Name missing",INDEX('Properties'!$B$6:$B$205,MATCH(C41,'Properties'!$A$6:$A$205,0))))))</x:f>
      </x:c>
      <x:c r="J41" s="315" t="str">
        <x:f>IF(A41="","",IF(COUNTIFS($A$6:$A$205,A41)&gt;1,"Duplicate ID",IF(OR(B41="",COUNTIFS('Clients'!$A$6:$A$205,B41)&lt;&gt;1),"Check Client ID",IF(OR(C41="",COUNTIFS('Properties'!$A$6:$A$205,C41)&lt;&gt;1),"Check Property ID",IF(NOT(ISNUMBER(D41)),"Add appointment date",IF(E41="","Set viewing status",""))))))</x:f>
      </x:c>
    </x:row>
    <x:row r="42" ht="26" customHeight="1">
      <x:c r="A42" s="317"/>
      <x:c r="B42" s="318"/>
      <x:c r="C42" s="235"/>
      <x:c r="D42" s="348"/>
      <x:c r="E42" s="235"/>
      <x:c r="F42" s="235"/>
      <x:c r="G42" s="239"/>
      <x:c r="H42" s="265" t="str">
        <x:f>IF(A42="","",IF(B42="","",IF(COUNTIFS('Clients'!$A$6:$A$205,B42)&lt;&gt;1,"Check Client ID",IF(INDEX('Clients'!$B$6:$B$205,MATCH(B42,'Clients'!$A$6:$A$205,0))="","Name missing",INDEX('Clients'!$B$6:$B$205,MATCH(B42,'Clients'!$A$6:$A$205,0))))))</x:f>
      </x:c>
      <x:c r="I42" s="265" t="str">
        <x:f>IF(A42="","",IF(C42="","",IF(COUNTIFS('Properties'!$A$6:$A$205,C42)&lt;&gt;1,"Check Property ID",IF(INDEX('Properties'!$B$6:$B$205,MATCH(C42,'Properties'!$A$6:$A$205,0))="","Name missing",INDEX('Properties'!$B$6:$B$205,MATCH(C42,'Properties'!$A$6:$A$205,0))))))</x:f>
      </x:c>
      <x:c r="J42" s="315" t="str">
        <x:f>IF(A42="","",IF(COUNTIFS($A$6:$A$205,A42)&gt;1,"Duplicate ID",IF(OR(B42="",COUNTIFS('Clients'!$A$6:$A$205,B42)&lt;&gt;1),"Check Client ID",IF(OR(C42="",COUNTIFS('Properties'!$A$6:$A$205,C42)&lt;&gt;1),"Check Property ID",IF(NOT(ISNUMBER(D42)),"Add appointment date",IF(E42="","Set viewing status",""))))))</x:f>
      </x:c>
    </x:row>
    <x:row r="43" ht="26" customHeight="1">
      <x:c r="A43" s="319"/>
      <x:c r="B43" s="320"/>
      <x:c r="C43" s="274"/>
      <x:c r="D43" s="350"/>
      <x:c r="E43" s="274"/>
      <x:c r="F43" s="274"/>
      <x:c r="G43" s="280"/>
      <x:c r="H43" s="265" t="str">
        <x:f>IF(A43="","",IF(B43="","",IF(COUNTIFS('Clients'!$A$6:$A$205,B43)&lt;&gt;1,"Check Client ID",IF(INDEX('Clients'!$B$6:$B$205,MATCH(B43,'Clients'!$A$6:$A$205,0))="","Name missing",INDEX('Clients'!$B$6:$B$205,MATCH(B43,'Clients'!$A$6:$A$205,0))))))</x:f>
      </x:c>
      <x:c r="I43" s="265" t="str">
        <x:f>IF(A43="","",IF(C43="","",IF(COUNTIFS('Properties'!$A$6:$A$205,C43)&lt;&gt;1,"Check Property ID",IF(INDEX('Properties'!$B$6:$B$205,MATCH(C43,'Properties'!$A$6:$A$205,0))="","Name missing",INDEX('Properties'!$B$6:$B$205,MATCH(C43,'Properties'!$A$6:$A$205,0))))))</x:f>
      </x:c>
      <x:c r="J43" s="315" t="str">
        <x:f>IF(A43="","",IF(COUNTIFS($A$6:$A$205,A43)&gt;1,"Duplicate ID",IF(OR(B43="",COUNTIFS('Clients'!$A$6:$A$205,B43)&lt;&gt;1),"Check Client ID",IF(OR(C43="",COUNTIFS('Properties'!$A$6:$A$205,C43)&lt;&gt;1),"Check Property ID",IF(NOT(ISNUMBER(D43)),"Add appointment date",IF(E43="","Set viewing status",""))))))</x:f>
      </x:c>
    </x:row>
    <x:row r="44" ht="26" customHeight="1">
      <x:c r="A44" s="317"/>
      <x:c r="B44" s="318"/>
      <x:c r="C44" s="235"/>
      <x:c r="D44" s="348"/>
      <x:c r="E44" s="235"/>
      <x:c r="F44" s="235"/>
      <x:c r="G44" s="239"/>
      <x:c r="H44" s="265" t="str">
        <x:f>IF(A44="","",IF(B44="","",IF(COUNTIFS('Clients'!$A$6:$A$205,B44)&lt;&gt;1,"Check Client ID",IF(INDEX('Clients'!$B$6:$B$205,MATCH(B44,'Clients'!$A$6:$A$205,0))="","Name missing",INDEX('Clients'!$B$6:$B$205,MATCH(B44,'Clients'!$A$6:$A$205,0))))))</x:f>
      </x:c>
      <x:c r="I44" s="265" t="str">
        <x:f>IF(A44="","",IF(C44="","",IF(COUNTIFS('Properties'!$A$6:$A$205,C44)&lt;&gt;1,"Check Property ID",IF(INDEX('Properties'!$B$6:$B$205,MATCH(C44,'Properties'!$A$6:$A$205,0))="","Name missing",INDEX('Properties'!$B$6:$B$205,MATCH(C44,'Properties'!$A$6:$A$205,0))))))</x:f>
      </x:c>
      <x:c r="J44" s="315" t="str">
        <x:f>IF(A44="","",IF(COUNTIFS($A$6:$A$205,A44)&gt;1,"Duplicate ID",IF(OR(B44="",COUNTIFS('Clients'!$A$6:$A$205,B44)&lt;&gt;1),"Check Client ID",IF(OR(C44="",COUNTIFS('Properties'!$A$6:$A$205,C44)&lt;&gt;1),"Check Property ID",IF(NOT(ISNUMBER(D44)),"Add appointment date",IF(E44="","Set viewing status",""))))))</x:f>
      </x:c>
    </x:row>
    <x:row r="45" ht="26" customHeight="1">
      <x:c r="A45" s="319"/>
      <x:c r="B45" s="320"/>
      <x:c r="C45" s="274"/>
      <x:c r="D45" s="350"/>
      <x:c r="E45" s="274"/>
      <x:c r="F45" s="274"/>
      <x:c r="G45" s="280"/>
      <x:c r="H45" s="265" t="str">
        <x:f>IF(A45="","",IF(B45="","",IF(COUNTIFS('Clients'!$A$6:$A$205,B45)&lt;&gt;1,"Check Client ID",IF(INDEX('Clients'!$B$6:$B$205,MATCH(B45,'Clients'!$A$6:$A$205,0))="","Name missing",INDEX('Clients'!$B$6:$B$205,MATCH(B45,'Clients'!$A$6:$A$205,0))))))</x:f>
      </x:c>
      <x:c r="I45" s="265" t="str">
        <x:f>IF(A45="","",IF(C45="","",IF(COUNTIFS('Properties'!$A$6:$A$205,C45)&lt;&gt;1,"Check Property ID",IF(INDEX('Properties'!$B$6:$B$205,MATCH(C45,'Properties'!$A$6:$A$205,0))="","Name missing",INDEX('Properties'!$B$6:$B$205,MATCH(C45,'Properties'!$A$6:$A$205,0))))))</x:f>
      </x:c>
      <x:c r="J45" s="315" t="str">
        <x:f>IF(A45="","",IF(COUNTIFS($A$6:$A$205,A45)&gt;1,"Duplicate ID",IF(OR(B45="",COUNTIFS('Clients'!$A$6:$A$205,B45)&lt;&gt;1),"Check Client ID",IF(OR(C45="",COUNTIFS('Properties'!$A$6:$A$205,C45)&lt;&gt;1),"Check Property ID",IF(NOT(ISNUMBER(D45)),"Add appointment date",IF(E45="","Set viewing status",""))))))</x:f>
      </x:c>
    </x:row>
    <x:row r="46" ht="26" customHeight="1">
      <x:c r="A46" s="317"/>
      <x:c r="B46" s="318"/>
      <x:c r="C46" s="235"/>
      <x:c r="D46" s="348"/>
      <x:c r="E46" s="235"/>
      <x:c r="F46" s="235"/>
      <x:c r="G46" s="239"/>
      <x:c r="H46" s="265" t="str">
        <x:f>IF(A46="","",IF(B46="","",IF(COUNTIFS('Clients'!$A$6:$A$205,B46)&lt;&gt;1,"Check Client ID",IF(INDEX('Clients'!$B$6:$B$205,MATCH(B46,'Clients'!$A$6:$A$205,0))="","Name missing",INDEX('Clients'!$B$6:$B$205,MATCH(B46,'Clients'!$A$6:$A$205,0))))))</x:f>
      </x:c>
      <x:c r="I46" s="265" t="str">
        <x:f>IF(A46="","",IF(C46="","",IF(COUNTIFS('Properties'!$A$6:$A$205,C46)&lt;&gt;1,"Check Property ID",IF(INDEX('Properties'!$B$6:$B$205,MATCH(C46,'Properties'!$A$6:$A$205,0))="","Name missing",INDEX('Properties'!$B$6:$B$205,MATCH(C46,'Properties'!$A$6:$A$205,0))))))</x:f>
      </x:c>
      <x:c r="J46" s="315" t="str">
        <x:f>IF(A46="","",IF(COUNTIFS($A$6:$A$205,A46)&gt;1,"Duplicate ID",IF(OR(B46="",COUNTIFS('Clients'!$A$6:$A$205,B46)&lt;&gt;1),"Check Client ID",IF(OR(C46="",COUNTIFS('Properties'!$A$6:$A$205,C46)&lt;&gt;1),"Check Property ID",IF(NOT(ISNUMBER(D46)),"Add appointment date",IF(E46="","Set viewing status",""))))))</x:f>
      </x:c>
    </x:row>
    <x:row r="47" ht="26" customHeight="1">
      <x:c r="A47" s="319"/>
      <x:c r="B47" s="320"/>
      <x:c r="C47" s="274"/>
      <x:c r="D47" s="350"/>
      <x:c r="E47" s="274"/>
      <x:c r="F47" s="274"/>
      <x:c r="G47" s="280"/>
      <x:c r="H47" s="265" t="str">
        <x:f>IF(A47="","",IF(B47="","",IF(COUNTIFS('Clients'!$A$6:$A$205,B47)&lt;&gt;1,"Check Client ID",IF(INDEX('Clients'!$B$6:$B$205,MATCH(B47,'Clients'!$A$6:$A$205,0))="","Name missing",INDEX('Clients'!$B$6:$B$205,MATCH(B47,'Clients'!$A$6:$A$205,0))))))</x:f>
      </x:c>
      <x:c r="I47" s="265" t="str">
        <x:f>IF(A47="","",IF(C47="","",IF(COUNTIFS('Properties'!$A$6:$A$205,C47)&lt;&gt;1,"Check Property ID",IF(INDEX('Properties'!$B$6:$B$205,MATCH(C47,'Properties'!$A$6:$A$205,0))="","Name missing",INDEX('Properties'!$B$6:$B$205,MATCH(C47,'Properties'!$A$6:$A$205,0))))))</x:f>
      </x:c>
      <x:c r="J47" s="315" t="str">
        <x:f>IF(A47="","",IF(COUNTIFS($A$6:$A$205,A47)&gt;1,"Duplicate ID",IF(OR(B47="",COUNTIFS('Clients'!$A$6:$A$205,B47)&lt;&gt;1),"Check Client ID",IF(OR(C47="",COUNTIFS('Properties'!$A$6:$A$205,C47)&lt;&gt;1),"Check Property ID",IF(NOT(ISNUMBER(D47)),"Add appointment date",IF(E47="","Set viewing status",""))))))</x:f>
      </x:c>
    </x:row>
    <x:row r="48" ht="26" customHeight="1">
      <x:c r="A48" s="317"/>
      <x:c r="B48" s="318"/>
      <x:c r="C48" s="235"/>
      <x:c r="D48" s="348"/>
      <x:c r="E48" s="235"/>
      <x:c r="F48" s="235"/>
      <x:c r="G48" s="239"/>
      <x:c r="H48" s="265" t="str">
        <x:f>IF(A48="","",IF(B48="","",IF(COUNTIFS('Clients'!$A$6:$A$205,B48)&lt;&gt;1,"Check Client ID",IF(INDEX('Clients'!$B$6:$B$205,MATCH(B48,'Clients'!$A$6:$A$205,0))="","Name missing",INDEX('Clients'!$B$6:$B$205,MATCH(B48,'Clients'!$A$6:$A$205,0))))))</x:f>
      </x:c>
      <x:c r="I48" s="265" t="str">
        <x:f>IF(A48="","",IF(C48="","",IF(COUNTIFS('Properties'!$A$6:$A$205,C48)&lt;&gt;1,"Check Property ID",IF(INDEX('Properties'!$B$6:$B$205,MATCH(C48,'Properties'!$A$6:$A$205,0))="","Name missing",INDEX('Properties'!$B$6:$B$205,MATCH(C48,'Properties'!$A$6:$A$205,0))))))</x:f>
      </x:c>
      <x:c r="J48" s="315" t="str">
        <x:f>IF(A48="","",IF(COUNTIFS($A$6:$A$205,A48)&gt;1,"Duplicate ID",IF(OR(B48="",COUNTIFS('Clients'!$A$6:$A$205,B48)&lt;&gt;1),"Check Client ID",IF(OR(C48="",COUNTIFS('Properties'!$A$6:$A$205,C48)&lt;&gt;1),"Check Property ID",IF(NOT(ISNUMBER(D48)),"Add appointment date",IF(E48="","Set viewing status",""))))))</x:f>
      </x:c>
    </x:row>
    <x:row r="49" ht="26" customHeight="1">
      <x:c r="A49" s="319"/>
      <x:c r="B49" s="320"/>
      <x:c r="C49" s="274"/>
      <x:c r="D49" s="350"/>
      <x:c r="E49" s="274"/>
      <x:c r="F49" s="274"/>
      <x:c r="G49" s="280"/>
      <x:c r="H49" s="265" t="str">
        <x:f>IF(A49="","",IF(B49="","",IF(COUNTIFS('Clients'!$A$6:$A$205,B49)&lt;&gt;1,"Check Client ID",IF(INDEX('Clients'!$B$6:$B$205,MATCH(B49,'Clients'!$A$6:$A$205,0))="","Name missing",INDEX('Clients'!$B$6:$B$205,MATCH(B49,'Clients'!$A$6:$A$205,0))))))</x:f>
      </x:c>
      <x:c r="I49" s="265" t="str">
        <x:f>IF(A49="","",IF(C49="","",IF(COUNTIFS('Properties'!$A$6:$A$205,C49)&lt;&gt;1,"Check Property ID",IF(INDEX('Properties'!$B$6:$B$205,MATCH(C49,'Properties'!$A$6:$A$205,0))="","Name missing",INDEX('Properties'!$B$6:$B$205,MATCH(C49,'Properties'!$A$6:$A$205,0))))))</x:f>
      </x:c>
      <x:c r="J49" s="315" t="str">
        <x:f>IF(A49="","",IF(COUNTIFS($A$6:$A$205,A49)&gt;1,"Duplicate ID",IF(OR(B49="",COUNTIFS('Clients'!$A$6:$A$205,B49)&lt;&gt;1),"Check Client ID",IF(OR(C49="",COUNTIFS('Properties'!$A$6:$A$205,C49)&lt;&gt;1),"Check Property ID",IF(NOT(ISNUMBER(D49)),"Add appointment date",IF(E49="","Set viewing status",""))))))</x:f>
      </x:c>
    </x:row>
    <x:row r="50" ht="26" customHeight="1">
      <x:c r="A50" s="317"/>
      <x:c r="B50" s="318"/>
      <x:c r="C50" s="235"/>
      <x:c r="D50" s="348"/>
      <x:c r="E50" s="235"/>
      <x:c r="F50" s="235"/>
      <x:c r="G50" s="239"/>
      <x:c r="H50" s="265" t="str">
        <x:f>IF(A50="","",IF(B50="","",IF(COUNTIFS('Clients'!$A$6:$A$205,B50)&lt;&gt;1,"Check Client ID",IF(INDEX('Clients'!$B$6:$B$205,MATCH(B50,'Clients'!$A$6:$A$205,0))="","Name missing",INDEX('Clients'!$B$6:$B$205,MATCH(B50,'Clients'!$A$6:$A$205,0))))))</x:f>
      </x:c>
      <x:c r="I50" s="265" t="str">
        <x:f>IF(A50="","",IF(C50="","",IF(COUNTIFS('Properties'!$A$6:$A$205,C50)&lt;&gt;1,"Check Property ID",IF(INDEX('Properties'!$B$6:$B$205,MATCH(C50,'Properties'!$A$6:$A$205,0))="","Name missing",INDEX('Properties'!$B$6:$B$205,MATCH(C50,'Properties'!$A$6:$A$205,0))))))</x:f>
      </x:c>
      <x:c r="J50" s="315" t="str">
        <x:f>IF(A50="","",IF(COUNTIFS($A$6:$A$205,A50)&gt;1,"Duplicate ID",IF(OR(B50="",COUNTIFS('Clients'!$A$6:$A$205,B50)&lt;&gt;1),"Check Client ID",IF(OR(C50="",COUNTIFS('Properties'!$A$6:$A$205,C50)&lt;&gt;1),"Check Property ID",IF(NOT(ISNUMBER(D50)),"Add appointment date",IF(E50="","Set viewing status",""))))))</x:f>
      </x:c>
    </x:row>
    <x:row r="51" ht="26" customHeight="1">
      <x:c r="A51" s="319"/>
      <x:c r="B51" s="320"/>
      <x:c r="C51" s="274"/>
      <x:c r="D51" s="350"/>
      <x:c r="E51" s="274"/>
      <x:c r="F51" s="274"/>
      <x:c r="G51" s="280"/>
      <x:c r="H51" s="265" t="str">
        <x:f>IF(A51="","",IF(B51="","",IF(COUNTIFS('Clients'!$A$6:$A$205,B51)&lt;&gt;1,"Check Client ID",IF(INDEX('Clients'!$B$6:$B$205,MATCH(B51,'Clients'!$A$6:$A$205,0))="","Name missing",INDEX('Clients'!$B$6:$B$205,MATCH(B51,'Clients'!$A$6:$A$205,0))))))</x:f>
      </x:c>
      <x:c r="I51" s="265" t="str">
        <x:f>IF(A51="","",IF(C51="","",IF(COUNTIFS('Properties'!$A$6:$A$205,C51)&lt;&gt;1,"Check Property ID",IF(INDEX('Properties'!$B$6:$B$205,MATCH(C51,'Properties'!$A$6:$A$205,0))="","Name missing",INDEX('Properties'!$B$6:$B$205,MATCH(C51,'Properties'!$A$6:$A$205,0))))))</x:f>
      </x:c>
      <x:c r="J51" s="315" t="str">
        <x:f>IF(A51="","",IF(COUNTIFS($A$6:$A$205,A51)&gt;1,"Duplicate ID",IF(OR(B51="",COUNTIFS('Clients'!$A$6:$A$205,B51)&lt;&gt;1),"Check Client ID",IF(OR(C51="",COUNTIFS('Properties'!$A$6:$A$205,C51)&lt;&gt;1),"Check Property ID",IF(NOT(ISNUMBER(D51)),"Add appointment date",IF(E51="","Set viewing status",""))))))</x:f>
      </x:c>
    </x:row>
    <x:row r="52" ht="26" customHeight="1">
      <x:c r="A52" s="317"/>
      <x:c r="B52" s="318"/>
      <x:c r="C52" s="235"/>
      <x:c r="D52" s="348"/>
      <x:c r="E52" s="235"/>
      <x:c r="F52" s="235"/>
      <x:c r="G52" s="239"/>
      <x:c r="H52" s="265" t="str">
        <x:f>IF(A52="","",IF(B52="","",IF(COUNTIFS('Clients'!$A$6:$A$205,B52)&lt;&gt;1,"Check Client ID",IF(INDEX('Clients'!$B$6:$B$205,MATCH(B52,'Clients'!$A$6:$A$205,0))="","Name missing",INDEX('Clients'!$B$6:$B$205,MATCH(B52,'Clients'!$A$6:$A$205,0))))))</x:f>
      </x:c>
      <x:c r="I52" s="265" t="str">
        <x:f>IF(A52="","",IF(C52="","",IF(COUNTIFS('Properties'!$A$6:$A$205,C52)&lt;&gt;1,"Check Property ID",IF(INDEX('Properties'!$B$6:$B$205,MATCH(C52,'Properties'!$A$6:$A$205,0))="","Name missing",INDEX('Properties'!$B$6:$B$205,MATCH(C52,'Properties'!$A$6:$A$205,0))))))</x:f>
      </x:c>
      <x:c r="J52" s="315" t="str">
        <x:f>IF(A52="","",IF(COUNTIFS($A$6:$A$205,A52)&gt;1,"Duplicate ID",IF(OR(B52="",COUNTIFS('Clients'!$A$6:$A$205,B52)&lt;&gt;1),"Check Client ID",IF(OR(C52="",COUNTIFS('Properties'!$A$6:$A$205,C52)&lt;&gt;1),"Check Property ID",IF(NOT(ISNUMBER(D52)),"Add appointment date",IF(E52="","Set viewing status",""))))))</x:f>
      </x:c>
    </x:row>
    <x:row r="53" ht="26" customHeight="1">
      <x:c r="A53" s="319"/>
      <x:c r="B53" s="320"/>
      <x:c r="C53" s="274"/>
      <x:c r="D53" s="350"/>
      <x:c r="E53" s="274"/>
      <x:c r="F53" s="274"/>
      <x:c r="G53" s="280"/>
      <x:c r="H53" s="265" t="str">
        <x:f>IF(A53="","",IF(B53="","",IF(COUNTIFS('Clients'!$A$6:$A$205,B53)&lt;&gt;1,"Check Client ID",IF(INDEX('Clients'!$B$6:$B$205,MATCH(B53,'Clients'!$A$6:$A$205,0))="","Name missing",INDEX('Clients'!$B$6:$B$205,MATCH(B53,'Clients'!$A$6:$A$205,0))))))</x:f>
      </x:c>
      <x:c r="I53" s="265" t="str">
        <x:f>IF(A53="","",IF(C53="","",IF(COUNTIFS('Properties'!$A$6:$A$205,C53)&lt;&gt;1,"Check Property ID",IF(INDEX('Properties'!$B$6:$B$205,MATCH(C53,'Properties'!$A$6:$A$205,0))="","Name missing",INDEX('Properties'!$B$6:$B$205,MATCH(C53,'Properties'!$A$6:$A$205,0))))))</x:f>
      </x:c>
      <x:c r="J53" s="315" t="str">
        <x:f>IF(A53="","",IF(COUNTIFS($A$6:$A$205,A53)&gt;1,"Duplicate ID",IF(OR(B53="",COUNTIFS('Clients'!$A$6:$A$205,B53)&lt;&gt;1),"Check Client ID",IF(OR(C53="",COUNTIFS('Properties'!$A$6:$A$205,C53)&lt;&gt;1),"Check Property ID",IF(NOT(ISNUMBER(D53)),"Add appointment date",IF(E53="","Set viewing status",""))))))</x:f>
      </x:c>
    </x:row>
    <x:row r="54" ht="26" customHeight="1">
      <x:c r="A54" s="317"/>
      <x:c r="B54" s="318"/>
      <x:c r="C54" s="235"/>
      <x:c r="D54" s="348"/>
      <x:c r="E54" s="235"/>
      <x:c r="F54" s="235"/>
      <x:c r="G54" s="239"/>
      <x:c r="H54" s="265" t="str">
        <x:f>IF(A54="","",IF(B54="","",IF(COUNTIFS('Clients'!$A$6:$A$205,B54)&lt;&gt;1,"Check Client ID",IF(INDEX('Clients'!$B$6:$B$205,MATCH(B54,'Clients'!$A$6:$A$205,0))="","Name missing",INDEX('Clients'!$B$6:$B$205,MATCH(B54,'Clients'!$A$6:$A$205,0))))))</x:f>
      </x:c>
      <x:c r="I54" s="265" t="str">
        <x:f>IF(A54="","",IF(C54="","",IF(COUNTIFS('Properties'!$A$6:$A$205,C54)&lt;&gt;1,"Check Property ID",IF(INDEX('Properties'!$B$6:$B$205,MATCH(C54,'Properties'!$A$6:$A$205,0))="","Name missing",INDEX('Properties'!$B$6:$B$205,MATCH(C54,'Properties'!$A$6:$A$205,0))))))</x:f>
      </x:c>
      <x:c r="J54" s="315" t="str">
        <x:f>IF(A54="","",IF(COUNTIFS($A$6:$A$205,A54)&gt;1,"Duplicate ID",IF(OR(B54="",COUNTIFS('Clients'!$A$6:$A$205,B54)&lt;&gt;1),"Check Client ID",IF(OR(C54="",COUNTIFS('Properties'!$A$6:$A$205,C54)&lt;&gt;1),"Check Property ID",IF(NOT(ISNUMBER(D54)),"Add appointment date",IF(E54="","Set viewing status",""))))))</x:f>
      </x:c>
    </x:row>
    <x:row r="55" ht="26" customHeight="1">
      <x:c r="A55" s="319"/>
      <x:c r="B55" s="320"/>
      <x:c r="C55" s="274"/>
      <x:c r="D55" s="350"/>
      <x:c r="E55" s="274"/>
      <x:c r="F55" s="274"/>
      <x:c r="G55" s="280"/>
      <x:c r="H55" s="265" t="str">
        <x:f>IF(A55="","",IF(B55="","",IF(COUNTIFS('Clients'!$A$6:$A$205,B55)&lt;&gt;1,"Check Client ID",IF(INDEX('Clients'!$B$6:$B$205,MATCH(B55,'Clients'!$A$6:$A$205,0))="","Name missing",INDEX('Clients'!$B$6:$B$205,MATCH(B55,'Clients'!$A$6:$A$205,0))))))</x:f>
      </x:c>
      <x:c r="I55" s="265" t="str">
        <x:f>IF(A55="","",IF(C55="","",IF(COUNTIFS('Properties'!$A$6:$A$205,C55)&lt;&gt;1,"Check Property ID",IF(INDEX('Properties'!$B$6:$B$205,MATCH(C55,'Properties'!$A$6:$A$205,0))="","Name missing",INDEX('Properties'!$B$6:$B$205,MATCH(C55,'Properties'!$A$6:$A$205,0))))))</x:f>
      </x:c>
      <x:c r="J55" s="315" t="str">
        <x:f>IF(A55="","",IF(COUNTIFS($A$6:$A$205,A55)&gt;1,"Duplicate ID",IF(OR(B55="",COUNTIFS('Clients'!$A$6:$A$205,B55)&lt;&gt;1),"Check Client ID",IF(OR(C55="",COUNTIFS('Properties'!$A$6:$A$205,C55)&lt;&gt;1),"Check Property ID",IF(NOT(ISNUMBER(D55)),"Add appointment date",IF(E55="","Set viewing status",""))))))</x:f>
      </x:c>
    </x:row>
    <x:row r="56" ht="26" customHeight="1">
      <x:c r="A56" s="317"/>
      <x:c r="B56" s="318"/>
      <x:c r="C56" s="235"/>
      <x:c r="D56" s="348"/>
      <x:c r="E56" s="235"/>
      <x:c r="F56" s="235"/>
      <x:c r="G56" s="239"/>
      <x:c r="H56" s="265" t="str">
        <x:f>IF(A56="","",IF(B56="","",IF(COUNTIFS('Clients'!$A$6:$A$205,B56)&lt;&gt;1,"Check Client ID",IF(INDEX('Clients'!$B$6:$B$205,MATCH(B56,'Clients'!$A$6:$A$205,0))="","Name missing",INDEX('Clients'!$B$6:$B$205,MATCH(B56,'Clients'!$A$6:$A$205,0))))))</x:f>
      </x:c>
      <x:c r="I56" s="265" t="str">
        <x:f>IF(A56="","",IF(C56="","",IF(COUNTIFS('Properties'!$A$6:$A$205,C56)&lt;&gt;1,"Check Property ID",IF(INDEX('Properties'!$B$6:$B$205,MATCH(C56,'Properties'!$A$6:$A$205,0))="","Name missing",INDEX('Properties'!$B$6:$B$205,MATCH(C56,'Properties'!$A$6:$A$205,0))))))</x:f>
      </x:c>
      <x:c r="J56" s="315" t="str">
        <x:f>IF(A56="","",IF(COUNTIFS($A$6:$A$205,A56)&gt;1,"Duplicate ID",IF(OR(B56="",COUNTIFS('Clients'!$A$6:$A$205,B56)&lt;&gt;1),"Check Client ID",IF(OR(C56="",COUNTIFS('Properties'!$A$6:$A$205,C56)&lt;&gt;1),"Check Property ID",IF(NOT(ISNUMBER(D56)),"Add appointment date",IF(E56="","Set viewing status",""))))))</x:f>
      </x:c>
    </x:row>
    <x:row r="57" ht="26" customHeight="1">
      <x:c r="A57" s="319"/>
      <x:c r="B57" s="320"/>
      <x:c r="C57" s="274"/>
      <x:c r="D57" s="350"/>
      <x:c r="E57" s="274"/>
      <x:c r="F57" s="274"/>
      <x:c r="G57" s="280"/>
      <x:c r="H57" s="265" t="str">
        <x:f>IF(A57="","",IF(B57="","",IF(COUNTIFS('Clients'!$A$6:$A$205,B57)&lt;&gt;1,"Check Client ID",IF(INDEX('Clients'!$B$6:$B$205,MATCH(B57,'Clients'!$A$6:$A$205,0))="","Name missing",INDEX('Clients'!$B$6:$B$205,MATCH(B57,'Clients'!$A$6:$A$205,0))))))</x:f>
      </x:c>
      <x:c r="I57" s="265" t="str">
        <x:f>IF(A57="","",IF(C57="","",IF(COUNTIFS('Properties'!$A$6:$A$205,C57)&lt;&gt;1,"Check Property ID",IF(INDEX('Properties'!$B$6:$B$205,MATCH(C57,'Properties'!$A$6:$A$205,0))="","Name missing",INDEX('Properties'!$B$6:$B$205,MATCH(C57,'Properties'!$A$6:$A$205,0))))))</x:f>
      </x:c>
      <x:c r="J57" s="315" t="str">
        <x:f>IF(A57="","",IF(COUNTIFS($A$6:$A$205,A57)&gt;1,"Duplicate ID",IF(OR(B57="",COUNTIFS('Clients'!$A$6:$A$205,B57)&lt;&gt;1),"Check Client ID",IF(OR(C57="",COUNTIFS('Properties'!$A$6:$A$205,C57)&lt;&gt;1),"Check Property ID",IF(NOT(ISNUMBER(D57)),"Add appointment date",IF(E57="","Set viewing status",""))))))</x:f>
      </x:c>
    </x:row>
    <x:row r="58" ht="26" customHeight="1">
      <x:c r="A58" s="317"/>
      <x:c r="B58" s="318"/>
      <x:c r="C58" s="235"/>
      <x:c r="D58" s="348"/>
      <x:c r="E58" s="235"/>
      <x:c r="F58" s="235"/>
      <x:c r="G58" s="239"/>
      <x:c r="H58" s="265" t="str">
        <x:f>IF(A58="","",IF(B58="","",IF(COUNTIFS('Clients'!$A$6:$A$205,B58)&lt;&gt;1,"Check Client ID",IF(INDEX('Clients'!$B$6:$B$205,MATCH(B58,'Clients'!$A$6:$A$205,0))="","Name missing",INDEX('Clients'!$B$6:$B$205,MATCH(B58,'Clients'!$A$6:$A$205,0))))))</x:f>
      </x:c>
      <x:c r="I58" s="265" t="str">
        <x:f>IF(A58="","",IF(C58="","",IF(COUNTIFS('Properties'!$A$6:$A$205,C58)&lt;&gt;1,"Check Property ID",IF(INDEX('Properties'!$B$6:$B$205,MATCH(C58,'Properties'!$A$6:$A$205,0))="","Name missing",INDEX('Properties'!$B$6:$B$205,MATCH(C58,'Properties'!$A$6:$A$205,0))))))</x:f>
      </x:c>
      <x:c r="J58" s="315" t="str">
        <x:f>IF(A58="","",IF(COUNTIFS($A$6:$A$205,A58)&gt;1,"Duplicate ID",IF(OR(B58="",COUNTIFS('Clients'!$A$6:$A$205,B58)&lt;&gt;1),"Check Client ID",IF(OR(C58="",COUNTIFS('Properties'!$A$6:$A$205,C58)&lt;&gt;1),"Check Property ID",IF(NOT(ISNUMBER(D58)),"Add appointment date",IF(E58="","Set viewing status",""))))))</x:f>
      </x:c>
    </x:row>
    <x:row r="59" ht="26" customHeight="1">
      <x:c r="A59" s="319"/>
      <x:c r="B59" s="320"/>
      <x:c r="C59" s="274"/>
      <x:c r="D59" s="350"/>
      <x:c r="E59" s="274"/>
      <x:c r="F59" s="274"/>
      <x:c r="G59" s="280"/>
      <x:c r="H59" s="265" t="str">
        <x:f>IF(A59="","",IF(B59="","",IF(COUNTIFS('Clients'!$A$6:$A$205,B59)&lt;&gt;1,"Check Client ID",IF(INDEX('Clients'!$B$6:$B$205,MATCH(B59,'Clients'!$A$6:$A$205,0))="","Name missing",INDEX('Clients'!$B$6:$B$205,MATCH(B59,'Clients'!$A$6:$A$205,0))))))</x:f>
      </x:c>
      <x:c r="I59" s="265" t="str">
        <x:f>IF(A59="","",IF(C59="","",IF(COUNTIFS('Properties'!$A$6:$A$205,C59)&lt;&gt;1,"Check Property ID",IF(INDEX('Properties'!$B$6:$B$205,MATCH(C59,'Properties'!$A$6:$A$205,0))="","Name missing",INDEX('Properties'!$B$6:$B$205,MATCH(C59,'Properties'!$A$6:$A$205,0))))))</x:f>
      </x:c>
      <x:c r="J59" s="315" t="str">
        <x:f>IF(A59="","",IF(COUNTIFS($A$6:$A$205,A59)&gt;1,"Duplicate ID",IF(OR(B59="",COUNTIFS('Clients'!$A$6:$A$205,B59)&lt;&gt;1),"Check Client ID",IF(OR(C59="",COUNTIFS('Properties'!$A$6:$A$205,C59)&lt;&gt;1),"Check Property ID",IF(NOT(ISNUMBER(D59)),"Add appointment date",IF(E59="","Set viewing status",""))))))</x:f>
      </x:c>
    </x:row>
    <x:row r="60" ht="26" customHeight="1">
      <x:c r="A60" s="317"/>
      <x:c r="B60" s="318"/>
      <x:c r="C60" s="235"/>
      <x:c r="D60" s="348"/>
      <x:c r="E60" s="235"/>
      <x:c r="F60" s="235"/>
      <x:c r="G60" s="239"/>
      <x:c r="H60" s="265" t="str">
        <x:f>IF(A60="","",IF(B60="","",IF(COUNTIFS('Clients'!$A$6:$A$205,B60)&lt;&gt;1,"Check Client ID",IF(INDEX('Clients'!$B$6:$B$205,MATCH(B60,'Clients'!$A$6:$A$205,0))="","Name missing",INDEX('Clients'!$B$6:$B$205,MATCH(B60,'Clients'!$A$6:$A$205,0))))))</x:f>
      </x:c>
      <x:c r="I60" s="265" t="str">
        <x:f>IF(A60="","",IF(C60="","",IF(COUNTIFS('Properties'!$A$6:$A$205,C60)&lt;&gt;1,"Check Property ID",IF(INDEX('Properties'!$B$6:$B$205,MATCH(C60,'Properties'!$A$6:$A$205,0))="","Name missing",INDEX('Properties'!$B$6:$B$205,MATCH(C60,'Properties'!$A$6:$A$205,0))))))</x:f>
      </x:c>
      <x:c r="J60" s="315" t="str">
        <x:f>IF(A60="","",IF(COUNTIFS($A$6:$A$205,A60)&gt;1,"Duplicate ID",IF(OR(B60="",COUNTIFS('Clients'!$A$6:$A$205,B60)&lt;&gt;1),"Check Client ID",IF(OR(C60="",COUNTIFS('Properties'!$A$6:$A$205,C60)&lt;&gt;1),"Check Property ID",IF(NOT(ISNUMBER(D60)),"Add appointment date",IF(E60="","Set viewing status",""))))))</x:f>
      </x:c>
    </x:row>
    <x:row r="61" ht="26" customHeight="1">
      <x:c r="A61" s="319"/>
      <x:c r="B61" s="320"/>
      <x:c r="C61" s="274"/>
      <x:c r="D61" s="350"/>
      <x:c r="E61" s="274"/>
      <x:c r="F61" s="274"/>
      <x:c r="G61" s="280"/>
      <x:c r="H61" s="265" t="str">
        <x:f>IF(A61="","",IF(B61="","",IF(COUNTIFS('Clients'!$A$6:$A$205,B61)&lt;&gt;1,"Check Client ID",IF(INDEX('Clients'!$B$6:$B$205,MATCH(B61,'Clients'!$A$6:$A$205,0))="","Name missing",INDEX('Clients'!$B$6:$B$205,MATCH(B61,'Clients'!$A$6:$A$205,0))))))</x:f>
      </x:c>
      <x:c r="I61" s="265" t="str">
        <x:f>IF(A61="","",IF(C61="","",IF(COUNTIFS('Properties'!$A$6:$A$205,C61)&lt;&gt;1,"Check Property ID",IF(INDEX('Properties'!$B$6:$B$205,MATCH(C61,'Properties'!$A$6:$A$205,0))="","Name missing",INDEX('Properties'!$B$6:$B$205,MATCH(C61,'Properties'!$A$6:$A$205,0))))))</x:f>
      </x:c>
      <x:c r="J61" s="315" t="str">
        <x:f>IF(A61="","",IF(COUNTIFS($A$6:$A$205,A61)&gt;1,"Duplicate ID",IF(OR(B61="",COUNTIFS('Clients'!$A$6:$A$205,B61)&lt;&gt;1),"Check Client ID",IF(OR(C61="",COUNTIFS('Properties'!$A$6:$A$205,C61)&lt;&gt;1),"Check Property ID",IF(NOT(ISNUMBER(D61)),"Add appointment date",IF(E61="","Set viewing status",""))))))</x:f>
      </x:c>
    </x:row>
    <x:row r="62" ht="26" customHeight="1">
      <x:c r="A62" s="317"/>
      <x:c r="B62" s="318"/>
      <x:c r="C62" s="235"/>
      <x:c r="D62" s="348"/>
      <x:c r="E62" s="235"/>
      <x:c r="F62" s="235"/>
      <x:c r="G62" s="239"/>
      <x:c r="H62" s="265" t="str">
        <x:f>IF(A62="","",IF(B62="","",IF(COUNTIFS('Clients'!$A$6:$A$205,B62)&lt;&gt;1,"Check Client ID",IF(INDEX('Clients'!$B$6:$B$205,MATCH(B62,'Clients'!$A$6:$A$205,0))="","Name missing",INDEX('Clients'!$B$6:$B$205,MATCH(B62,'Clients'!$A$6:$A$205,0))))))</x:f>
      </x:c>
      <x:c r="I62" s="265" t="str">
        <x:f>IF(A62="","",IF(C62="","",IF(COUNTIFS('Properties'!$A$6:$A$205,C62)&lt;&gt;1,"Check Property ID",IF(INDEX('Properties'!$B$6:$B$205,MATCH(C62,'Properties'!$A$6:$A$205,0))="","Name missing",INDEX('Properties'!$B$6:$B$205,MATCH(C62,'Properties'!$A$6:$A$205,0))))))</x:f>
      </x:c>
      <x:c r="J62" s="315" t="str">
        <x:f>IF(A62="","",IF(COUNTIFS($A$6:$A$205,A62)&gt;1,"Duplicate ID",IF(OR(B62="",COUNTIFS('Clients'!$A$6:$A$205,B62)&lt;&gt;1),"Check Client ID",IF(OR(C62="",COUNTIFS('Properties'!$A$6:$A$205,C62)&lt;&gt;1),"Check Property ID",IF(NOT(ISNUMBER(D62)),"Add appointment date",IF(E62="","Set viewing status",""))))))</x:f>
      </x:c>
    </x:row>
    <x:row r="63" ht="26" customHeight="1">
      <x:c r="A63" s="319"/>
      <x:c r="B63" s="320"/>
      <x:c r="C63" s="274"/>
      <x:c r="D63" s="350"/>
      <x:c r="E63" s="274"/>
      <x:c r="F63" s="274"/>
      <x:c r="G63" s="280"/>
      <x:c r="H63" s="265" t="str">
        <x:f>IF(A63="","",IF(B63="","",IF(COUNTIFS('Clients'!$A$6:$A$205,B63)&lt;&gt;1,"Check Client ID",IF(INDEX('Clients'!$B$6:$B$205,MATCH(B63,'Clients'!$A$6:$A$205,0))="","Name missing",INDEX('Clients'!$B$6:$B$205,MATCH(B63,'Clients'!$A$6:$A$205,0))))))</x:f>
      </x:c>
      <x:c r="I63" s="265" t="str">
        <x:f>IF(A63="","",IF(C63="","",IF(COUNTIFS('Properties'!$A$6:$A$205,C63)&lt;&gt;1,"Check Property ID",IF(INDEX('Properties'!$B$6:$B$205,MATCH(C63,'Properties'!$A$6:$A$205,0))="","Name missing",INDEX('Properties'!$B$6:$B$205,MATCH(C63,'Properties'!$A$6:$A$205,0))))))</x:f>
      </x:c>
      <x:c r="J63" s="315" t="str">
        <x:f>IF(A63="","",IF(COUNTIFS($A$6:$A$205,A63)&gt;1,"Duplicate ID",IF(OR(B63="",COUNTIFS('Clients'!$A$6:$A$205,B63)&lt;&gt;1),"Check Client ID",IF(OR(C63="",COUNTIFS('Properties'!$A$6:$A$205,C63)&lt;&gt;1),"Check Property ID",IF(NOT(ISNUMBER(D63)),"Add appointment date",IF(E63="","Set viewing status",""))))))</x:f>
      </x:c>
    </x:row>
    <x:row r="64" ht="26" customHeight="1">
      <x:c r="A64" s="317"/>
      <x:c r="B64" s="318"/>
      <x:c r="C64" s="235"/>
      <x:c r="D64" s="348"/>
      <x:c r="E64" s="235"/>
      <x:c r="F64" s="235"/>
      <x:c r="G64" s="239"/>
      <x:c r="H64" s="265" t="str">
        <x:f>IF(A64="","",IF(B64="","",IF(COUNTIFS('Clients'!$A$6:$A$205,B64)&lt;&gt;1,"Check Client ID",IF(INDEX('Clients'!$B$6:$B$205,MATCH(B64,'Clients'!$A$6:$A$205,0))="","Name missing",INDEX('Clients'!$B$6:$B$205,MATCH(B64,'Clients'!$A$6:$A$205,0))))))</x:f>
      </x:c>
      <x:c r="I64" s="265" t="str">
        <x:f>IF(A64="","",IF(C64="","",IF(COUNTIFS('Properties'!$A$6:$A$205,C64)&lt;&gt;1,"Check Property ID",IF(INDEX('Properties'!$B$6:$B$205,MATCH(C64,'Properties'!$A$6:$A$205,0))="","Name missing",INDEX('Properties'!$B$6:$B$205,MATCH(C64,'Properties'!$A$6:$A$205,0))))))</x:f>
      </x:c>
      <x:c r="J64" s="315" t="str">
        <x:f>IF(A64="","",IF(COUNTIFS($A$6:$A$205,A64)&gt;1,"Duplicate ID",IF(OR(B64="",COUNTIFS('Clients'!$A$6:$A$205,B64)&lt;&gt;1),"Check Client ID",IF(OR(C64="",COUNTIFS('Properties'!$A$6:$A$205,C64)&lt;&gt;1),"Check Property ID",IF(NOT(ISNUMBER(D64)),"Add appointment date",IF(E64="","Set viewing status",""))))))</x:f>
      </x:c>
    </x:row>
    <x:row r="65" ht="26" customHeight="1">
      <x:c r="A65" s="319"/>
      <x:c r="B65" s="320"/>
      <x:c r="C65" s="274"/>
      <x:c r="D65" s="350"/>
      <x:c r="E65" s="274"/>
      <x:c r="F65" s="274"/>
      <x:c r="G65" s="280"/>
      <x:c r="H65" s="265" t="str">
        <x:f>IF(A65="","",IF(B65="","",IF(COUNTIFS('Clients'!$A$6:$A$205,B65)&lt;&gt;1,"Check Client ID",IF(INDEX('Clients'!$B$6:$B$205,MATCH(B65,'Clients'!$A$6:$A$205,0))="","Name missing",INDEX('Clients'!$B$6:$B$205,MATCH(B65,'Clients'!$A$6:$A$205,0))))))</x:f>
      </x:c>
      <x:c r="I65" s="265" t="str">
        <x:f>IF(A65="","",IF(C65="","",IF(COUNTIFS('Properties'!$A$6:$A$205,C65)&lt;&gt;1,"Check Property ID",IF(INDEX('Properties'!$B$6:$B$205,MATCH(C65,'Properties'!$A$6:$A$205,0))="","Name missing",INDEX('Properties'!$B$6:$B$205,MATCH(C65,'Properties'!$A$6:$A$205,0))))))</x:f>
      </x:c>
      <x:c r="J65" s="315" t="str">
        <x:f>IF(A65="","",IF(COUNTIFS($A$6:$A$205,A65)&gt;1,"Duplicate ID",IF(OR(B65="",COUNTIFS('Clients'!$A$6:$A$205,B65)&lt;&gt;1),"Check Client ID",IF(OR(C65="",COUNTIFS('Properties'!$A$6:$A$205,C65)&lt;&gt;1),"Check Property ID",IF(NOT(ISNUMBER(D65)),"Add appointment date",IF(E65="","Set viewing status",""))))))</x:f>
      </x:c>
    </x:row>
    <x:row r="66" ht="26" customHeight="1">
      <x:c r="A66" s="317"/>
      <x:c r="B66" s="318"/>
      <x:c r="C66" s="235"/>
      <x:c r="D66" s="348"/>
      <x:c r="E66" s="235"/>
      <x:c r="F66" s="235"/>
      <x:c r="G66" s="239"/>
      <x:c r="H66" s="265" t="str">
        <x:f>IF(A66="","",IF(B66="","",IF(COUNTIFS('Clients'!$A$6:$A$205,B66)&lt;&gt;1,"Check Client ID",IF(INDEX('Clients'!$B$6:$B$205,MATCH(B66,'Clients'!$A$6:$A$205,0))="","Name missing",INDEX('Clients'!$B$6:$B$205,MATCH(B66,'Clients'!$A$6:$A$205,0))))))</x:f>
      </x:c>
      <x:c r="I66" s="265" t="str">
        <x:f>IF(A66="","",IF(C66="","",IF(COUNTIFS('Properties'!$A$6:$A$205,C66)&lt;&gt;1,"Check Property ID",IF(INDEX('Properties'!$B$6:$B$205,MATCH(C66,'Properties'!$A$6:$A$205,0))="","Name missing",INDEX('Properties'!$B$6:$B$205,MATCH(C66,'Properties'!$A$6:$A$205,0))))))</x:f>
      </x:c>
      <x:c r="J66" s="315" t="str">
        <x:f>IF(A66="","",IF(COUNTIFS($A$6:$A$205,A66)&gt;1,"Duplicate ID",IF(OR(B66="",COUNTIFS('Clients'!$A$6:$A$205,B66)&lt;&gt;1),"Check Client ID",IF(OR(C66="",COUNTIFS('Properties'!$A$6:$A$205,C66)&lt;&gt;1),"Check Property ID",IF(NOT(ISNUMBER(D66)),"Add appointment date",IF(E66="","Set viewing status",""))))))</x:f>
      </x:c>
    </x:row>
    <x:row r="67" ht="26" customHeight="1">
      <x:c r="A67" s="319"/>
      <x:c r="B67" s="320"/>
      <x:c r="C67" s="274"/>
      <x:c r="D67" s="350"/>
      <x:c r="E67" s="274"/>
      <x:c r="F67" s="274"/>
      <x:c r="G67" s="280"/>
      <x:c r="H67" s="265" t="str">
        <x:f>IF(A67="","",IF(B67="","",IF(COUNTIFS('Clients'!$A$6:$A$205,B67)&lt;&gt;1,"Check Client ID",IF(INDEX('Clients'!$B$6:$B$205,MATCH(B67,'Clients'!$A$6:$A$205,0))="","Name missing",INDEX('Clients'!$B$6:$B$205,MATCH(B67,'Clients'!$A$6:$A$205,0))))))</x:f>
      </x:c>
      <x:c r="I67" s="265" t="str">
        <x:f>IF(A67="","",IF(C67="","",IF(COUNTIFS('Properties'!$A$6:$A$205,C67)&lt;&gt;1,"Check Property ID",IF(INDEX('Properties'!$B$6:$B$205,MATCH(C67,'Properties'!$A$6:$A$205,0))="","Name missing",INDEX('Properties'!$B$6:$B$205,MATCH(C67,'Properties'!$A$6:$A$205,0))))))</x:f>
      </x:c>
      <x:c r="J67" s="315" t="str">
        <x:f>IF(A67="","",IF(COUNTIFS($A$6:$A$205,A67)&gt;1,"Duplicate ID",IF(OR(B67="",COUNTIFS('Clients'!$A$6:$A$205,B67)&lt;&gt;1),"Check Client ID",IF(OR(C67="",COUNTIFS('Properties'!$A$6:$A$205,C67)&lt;&gt;1),"Check Property ID",IF(NOT(ISNUMBER(D67)),"Add appointment date",IF(E67="","Set viewing status",""))))))</x:f>
      </x:c>
    </x:row>
    <x:row r="68" ht="26" customHeight="1">
      <x:c r="A68" s="317"/>
      <x:c r="B68" s="318"/>
      <x:c r="C68" s="235"/>
      <x:c r="D68" s="348"/>
      <x:c r="E68" s="235"/>
      <x:c r="F68" s="235"/>
      <x:c r="G68" s="239"/>
      <x:c r="H68" s="265" t="str">
        <x:f>IF(A68="","",IF(B68="","",IF(COUNTIFS('Clients'!$A$6:$A$205,B68)&lt;&gt;1,"Check Client ID",IF(INDEX('Clients'!$B$6:$B$205,MATCH(B68,'Clients'!$A$6:$A$205,0))="","Name missing",INDEX('Clients'!$B$6:$B$205,MATCH(B68,'Clients'!$A$6:$A$205,0))))))</x:f>
      </x:c>
      <x:c r="I68" s="265" t="str">
        <x:f>IF(A68="","",IF(C68="","",IF(COUNTIFS('Properties'!$A$6:$A$205,C68)&lt;&gt;1,"Check Property ID",IF(INDEX('Properties'!$B$6:$B$205,MATCH(C68,'Properties'!$A$6:$A$205,0))="","Name missing",INDEX('Properties'!$B$6:$B$205,MATCH(C68,'Properties'!$A$6:$A$205,0))))))</x:f>
      </x:c>
      <x:c r="J68" s="315" t="str">
        <x:f>IF(A68="","",IF(COUNTIFS($A$6:$A$205,A68)&gt;1,"Duplicate ID",IF(OR(B68="",COUNTIFS('Clients'!$A$6:$A$205,B68)&lt;&gt;1),"Check Client ID",IF(OR(C68="",COUNTIFS('Properties'!$A$6:$A$205,C68)&lt;&gt;1),"Check Property ID",IF(NOT(ISNUMBER(D68)),"Add appointment date",IF(E68="","Set viewing status",""))))))</x:f>
      </x:c>
    </x:row>
    <x:row r="69" ht="26" customHeight="1">
      <x:c r="A69" s="319"/>
      <x:c r="B69" s="320"/>
      <x:c r="C69" s="274"/>
      <x:c r="D69" s="350"/>
      <x:c r="E69" s="274"/>
      <x:c r="F69" s="274"/>
      <x:c r="G69" s="280"/>
      <x:c r="H69" s="265" t="str">
        <x:f>IF(A69="","",IF(B69="","",IF(COUNTIFS('Clients'!$A$6:$A$205,B69)&lt;&gt;1,"Check Client ID",IF(INDEX('Clients'!$B$6:$B$205,MATCH(B69,'Clients'!$A$6:$A$205,0))="","Name missing",INDEX('Clients'!$B$6:$B$205,MATCH(B69,'Clients'!$A$6:$A$205,0))))))</x:f>
      </x:c>
      <x:c r="I69" s="265" t="str">
        <x:f>IF(A69="","",IF(C69="","",IF(COUNTIFS('Properties'!$A$6:$A$205,C69)&lt;&gt;1,"Check Property ID",IF(INDEX('Properties'!$B$6:$B$205,MATCH(C69,'Properties'!$A$6:$A$205,0))="","Name missing",INDEX('Properties'!$B$6:$B$205,MATCH(C69,'Properties'!$A$6:$A$205,0))))))</x:f>
      </x:c>
      <x:c r="J69" s="315" t="str">
        <x:f>IF(A69="","",IF(COUNTIFS($A$6:$A$205,A69)&gt;1,"Duplicate ID",IF(OR(B69="",COUNTIFS('Clients'!$A$6:$A$205,B69)&lt;&gt;1),"Check Client ID",IF(OR(C69="",COUNTIFS('Properties'!$A$6:$A$205,C69)&lt;&gt;1),"Check Property ID",IF(NOT(ISNUMBER(D69)),"Add appointment date",IF(E69="","Set viewing status",""))))))</x:f>
      </x:c>
    </x:row>
    <x:row r="70" ht="26" customHeight="1">
      <x:c r="A70" s="317"/>
      <x:c r="B70" s="318"/>
      <x:c r="C70" s="235"/>
      <x:c r="D70" s="348"/>
      <x:c r="E70" s="235"/>
      <x:c r="F70" s="235"/>
      <x:c r="G70" s="239"/>
      <x:c r="H70" s="265" t="str">
        <x:f>IF(A70="","",IF(B70="","",IF(COUNTIFS('Clients'!$A$6:$A$205,B70)&lt;&gt;1,"Check Client ID",IF(INDEX('Clients'!$B$6:$B$205,MATCH(B70,'Clients'!$A$6:$A$205,0))="","Name missing",INDEX('Clients'!$B$6:$B$205,MATCH(B70,'Clients'!$A$6:$A$205,0))))))</x:f>
      </x:c>
      <x:c r="I70" s="265" t="str">
        <x:f>IF(A70="","",IF(C70="","",IF(COUNTIFS('Properties'!$A$6:$A$205,C70)&lt;&gt;1,"Check Property ID",IF(INDEX('Properties'!$B$6:$B$205,MATCH(C70,'Properties'!$A$6:$A$205,0))="","Name missing",INDEX('Properties'!$B$6:$B$205,MATCH(C70,'Properties'!$A$6:$A$205,0))))))</x:f>
      </x:c>
      <x:c r="J70" s="315" t="str">
        <x:f>IF(A70="","",IF(COUNTIFS($A$6:$A$205,A70)&gt;1,"Duplicate ID",IF(OR(B70="",COUNTIFS('Clients'!$A$6:$A$205,B70)&lt;&gt;1),"Check Client ID",IF(OR(C70="",COUNTIFS('Properties'!$A$6:$A$205,C70)&lt;&gt;1),"Check Property ID",IF(NOT(ISNUMBER(D70)),"Add appointment date",IF(E70="","Set viewing status",""))))))</x:f>
      </x:c>
    </x:row>
    <x:row r="71" ht="26" customHeight="1">
      <x:c r="A71" s="319"/>
      <x:c r="B71" s="320"/>
      <x:c r="C71" s="274"/>
      <x:c r="D71" s="350"/>
      <x:c r="E71" s="274"/>
      <x:c r="F71" s="274"/>
      <x:c r="G71" s="280"/>
      <x:c r="H71" s="265" t="str">
        <x:f>IF(A71="","",IF(B71="","",IF(COUNTIFS('Clients'!$A$6:$A$205,B71)&lt;&gt;1,"Check Client ID",IF(INDEX('Clients'!$B$6:$B$205,MATCH(B71,'Clients'!$A$6:$A$205,0))="","Name missing",INDEX('Clients'!$B$6:$B$205,MATCH(B71,'Clients'!$A$6:$A$205,0))))))</x:f>
      </x:c>
      <x:c r="I71" s="265" t="str">
        <x:f>IF(A71="","",IF(C71="","",IF(COUNTIFS('Properties'!$A$6:$A$205,C71)&lt;&gt;1,"Check Property ID",IF(INDEX('Properties'!$B$6:$B$205,MATCH(C71,'Properties'!$A$6:$A$205,0))="","Name missing",INDEX('Properties'!$B$6:$B$205,MATCH(C71,'Properties'!$A$6:$A$205,0))))))</x:f>
      </x:c>
      <x:c r="J71" s="315" t="str">
        <x:f>IF(A71="","",IF(COUNTIFS($A$6:$A$205,A71)&gt;1,"Duplicate ID",IF(OR(B71="",COUNTIFS('Clients'!$A$6:$A$205,B71)&lt;&gt;1),"Check Client ID",IF(OR(C71="",COUNTIFS('Properties'!$A$6:$A$205,C71)&lt;&gt;1),"Check Property ID",IF(NOT(ISNUMBER(D71)),"Add appointment date",IF(E71="","Set viewing status",""))))))</x:f>
      </x:c>
    </x:row>
    <x:row r="72" ht="26" customHeight="1">
      <x:c r="A72" s="317"/>
      <x:c r="B72" s="318"/>
      <x:c r="C72" s="235"/>
      <x:c r="D72" s="348"/>
      <x:c r="E72" s="235"/>
      <x:c r="F72" s="235"/>
      <x:c r="G72" s="239"/>
      <x:c r="H72" s="265" t="str">
        <x:f>IF(A72="","",IF(B72="","",IF(COUNTIFS('Clients'!$A$6:$A$205,B72)&lt;&gt;1,"Check Client ID",IF(INDEX('Clients'!$B$6:$B$205,MATCH(B72,'Clients'!$A$6:$A$205,0))="","Name missing",INDEX('Clients'!$B$6:$B$205,MATCH(B72,'Clients'!$A$6:$A$205,0))))))</x:f>
      </x:c>
      <x:c r="I72" s="265" t="str">
        <x:f>IF(A72="","",IF(C72="","",IF(COUNTIFS('Properties'!$A$6:$A$205,C72)&lt;&gt;1,"Check Property ID",IF(INDEX('Properties'!$B$6:$B$205,MATCH(C72,'Properties'!$A$6:$A$205,0))="","Name missing",INDEX('Properties'!$B$6:$B$205,MATCH(C72,'Properties'!$A$6:$A$205,0))))))</x:f>
      </x:c>
      <x:c r="J72" s="315" t="str">
        <x:f>IF(A72="","",IF(COUNTIFS($A$6:$A$205,A72)&gt;1,"Duplicate ID",IF(OR(B72="",COUNTIFS('Clients'!$A$6:$A$205,B72)&lt;&gt;1),"Check Client ID",IF(OR(C72="",COUNTIFS('Properties'!$A$6:$A$205,C72)&lt;&gt;1),"Check Property ID",IF(NOT(ISNUMBER(D72)),"Add appointment date",IF(E72="","Set viewing status",""))))))</x:f>
      </x:c>
    </x:row>
    <x:row r="73" ht="26" customHeight="1">
      <x:c r="A73" s="319"/>
      <x:c r="B73" s="320"/>
      <x:c r="C73" s="274"/>
      <x:c r="D73" s="350"/>
      <x:c r="E73" s="274"/>
      <x:c r="F73" s="274"/>
      <x:c r="G73" s="280"/>
      <x:c r="H73" s="265" t="str">
        <x:f>IF(A73="","",IF(B73="","",IF(COUNTIFS('Clients'!$A$6:$A$205,B73)&lt;&gt;1,"Check Client ID",IF(INDEX('Clients'!$B$6:$B$205,MATCH(B73,'Clients'!$A$6:$A$205,0))="","Name missing",INDEX('Clients'!$B$6:$B$205,MATCH(B73,'Clients'!$A$6:$A$205,0))))))</x:f>
      </x:c>
      <x:c r="I73" s="265" t="str">
        <x:f>IF(A73="","",IF(C73="","",IF(COUNTIFS('Properties'!$A$6:$A$205,C73)&lt;&gt;1,"Check Property ID",IF(INDEX('Properties'!$B$6:$B$205,MATCH(C73,'Properties'!$A$6:$A$205,0))="","Name missing",INDEX('Properties'!$B$6:$B$205,MATCH(C73,'Properties'!$A$6:$A$205,0))))))</x:f>
      </x:c>
      <x:c r="J73" s="315" t="str">
        <x:f>IF(A73="","",IF(COUNTIFS($A$6:$A$205,A73)&gt;1,"Duplicate ID",IF(OR(B73="",COUNTIFS('Clients'!$A$6:$A$205,B73)&lt;&gt;1),"Check Client ID",IF(OR(C73="",COUNTIFS('Properties'!$A$6:$A$205,C73)&lt;&gt;1),"Check Property ID",IF(NOT(ISNUMBER(D73)),"Add appointment date",IF(E73="","Set viewing status",""))))))</x:f>
      </x:c>
    </x:row>
    <x:row r="74" ht="26" customHeight="1">
      <x:c r="A74" s="317"/>
      <x:c r="B74" s="318"/>
      <x:c r="C74" s="235"/>
      <x:c r="D74" s="348"/>
      <x:c r="E74" s="235"/>
      <x:c r="F74" s="235"/>
      <x:c r="G74" s="239"/>
      <x:c r="H74" s="265" t="str">
        <x:f>IF(A74="","",IF(B74="","",IF(COUNTIFS('Clients'!$A$6:$A$205,B74)&lt;&gt;1,"Check Client ID",IF(INDEX('Clients'!$B$6:$B$205,MATCH(B74,'Clients'!$A$6:$A$205,0))="","Name missing",INDEX('Clients'!$B$6:$B$205,MATCH(B74,'Clients'!$A$6:$A$205,0))))))</x:f>
      </x:c>
      <x:c r="I74" s="265" t="str">
        <x:f>IF(A74="","",IF(C74="","",IF(COUNTIFS('Properties'!$A$6:$A$205,C74)&lt;&gt;1,"Check Property ID",IF(INDEX('Properties'!$B$6:$B$205,MATCH(C74,'Properties'!$A$6:$A$205,0))="","Name missing",INDEX('Properties'!$B$6:$B$205,MATCH(C74,'Properties'!$A$6:$A$205,0))))))</x:f>
      </x:c>
      <x:c r="J74" s="315" t="str">
        <x:f>IF(A74="","",IF(COUNTIFS($A$6:$A$205,A74)&gt;1,"Duplicate ID",IF(OR(B74="",COUNTIFS('Clients'!$A$6:$A$205,B74)&lt;&gt;1),"Check Client ID",IF(OR(C74="",COUNTIFS('Properties'!$A$6:$A$205,C74)&lt;&gt;1),"Check Property ID",IF(NOT(ISNUMBER(D74)),"Add appointment date",IF(E74="","Set viewing status",""))))))</x:f>
      </x:c>
    </x:row>
    <x:row r="75" ht="26" customHeight="1">
      <x:c r="A75" s="319"/>
      <x:c r="B75" s="320"/>
      <x:c r="C75" s="274"/>
      <x:c r="D75" s="350"/>
      <x:c r="E75" s="274"/>
      <x:c r="F75" s="274"/>
      <x:c r="G75" s="280"/>
      <x:c r="H75" s="265" t="str">
        <x:f>IF(A75="","",IF(B75="","",IF(COUNTIFS('Clients'!$A$6:$A$205,B75)&lt;&gt;1,"Check Client ID",IF(INDEX('Clients'!$B$6:$B$205,MATCH(B75,'Clients'!$A$6:$A$205,0))="","Name missing",INDEX('Clients'!$B$6:$B$205,MATCH(B75,'Clients'!$A$6:$A$205,0))))))</x:f>
      </x:c>
      <x:c r="I75" s="265" t="str">
        <x:f>IF(A75="","",IF(C75="","",IF(COUNTIFS('Properties'!$A$6:$A$205,C75)&lt;&gt;1,"Check Property ID",IF(INDEX('Properties'!$B$6:$B$205,MATCH(C75,'Properties'!$A$6:$A$205,0))="","Name missing",INDEX('Properties'!$B$6:$B$205,MATCH(C75,'Properties'!$A$6:$A$205,0))))))</x:f>
      </x:c>
      <x:c r="J75" s="315" t="str">
        <x:f>IF(A75="","",IF(COUNTIFS($A$6:$A$205,A75)&gt;1,"Duplicate ID",IF(OR(B75="",COUNTIFS('Clients'!$A$6:$A$205,B75)&lt;&gt;1),"Check Client ID",IF(OR(C75="",COUNTIFS('Properties'!$A$6:$A$205,C75)&lt;&gt;1),"Check Property ID",IF(NOT(ISNUMBER(D75)),"Add appointment date",IF(E75="","Set viewing status",""))))))</x:f>
      </x:c>
    </x:row>
    <x:row r="76" ht="26" customHeight="1">
      <x:c r="A76" s="317"/>
      <x:c r="B76" s="318"/>
      <x:c r="C76" s="235"/>
      <x:c r="D76" s="348"/>
      <x:c r="E76" s="235"/>
      <x:c r="F76" s="235"/>
      <x:c r="G76" s="239"/>
      <x:c r="H76" s="265" t="str">
        <x:f>IF(A76="","",IF(B76="","",IF(COUNTIFS('Clients'!$A$6:$A$205,B76)&lt;&gt;1,"Check Client ID",IF(INDEX('Clients'!$B$6:$B$205,MATCH(B76,'Clients'!$A$6:$A$205,0))="","Name missing",INDEX('Clients'!$B$6:$B$205,MATCH(B76,'Clients'!$A$6:$A$205,0))))))</x:f>
      </x:c>
      <x:c r="I76" s="265" t="str">
        <x:f>IF(A76="","",IF(C76="","",IF(COUNTIFS('Properties'!$A$6:$A$205,C76)&lt;&gt;1,"Check Property ID",IF(INDEX('Properties'!$B$6:$B$205,MATCH(C76,'Properties'!$A$6:$A$205,0))="","Name missing",INDEX('Properties'!$B$6:$B$205,MATCH(C76,'Properties'!$A$6:$A$205,0))))))</x:f>
      </x:c>
      <x:c r="J76" s="315" t="str">
        <x:f>IF(A76="","",IF(COUNTIFS($A$6:$A$205,A76)&gt;1,"Duplicate ID",IF(OR(B76="",COUNTIFS('Clients'!$A$6:$A$205,B76)&lt;&gt;1),"Check Client ID",IF(OR(C76="",COUNTIFS('Properties'!$A$6:$A$205,C76)&lt;&gt;1),"Check Property ID",IF(NOT(ISNUMBER(D76)),"Add appointment date",IF(E76="","Set viewing status",""))))))</x:f>
      </x:c>
    </x:row>
    <x:row r="77" ht="26" customHeight="1">
      <x:c r="A77" s="319"/>
      <x:c r="B77" s="320"/>
      <x:c r="C77" s="274"/>
      <x:c r="D77" s="350"/>
      <x:c r="E77" s="274"/>
      <x:c r="F77" s="274"/>
      <x:c r="G77" s="280"/>
      <x:c r="H77" s="265" t="str">
        <x:f>IF(A77="","",IF(B77="","",IF(COUNTIFS('Clients'!$A$6:$A$205,B77)&lt;&gt;1,"Check Client ID",IF(INDEX('Clients'!$B$6:$B$205,MATCH(B77,'Clients'!$A$6:$A$205,0))="","Name missing",INDEX('Clients'!$B$6:$B$205,MATCH(B77,'Clients'!$A$6:$A$205,0))))))</x:f>
      </x:c>
      <x:c r="I77" s="265" t="str">
        <x:f>IF(A77="","",IF(C77="","",IF(COUNTIFS('Properties'!$A$6:$A$205,C77)&lt;&gt;1,"Check Property ID",IF(INDEX('Properties'!$B$6:$B$205,MATCH(C77,'Properties'!$A$6:$A$205,0))="","Name missing",INDEX('Properties'!$B$6:$B$205,MATCH(C77,'Properties'!$A$6:$A$205,0))))))</x:f>
      </x:c>
      <x:c r="J77" s="315" t="str">
        <x:f>IF(A77="","",IF(COUNTIFS($A$6:$A$205,A77)&gt;1,"Duplicate ID",IF(OR(B77="",COUNTIFS('Clients'!$A$6:$A$205,B77)&lt;&gt;1),"Check Client ID",IF(OR(C77="",COUNTIFS('Properties'!$A$6:$A$205,C77)&lt;&gt;1),"Check Property ID",IF(NOT(ISNUMBER(D77)),"Add appointment date",IF(E77="","Set viewing status",""))))))</x:f>
      </x:c>
    </x:row>
    <x:row r="78" ht="26" customHeight="1">
      <x:c r="A78" s="317"/>
      <x:c r="B78" s="318"/>
      <x:c r="C78" s="235"/>
      <x:c r="D78" s="348"/>
      <x:c r="E78" s="235"/>
      <x:c r="F78" s="235"/>
      <x:c r="G78" s="239"/>
      <x:c r="H78" s="265" t="str">
        <x:f>IF(A78="","",IF(B78="","",IF(COUNTIFS('Clients'!$A$6:$A$205,B78)&lt;&gt;1,"Check Client ID",IF(INDEX('Clients'!$B$6:$B$205,MATCH(B78,'Clients'!$A$6:$A$205,0))="","Name missing",INDEX('Clients'!$B$6:$B$205,MATCH(B78,'Clients'!$A$6:$A$205,0))))))</x:f>
      </x:c>
      <x:c r="I78" s="265" t="str">
        <x:f>IF(A78="","",IF(C78="","",IF(COUNTIFS('Properties'!$A$6:$A$205,C78)&lt;&gt;1,"Check Property ID",IF(INDEX('Properties'!$B$6:$B$205,MATCH(C78,'Properties'!$A$6:$A$205,0))="","Name missing",INDEX('Properties'!$B$6:$B$205,MATCH(C78,'Properties'!$A$6:$A$205,0))))))</x:f>
      </x:c>
      <x:c r="J78" s="315" t="str">
        <x:f>IF(A78="","",IF(COUNTIFS($A$6:$A$205,A78)&gt;1,"Duplicate ID",IF(OR(B78="",COUNTIFS('Clients'!$A$6:$A$205,B78)&lt;&gt;1),"Check Client ID",IF(OR(C78="",COUNTIFS('Properties'!$A$6:$A$205,C78)&lt;&gt;1),"Check Property ID",IF(NOT(ISNUMBER(D78)),"Add appointment date",IF(E78="","Set viewing status",""))))))</x:f>
      </x:c>
    </x:row>
    <x:row r="79" ht="26" customHeight="1">
      <x:c r="A79" s="319"/>
      <x:c r="B79" s="320"/>
      <x:c r="C79" s="274"/>
      <x:c r="D79" s="350"/>
      <x:c r="E79" s="274"/>
      <x:c r="F79" s="274"/>
      <x:c r="G79" s="280"/>
      <x:c r="H79" s="265" t="str">
        <x:f>IF(A79="","",IF(B79="","",IF(COUNTIFS('Clients'!$A$6:$A$205,B79)&lt;&gt;1,"Check Client ID",IF(INDEX('Clients'!$B$6:$B$205,MATCH(B79,'Clients'!$A$6:$A$205,0))="","Name missing",INDEX('Clients'!$B$6:$B$205,MATCH(B79,'Clients'!$A$6:$A$205,0))))))</x:f>
      </x:c>
      <x:c r="I79" s="265" t="str">
        <x:f>IF(A79="","",IF(C79="","",IF(COUNTIFS('Properties'!$A$6:$A$205,C79)&lt;&gt;1,"Check Property ID",IF(INDEX('Properties'!$B$6:$B$205,MATCH(C79,'Properties'!$A$6:$A$205,0))="","Name missing",INDEX('Properties'!$B$6:$B$205,MATCH(C79,'Properties'!$A$6:$A$205,0))))))</x:f>
      </x:c>
      <x:c r="J79" s="315" t="str">
        <x:f>IF(A79="","",IF(COUNTIFS($A$6:$A$205,A79)&gt;1,"Duplicate ID",IF(OR(B79="",COUNTIFS('Clients'!$A$6:$A$205,B79)&lt;&gt;1),"Check Client ID",IF(OR(C79="",COUNTIFS('Properties'!$A$6:$A$205,C79)&lt;&gt;1),"Check Property ID",IF(NOT(ISNUMBER(D79)),"Add appointment date",IF(E79="","Set viewing status",""))))))</x:f>
      </x:c>
    </x:row>
    <x:row r="80" ht="26" customHeight="1">
      <x:c r="A80" s="317"/>
      <x:c r="B80" s="318"/>
      <x:c r="C80" s="235"/>
      <x:c r="D80" s="348"/>
      <x:c r="E80" s="235"/>
      <x:c r="F80" s="235"/>
      <x:c r="G80" s="239"/>
      <x:c r="H80" s="265" t="str">
        <x:f>IF(A80="","",IF(B80="","",IF(COUNTIFS('Clients'!$A$6:$A$205,B80)&lt;&gt;1,"Check Client ID",IF(INDEX('Clients'!$B$6:$B$205,MATCH(B80,'Clients'!$A$6:$A$205,0))="","Name missing",INDEX('Clients'!$B$6:$B$205,MATCH(B80,'Clients'!$A$6:$A$205,0))))))</x:f>
      </x:c>
      <x:c r="I80" s="265" t="str">
        <x:f>IF(A80="","",IF(C80="","",IF(COUNTIFS('Properties'!$A$6:$A$205,C80)&lt;&gt;1,"Check Property ID",IF(INDEX('Properties'!$B$6:$B$205,MATCH(C80,'Properties'!$A$6:$A$205,0))="","Name missing",INDEX('Properties'!$B$6:$B$205,MATCH(C80,'Properties'!$A$6:$A$205,0))))))</x:f>
      </x:c>
      <x:c r="J80" s="315" t="str">
        <x:f>IF(A80="","",IF(COUNTIFS($A$6:$A$205,A80)&gt;1,"Duplicate ID",IF(OR(B80="",COUNTIFS('Clients'!$A$6:$A$205,B80)&lt;&gt;1),"Check Client ID",IF(OR(C80="",COUNTIFS('Properties'!$A$6:$A$205,C80)&lt;&gt;1),"Check Property ID",IF(NOT(ISNUMBER(D80)),"Add appointment date",IF(E80="","Set viewing status",""))))))</x:f>
      </x:c>
    </x:row>
    <x:row r="81" ht="26" customHeight="1">
      <x:c r="A81" s="319"/>
      <x:c r="B81" s="320"/>
      <x:c r="C81" s="274"/>
      <x:c r="D81" s="350"/>
      <x:c r="E81" s="274"/>
      <x:c r="F81" s="274"/>
      <x:c r="G81" s="280"/>
      <x:c r="H81" s="265" t="str">
        <x:f>IF(A81="","",IF(B81="","",IF(COUNTIFS('Clients'!$A$6:$A$205,B81)&lt;&gt;1,"Check Client ID",IF(INDEX('Clients'!$B$6:$B$205,MATCH(B81,'Clients'!$A$6:$A$205,0))="","Name missing",INDEX('Clients'!$B$6:$B$205,MATCH(B81,'Clients'!$A$6:$A$205,0))))))</x:f>
      </x:c>
      <x:c r="I81" s="265" t="str">
        <x:f>IF(A81="","",IF(C81="","",IF(COUNTIFS('Properties'!$A$6:$A$205,C81)&lt;&gt;1,"Check Property ID",IF(INDEX('Properties'!$B$6:$B$205,MATCH(C81,'Properties'!$A$6:$A$205,0))="","Name missing",INDEX('Properties'!$B$6:$B$205,MATCH(C81,'Properties'!$A$6:$A$205,0))))))</x:f>
      </x:c>
      <x:c r="J81" s="315" t="str">
        <x:f>IF(A81="","",IF(COUNTIFS($A$6:$A$205,A81)&gt;1,"Duplicate ID",IF(OR(B81="",COUNTIFS('Clients'!$A$6:$A$205,B81)&lt;&gt;1),"Check Client ID",IF(OR(C81="",COUNTIFS('Properties'!$A$6:$A$205,C81)&lt;&gt;1),"Check Property ID",IF(NOT(ISNUMBER(D81)),"Add appointment date",IF(E81="","Set viewing status",""))))))</x:f>
      </x:c>
    </x:row>
    <x:row r="82" ht="26" customHeight="1">
      <x:c r="A82" s="317"/>
      <x:c r="B82" s="318"/>
      <x:c r="C82" s="235"/>
      <x:c r="D82" s="348"/>
      <x:c r="E82" s="235"/>
      <x:c r="F82" s="235"/>
      <x:c r="G82" s="239"/>
      <x:c r="H82" s="265" t="str">
        <x:f>IF(A82="","",IF(B82="","",IF(COUNTIFS('Clients'!$A$6:$A$205,B82)&lt;&gt;1,"Check Client ID",IF(INDEX('Clients'!$B$6:$B$205,MATCH(B82,'Clients'!$A$6:$A$205,0))="","Name missing",INDEX('Clients'!$B$6:$B$205,MATCH(B82,'Clients'!$A$6:$A$205,0))))))</x:f>
      </x:c>
      <x:c r="I82" s="265" t="str">
        <x:f>IF(A82="","",IF(C82="","",IF(COUNTIFS('Properties'!$A$6:$A$205,C82)&lt;&gt;1,"Check Property ID",IF(INDEX('Properties'!$B$6:$B$205,MATCH(C82,'Properties'!$A$6:$A$205,0))="","Name missing",INDEX('Properties'!$B$6:$B$205,MATCH(C82,'Properties'!$A$6:$A$205,0))))))</x:f>
      </x:c>
      <x:c r="J82" s="315" t="str">
        <x:f>IF(A82="","",IF(COUNTIFS($A$6:$A$205,A82)&gt;1,"Duplicate ID",IF(OR(B82="",COUNTIFS('Clients'!$A$6:$A$205,B82)&lt;&gt;1),"Check Client ID",IF(OR(C82="",COUNTIFS('Properties'!$A$6:$A$205,C82)&lt;&gt;1),"Check Property ID",IF(NOT(ISNUMBER(D82)),"Add appointment date",IF(E82="","Set viewing status",""))))))</x:f>
      </x:c>
    </x:row>
    <x:row r="83" ht="26" customHeight="1">
      <x:c r="A83" s="319"/>
      <x:c r="B83" s="320"/>
      <x:c r="C83" s="274"/>
      <x:c r="D83" s="350"/>
      <x:c r="E83" s="274"/>
      <x:c r="F83" s="274"/>
      <x:c r="G83" s="280"/>
      <x:c r="H83" s="265" t="str">
        <x:f>IF(A83="","",IF(B83="","",IF(COUNTIFS('Clients'!$A$6:$A$205,B83)&lt;&gt;1,"Check Client ID",IF(INDEX('Clients'!$B$6:$B$205,MATCH(B83,'Clients'!$A$6:$A$205,0))="","Name missing",INDEX('Clients'!$B$6:$B$205,MATCH(B83,'Clients'!$A$6:$A$205,0))))))</x:f>
      </x:c>
      <x:c r="I83" s="265" t="str">
        <x:f>IF(A83="","",IF(C83="","",IF(COUNTIFS('Properties'!$A$6:$A$205,C83)&lt;&gt;1,"Check Property ID",IF(INDEX('Properties'!$B$6:$B$205,MATCH(C83,'Properties'!$A$6:$A$205,0))="","Name missing",INDEX('Properties'!$B$6:$B$205,MATCH(C83,'Properties'!$A$6:$A$205,0))))))</x:f>
      </x:c>
      <x:c r="J83" s="315" t="str">
        <x:f>IF(A83="","",IF(COUNTIFS($A$6:$A$205,A83)&gt;1,"Duplicate ID",IF(OR(B83="",COUNTIFS('Clients'!$A$6:$A$205,B83)&lt;&gt;1),"Check Client ID",IF(OR(C83="",COUNTIFS('Properties'!$A$6:$A$205,C83)&lt;&gt;1),"Check Property ID",IF(NOT(ISNUMBER(D83)),"Add appointment date",IF(E83="","Set viewing status",""))))))</x:f>
      </x:c>
    </x:row>
    <x:row r="84" ht="26" customHeight="1">
      <x:c r="A84" s="317"/>
      <x:c r="B84" s="318"/>
      <x:c r="C84" s="235"/>
      <x:c r="D84" s="348"/>
      <x:c r="E84" s="235"/>
      <x:c r="F84" s="235"/>
      <x:c r="G84" s="239"/>
      <x:c r="H84" s="265" t="str">
        <x:f>IF(A84="","",IF(B84="","",IF(COUNTIFS('Clients'!$A$6:$A$205,B84)&lt;&gt;1,"Check Client ID",IF(INDEX('Clients'!$B$6:$B$205,MATCH(B84,'Clients'!$A$6:$A$205,0))="","Name missing",INDEX('Clients'!$B$6:$B$205,MATCH(B84,'Clients'!$A$6:$A$205,0))))))</x:f>
      </x:c>
      <x:c r="I84" s="265" t="str">
        <x:f>IF(A84="","",IF(C84="","",IF(COUNTIFS('Properties'!$A$6:$A$205,C84)&lt;&gt;1,"Check Property ID",IF(INDEX('Properties'!$B$6:$B$205,MATCH(C84,'Properties'!$A$6:$A$205,0))="","Name missing",INDEX('Properties'!$B$6:$B$205,MATCH(C84,'Properties'!$A$6:$A$205,0))))))</x:f>
      </x:c>
      <x:c r="J84" s="315" t="str">
        <x:f>IF(A84="","",IF(COUNTIFS($A$6:$A$205,A84)&gt;1,"Duplicate ID",IF(OR(B84="",COUNTIFS('Clients'!$A$6:$A$205,B84)&lt;&gt;1),"Check Client ID",IF(OR(C84="",COUNTIFS('Properties'!$A$6:$A$205,C84)&lt;&gt;1),"Check Property ID",IF(NOT(ISNUMBER(D84)),"Add appointment date",IF(E84="","Set viewing status",""))))))</x:f>
      </x:c>
    </x:row>
    <x:row r="85" ht="26" customHeight="1">
      <x:c r="A85" s="319"/>
      <x:c r="B85" s="320"/>
      <x:c r="C85" s="274"/>
      <x:c r="D85" s="350"/>
      <x:c r="E85" s="274"/>
      <x:c r="F85" s="274"/>
      <x:c r="G85" s="280"/>
      <x:c r="H85" s="265" t="str">
        <x:f>IF(A85="","",IF(B85="","",IF(COUNTIFS('Clients'!$A$6:$A$205,B85)&lt;&gt;1,"Check Client ID",IF(INDEX('Clients'!$B$6:$B$205,MATCH(B85,'Clients'!$A$6:$A$205,0))="","Name missing",INDEX('Clients'!$B$6:$B$205,MATCH(B85,'Clients'!$A$6:$A$205,0))))))</x:f>
      </x:c>
      <x:c r="I85" s="265" t="str">
        <x:f>IF(A85="","",IF(C85="","",IF(COUNTIFS('Properties'!$A$6:$A$205,C85)&lt;&gt;1,"Check Property ID",IF(INDEX('Properties'!$B$6:$B$205,MATCH(C85,'Properties'!$A$6:$A$205,0))="","Name missing",INDEX('Properties'!$B$6:$B$205,MATCH(C85,'Properties'!$A$6:$A$205,0))))))</x:f>
      </x:c>
      <x:c r="J85" s="315" t="str">
        <x:f>IF(A85="","",IF(COUNTIFS($A$6:$A$205,A85)&gt;1,"Duplicate ID",IF(OR(B85="",COUNTIFS('Clients'!$A$6:$A$205,B85)&lt;&gt;1),"Check Client ID",IF(OR(C85="",COUNTIFS('Properties'!$A$6:$A$205,C85)&lt;&gt;1),"Check Property ID",IF(NOT(ISNUMBER(D85)),"Add appointment date",IF(E85="","Set viewing status",""))))))</x:f>
      </x:c>
    </x:row>
    <x:row r="86" ht="26" customHeight="1">
      <x:c r="A86" s="317"/>
      <x:c r="B86" s="318"/>
      <x:c r="C86" s="235"/>
      <x:c r="D86" s="348"/>
      <x:c r="E86" s="235"/>
      <x:c r="F86" s="235"/>
      <x:c r="G86" s="239"/>
      <x:c r="H86" s="265" t="str">
        <x:f>IF(A86="","",IF(B86="","",IF(COUNTIFS('Clients'!$A$6:$A$205,B86)&lt;&gt;1,"Check Client ID",IF(INDEX('Clients'!$B$6:$B$205,MATCH(B86,'Clients'!$A$6:$A$205,0))="","Name missing",INDEX('Clients'!$B$6:$B$205,MATCH(B86,'Clients'!$A$6:$A$205,0))))))</x:f>
      </x:c>
      <x:c r="I86" s="265" t="str">
        <x:f>IF(A86="","",IF(C86="","",IF(COUNTIFS('Properties'!$A$6:$A$205,C86)&lt;&gt;1,"Check Property ID",IF(INDEX('Properties'!$B$6:$B$205,MATCH(C86,'Properties'!$A$6:$A$205,0))="","Name missing",INDEX('Properties'!$B$6:$B$205,MATCH(C86,'Properties'!$A$6:$A$205,0))))))</x:f>
      </x:c>
      <x:c r="J86" s="315" t="str">
        <x:f>IF(A86="","",IF(COUNTIFS($A$6:$A$205,A86)&gt;1,"Duplicate ID",IF(OR(B86="",COUNTIFS('Clients'!$A$6:$A$205,B86)&lt;&gt;1),"Check Client ID",IF(OR(C86="",COUNTIFS('Properties'!$A$6:$A$205,C86)&lt;&gt;1),"Check Property ID",IF(NOT(ISNUMBER(D86)),"Add appointment date",IF(E86="","Set viewing status",""))))))</x:f>
      </x:c>
    </x:row>
    <x:row r="87" ht="26" customHeight="1">
      <x:c r="A87" s="319"/>
      <x:c r="B87" s="320"/>
      <x:c r="C87" s="274"/>
      <x:c r="D87" s="350"/>
      <x:c r="E87" s="274"/>
      <x:c r="F87" s="274"/>
      <x:c r="G87" s="280"/>
      <x:c r="H87" s="265" t="str">
        <x:f>IF(A87="","",IF(B87="","",IF(COUNTIFS('Clients'!$A$6:$A$205,B87)&lt;&gt;1,"Check Client ID",IF(INDEX('Clients'!$B$6:$B$205,MATCH(B87,'Clients'!$A$6:$A$205,0))="","Name missing",INDEX('Clients'!$B$6:$B$205,MATCH(B87,'Clients'!$A$6:$A$205,0))))))</x:f>
      </x:c>
      <x:c r="I87" s="265" t="str">
        <x:f>IF(A87="","",IF(C87="","",IF(COUNTIFS('Properties'!$A$6:$A$205,C87)&lt;&gt;1,"Check Property ID",IF(INDEX('Properties'!$B$6:$B$205,MATCH(C87,'Properties'!$A$6:$A$205,0))="","Name missing",INDEX('Properties'!$B$6:$B$205,MATCH(C87,'Properties'!$A$6:$A$205,0))))))</x:f>
      </x:c>
      <x:c r="J87" s="315" t="str">
        <x:f>IF(A87="","",IF(COUNTIFS($A$6:$A$205,A87)&gt;1,"Duplicate ID",IF(OR(B87="",COUNTIFS('Clients'!$A$6:$A$205,B87)&lt;&gt;1),"Check Client ID",IF(OR(C87="",COUNTIFS('Properties'!$A$6:$A$205,C87)&lt;&gt;1),"Check Property ID",IF(NOT(ISNUMBER(D87)),"Add appointment date",IF(E87="","Set viewing status",""))))))</x:f>
      </x:c>
    </x:row>
    <x:row r="88" ht="26" customHeight="1">
      <x:c r="A88" s="317"/>
      <x:c r="B88" s="318"/>
      <x:c r="C88" s="235"/>
      <x:c r="D88" s="348"/>
      <x:c r="E88" s="235"/>
      <x:c r="F88" s="235"/>
      <x:c r="G88" s="239"/>
      <x:c r="H88" s="265" t="str">
        <x:f>IF(A88="","",IF(B88="","",IF(COUNTIFS('Clients'!$A$6:$A$205,B88)&lt;&gt;1,"Check Client ID",IF(INDEX('Clients'!$B$6:$B$205,MATCH(B88,'Clients'!$A$6:$A$205,0))="","Name missing",INDEX('Clients'!$B$6:$B$205,MATCH(B88,'Clients'!$A$6:$A$205,0))))))</x:f>
      </x:c>
      <x:c r="I88" s="265" t="str">
        <x:f>IF(A88="","",IF(C88="","",IF(COUNTIFS('Properties'!$A$6:$A$205,C88)&lt;&gt;1,"Check Property ID",IF(INDEX('Properties'!$B$6:$B$205,MATCH(C88,'Properties'!$A$6:$A$205,0))="","Name missing",INDEX('Properties'!$B$6:$B$205,MATCH(C88,'Properties'!$A$6:$A$205,0))))))</x:f>
      </x:c>
      <x:c r="J88" s="315" t="str">
        <x:f>IF(A88="","",IF(COUNTIFS($A$6:$A$205,A88)&gt;1,"Duplicate ID",IF(OR(B88="",COUNTIFS('Clients'!$A$6:$A$205,B88)&lt;&gt;1),"Check Client ID",IF(OR(C88="",COUNTIFS('Properties'!$A$6:$A$205,C88)&lt;&gt;1),"Check Property ID",IF(NOT(ISNUMBER(D88)),"Add appointment date",IF(E88="","Set viewing status",""))))))</x:f>
      </x:c>
    </x:row>
    <x:row r="89" ht="26" customHeight="1">
      <x:c r="A89" s="319"/>
      <x:c r="B89" s="320"/>
      <x:c r="C89" s="274"/>
      <x:c r="D89" s="350"/>
      <x:c r="E89" s="274"/>
      <x:c r="F89" s="274"/>
      <x:c r="G89" s="280"/>
      <x:c r="H89" s="265" t="str">
        <x:f>IF(A89="","",IF(B89="","",IF(COUNTIFS('Clients'!$A$6:$A$205,B89)&lt;&gt;1,"Check Client ID",IF(INDEX('Clients'!$B$6:$B$205,MATCH(B89,'Clients'!$A$6:$A$205,0))="","Name missing",INDEX('Clients'!$B$6:$B$205,MATCH(B89,'Clients'!$A$6:$A$205,0))))))</x:f>
      </x:c>
      <x:c r="I89" s="265" t="str">
        <x:f>IF(A89="","",IF(C89="","",IF(COUNTIFS('Properties'!$A$6:$A$205,C89)&lt;&gt;1,"Check Property ID",IF(INDEX('Properties'!$B$6:$B$205,MATCH(C89,'Properties'!$A$6:$A$205,0))="","Name missing",INDEX('Properties'!$B$6:$B$205,MATCH(C89,'Properties'!$A$6:$A$205,0))))))</x:f>
      </x:c>
      <x:c r="J89" s="315" t="str">
        <x:f>IF(A89="","",IF(COUNTIFS($A$6:$A$205,A89)&gt;1,"Duplicate ID",IF(OR(B89="",COUNTIFS('Clients'!$A$6:$A$205,B89)&lt;&gt;1),"Check Client ID",IF(OR(C89="",COUNTIFS('Properties'!$A$6:$A$205,C89)&lt;&gt;1),"Check Property ID",IF(NOT(ISNUMBER(D89)),"Add appointment date",IF(E89="","Set viewing status",""))))))</x:f>
      </x:c>
    </x:row>
    <x:row r="90" ht="26" customHeight="1">
      <x:c r="A90" s="317"/>
      <x:c r="B90" s="318"/>
      <x:c r="C90" s="235"/>
      <x:c r="D90" s="348"/>
      <x:c r="E90" s="235"/>
      <x:c r="F90" s="235"/>
      <x:c r="G90" s="239"/>
      <x:c r="H90" s="265" t="str">
        <x:f>IF(A90="","",IF(B90="","",IF(COUNTIFS('Clients'!$A$6:$A$205,B90)&lt;&gt;1,"Check Client ID",IF(INDEX('Clients'!$B$6:$B$205,MATCH(B90,'Clients'!$A$6:$A$205,0))="","Name missing",INDEX('Clients'!$B$6:$B$205,MATCH(B90,'Clients'!$A$6:$A$205,0))))))</x:f>
      </x:c>
      <x:c r="I90" s="265" t="str">
        <x:f>IF(A90="","",IF(C90="","",IF(COUNTIFS('Properties'!$A$6:$A$205,C90)&lt;&gt;1,"Check Property ID",IF(INDEX('Properties'!$B$6:$B$205,MATCH(C90,'Properties'!$A$6:$A$205,0))="","Name missing",INDEX('Properties'!$B$6:$B$205,MATCH(C90,'Properties'!$A$6:$A$205,0))))))</x:f>
      </x:c>
      <x:c r="J90" s="315" t="str">
        <x:f>IF(A90="","",IF(COUNTIFS($A$6:$A$205,A90)&gt;1,"Duplicate ID",IF(OR(B90="",COUNTIFS('Clients'!$A$6:$A$205,B90)&lt;&gt;1),"Check Client ID",IF(OR(C90="",COUNTIFS('Properties'!$A$6:$A$205,C90)&lt;&gt;1),"Check Property ID",IF(NOT(ISNUMBER(D90)),"Add appointment date",IF(E90="","Set viewing status",""))))))</x:f>
      </x:c>
    </x:row>
    <x:row r="91" ht="26" customHeight="1">
      <x:c r="A91" s="319"/>
      <x:c r="B91" s="320"/>
      <x:c r="C91" s="274"/>
      <x:c r="D91" s="350"/>
      <x:c r="E91" s="274"/>
      <x:c r="F91" s="274"/>
      <x:c r="G91" s="280"/>
      <x:c r="H91" s="265" t="str">
        <x:f>IF(A91="","",IF(B91="","",IF(COUNTIFS('Clients'!$A$6:$A$205,B91)&lt;&gt;1,"Check Client ID",IF(INDEX('Clients'!$B$6:$B$205,MATCH(B91,'Clients'!$A$6:$A$205,0))="","Name missing",INDEX('Clients'!$B$6:$B$205,MATCH(B91,'Clients'!$A$6:$A$205,0))))))</x:f>
      </x:c>
      <x:c r="I91" s="265" t="str">
        <x:f>IF(A91="","",IF(C91="","",IF(COUNTIFS('Properties'!$A$6:$A$205,C91)&lt;&gt;1,"Check Property ID",IF(INDEX('Properties'!$B$6:$B$205,MATCH(C91,'Properties'!$A$6:$A$205,0))="","Name missing",INDEX('Properties'!$B$6:$B$205,MATCH(C91,'Properties'!$A$6:$A$205,0))))))</x:f>
      </x:c>
      <x:c r="J91" s="315" t="str">
        <x:f>IF(A91="","",IF(COUNTIFS($A$6:$A$205,A91)&gt;1,"Duplicate ID",IF(OR(B91="",COUNTIFS('Clients'!$A$6:$A$205,B91)&lt;&gt;1),"Check Client ID",IF(OR(C91="",COUNTIFS('Properties'!$A$6:$A$205,C91)&lt;&gt;1),"Check Property ID",IF(NOT(ISNUMBER(D91)),"Add appointment date",IF(E91="","Set viewing status",""))))))</x:f>
      </x:c>
    </x:row>
    <x:row r="92" ht="26" customHeight="1">
      <x:c r="A92" s="317"/>
      <x:c r="B92" s="318"/>
      <x:c r="C92" s="235"/>
      <x:c r="D92" s="348"/>
      <x:c r="E92" s="235"/>
      <x:c r="F92" s="235"/>
      <x:c r="G92" s="239"/>
      <x:c r="H92" s="265" t="str">
        <x:f>IF(A92="","",IF(B92="","",IF(COUNTIFS('Clients'!$A$6:$A$205,B92)&lt;&gt;1,"Check Client ID",IF(INDEX('Clients'!$B$6:$B$205,MATCH(B92,'Clients'!$A$6:$A$205,0))="","Name missing",INDEX('Clients'!$B$6:$B$205,MATCH(B92,'Clients'!$A$6:$A$205,0))))))</x:f>
      </x:c>
      <x:c r="I92" s="265" t="str">
        <x:f>IF(A92="","",IF(C92="","",IF(COUNTIFS('Properties'!$A$6:$A$205,C92)&lt;&gt;1,"Check Property ID",IF(INDEX('Properties'!$B$6:$B$205,MATCH(C92,'Properties'!$A$6:$A$205,0))="","Name missing",INDEX('Properties'!$B$6:$B$205,MATCH(C92,'Properties'!$A$6:$A$205,0))))))</x:f>
      </x:c>
      <x:c r="J92" s="315" t="str">
        <x:f>IF(A92="","",IF(COUNTIFS($A$6:$A$205,A92)&gt;1,"Duplicate ID",IF(OR(B92="",COUNTIFS('Clients'!$A$6:$A$205,B92)&lt;&gt;1),"Check Client ID",IF(OR(C92="",COUNTIFS('Properties'!$A$6:$A$205,C92)&lt;&gt;1),"Check Property ID",IF(NOT(ISNUMBER(D92)),"Add appointment date",IF(E92="","Set viewing status",""))))))</x:f>
      </x:c>
    </x:row>
    <x:row r="93" ht="26" customHeight="1">
      <x:c r="A93" s="319"/>
      <x:c r="B93" s="320"/>
      <x:c r="C93" s="274"/>
      <x:c r="D93" s="350"/>
      <x:c r="E93" s="274"/>
      <x:c r="F93" s="274"/>
      <x:c r="G93" s="280"/>
      <x:c r="H93" s="265" t="str">
        <x:f>IF(A93="","",IF(B93="","",IF(COUNTIFS('Clients'!$A$6:$A$205,B93)&lt;&gt;1,"Check Client ID",IF(INDEX('Clients'!$B$6:$B$205,MATCH(B93,'Clients'!$A$6:$A$205,0))="","Name missing",INDEX('Clients'!$B$6:$B$205,MATCH(B93,'Clients'!$A$6:$A$205,0))))))</x:f>
      </x:c>
      <x:c r="I93" s="265" t="str">
        <x:f>IF(A93="","",IF(C93="","",IF(COUNTIFS('Properties'!$A$6:$A$205,C93)&lt;&gt;1,"Check Property ID",IF(INDEX('Properties'!$B$6:$B$205,MATCH(C93,'Properties'!$A$6:$A$205,0))="","Name missing",INDEX('Properties'!$B$6:$B$205,MATCH(C93,'Properties'!$A$6:$A$205,0))))))</x:f>
      </x:c>
      <x:c r="J93" s="315" t="str">
        <x:f>IF(A93="","",IF(COUNTIFS($A$6:$A$205,A93)&gt;1,"Duplicate ID",IF(OR(B93="",COUNTIFS('Clients'!$A$6:$A$205,B93)&lt;&gt;1),"Check Client ID",IF(OR(C93="",COUNTIFS('Properties'!$A$6:$A$205,C93)&lt;&gt;1),"Check Property ID",IF(NOT(ISNUMBER(D93)),"Add appointment date",IF(E93="","Set viewing status",""))))))</x:f>
      </x:c>
    </x:row>
    <x:row r="94" ht="26" customHeight="1">
      <x:c r="A94" s="317"/>
      <x:c r="B94" s="318"/>
      <x:c r="C94" s="235"/>
      <x:c r="D94" s="348"/>
      <x:c r="E94" s="235"/>
      <x:c r="F94" s="235"/>
      <x:c r="G94" s="239"/>
      <x:c r="H94" s="265" t="str">
        <x:f>IF(A94="","",IF(B94="","",IF(COUNTIFS('Clients'!$A$6:$A$205,B94)&lt;&gt;1,"Check Client ID",IF(INDEX('Clients'!$B$6:$B$205,MATCH(B94,'Clients'!$A$6:$A$205,0))="","Name missing",INDEX('Clients'!$B$6:$B$205,MATCH(B94,'Clients'!$A$6:$A$205,0))))))</x:f>
      </x:c>
      <x:c r="I94" s="265" t="str">
        <x:f>IF(A94="","",IF(C94="","",IF(COUNTIFS('Properties'!$A$6:$A$205,C94)&lt;&gt;1,"Check Property ID",IF(INDEX('Properties'!$B$6:$B$205,MATCH(C94,'Properties'!$A$6:$A$205,0))="","Name missing",INDEX('Properties'!$B$6:$B$205,MATCH(C94,'Properties'!$A$6:$A$205,0))))))</x:f>
      </x:c>
      <x:c r="J94" s="315" t="str">
        <x:f>IF(A94="","",IF(COUNTIFS($A$6:$A$205,A94)&gt;1,"Duplicate ID",IF(OR(B94="",COUNTIFS('Clients'!$A$6:$A$205,B94)&lt;&gt;1),"Check Client ID",IF(OR(C94="",COUNTIFS('Properties'!$A$6:$A$205,C94)&lt;&gt;1),"Check Property ID",IF(NOT(ISNUMBER(D94)),"Add appointment date",IF(E94="","Set viewing status",""))))))</x:f>
      </x:c>
    </x:row>
    <x:row r="95" ht="26" customHeight="1">
      <x:c r="A95" s="319"/>
      <x:c r="B95" s="320"/>
      <x:c r="C95" s="274"/>
      <x:c r="D95" s="350"/>
      <x:c r="E95" s="274"/>
      <x:c r="F95" s="274"/>
      <x:c r="G95" s="280"/>
      <x:c r="H95" s="265" t="str">
        <x:f>IF(A95="","",IF(B95="","",IF(COUNTIFS('Clients'!$A$6:$A$205,B95)&lt;&gt;1,"Check Client ID",IF(INDEX('Clients'!$B$6:$B$205,MATCH(B95,'Clients'!$A$6:$A$205,0))="","Name missing",INDEX('Clients'!$B$6:$B$205,MATCH(B95,'Clients'!$A$6:$A$205,0))))))</x:f>
      </x:c>
      <x:c r="I95" s="265" t="str">
        <x:f>IF(A95="","",IF(C95="","",IF(COUNTIFS('Properties'!$A$6:$A$205,C95)&lt;&gt;1,"Check Property ID",IF(INDEX('Properties'!$B$6:$B$205,MATCH(C95,'Properties'!$A$6:$A$205,0))="","Name missing",INDEX('Properties'!$B$6:$B$205,MATCH(C95,'Properties'!$A$6:$A$205,0))))))</x:f>
      </x:c>
      <x:c r="J95" s="315" t="str">
        <x:f>IF(A95="","",IF(COUNTIFS($A$6:$A$205,A95)&gt;1,"Duplicate ID",IF(OR(B95="",COUNTIFS('Clients'!$A$6:$A$205,B95)&lt;&gt;1),"Check Client ID",IF(OR(C95="",COUNTIFS('Properties'!$A$6:$A$205,C95)&lt;&gt;1),"Check Property ID",IF(NOT(ISNUMBER(D95)),"Add appointment date",IF(E95="","Set viewing status",""))))))</x:f>
      </x:c>
    </x:row>
    <x:row r="96" ht="26" customHeight="1">
      <x:c r="A96" s="317"/>
      <x:c r="B96" s="318"/>
      <x:c r="C96" s="235"/>
      <x:c r="D96" s="348"/>
      <x:c r="E96" s="235"/>
      <x:c r="F96" s="235"/>
      <x:c r="G96" s="239"/>
      <x:c r="H96" s="265" t="str">
        <x:f>IF(A96="","",IF(B96="","",IF(COUNTIFS('Clients'!$A$6:$A$205,B96)&lt;&gt;1,"Check Client ID",IF(INDEX('Clients'!$B$6:$B$205,MATCH(B96,'Clients'!$A$6:$A$205,0))="","Name missing",INDEX('Clients'!$B$6:$B$205,MATCH(B96,'Clients'!$A$6:$A$205,0))))))</x:f>
      </x:c>
      <x:c r="I96" s="265" t="str">
        <x:f>IF(A96="","",IF(C96="","",IF(COUNTIFS('Properties'!$A$6:$A$205,C96)&lt;&gt;1,"Check Property ID",IF(INDEX('Properties'!$B$6:$B$205,MATCH(C96,'Properties'!$A$6:$A$205,0))="","Name missing",INDEX('Properties'!$B$6:$B$205,MATCH(C96,'Properties'!$A$6:$A$205,0))))))</x:f>
      </x:c>
      <x:c r="J96" s="315" t="str">
        <x:f>IF(A96="","",IF(COUNTIFS($A$6:$A$205,A96)&gt;1,"Duplicate ID",IF(OR(B96="",COUNTIFS('Clients'!$A$6:$A$205,B96)&lt;&gt;1),"Check Client ID",IF(OR(C96="",COUNTIFS('Properties'!$A$6:$A$205,C96)&lt;&gt;1),"Check Property ID",IF(NOT(ISNUMBER(D96)),"Add appointment date",IF(E96="","Set viewing status",""))))))</x:f>
      </x:c>
    </x:row>
    <x:row r="97" ht="26" customHeight="1">
      <x:c r="A97" s="319"/>
      <x:c r="B97" s="320"/>
      <x:c r="C97" s="274"/>
      <x:c r="D97" s="350"/>
      <x:c r="E97" s="274"/>
      <x:c r="F97" s="274"/>
      <x:c r="G97" s="280"/>
      <x:c r="H97" s="265" t="str">
        <x:f>IF(A97="","",IF(B97="","",IF(COUNTIFS('Clients'!$A$6:$A$205,B97)&lt;&gt;1,"Check Client ID",IF(INDEX('Clients'!$B$6:$B$205,MATCH(B97,'Clients'!$A$6:$A$205,0))="","Name missing",INDEX('Clients'!$B$6:$B$205,MATCH(B97,'Clients'!$A$6:$A$205,0))))))</x:f>
      </x:c>
      <x:c r="I97" s="265" t="str">
        <x:f>IF(A97="","",IF(C97="","",IF(COUNTIFS('Properties'!$A$6:$A$205,C97)&lt;&gt;1,"Check Property ID",IF(INDEX('Properties'!$B$6:$B$205,MATCH(C97,'Properties'!$A$6:$A$205,0))="","Name missing",INDEX('Properties'!$B$6:$B$205,MATCH(C97,'Properties'!$A$6:$A$205,0))))))</x:f>
      </x:c>
      <x:c r="J97" s="315" t="str">
        <x:f>IF(A97="","",IF(COUNTIFS($A$6:$A$205,A97)&gt;1,"Duplicate ID",IF(OR(B97="",COUNTIFS('Clients'!$A$6:$A$205,B97)&lt;&gt;1),"Check Client ID",IF(OR(C97="",COUNTIFS('Properties'!$A$6:$A$205,C97)&lt;&gt;1),"Check Property ID",IF(NOT(ISNUMBER(D97)),"Add appointment date",IF(E97="","Set viewing status",""))))))</x:f>
      </x:c>
    </x:row>
    <x:row r="98" ht="26" customHeight="1">
      <x:c r="A98" s="317"/>
      <x:c r="B98" s="318"/>
      <x:c r="C98" s="235"/>
      <x:c r="D98" s="348"/>
      <x:c r="E98" s="235"/>
      <x:c r="F98" s="235"/>
      <x:c r="G98" s="239"/>
      <x:c r="H98" s="265" t="str">
        <x:f>IF(A98="","",IF(B98="","",IF(COUNTIFS('Clients'!$A$6:$A$205,B98)&lt;&gt;1,"Check Client ID",IF(INDEX('Clients'!$B$6:$B$205,MATCH(B98,'Clients'!$A$6:$A$205,0))="","Name missing",INDEX('Clients'!$B$6:$B$205,MATCH(B98,'Clients'!$A$6:$A$205,0))))))</x:f>
      </x:c>
      <x:c r="I98" s="265" t="str">
        <x:f>IF(A98="","",IF(C98="","",IF(COUNTIFS('Properties'!$A$6:$A$205,C98)&lt;&gt;1,"Check Property ID",IF(INDEX('Properties'!$B$6:$B$205,MATCH(C98,'Properties'!$A$6:$A$205,0))="","Name missing",INDEX('Properties'!$B$6:$B$205,MATCH(C98,'Properties'!$A$6:$A$205,0))))))</x:f>
      </x:c>
      <x:c r="J98" s="315" t="str">
        <x:f>IF(A98="","",IF(COUNTIFS($A$6:$A$205,A98)&gt;1,"Duplicate ID",IF(OR(B98="",COUNTIFS('Clients'!$A$6:$A$205,B98)&lt;&gt;1),"Check Client ID",IF(OR(C98="",COUNTIFS('Properties'!$A$6:$A$205,C98)&lt;&gt;1),"Check Property ID",IF(NOT(ISNUMBER(D98)),"Add appointment date",IF(E98="","Set viewing status",""))))))</x:f>
      </x:c>
    </x:row>
    <x:row r="99" ht="26" customHeight="1">
      <x:c r="A99" s="319"/>
      <x:c r="B99" s="320"/>
      <x:c r="C99" s="274"/>
      <x:c r="D99" s="350"/>
      <x:c r="E99" s="274"/>
      <x:c r="F99" s="274"/>
      <x:c r="G99" s="280"/>
      <x:c r="H99" s="265" t="str">
        <x:f>IF(A99="","",IF(B99="","",IF(COUNTIFS('Clients'!$A$6:$A$205,B99)&lt;&gt;1,"Check Client ID",IF(INDEX('Clients'!$B$6:$B$205,MATCH(B99,'Clients'!$A$6:$A$205,0))="","Name missing",INDEX('Clients'!$B$6:$B$205,MATCH(B99,'Clients'!$A$6:$A$205,0))))))</x:f>
      </x:c>
      <x:c r="I99" s="265" t="str">
        <x:f>IF(A99="","",IF(C99="","",IF(COUNTIFS('Properties'!$A$6:$A$205,C99)&lt;&gt;1,"Check Property ID",IF(INDEX('Properties'!$B$6:$B$205,MATCH(C99,'Properties'!$A$6:$A$205,0))="","Name missing",INDEX('Properties'!$B$6:$B$205,MATCH(C99,'Properties'!$A$6:$A$205,0))))))</x:f>
      </x:c>
      <x:c r="J99" s="315" t="str">
        <x:f>IF(A99="","",IF(COUNTIFS($A$6:$A$205,A99)&gt;1,"Duplicate ID",IF(OR(B99="",COUNTIFS('Clients'!$A$6:$A$205,B99)&lt;&gt;1),"Check Client ID",IF(OR(C99="",COUNTIFS('Properties'!$A$6:$A$205,C99)&lt;&gt;1),"Check Property ID",IF(NOT(ISNUMBER(D99)),"Add appointment date",IF(E99="","Set viewing status",""))))))</x:f>
      </x:c>
    </x:row>
    <x:row r="100" ht="26" customHeight="1">
      <x:c r="A100" s="317"/>
      <x:c r="B100" s="318"/>
      <x:c r="C100" s="235"/>
      <x:c r="D100" s="348"/>
      <x:c r="E100" s="235"/>
      <x:c r="F100" s="235"/>
      <x:c r="G100" s="239"/>
      <x:c r="H100" s="265" t="str">
        <x:f>IF(A100="","",IF(B100="","",IF(COUNTIFS('Clients'!$A$6:$A$205,B100)&lt;&gt;1,"Check Client ID",IF(INDEX('Clients'!$B$6:$B$205,MATCH(B100,'Clients'!$A$6:$A$205,0))="","Name missing",INDEX('Clients'!$B$6:$B$205,MATCH(B100,'Clients'!$A$6:$A$205,0))))))</x:f>
      </x:c>
      <x:c r="I100" s="265" t="str">
        <x:f>IF(A100="","",IF(C100="","",IF(COUNTIFS('Properties'!$A$6:$A$205,C100)&lt;&gt;1,"Check Property ID",IF(INDEX('Properties'!$B$6:$B$205,MATCH(C100,'Properties'!$A$6:$A$205,0))="","Name missing",INDEX('Properties'!$B$6:$B$205,MATCH(C100,'Properties'!$A$6:$A$205,0))))))</x:f>
      </x:c>
      <x:c r="J100" s="315" t="str">
        <x:f>IF(A100="","",IF(COUNTIFS($A$6:$A$205,A100)&gt;1,"Duplicate ID",IF(OR(B100="",COUNTIFS('Clients'!$A$6:$A$205,B100)&lt;&gt;1),"Check Client ID",IF(OR(C100="",COUNTIFS('Properties'!$A$6:$A$205,C100)&lt;&gt;1),"Check Property ID",IF(NOT(ISNUMBER(D100)),"Add appointment date",IF(E100="","Set viewing status",""))))))</x:f>
      </x:c>
    </x:row>
    <x:row r="101" ht="26" customHeight="1">
      <x:c r="A101" s="319"/>
      <x:c r="B101" s="320"/>
      <x:c r="C101" s="274"/>
      <x:c r="D101" s="350"/>
      <x:c r="E101" s="274"/>
      <x:c r="F101" s="274"/>
      <x:c r="G101" s="280"/>
      <x:c r="H101" s="265" t="str">
        <x:f>IF(A101="","",IF(B101="","",IF(COUNTIFS('Clients'!$A$6:$A$205,B101)&lt;&gt;1,"Check Client ID",IF(INDEX('Clients'!$B$6:$B$205,MATCH(B101,'Clients'!$A$6:$A$205,0))="","Name missing",INDEX('Clients'!$B$6:$B$205,MATCH(B101,'Clients'!$A$6:$A$205,0))))))</x:f>
      </x:c>
      <x:c r="I101" s="265" t="str">
        <x:f>IF(A101="","",IF(C101="","",IF(COUNTIFS('Properties'!$A$6:$A$205,C101)&lt;&gt;1,"Check Property ID",IF(INDEX('Properties'!$B$6:$B$205,MATCH(C101,'Properties'!$A$6:$A$205,0))="","Name missing",INDEX('Properties'!$B$6:$B$205,MATCH(C101,'Properties'!$A$6:$A$205,0))))))</x:f>
      </x:c>
      <x:c r="J101" s="315" t="str">
        <x:f>IF(A101="","",IF(COUNTIFS($A$6:$A$205,A101)&gt;1,"Duplicate ID",IF(OR(B101="",COUNTIFS('Clients'!$A$6:$A$205,B101)&lt;&gt;1),"Check Client ID",IF(OR(C101="",COUNTIFS('Properties'!$A$6:$A$205,C101)&lt;&gt;1),"Check Property ID",IF(NOT(ISNUMBER(D101)),"Add appointment date",IF(E101="","Set viewing status",""))))))</x:f>
      </x:c>
    </x:row>
    <x:row r="102" ht="26" customHeight="1">
      <x:c r="A102" s="317"/>
      <x:c r="B102" s="318"/>
      <x:c r="C102" s="235"/>
      <x:c r="D102" s="348"/>
      <x:c r="E102" s="235"/>
      <x:c r="F102" s="235"/>
      <x:c r="G102" s="239"/>
      <x:c r="H102" s="265" t="str">
        <x:f>IF(A102="","",IF(B102="","",IF(COUNTIFS('Clients'!$A$6:$A$205,B102)&lt;&gt;1,"Check Client ID",IF(INDEX('Clients'!$B$6:$B$205,MATCH(B102,'Clients'!$A$6:$A$205,0))="","Name missing",INDEX('Clients'!$B$6:$B$205,MATCH(B102,'Clients'!$A$6:$A$205,0))))))</x:f>
      </x:c>
      <x:c r="I102" s="265" t="str">
        <x:f>IF(A102="","",IF(C102="","",IF(COUNTIFS('Properties'!$A$6:$A$205,C102)&lt;&gt;1,"Check Property ID",IF(INDEX('Properties'!$B$6:$B$205,MATCH(C102,'Properties'!$A$6:$A$205,0))="","Name missing",INDEX('Properties'!$B$6:$B$205,MATCH(C102,'Properties'!$A$6:$A$205,0))))))</x:f>
      </x:c>
      <x:c r="J102" s="315" t="str">
        <x:f>IF(A102="","",IF(COUNTIFS($A$6:$A$205,A102)&gt;1,"Duplicate ID",IF(OR(B102="",COUNTIFS('Clients'!$A$6:$A$205,B102)&lt;&gt;1),"Check Client ID",IF(OR(C102="",COUNTIFS('Properties'!$A$6:$A$205,C102)&lt;&gt;1),"Check Property ID",IF(NOT(ISNUMBER(D102)),"Add appointment date",IF(E102="","Set viewing status",""))))))</x:f>
      </x:c>
    </x:row>
    <x:row r="103" ht="26" customHeight="1">
      <x:c r="A103" s="319"/>
      <x:c r="B103" s="320"/>
      <x:c r="C103" s="274"/>
      <x:c r="D103" s="350"/>
      <x:c r="E103" s="274"/>
      <x:c r="F103" s="274"/>
      <x:c r="G103" s="280"/>
      <x:c r="H103" s="265" t="str">
        <x:f>IF(A103="","",IF(B103="","",IF(COUNTIFS('Clients'!$A$6:$A$205,B103)&lt;&gt;1,"Check Client ID",IF(INDEX('Clients'!$B$6:$B$205,MATCH(B103,'Clients'!$A$6:$A$205,0))="","Name missing",INDEX('Clients'!$B$6:$B$205,MATCH(B103,'Clients'!$A$6:$A$205,0))))))</x:f>
      </x:c>
      <x:c r="I103" s="265" t="str">
        <x:f>IF(A103="","",IF(C103="","",IF(COUNTIFS('Properties'!$A$6:$A$205,C103)&lt;&gt;1,"Check Property ID",IF(INDEX('Properties'!$B$6:$B$205,MATCH(C103,'Properties'!$A$6:$A$205,0))="","Name missing",INDEX('Properties'!$B$6:$B$205,MATCH(C103,'Properties'!$A$6:$A$205,0))))))</x:f>
      </x:c>
      <x:c r="J103" s="315" t="str">
        <x:f>IF(A103="","",IF(COUNTIFS($A$6:$A$205,A103)&gt;1,"Duplicate ID",IF(OR(B103="",COUNTIFS('Clients'!$A$6:$A$205,B103)&lt;&gt;1),"Check Client ID",IF(OR(C103="",COUNTIFS('Properties'!$A$6:$A$205,C103)&lt;&gt;1),"Check Property ID",IF(NOT(ISNUMBER(D103)),"Add appointment date",IF(E103="","Set viewing status",""))))))</x:f>
      </x:c>
    </x:row>
    <x:row r="104" ht="26" customHeight="1">
      <x:c r="A104" s="317"/>
      <x:c r="B104" s="318"/>
      <x:c r="C104" s="235"/>
      <x:c r="D104" s="348"/>
      <x:c r="E104" s="235"/>
      <x:c r="F104" s="235"/>
      <x:c r="G104" s="239"/>
      <x:c r="H104" s="265" t="str">
        <x:f>IF(A104="","",IF(B104="","",IF(COUNTIFS('Clients'!$A$6:$A$205,B104)&lt;&gt;1,"Check Client ID",IF(INDEX('Clients'!$B$6:$B$205,MATCH(B104,'Clients'!$A$6:$A$205,0))="","Name missing",INDEX('Clients'!$B$6:$B$205,MATCH(B104,'Clients'!$A$6:$A$205,0))))))</x:f>
      </x:c>
      <x:c r="I104" s="265" t="str">
        <x:f>IF(A104="","",IF(C104="","",IF(COUNTIFS('Properties'!$A$6:$A$205,C104)&lt;&gt;1,"Check Property ID",IF(INDEX('Properties'!$B$6:$B$205,MATCH(C104,'Properties'!$A$6:$A$205,0))="","Name missing",INDEX('Properties'!$B$6:$B$205,MATCH(C104,'Properties'!$A$6:$A$205,0))))))</x:f>
      </x:c>
      <x:c r="J104" s="315" t="str">
        <x:f>IF(A104="","",IF(COUNTIFS($A$6:$A$205,A104)&gt;1,"Duplicate ID",IF(OR(B104="",COUNTIFS('Clients'!$A$6:$A$205,B104)&lt;&gt;1),"Check Client ID",IF(OR(C104="",COUNTIFS('Properties'!$A$6:$A$205,C104)&lt;&gt;1),"Check Property ID",IF(NOT(ISNUMBER(D104)),"Add appointment date",IF(E104="","Set viewing status",""))))))</x:f>
      </x:c>
    </x:row>
    <x:row r="105" ht="26" customHeight="1">
      <x:c r="A105" s="319"/>
      <x:c r="B105" s="320"/>
      <x:c r="C105" s="274"/>
      <x:c r="D105" s="350"/>
      <x:c r="E105" s="274"/>
      <x:c r="F105" s="274"/>
      <x:c r="G105" s="280"/>
      <x:c r="H105" s="265" t="str">
        <x:f>IF(A105="","",IF(B105="","",IF(COUNTIFS('Clients'!$A$6:$A$205,B105)&lt;&gt;1,"Check Client ID",IF(INDEX('Clients'!$B$6:$B$205,MATCH(B105,'Clients'!$A$6:$A$205,0))="","Name missing",INDEX('Clients'!$B$6:$B$205,MATCH(B105,'Clients'!$A$6:$A$205,0))))))</x:f>
      </x:c>
      <x:c r="I105" s="265" t="str">
        <x:f>IF(A105="","",IF(C105="","",IF(COUNTIFS('Properties'!$A$6:$A$205,C105)&lt;&gt;1,"Check Property ID",IF(INDEX('Properties'!$B$6:$B$205,MATCH(C105,'Properties'!$A$6:$A$205,0))="","Name missing",INDEX('Properties'!$B$6:$B$205,MATCH(C105,'Properties'!$A$6:$A$205,0))))))</x:f>
      </x:c>
      <x:c r="J105" s="315" t="str">
        <x:f>IF(A105="","",IF(COUNTIFS($A$6:$A$205,A105)&gt;1,"Duplicate ID",IF(OR(B105="",COUNTIFS('Clients'!$A$6:$A$205,B105)&lt;&gt;1),"Check Client ID",IF(OR(C105="",COUNTIFS('Properties'!$A$6:$A$205,C105)&lt;&gt;1),"Check Property ID",IF(NOT(ISNUMBER(D105)),"Add appointment date",IF(E105="","Set viewing status",""))))))</x:f>
      </x:c>
    </x:row>
    <x:row r="106" ht="26" customHeight="1">
      <x:c r="A106" s="317"/>
      <x:c r="B106" s="318"/>
      <x:c r="C106" s="235"/>
      <x:c r="D106" s="348"/>
      <x:c r="E106" s="235"/>
      <x:c r="F106" s="235"/>
      <x:c r="G106" s="239"/>
      <x:c r="H106" s="265" t="str">
        <x:f>IF(A106="","",IF(B106="","",IF(COUNTIFS('Clients'!$A$6:$A$205,B106)&lt;&gt;1,"Check Client ID",IF(INDEX('Clients'!$B$6:$B$205,MATCH(B106,'Clients'!$A$6:$A$205,0))="","Name missing",INDEX('Clients'!$B$6:$B$205,MATCH(B106,'Clients'!$A$6:$A$205,0))))))</x:f>
      </x:c>
      <x:c r="I106" s="265" t="str">
        <x:f>IF(A106="","",IF(C106="","",IF(COUNTIFS('Properties'!$A$6:$A$205,C106)&lt;&gt;1,"Check Property ID",IF(INDEX('Properties'!$B$6:$B$205,MATCH(C106,'Properties'!$A$6:$A$205,0))="","Name missing",INDEX('Properties'!$B$6:$B$205,MATCH(C106,'Properties'!$A$6:$A$205,0))))))</x:f>
      </x:c>
      <x:c r="J106" s="315" t="str">
        <x:f>IF(A106="","",IF(COUNTIFS($A$6:$A$205,A106)&gt;1,"Duplicate ID",IF(OR(B106="",COUNTIFS('Clients'!$A$6:$A$205,B106)&lt;&gt;1),"Check Client ID",IF(OR(C106="",COUNTIFS('Properties'!$A$6:$A$205,C106)&lt;&gt;1),"Check Property ID",IF(NOT(ISNUMBER(D106)),"Add appointment date",IF(E106="","Set viewing status",""))))))</x:f>
      </x:c>
    </x:row>
    <x:row r="107" ht="26" customHeight="1">
      <x:c r="A107" s="319"/>
      <x:c r="B107" s="320"/>
      <x:c r="C107" s="274"/>
      <x:c r="D107" s="350"/>
      <x:c r="E107" s="274"/>
      <x:c r="F107" s="274"/>
      <x:c r="G107" s="280"/>
      <x:c r="H107" s="265" t="str">
        <x:f>IF(A107="","",IF(B107="","",IF(COUNTIFS('Clients'!$A$6:$A$205,B107)&lt;&gt;1,"Check Client ID",IF(INDEX('Clients'!$B$6:$B$205,MATCH(B107,'Clients'!$A$6:$A$205,0))="","Name missing",INDEX('Clients'!$B$6:$B$205,MATCH(B107,'Clients'!$A$6:$A$205,0))))))</x:f>
      </x:c>
      <x:c r="I107" s="265" t="str">
        <x:f>IF(A107="","",IF(C107="","",IF(COUNTIFS('Properties'!$A$6:$A$205,C107)&lt;&gt;1,"Check Property ID",IF(INDEX('Properties'!$B$6:$B$205,MATCH(C107,'Properties'!$A$6:$A$205,0))="","Name missing",INDEX('Properties'!$B$6:$B$205,MATCH(C107,'Properties'!$A$6:$A$205,0))))))</x:f>
      </x:c>
      <x:c r="J107" s="315" t="str">
        <x:f>IF(A107="","",IF(COUNTIFS($A$6:$A$205,A107)&gt;1,"Duplicate ID",IF(OR(B107="",COUNTIFS('Clients'!$A$6:$A$205,B107)&lt;&gt;1),"Check Client ID",IF(OR(C107="",COUNTIFS('Properties'!$A$6:$A$205,C107)&lt;&gt;1),"Check Property ID",IF(NOT(ISNUMBER(D107)),"Add appointment date",IF(E107="","Set viewing status",""))))))</x:f>
      </x:c>
    </x:row>
    <x:row r="108" ht="26" customHeight="1">
      <x:c r="A108" s="317"/>
      <x:c r="B108" s="318"/>
      <x:c r="C108" s="235"/>
      <x:c r="D108" s="348"/>
      <x:c r="E108" s="235"/>
      <x:c r="F108" s="235"/>
      <x:c r="G108" s="239"/>
      <x:c r="H108" s="265" t="str">
        <x:f>IF(A108="","",IF(B108="","",IF(COUNTIFS('Clients'!$A$6:$A$205,B108)&lt;&gt;1,"Check Client ID",IF(INDEX('Clients'!$B$6:$B$205,MATCH(B108,'Clients'!$A$6:$A$205,0))="","Name missing",INDEX('Clients'!$B$6:$B$205,MATCH(B108,'Clients'!$A$6:$A$205,0))))))</x:f>
      </x:c>
      <x:c r="I108" s="265" t="str">
        <x:f>IF(A108="","",IF(C108="","",IF(COUNTIFS('Properties'!$A$6:$A$205,C108)&lt;&gt;1,"Check Property ID",IF(INDEX('Properties'!$B$6:$B$205,MATCH(C108,'Properties'!$A$6:$A$205,0))="","Name missing",INDEX('Properties'!$B$6:$B$205,MATCH(C108,'Properties'!$A$6:$A$205,0))))))</x:f>
      </x:c>
      <x:c r="J108" s="315" t="str">
        <x:f>IF(A108="","",IF(COUNTIFS($A$6:$A$205,A108)&gt;1,"Duplicate ID",IF(OR(B108="",COUNTIFS('Clients'!$A$6:$A$205,B108)&lt;&gt;1),"Check Client ID",IF(OR(C108="",COUNTIFS('Properties'!$A$6:$A$205,C108)&lt;&gt;1),"Check Property ID",IF(NOT(ISNUMBER(D108)),"Add appointment date",IF(E108="","Set viewing status",""))))))</x:f>
      </x:c>
    </x:row>
    <x:row r="109" ht="26" customHeight="1">
      <x:c r="A109" s="319"/>
      <x:c r="B109" s="320"/>
      <x:c r="C109" s="274"/>
      <x:c r="D109" s="350"/>
      <x:c r="E109" s="274"/>
      <x:c r="F109" s="274"/>
      <x:c r="G109" s="280"/>
      <x:c r="H109" s="265" t="str">
        <x:f>IF(A109="","",IF(B109="","",IF(COUNTIFS('Clients'!$A$6:$A$205,B109)&lt;&gt;1,"Check Client ID",IF(INDEX('Clients'!$B$6:$B$205,MATCH(B109,'Clients'!$A$6:$A$205,0))="","Name missing",INDEX('Clients'!$B$6:$B$205,MATCH(B109,'Clients'!$A$6:$A$205,0))))))</x:f>
      </x:c>
      <x:c r="I109" s="265" t="str">
        <x:f>IF(A109="","",IF(C109="","",IF(COUNTIFS('Properties'!$A$6:$A$205,C109)&lt;&gt;1,"Check Property ID",IF(INDEX('Properties'!$B$6:$B$205,MATCH(C109,'Properties'!$A$6:$A$205,0))="","Name missing",INDEX('Properties'!$B$6:$B$205,MATCH(C109,'Properties'!$A$6:$A$205,0))))))</x:f>
      </x:c>
      <x:c r="J109" s="315" t="str">
        <x:f>IF(A109="","",IF(COUNTIFS($A$6:$A$205,A109)&gt;1,"Duplicate ID",IF(OR(B109="",COUNTIFS('Clients'!$A$6:$A$205,B109)&lt;&gt;1),"Check Client ID",IF(OR(C109="",COUNTIFS('Properties'!$A$6:$A$205,C109)&lt;&gt;1),"Check Property ID",IF(NOT(ISNUMBER(D109)),"Add appointment date",IF(E109="","Set viewing status",""))))))</x:f>
      </x:c>
    </x:row>
    <x:row r="110" ht="26" customHeight="1">
      <x:c r="A110" s="317"/>
      <x:c r="B110" s="318"/>
      <x:c r="C110" s="235"/>
      <x:c r="D110" s="348"/>
      <x:c r="E110" s="235"/>
      <x:c r="F110" s="235"/>
      <x:c r="G110" s="239"/>
      <x:c r="H110" s="265" t="str">
        <x:f>IF(A110="","",IF(B110="","",IF(COUNTIFS('Clients'!$A$6:$A$205,B110)&lt;&gt;1,"Check Client ID",IF(INDEX('Clients'!$B$6:$B$205,MATCH(B110,'Clients'!$A$6:$A$205,0))="","Name missing",INDEX('Clients'!$B$6:$B$205,MATCH(B110,'Clients'!$A$6:$A$205,0))))))</x:f>
      </x:c>
      <x:c r="I110" s="265" t="str">
        <x:f>IF(A110="","",IF(C110="","",IF(COUNTIFS('Properties'!$A$6:$A$205,C110)&lt;&gt;1,"Check Property ID",IF(INDEX('Properties'!$B$6:$B$205,MATCH(C110,'Properties'!$A$6:$A$205,0))="","Name missing",INDEX('Properties'!$B$6:$B$205,MATCH(C110,'Properties'!$A$6:$A$205,0))))))</x:f>
      </x:c>
      <x:c r="J110" s="315" t="str">
        <x:f>IF(A110="","",IF(COUNTIFS($A$6:$A$205,A110)&gt;1,"Duplicate ID",IF(OR(B110="",COUNTIFS('Clients'!$A$6:$A$205,B110)&lt;&gt;1),"Check Client ID",IF(OR(C110="",COUNTIFS('Properties'!$A$6:$A$205,C110)&lt;&gt;1),"Check Property ID",IF(NOT(ISNUMBER(D110)),"Add appointment date",IF(E110="","Set viewing status",""))))))</x:f>
      </x:c>
    </x:row>
    <x:row r="111" ht="26" customHeight="1">
      <x:c r="A111" s="319"/>
      <x:c r="B111" s="320"/>
      <x:c r="C111" s="274"/>
      <x:c r="D111" s="350"/>
      <x:c r="E111" s="274"/>
      <x:c r="F111" s="274"/>
      <x:c r="G111" s="280"/>
      <x:c r="H111" s="265" t="str">
        <x:f>IF(A111="","",IF(B111="","",IF(COUNTIFS('Clients'!$A$6:$A$205,B111)&lt;&gt;1,"Check Client ID",IF(INDEX('Clients'!$B$6:$B$205,MATCH(B111,'Clients'!$A$6:$A$205,0))="","Name missing",INDEX('Clients'!$B$6:$B$205,MATCH(B111,'Clients'!$A$6:$A$205,0))))))</x:f>
      </x:c>
      <x:c r="I111" s="265" t="str">
        <x:f>IF(A111="","",IF(C111="","",IF(COUNTIFS('Properties'!$A$6:$A$205,C111)&lt;&gt;1,"Check Property ID",IF(INDEX('Properties'!$B$6:$B$205,MATCH(C111,'Properties'!$A$6:$A$205,0))="","Name missing",INDEX('Properties'!$B$6:$B$205,MATCH(C111,'Properties'!$A$6:$A$205,0))))))</x:f>
      </x:c>
      <x:c r="J111" s="315" t="str">
        <x:f>IF(A111="","",IF(COUNTIFS($A$6:$A$205,A111)&gt;1,"Duplicate ID",IF(OR(B111="",COUNTIFS('Clients'!$A$6:$A$205,B111)&lt;&gt;1),"Check Client ID",IF(OR(C111="",COUNTIFS('Properties'!$A$6:$A$205,C111)&lt;&gt;1),"Check Property ID",IF(NOT(ISNUMBER(D111)),"Add appointment date",IF(E111="","Set viewing status",""))))))</x:f>
      </x:c>
    </x:row>
    <x:row r="112" ht="26" customHeight="1">
      <x:c r="A112" s="317"/>
      <x:c r="B112" s="318"/>
      <x:c r="C112" s="235"/>
      <x:c r="D112" s="348"/>
      <x:c r="E112" s="235"/>
      <x:c r="F112" s="235"/>
      <x:c r="G112" s="239"/>
      <x:c r="H112" s="265" t="str">
        <x:f>IF(A112="","",IF(B112="","",IF(COUNTIFS('Clients'!$A$6:$A$205,B112)&lt;&gt;1,"Check Client ID",IF(INDEX('Clients'!$B$6:$B$205,MATCH(B112,'Clients'!$A$6:$A$205,0))="","Name missing",INDEX('Clients'!$B$6:$B$205,MATCH(B112,'Clients'!$A$6:$A$205,0))))))</x:f>
      </x:c>
      <x:c r="I112" s="265" t="str">
        <x:f>IF(A112="","",IF(C112="","",IF(COUNTIFS('Properties'!$A$6:$A$205,C112)&lt;&gt;1,"Check Property ID",IF(INDEX('Properties'!$B$6:$B$205,MATCH(C112,'Properties'!$A$6:$A$205,0))="","Name missing",INDEX('Properties'!$B$6:$B$205,MATCH(C112,'Properties'!$A$6:$A$205,0))))))</x:f>
      </x:c>
      <x:c r="J112" s="315" t="str">
        <x:f>IF(A112="","",IF(COUNTIFS($A$6:$A$205,A112)&gt;1,"Duplicate ID",IF(OR(B112="",COUNTIFS('Clients'!$A$6:$A$205,B112)&lt;&gt;1),"Check Client ID",IF(OR(C112="",COUNTIFS('Properties'!$A$6:$A$205,C112)&lt;&gt;1),"Check Property ID",IF(NOT(ISNUMBER(D112)),"Add appointment date",IF(E112="","Set viewing status",""))))))</x:f>
      </x:c>
    </x:row>
    <x:row r="113" ht="26" customHeight="1">
      <x:c r="A113" s="319"/>
      <x:c r="B113" s="320"/>
      <x:c r="C113" s="274"/>
      <x:c r="D113" s="350"/>
      <x:c r="E113" s="274"/>
      <x:c r="F113" s="274"/>
      <x:c r="G113" s="280"/>
      <x:c r="H113" s="265" t="str">
        <x:f>IF(A113="","",IF(B113="","",IF(COUNTIFS('Clients'!$A$6:$A$205,B113)&lt;&gt;1,"Check Client ID",IF(INDEX('Clients'!$B$6:$B$205,MATCH(B113,'Clients'!$A$6:$A$205,0))="","Name missing",INDEX('Clients'!$B$6:$B$205,MATCH(B113,'Clients'!$A$6:$A$205,0))))))</x:f>
      </x:c>
      <x:c r="I113" s="265" t="str">
        <x:f>IF(A113="","",IF(C113="","",IF(COUNTIFS('Properties'!$A$6:$A$205,C113)&lt;&gt;1,"Check Property ID",IF(INDEX('Properties'!$B$6:$B$205,MATCH(C113,'Properties'!$A$6:$A$205,0))="","Name missing",INDEX('Properties'!$B$6:$B$205,MATCH(C113,'Properties'!$A$6:$A$205,0))))))</x:f>
      </x:c>
      <x:c r="J113" s="315" t="str">
        <x:f>IF(A113="","",IF(COUNTIFS($A$6:$A$205,A113)&gt;1,"Duplicate ID",IF(OR(B113="",COUNTIFS('Clients'!$A$6:$A$205,B113)&lt;&gt;1),"Check Client ID",IF(OR(C113="",COUNTIFS('Properties'!$A$6:$A$205,C113)&lt;&gt;1),"Check Property ID",IF(NOT(ISNUMBER(D113)),"Add appointment date",IF(E113="","Set viewing status",""))))))</x:f>
      </x:c>
    </x:row>
    <x:row r="114" ht="26" customHeight="1">
      <x:c r="A114" s="317"/>
      <x:c r="B114" s="318"/>
      <x:c r="C114" s="235"/>
      <x:c r="D114" s="348"/>
      <x:c r="E114" s="235"/>
      <x:c r="F114" s="235"/>
      <x:c r="G114" s="239"/>
      <x:c r="H114" s="265" t="str">
        <x:f>IF(A114="","",IF(B114="","",IF(COUNTIFS('Clients'!$A$6:$A$205,B114)&lt;&gt;1,"Check Client ID",IF(INDEX('Clients'!$B$6:$B$205,MATCH(B114,'Clients'!$A$6:$A$205,0))="","Name missing",INDEX('Clients'!$B$6:$B$205,MATCH(B114,'Clients'!$A$6:$A$205,0))))))</x:f>
      </x:c>
      <x:c r="I114" s="265" t="str">
        <x:f>IF(A114="","",IF(C114="","",IF(COUNTIFS('Properties'!$A$6:$A$205,C114)&lt;&gt;1,"Check Property ID",IF(INDEX('Properties'!$B$6:$B$205,MATCH(C114,'Properties'!$A$6:$A$205,0))="","Name missing",INDEX('Properties'!$B$6:$B$205,MATCH(C114,'Properties'!$A$6:$A$205,0))))))</x:f>
      </x:c>
      <x:c r="J114" s="315" t="str">
        <x:f>IF(A114="","",IF(COUNTIFS($A$6:$A$205,A114)&gt;1,"Duplicate ID",IF(OR(B114="",COUNTIFS('Clients'!$A$6:$A$205,B114)&lt;&gt;1),"Check Client ID",IF(OR(C114="",COUNTIFS('Properties'!$A$6:$A$205,C114)&lt;&gt;1),"Check Property ID",IF(NOT(ISNUMBER(D114)),"Add appointment date",IF(E114="","Set viewing status",""))))))</x:f>
      </x:c>
    </x:row>
    <x:row r="115" ht="26" customHeight="1">
      <x:c r="A115" s="319"/>
      <x:c r="B115" s="320"/>
      <x:c r="C115" s="274"/>
      <x:c r="D115" s="350"/>
      <x:c r="E115" s="274"/>
      <x:c r="F115" s="274"/>
      <x:c r="G115" s="280"/>
      <x:c r="H115" s="265" t="str">
        <x:f>IF(A115="","",IF(B115="","",IF(COUNTIFS('Clients'!$A$6:$A$205,B115)&lt;&gt;1,"Check Client ID",IF(INDEX('Clients'!$B$6:$B$205,MATCH(B115,'Clients'!$A$6:$A$205,0))="","Name missing",INDEX('Clients'!$B$6:$B$205,MATCH(B115,'Clients'!$A$6:$A$205,0))))))</x:f>
      </x:c>
      <x:c r="I115" s="265" t="str">
        <x:f>IF(A115="","",IF(C115="","",IF(COUNTIFS('Properties'!$A$6:$A$205,C115)&lt;&gt;1,"Check Property ID",IF(INDEX('Properties'!$B$6:$B$205,MATCH(C115,'Properties'!$A$6:$A$205,0))="","Name missing",INDEX('Properties'!$B$6:$B$205,MATCH(C115,'Properties'!$A$6:$A$205,0))))))</x:f>
      </x:c>
      <x:c r="J115" s="315" t="str">
        <x:f>IF(A115="","",IF(COUNTIFS($A$6:$A$205,A115)&gt;1,"Duplicate ID",IF(OR(B115="",COUNTIFS('Clients'!$A$6:$A$205,B115)&lt;&gt;1),"Check Client ID",IF(OR(C115="",COUNTIFS('Properties'!$A$6:$A$205,C115)&lt;&gt;1),"Check Property ID",IF(NOT(ISNUMBER(D115)),"Add appointment date",IF(E115="","Set viewing status",""))))))</x:f>
      </x:c>
    </x:row>
    <x:row r="116" ht="26" customHeight="1">
      <x:c r="A116" s="317"/>
      <x:c r="B116" s="318"/>
      <x:c r="C116" s="235"/>
      <x:c r="D116" s="348"/>
      <x:c r="E116" s="235"/>
      <x:c r="F116" s="235"/>
      <x:c r="G116" s="239"/>
      <x:c r="H116" s="265" t="str">
        <x:f>IF(A116="","",IF(B116="","",IF(COUNTIFS('Clients'!$A$6:$A$205,B116)&lt;&gt;1,"Check Client ID",IF(INDEX('Clients'!$B$6:$B$205,MATCH(B116,'Clients'!$A$6:$A$205,0))="","Name missing",INDEX('Clients'!$B$6:$B$205,MATCH(B116,'Clients'!$A$6:$A$205,0))))))</x:f>
      </x:c>
      <x:c r="I116" s="265" t="str">
        <x:f>IF(A116="","",IF(C116="","",IF(COUNTIFS('Properties'!$A$6:$A$205,C116)&lt;&gt;1,"Check Property ID",IF(INDEX('Properties'!$B$6:$B$205,MATCH(C116,'Properties'!$A$6:$A$205,0))="","Name missing",INDEX('Properties'!$B$6:$B$205,MATCH(C116,'Properties'!$A$6:$A$205,0))))))</x:f>
      </x:c>
      <x:c r="J116" s="315" t="str">
        <x:f>IF(A116="","",IF(COUNTIFS($A$6:$A$205,A116)&gt;1,"Duplicate ID",IF(OR(B116="",COUNTIFS('Clients'!$A$6:$A$205,B116)&lt;&gt;1),"Check Client ID",IF(OR(C116="",COUNTIFS('Properties'!$A$6:$A$205,C116)&lt;&gt;1),"Check Property ID",IF(NOT(ISNUMBER(D116)),"Add appointment date",IF(E116="","Set viewing status",""))))))</x:f>
      </x:c>
    </x:row>
    <x:row r="117" ht="26" customHeight="1">
      <x:c r="A117" s="319"/>
      <x:c r="B117" s="320"/>
      <x:c r="C117" s="274"/>
      <x:c r="D117" s="350"/>
      <x:c r="E117" s="274"/>
      <x:c r="F117" s="274"/>
      <x:c r="G117" s="280"/>
      <x:c r="H117" s="265" t="str">
        <x:f>IF(A117="","",IF(B117="","",IF(COUNTIFS('Clients'!$A$6:$A$205,B117)&lt;&gt;1,"Check Client ID",IF(INDEX('Clients'!$B$6:$B$205,MATCH(B117,'Clients'!$A$6:$A$205,0))="","Name missing",INDEX('Clients'!$B$6:$B$205,MATCH(B117,'Clients'!$A$6:$A$205,0))))))</x:f>
      </x:c>
      <x:c r="I117" s="265" t="str">
        <x:f>IF(A117="","",IF(C117="","",IF(COUNTIFS('Properties'!$A$6:$A$205,C117)&lt;&gt;1,"Check Property ID",IF(INDEX('Properties'!$B$6:$B$205,MATCH(C117,'Properties'!$A$6:$A$205,0))="","Name missing",INDEX('Properties'!$B$6:$B$205,MATCH(C117,'Properties'!$A$6:$A$205,0))))))</x:f>
      </x:c>
      <x:c r="J117" s="315" t="str">
        <x:f>IF(A117="","",IF(COUNTIFS($A$6:$A$205,A117)&gt;1,"Duplicate ID",IF(OR(B117="",COUNTIFS('Clients'!$A$6:$A$205,B117)&lt;&gt;1),"Check Client ID",IF(OR(C117="",COUNTIFS('Properties'!$A$6:$A$205,C117)&lt;&gt;1),"Check Property ID",IF(NOT(ISNUMBER(D117)),"Add appointment date",IF(E117="","Set viewing status",""))))))</x:f>
      </x:c>
    </x:row>
    <x:row r="118" ht="26" customHeight="1">
      <x:c r="A118" s="317"/>
      <x:c r="B118" s="318"/>
      <x:c r="C118" s="235"/>
      <x:c r="D118" s="348"/>
      <x:c r="E118" s="235"/>
      <x:c r="F118" s="235"/>
      <x:c r="G118" s="239"/>
      <x:c r="H118" s="265" t="str">
        <x:f>IF(A118="","",IF(B118="","",IF(COUNTIFS('Clients'!$A$6:$A$205,B118)&lt;&gt;1,"Check Client ID",IF(INDEX('Clients'!$B$6:$B$205,MATCH(B118,'Clients'!$A$6:$A$205,0))="","Name missing",INDEX('Clients'!$B$6:$B$205,MATCH(B118,'Clients'!$A$6:$A$205,0))))))</x:f>
      </x:c>
      <x:c r="I118" s="265" t="str">
        <x:f>IF(A118="","",IF(C118="","",IF(COUNTIFS('Properties'!$A$6:$A$205,C118)&lt;&gt;1,"Check Property ID",IF(INDEX('Properties'!$B$6:$B$205,MATCH(C118,'Properties'!$A$6:$A$205,0))="","Name missing",INDEX('Properties'!$B$6:$B$205,MATCH(C118,'Properties'!$A$6:$A$205,0))))))</x:f>
      </x:c>
      <x:c r="J118" s="315" t="str">
        <x:f>IF(A118="","",IF(COUNTIFS($A$6:$A$205,A118)&gt;1,"Duplicate ID",IF(OR(B118="",COUNTIFS('Clients'!$A$6:$A$205,B118)&lt;&gt;1),"Check Client ID",IF(OR(C118="",COUNTIFS('Properties'!$A$6:$A$205,C118)&lt;&gt;1),"Check Property ID",IF(NOT(ISNUMBER(D118)),"Add appointment date",IF(E118="","Set viewing status",""))))))</x:f>
      </x:c>
    </x:row>
    <x:row r="119" ht="26" customHeight="1">
      <x:c r="A119" s="319"/>
      <x:c r="B119" s="320"/>
      <x:c r="C119" s="274"/>
      <x:c r="D119" s="350"/>
      <x:c r="E119" s="274"/>
      <x:c r="F119" s="274"/>
      <x:c r="G119" s="280"/>
      <x:c r="H119" s="265" t="str">
        <x:f>IF(A119="","",IF(B119="","",IF(COUNTIFS('Clients'!$A$6:$A$205,B119)&lt;&gt;1,"Check Client ID",IF(INDEX('Clients'!$B$6:$B$205,MATCH(B119,'Clients'!$A$6:$A$205,0))="","Name missing",INDEX('Clients'!$B$6:$B$205,MATCH(B119,'Clients'!$A$6:$A$205,0))))))</x:f>
      </x:c>
      <x:c r="I119" s="265" t="str">
        <x:f>IF(A119="","",IF(C119="","",IF(COUNTIFS('Properties'!$A$6:$A$205,C119)&lt;&gt;1,"Check Property ID",IF(INDEX('Properties'!$B$6:$B$205,MATCH(C119,'Properties'!$A$6:$A$205,0))="","Name missing",INDEX('Properties'!$B$6:$B$205,MATCH(C119,'Properties'!$A$6:$A$205,0))))))</x:f>
      </x:c>
      <x:c r="J119" s="315" t="str">
        <x:f>IF(A119="","",IF(COUNTIFS($A$6:$A$205,A119)&gt;1,"Duplicate ID",IF(OR(B119="",COUNTIFS('Clients'!$A$6:$A$205,B119)&lt;&gt;1),"Check Client ID",IF(OR(C119="",COUNTIFS('Properties'!$A$6:$A$205,C119)&lt;&gt;1),"Check Property ID",IF(NOT(ISNUMBER(D119)),"Add appointment date",IF(E119="","Set viewing status",""))))))</x:f>
      </x:c>
    </x:row>
    <x:row r="120" ht="26" customHeight="1">
      <x:c r="A120" s="317"/>
      <x:c r="B120" s="318"/>
      <x:c r="C120" s="235"/>
      <x:c r="D120" s="348"/>
      <x:c r="E120" s="235"/>
      <x:c r="F120" s="235"/>
      <x:c r="G120" s="239"/>
      <x:c r="H120" s="265" t="str">
        <x:f>IF(A120="","",IF(B120="","",IF(COUNTIFS('Clients'!$A$6:$A$205,B120)&lt;&gt;1,"Check Client ID",IF(INDEX('Clients'!$B$6:$B$205,MATCH(B120,'Clients'!$A$6:$A$205,0))="","Name missing",INDEX('Clients'!$B$6:$B$205,MATCH(B120,'Clients'!$A$6:$A$205,0))))))</x:f>
      </x:c>
      <x:c r="I120" s="265" t="str">
        <x:f>IF(A120="","",IF(C120="","",IF(COUNTIFS('Properties'!$A$6:$A$205,C120)&lt;&gt;1,"Check Property ID",IF(INDEX('Properties'!$B$6:$B$205,MATCH(C120,'Properties'!$A$6:$A$205,0))="","Name missing",INDEX('Properties'!$B$6:$B$205,MATCH(C120,'Properties'!$A$6:$A$205,0))))))</x:f>
      </x:c>
      <x:c r="J120" s="315" t="str">
        <x:f>IF(A120="","",IF(COUNTIFS($A$6:$A$205,A120)&gt;1,"Duplicate ID",IF(OR(B120="",COUNTIFS('Clients'!$A$6:$A$205,B120)&lt;&gt;1),"Check Client ID",IF(OR(C120="",COUNTIFS('Properties'!$A$6:$A$205,C120)&lt;&gt;1),"Check Property ID",IF(NOT(ISNUMBER(D120)),"Add appointment date",IF(E120="","Set viewing status",""))))))</x:f>
      </x:c>
    </x:row>
    <x:row r="121" ht="26" customHeight="1">
      <x:c r="A121" s="319"/>
      <x:c r="B121" s="320"/>
      <x:c r="C121" s="274"/>
      <x:c r="D121" s="350"/>
      <x:c r="E121" s="274"/>
      <x:c r="F121" s="274"/>
      <x:c r="G121" s="280"/>
      <x:c r="H121" s="265" t="str">
        <x:f>IF(A121="","",IF(B121="","",IF(COUNTIFS('Clients'!$A$6:$A$205,B121)&lt;&gt;1,"Check Client ID",IF(INDEX('Clients'!$B$6:$B$205,MATCH(B121,'Clients'!$A$6:$A$205,0))="","Name missing",INDEX('Clients'!$B$6:$B$205,MATCH(B121,'Clients'!$A$6:$A$205,0))))))</x:f>
      </x:c>
      <x:c r="I121" s="265" t="str">
        <x:f>IF(A121="","",IF(C121="","",IF(COUNTIFS('Properties'!$A$6:$A$205,C121)&lt;&gt;1,"Check Property ID",IF(INDEX('Properties'!$B$6:$B$205,MATCH(C121,'Properties'!$A$6:$A$205,0))="","Name missing",INDEX('Properties'!$B$6:$B$205,MATCH(C121,'Properties'!$A$6:$A$205,0))))))</x:f>
      </x:c>
      <x:c r="J121" s="315" t="str">
        <x:f>IF(A121="","",IF(COUNTIFS($A$6:$A$205,A121)&gt;1,"Duplicate ID",IF(OR(B121="",COUNTIFS('Clients'!$A$6:$A$205,B121)&lt;&gt;1),"Check Client ID",IF(OR(C121="",COUNTIFS('Properties'!$A$6:$A$205,C121)&lt;&gt;1),"Check Property ID",IF(NOT(ISNUMBER(D121)),"Add appointment date",IF(E121="","Set viewing status",""))))))</x:f>
      </x:c>
    </x:row>
    <x:row r="122" ht="26" customHeight="1">
      <x:c r="A122" s="317"/>
      <x:c r="B122" s="318"/>
      <x:c r="C122" s="235"/>
      <x:c r="D122" s="348"/>
      <x:c r="E122" s="235"/>
      <x:c r="F122" s="235"/>
      <x:c r="G122" s="239"/>
      <x:c r="H122" s="265" t="str">
        <x:f>IF(A122="","",IF(B122="","",IF(COUNTIFS('Clients'!$A$6:$A$205,B122)&lt;&gt;1,"Check Client ID",IF(INDEX('Clients'!$B$6:$B$205,MATCH(B122,'Clients'!$A$6:$A$205,0))="","Name missing",INDEX('Clients'!$B$6:$B$205,MATCH(B122,'Clients'!$A$6:$A$205,0))))))</x:f>
      </x:c>
      <x:c r="I122" s="265" t="str">
        <x:f>IF(A122="","",IF(C122="","",IF(COUNTIFS('Properties'!$A$6:$A$205,C122)&lt;&gt;1,"Check Property ID",IF(INDEX('Properties'!$B$6:$B$205,MATCH(C122,'Properties'!$A$6:$A$205,0))="","Name missing",INDEX('Properties'!$B$6:$B$205,MATCH(C122,'Properties'!$A$6:$A$205,0))))))</x:f>
      </x:c>
      <x:c r="J122" s="315" t="str">
        <x:f>IF(A122="","",IF(COUNTIFS($A$6:$A$205,A122)&gt;1,"Duplicate ID",IF(OR(B122="",COUNTIFS('Clients'!$A$6:$A$205,B122)&lt;&gt;1),"Check Client ID",IF(OR(C122="",COUNTIFS('Properties'!$A$6:$A$205,C122)&lt;&gt;1),"Check Property ID",IF(NOT(ISNUMBER(D122)),"Add appointment date",IF(E122="","Set viewing status",""))))))</x:f>
      </x:c>
    </x:row>
    <x:row r="123" ht="26" customHeight="1">
      <x:c r="A123" s="319"/>
      <x:c r="B123" s="320"/>
      <x:c r="C123" s="274"/>
      <x:c r="D123" s="350"/>
      <x:c r="E123" s="274"/>
      <x:c r="F123" s="274"/>
      <x:c r="G123" s="280"/>
      <x:c r="H123" s="265" t="str">
        <x:f>IF(A123="","",IF(B123="","",IF(COUNTIFS('Clients'!$A$6:$A$205,B123)&lt;&gt;1,"Check Client ID",IF(INDEX('Clients'!$B$6:$B$205,MATCH(B123,'Clients'!$A$6:$A$205,0))="","Name missing",INDEX('Clients'!$B$6:$B$205,MATCH(B123,'Clients'!$A$6:$A$205,0))))))</x:f>
      </x:c>
      <x:c r="I123" s="265" t="str">
        <x:f>IF(A123="","",IF(C123="","",IF(COUNTIFS('Properties'!$A$6:$A$205,C123)&lt;&gt;1,"Check Property ID",IF(INDEX('Properties'!$B$6:$B$205,MATCH(C123,'Properties'!$A$6:$A$205,0))="","Name missing",INDEX('Properties'!$B$6:$B$205,MATCH(C123,'Properties'!$A$6:$A$205,0))))))</x:f>
      </x:c>
      <x:c r="J123" s="315" t="str">
        <x:f>IF(A123="","",IF(COUNTIFS($A$6:$A$205,A123)&gt;1,"Duplicate ID",IF(OR(B123="",COUNTIFS('Clients'!$A$6:$A$205,B123)&lt;&gt;1),"Check Client ID",IF(OR(C123="",COUNTIFS('Properties'!$A$6:$A$205,C123)&lt;&gt;1),"Check Property ID",IF(NOT(ISNUMBER(D123)),"Add appointment date",IF(E123="","Set viewing status",""))))))</x:f>
      </x:c>
    </x:row>
    <x:row r="124" ht="26" customHeight="1">
      <x:c r="A124" s="317"/>
      <x:c r="B124" s="318"/>
      <x:c r="C124" s="235"/>
      <x:c r="D124" s="348"/>
      <x:c r="E124" s="235"/>
      <x:c r="F124" s="235"/>
      <x:c r="G124" s="239"/>
      <x:c r="H124" s="265" t="str">
        <x:f>IF(A124="","",IF(B124="","",IF(COUNTIFS('Clients'!$A$6:$A$205,B124)&lt;&gt;1,"Check Client ID",IF(INDEX('Clients'!$B$6:$B$205,MATCH(B124,'Clients'!$A$6:$A$205,0))="","Name missing",INDEX('Clients'!$B$6:$B$205,MATCH(B124,'Clients'!$A$6:$A$205,0))))))</x:f>
      </x:c>
      <x:c r="I124" s="265" t="str">
        <x:f>IF(A124="","",IF(C124="","",IF(COUNTIFS('Properties'!$A$6:$A$205,C124)&lt;&gt;1,"Check Property ID",IF(INDEX('Properties'!$B$6:$B$205,MATCH(C124,'Properties'!$A$6:$A$205,0))="","Name missing",INDEX('Properties'!$B$6:$B$205,MATCH(C124,'Properties'!$A$6:$A$205,0))))))</x:f>
      </x:c>
      <x:c r="J124" s="315" t="str">
        <x:f>IF(A124="","",IF(COUNTIFS($A$6:$A$205,A124)&gt;1,"Duplicate ID",IF(OR(B124="",COUNTIFS('Clients'!$A$6:$A$205,B124)&lt;&gt;1),"Check Client ID",IF(OR(C124="",COUNTIFS('Properties'!$A$6:$A$205,C124)&lt;&gt;1),"Check Property ID",IF(NOT(ISNUMBER(D124)),"Add appointment date",IF(E124="","Set viewing status",""))))))</x:f>
      </x:c>
    </x:row>
    <x:row r="125" ht="26" customHeight="1">
      <x:c r="A125" s="319"/>
      <x:c r="B125" s="320"/>
      <x:c r="C125" s="274"/>
      <x:c r="D125" s="350"/>
      <x:c r="E125" s="274"/>
      <x:c r="F125" s="274"/>
      <x:c r="G125" s="280"/>
      <x:c r="H125" s="265" t="str">
        <x:f>IF(A125="","",IF(B125="","",IF(COUNTIFS('Clients'!$A$6:$A$205,B125)&lt;&gt;1,"Check Client ID",IF(INDEX('Clients'!$B$6:$B$205,MATCH(B125,'Clients'!$A$6:$A$205,0))="","Name missing",INDEX('Clients'!$B$6:$B$205,MATCH(B125,'Clients'!$A$6:$A$205,0))))))</x:f>
      </x:c>
      <x:c r="I125" s="265" t="str">
        <x:f>IF(A125="","",IF(C125="","",IF(COUNTIFS('Properties'!$A$6:$A$205,C125)&lt;&gt;1,"Check Property ID",IF(INDEX('Properties'!$B$6:$B$205,MATCH(C125,'Properties'!$A$6:$A$205,0))="","Name missing",INDEX('Properties'!$B$6:$B$205,MATCH(C125,'Properties'!$A$6:$A$205,0))))))</x:f>
      </x:c>
      <x:c r="J125" s="315" t="str">
        <x:f>IF(A125="","",IF(COUNTIFS($A$6:$A$205,A125)&gt;1,"Duplicate ID",IF(OR(B125="",COUNTIFS('Clients'!$A$6:$A$205,B125)&lt;&gt;1),"Check Client ID",IF(OR(C125="",COUNTIFS('Properties'!$A$6:$A$205,C125)&lt;&gt;1),"Check Property ID",IF(NOT(ISNUMBER(D125)),"Add appointment date",IF(E125="","Set viewing status",""))))))</x:f>
      </x:c>
    </x:row>
    <x:row r="126" ht="26" customHeight="1">
      <x:c r="A126" s="317"/>
      <x:c r="B126" s="318"/>
      <x:c r="C126" s="235"/>
      <x:c r="D126" s="348"/>
      <x:c r="E126" s="235"/>
      <x:c r="F126" s="235"/>
      <x:c r="G126" s="239"/>
      <x:c r="H126" s="265" t="str">
        <x:f>IF(A126="","",IF(B126="","",IF(COUNTIFS('Clients'!$A$6:$A$205,B126)&lt;&gt;1,"Check Client ID",IF(INDEX('Clients'!$B$6:$B$205,MATCH(B126,'Clients'!$A$6:$A$205,0))="","Name missing",INDEX('Clients'!$B$6:$B$205,MATCH(B126,'Clients'!$A$6:$A$205,0))))))</x:f>
      </x:c>
      <x:c r="I126" s="265" t="str">
        <x:f>IF(A126="","",IF(C126="","",IF(COUNTIFS('Properties'!$A$6:$A$205,C126)&lt;&gt;1,"Check Property ID",IF(INDEX('Properties'!$B$6:$B$205,MATCH(C126,'Properties'!$A$6:$A$205,0))="","Name missing",INDEX('Properties'!$B$6:$B$205,MATCH(C126,'Properties'!$A$6:$A$205,0))))))</x:f>
      </x:c>
      <x:c r="J126" s="315" t="str">
        <x:f>IF(A126="","",IF(COUNTIFS($A$6:$A$205,A126)&gt;1,"Duplicate ID",IF(OR(B126="",COUNTIFS('Clients'!$A$6:$A$205,B126)&lt;&gt;1),"Check Client ID",IF(OR(C126="",COUNTIFS('Properties'!$A$6:$A$205,C126)&lt;&gt;1),"Check Property ID",IF(NOT(ISNUMBER(D126)),"Add appointment date",IF(E126="","Set viewing status",""))))))</x:f>
      </x:c>
    </x:row>
    <x:row r="127" ht="26" customHeight="1">
      <x:c r="A127" s="319"/>
      <x:c r="B127" s="320"/>
      <x:c r="C127" s="274"/>
      <x:c r="D127" s="350"/>
      <x:c r="E127" s="274"/>
      <x:c r="F127" s="274"/>
      <x:c r="G127" s="280"/>
      <x:c r="H127" s="265" t="str">
        <x:f>IF(A127="","",IF(B127="","",IF(COUNTIFS('Clients'!$A$6:$A$205,B127)&lt;&gt;1,"Check Client ID",IF(INDEX('Clients'!$B$6:$B$205,MATCH(B127,'Clients'!$A$6:$A$205,0))="","Name missing",INDEX('Clients'!$B$6:$B$205,MATCH(B127,'Clients'!$A$6:$A$205,0))))))</x:f>
      </x:c>
      <x:c r="I127" s="265" t="str">
        <x:f>IF(A127="","",IF(C127="","",IF(COUNTIFS('Properties'!$A$6:$A$205,C127)&lt;&gt;1,"Check Property ID",IF(INDEX('Properties'!$B$6:$B$205,MATCH(C127,'Properties'!$A$6:$A$205,0))="","Name missing",INDEX('Properties'!$B$6:$B$205,MATCH(C127,'Properties'!$A$6:$A$205,0))))))</x:f>
      </x:c>
      <x:c r="J127" s="315" t="str">
        <x:f>IF(A127="","",IF(COUNTIFS($A$6:$A$205,A127)&gt;1,"Duplicate ID",IF(OR(B127="",COUNTIFS('Clients'!$A$6:$A$205,B127)&lt;&gt;1),"Check Client ID",IF(OR(C127="",COUNTIFS('Properties'!$A$6:$A$205,C127)&lt;&gt;1),"Check Property ID",IF(NOT(ISNUMBER(D127)),"Add appointment date",IF(E127="","Set viewing status",""))))))</x:f>
      </x:c>
    </x:row>
    <x:row r="128" ht="26" customHeight="1">
      <x:c r="A128" s="317"/>
      <x:c r="B128" s="318"/>
      <x:c r="C128" s="235"/>
      <x:c r="D128" s="348"/>
      <x:c r="E128" s="235"/>
      <x:c r="F128" s="235"/>
      <x:c r="G128" s="239"/>
      <x:c r="H128" s="265" t="str">
        <x:f>IF(A128="","",IF(B128="","",IF(COUNTIFS('Clients'!$A$6:$A$205,B128)&lt;&gt;1,"Check Client ID",IF(INDEX('Clients'!$B$6:$B$205,MATCH(B128,'Clients'!$A$6:$A$205,0))="","Name missing",INDEX('Clients'!$B$6:$B$205,MATCH(B128,'Clients'!$A$6:$A$205,0))))))</x:f>
      </x:c>
      <x:c r="I128" s="265" t="str">
        <x:f>IF(A128="","",IF(C128="","",IF(COUNTIFS('Properties'!$A$6:$A$205,C128)&lt;&gt;1,"Check Property ID",IF(INDEX('Properties'!$B$6:$B$205,MATCH(C128,'Properties'!$A$6:$A$205,0))="","Name missing",INDEX('Properties'!$B$6:$B$205,MATCH(C128,'Properties'!$A$6:$A$205,0))))))</x:f>
      </x:c>
      <x:c r="J128" s="315" t="str">
        <x:f>IF(A128="","",IF(COUNTIFS($A$6:$A$205,A128)&gt;1,"Duplicate ID",IF(OR(B128="",COUNTIFS('Clients'!$A$6:$A$205,B128)&lt;&gt;1),"Check Client ID",IF(OR(C128="",COUNTIFS('Properties'!$A$6:$A$205,C128)&lt;&gt;1),"Check Property ID",IF(NOT(ISNUMBER(D128)),"Add appointment date",IF(E128="","Set viewing status",""))))))</x:f>
      </x:c>
    </x:row>
    <x:row r="129" ht="26" customHeight="1">
      <x:c r="A129" s="319"/>
      <x:c r="B129" s="320"/>
      <x:c r="C129" s="274"/>
      <x:c r="D129" s="350"/>
      <x:c r="E129" s="274"/>
      <x:c r="F129" s="274"/>
      <x:c r="G129" s="280"/>
      <x:c r="H129" s="265" t="str">
        <x:f>IF(A129="","",IF(B129="","",IF(COUNTIFS('Clients'!$A$6:$A$205,B129)&lt;&gt;1,"Check Client ID",IF(INDEX('Clients'!$B$6:$B$205,MATCH(B129,'Clients'!$A$6:$A$205,0))="","Name missing",INDEX('Clients'!$B$6:$B$205,MATCH(B129,'Clients'!$A$6:$A$205,0))))))</x:f>
      </x:c>
      <x:c r="I129" s="265" t="str">
        <x:f>IF(A129="","",IF(C129="","",IF(COUNTIFS('Properties'!$A$6:$A$205,C129)&lt;&gt;1,"Check Property ID",IF(INDEX('Properties'!$B$6:$B$205,MATCH(C129,'Properties'!$A$6:$A$205,0))="","Name missing",INDEX('Properties'!$B$6:$B$205,MATCH(C129,'Properties'!$A$6:$A$205,0))))))</x:f>
      </x:c>
      <x:c r="J129" s="315" t="str">
        <x:f>IF(A129="","",IF(COUNTIFS($A$6:$A$205,A129)&gt;1,"Duplicate ID",IF(OR(B129="",COUNTIFS('Clients'!$A$6:$A$205,B129)&lt;&gt;1),"Check Client ID",IF(OR(C129="",COUNTIFS('Properties'!$A$6:$A$205,C129)&lt;&gt;1),"Check Property ID",IF(NOT(ISNUMBER(D129)),"Add appointment date",IF(E129="","Set viewing status",""))))))</x:f>
      </x:c>
    </x:row>
    <x:row r="130" ht="26" customHeight="1">
      <x:c r="A130" s="317"/>
      <x:c r="B130" s="318"/>
      <x:c r="C130" s="235"/>
      <x:c r="D130" s="348"/>
      <x:c r="E130" s="235"/>
      <x:c r="F130" s="235"/>
      <x:c r="G130" s="239"/>
      <x:c r="H130" s="265" t="str">
        <x:f>IF(A130="","",IF(B130="","",IF(COUNTIFS('Clients'!$A$6:$A$205,B130)&lt;&gt;1,"Check Client ID",IF(INDEX('Clients'!$B$6:$B$205,MATCH(B130,'Clients'!$A$6:$A$205,0))="","Name missing",INDEX('Clients'!$B$6:$B$205,MATCH(B130,'Clients'!$A$6:$A$205,0))))))</x:f>
      </x:c>
      <x:c r="I130" s="265" t="str">
        <x:f>IF(A130="","",IF(C130="","",IF(COUNTIFS('Properties'!$A$6:$A$205,C130)&lt;&gt;1,"Check Property ID",IF(INDEX('Properties'!$B$6:$B$205,MATCH(C130,'Properties'!$A$6:$A$205,0))="","Name missing",INDEX('Properties'!$B$6:$B$205,MATCH(C130,'Properties'!$A$6:$A$205,0))))))</x:f>
      </x:c>
      <x:c r="J130" s="315" t="str">
        <x:f>IF(A130="","",IF(COUNTIFS($A$6:$A$205,A130)&gt;1,"Duplicate ID",IF(OR(B130="",COUNTIFS('Clients'!$A$6:$A$205,B130)&lt;&gt;1),"Check Client ID",IF(OR(C130="",COUNTIFS('Properties'!$A$6:$A$205,C130)&lt;&gt;1),"Check Property ID",IF(NOT(ISNUMBER(D130)),"Add appointment date",IF(E130="","Set viewing status",""))))))</x:f>
      </x:c>
    </x:row>
    <x:row r="131" ht="26" customHeight="1">
      <x:c r="A131" s="319"/>
      <x:c r="B131" s="320"/>
      <x:c r="C131" s="274"/>
      <x:c r="D131" s="350"/>
      <x:c r="E131" s="274"/>
      <x:c r="F131" s="274"/>
      <x:c r="G131" s="280"/>
      <x:c r="H131" s="265" t="str">
        <x:f>IF(A131="","",IF(B131="","",IF(COUNTIFS('Clients'!$A$6:$A$205,B131)&lt;&gt;1,"Check Client ID",IF(INDEX('Clients'!$B$6:$B$205,MATCH(B131,'Clients'!$A$6:$A$205,0))="","Name missing",INDEX('Clients'!$B$6:$B$205,MATCH(B131,'Clients'!$A$6:$A$205,0))))))</x:f>
      </x:c>
      <x:c r="I131" s="265" t="str">
        <x:f>IF(A131="","",IF(C131="","",IF(COUNTIFS('Properties'!$A$6:$A$205,C131)&lt;&gt;1,"Check Property ID",IF(INDEX('Properties'!$B$6:$B$205,MATCH(C131,'Properties'!$A$6:$A$205,0))="","Name missing",INDEX('Properties'!$B$6:$B$205,MATCH(C131,'Properties'!$A$6:$A$205,0))))))</x:f>
      </x:c>
      <x:c r="J131" s="315" t="str">
        <x:f>IF(A131="","",IF(COUNTIFS($A$6:$A$205,A131)&gt;1,"Duplicate ID",IF(OR(B131="",COUNTIFS('Clients'!$A$6:$A$205,B131)&lt;&gt;1),"Check Client ID",IF(OR(C131="",COUNTIFS('Properties'!$A$6:$A$205,C131)&lt;&gt;1),"Check Property ID",IF(NOT(ISNUMBER(D131)),"Add appointment date",IF(E131="","Set viewing status",""))))))</x:f>
      </x:c>
    </x:row>
    <x:row r="132" ht="26" customHeight="1">
      <x:c r="A132" s="317"/>
      <x:c r="B132" s="318"/>
      <x:c r="C132" s="235"/>
      <x:c r="D132" s="348"/>
      <x:c r="E132" s="235"/>
      <x:c r="F132" s="235"/>
      <x:c r="G132" s="239"/>
      <x:c r="H132" s="265" t="str">
        <x:f>IF(A132="","",IF(B132="","",IF(COUNTIFS('Clients'!$A$6:$A$205,B132)&lt;&gt;1,"Check Client ID",IF(INDEX('Clients'!$B$6:$B$205,MATCH(B132,'Clients'!$A$6:$A$205,0))="","Name missing",INDEX('Clients'!$B$6:$B$205,MATCH(B132,'Clients'!$A$6:$A$205,0))))))</x:f>
      </x:c>
      <x:c r="I132" s="265" t="str">
        <x:f>IF(A132="","",IF(C132="","",IF(COUNTIFS('Properties'!$A$6:$A$205,C132)&lt;&gt;1,"Check Property ID",IF(INDEX('Properties'!$B$6:$B$205,MATCH(C132,'Properties'!$A$6:$A$205,0))="","Name missing",INDEX('Properties'!$B$6:$B$205,MATCH(C132,'Properties'!$A$6:$A$205,0))))))</x:f>
      </x:c>
      <x:c r="J132" s="315" t="str">
        <x:f>IF(A132="","",IF(COUNTIFS($A$6:$A$205,A132)&gt;1,"Duplicate ID",IF(OR(B132="",COUNTIFS('Clients'!$A$6:$A$205,B132)&lt;&gt;1),"Check Client ID",IF(OR(C132="",COUNTIFS('Properties'!$A$6:$A$205,C132)&lt;&gt;1),"Check Property ID",IF(NOT(ISNUMBER(D132)),"Add appointment date",IF(E132="","Set viewing status",""))))))</x:f>
      </x:c>
    </x:row>
    <x:row r="133" ht="26" customHeight="1">
      <x:c r="A133" s="319"/>
      <x:c r="B133" s="320"/>
      <x:c r="C133" s="274"/>
      <x:c r="D133" s="350"/>
      <x:c r="E133" s="274"/>
      <x:c r="F133" s="274"/>
      <x:c r="G133" s="280"/>
      <x:c r="H133" s="265" t="str">
        <x:f>IF(A133="","",IF(B133="","",IF(COUNTIFS('Clients'!$A$6:$A$205,B133)&lt;&gt;1,"Check Client ID",IF(INDEX('Clients'!$B$6:$B$205,MATCH(B133,'Clients'!$A$6:$A$205,0))="","Name missing",INDEX('Clients'!$B$6:$B$205,MATCH(B133,'Clients'!$A$6:$A$205,0))))))</x:f>
      </x:c>
      <x:c r="I133" s="265" t="str">
        <x:f>IF(A133="","",IF(C133="","",IF(COUNTIFS('Properties'!$A$6:$A$205,C133)&lt;&gt;1,"Check Property ID",IF(INDEX('Properties'!$B$6:$B$205,MATCH(C133,'Properties'!$A$6:$A$205,0))="","Name missing",INDEX('Properties'!$B$6:$B$205,MATCH(C133,'Properties'!$A$6:$A$205,0))))))</x:f>
      </x:c>
      <x:c r="J133" s="315" t="str">
        <x:f>IF(A133="","",IF(COUNTIFS($A$6:$A$205,A133)&gt;1,"Duplicate ID",IF(OR(B133="",COUNTIFS('Clients'!$A$6:$A$205,B133)&lt;&gt;1),"Check Client ID",IF(OR(C133="",COUNTIFS('Properties'!$A$6:$A$205,C133)&lt;&gt;1),"Check Property ID",IF(NOT(ISNUMBER(D133)),"Add appointment date",IF(E133="","Set viewing status",""))))))</x:f>
      </x:c>
    </x:row>
    <x:row r="134" ht="26" customHeight="1">
      <x:c r="A134" s="317"/>
      <x:c r="B134" s="318"/>
      <x:c r="C134" s="235"/>
      <x:c r="D134" s="348"/>
      <x:c r="E134" s="235"/>
      <x:c r="F134" s="235"/>
      <x:c r="G134" s="239"/>
      <x:c r="H134" s="265" t="str">
        <x:f>IF(A134="","",IF(B134="","",IF(COUNTIFS('Clients'!$A$6:$A$205,B134)&lt;&gt;1,"Check Client ID",IF(INDEX('Clients'!$B$6:$B$205,MATCH(B134,'Clients'!$A$6:$A$205,0))="","Name missing",INDEX('Clients'!$B$6:$B$205,MATCH(B134,'Clients'!$A$6:$A$205,0))))))</x:f>
      </x:c>
      <x:c r="I134" s="265" t="str">
        <x:f>IF(A134="","",IF(C134="","",IF(COUNTIFS('Properties'!$A$6:$A$205,C134)&lt;&gt;1,"Check Property ID",IF(INDEX('Properties'!$B$6:$B$205,MATCH(C134,'Properties'!$A$6:$A$205,0))="","Name missing",INDEX('Properties'!$B$6:$B$205,MATCH(C134,'Properties'!$A$6:$A$205,0))))))</x:f>
      </x:c>
      <x:c r="J134" s="315" t="str">
        <x:f>IF(A134="","",IF(COUNTIFS($A$6:$A$205,A134)&gt;1,"Duplicate ID",IF(OR(B134="",COUNTIFS('Clients'!$A$6:$A$205,B134)&lt;&gt;1),"Check Client ID",IF(OR(C134="",COUNTIFS('Properties'!$A$6:$A$205,C134)&lt;&gt;1),"Check Property ID",IF(NOT(ISNUMBER(D134)),"Add appointment date",IF(E134="","Set viewing status",""))))))</x:f>
      </x:c>
    </x:row>
    <x:row r="135" ht="26" customHeight="1">
      <x:c r="A135" s="319"/>
      <x:c r="B135" s="320"/>
      <x:c r="C135" s="274"/>
      <x:c r="D135" s="350"/>
      <x:c r="E135" s="274"/>
      <x:c r="F135" s="274"/>
      <x:c r="G135" s="280"/>
      <x:c r="H135" s="265" t="str">
        <x:f>IF(A135="","",IF(B135="","",IF(COUNTIFS('Clients'!$A$6:$A$205,B135)&lt;&gt;1,"Check Client ID",IF(INDEX('Clients'!$B$6:$B$205,MATCH(B135,'Clients'!$A$6:$A$205,0))="","Name missing",INDEX('Clients'!$B$6:$B$205,MATCH(B135,'Clients'!$A$6:$A$205,0))))))</x:f>
      </x:c>
      <x:c r="I135" s="265" t="str">
        <x:f>IF(A135="","",IF(C135="","",IF(COUNTIFS('Properties'!$A$6:$A$205,C135)&lt;&gt;1,"Check Property ID",IF(INDEX('Properties'!$B$6:$B$205,MATCH(C135,'Properties'!$A$6:$A$205,0))="","Name missing",INDEX('Properties'!$B$6:$B$205,MATCH(C135,'Properties'!$A$6:$A$205,0))))))</x:f>
      </x:c>
      <x:c r="J135" s="315" t="str">
        <x:f>IF(A135="","",IF(COUNTIFS($A$6:$A$205,A135)&gt;1,"Duplicate ID",IF(OR(B135="",COUNTIFS('Clients'!$A$6:$A$205,B135)&lt;&gt;1),"Check Client ID",IF(OR(C135="",COUNTIFS('Properties'!$A$6:$A$205,C135)&lt;&gt;1),"Check Property ID",IF(NOT(ISNUMBER(D135)),"Add appointment date",IF(E135="","Set viewing status",""))))))</x:f>
      </x:c>
    </x:row>
    <x:row r="136" ht="26" customHeight="1">
      <x:c r="A136" s="317"/>
      <x:c r="B136" s="318"/>
      <x:c r="C136" s="235"/>
      <x:c r="D136" s="348"/>
      <x:c r="E136" s="235"/>
      <x:c r="F136" s="235"/>
      <x:c r="G136" s="239"/>
      <x:c r="H136" s="265" t="str">
        <x:f>IF(A136="","",IF(B136="","",IF(COUNTIFS('Clients'!$A$6:$A$205,B136)&lt;&gt;1,"Check Client ID",IF(INDEX('Clients'!$B$6:$B$205,MATCH(B136,'Clients'!$A$6:$A$205,0))="","Name missing",INDEX('Clients'!$B$6:$B$205,MATCH(B136,'Clients'!$A$6:$A$205,0))))))</x:f>
      </x:c>
      <x:c r="I136" s="265" t="str">
        <x:f>IF(A136="","",IF(C136="","",IF(COUNTIFS('Properties'!$A$6:$A$205,C136)&lt;&gt;1,"Check Property ID",IF(INDEX('Properties'!$B$6:$B$205,MATCH(C136,'Properties'!$A$6:$A$205,0))="","Name missing",INDEX('Properties'!$B$6:$B$205,MATCH(C136,'Properties'!$A$6:$A$205,0))))))</x:f>
      </x:c>
      <x:c r="J136" s="315" t="str">
        <x:f>IF(A136="","",IF(COUNTIFS($A$6:$A$205,A136)&gt;1,"Duplicate ID",IF(OR(B136="",COUNTIFS('Clients'!$A$6:$A$205,B136)&lt;&gt;1),"Check Client ID",IF(OR(C136="",COUNTIFS('Properties'!$A$6:$A$205,C136)&lt;&gt;1),"Check Property ID",IF(NOT(ISNUMBER(D136)),"Add appointment date",IF(E136="","Set viewing status",""))))))</x:f>
      </x:c>
    </x:row>
    <x:row r="137" ht="26" customHeight="1">
      <x:c r="A137" s="319"/>
      <x:c r="B137" s="320"/>
      <x:c r="C137" s="274"/>
      <x:c r="D137" s="350"/>
      <x:c r="E137" s="274"/>
      <x:c r="F137" s="274"/>
      <x:c r="G137" s="280"/>
      <x:c r="H137" s="265" t="str">
        <x:f>IF(A137="","",IF(B137="","",IF(COUNTIFS('Clients'!$A$6:$A$205,B137)&lt;&gt;1,"Check Client ID",IF(INDEX('Clients'!$B$6:$B$205,MATCH(B137,'Clients'!$A$6:$A$205,0))="","Name missing",INDEX('Clients'!$B$6:$B$205,MATCH(B137,'Clients'!$A$6:$A$205,0))))))</x:f>
      </x:c>
      <x:c r="I137" s="265" t="str">
        <x:f>IF(A137="","",IF(C137="","",IF(COUNTIFS('Properties'!$A$6:$A$205,C137)&lt;&gt;1,"Check Property ID",IF(INDEX('Properties'!$B$6:$B$205,MATCH(C137,'Properties'!$A$6:$A$205,0))="","Name missing",INDEX('Properties'!$B$6:$B$205,MATCH(C137,'Properties'!$A$6:$A$205,0))))))</x:f>
      </x:c>
      <x:c r="J137" s="315" t="str">
        <x:f>IF(A137="","",IF(COUNTIFS($A$6:$A$205,A137)&gt;1,"Duplicate ID",IF(OR(B137="",COUNTIFS('Clients'!$A$6:$A$205,B137)&lt;&gt;1),"Check Client ID",IF(OR(C137="",COUNTIFS('Properties'!$A$6:$A$205,C137)&lt;&gt;1),"Check Property ID",IF(NOT(ISNUMBER(D137)),"Add appointment date",IF(E137="","Set viewing status",""))))))</x:f>
      </x:c>
    </x:row>
    <x:row r="138" ht="26" customHeight="1">
      <x:c r="A138" s="317"/>
      <x:c r="B138" s="318"/>
      <x:c r="C138" s="235"/>
      <x:c r="D138" s="348"/>
      <x:c r="E138" s="235"/>
      <x:c r="F138" s="235"/>
      <x:c r="G138" s="239"/>
      <x:c r="H138" s="265" t="str">
        <x:f>IF(A138="","",IF(B138="","",IF(COUNTIFS('Clients'!$A$6:$A$205,B138)&lt;&gt;1,"Check Client ID",IF(INDEX('Clients'!$B$6:$B$205,MATCH(B138,'Clients'!$A$6:$A$205,0))="","Name missing",INDEX('Clients'!$B$6:$B$205,MATCH(B138,'Clients'!$A$6:$A$205,0))))))</x:f>
      </x:c>
      <x:c r="I138" s="265" t="str">
        <x:f>IF(A138="","",IF(C138="","",IF(COUNTIFS('Properties'!$A$6:$A$205,C138)&lt;&gt;1,"Check Property ID",IF(INDEX('Properties'!$B$6:$B$205,MATCH(C138,'Properties'!$A$6:$A$205,0))="","Name missing",INDEX('Properties'!$B$6:$B$205,MATCH(C138,'Properties'!$A$6:$A$205,0))))))</x:f>
      </x:c>
      <x:c r="J138" s="315" t="str">
        <x:f>IF(A138="","",IF(COUNTIFS($A$6:$A$205,A138)&gt;1,"Duplicate ID",IF(OR(B138="",COUNTIFS('Clients'!$A$6:$A$205,B138)&lt;&gt;1),"Check Client ID",IF(OR(C138="",COUNTIFS('Properties'!$A$6:$A$205,C138)&lt;&gt;1),"Check Property ID",IF(NOT(ISNUMBER(D138)),"Add appointment date",IF(E138="","Set viewing status",""))))))</x:f>
      </x:c>
    </x:row>
    <x:row r="139" ht="26" customHeight="1">
      <x:c r="A139" s="319"/>
      <x:c r="B139" s="320"/>
      <x:c r="C139" s="274"/>
      <x:c r="D139" s="350"/>
      <x:c r="E139" s="274"/>
      <x:c r="F139" s="274"/>
      <x:c r="G139" s="280"/>
      <x:c r="H139" s="265" t="str">
        <x:f>IF(A139="","",IF(B139="","",IF(COUNTIFS('Clients'!$A$6:$A$205,B139)&lt;&gt;1,"Check Client ID",IF(INDEX('Clients'!$B$6:$B$205,MATCH(B139,'Clients'!$A$6:$A$205,0))="","Name missing",INDEX('Clients'!$B$6:$B$205,MATCH(B139,'Clients'!$A$6:$A$205,0))))))</x:f>
      </x:c>
      <x:c r="I139" s="265" t="str">
        <x:f>IF(A139="","",IF(C139="","",IF(COUNTIFS('Properties'!$A$6:$A$205,C139)&lt;&gt;1,"Check Property ID",IF(INDEX('Properties'!$B$6:$B$205,MATCH(C139,'Properties'!$A$6:$A$205,0))="","Name missing",INDEX('Properties'!$B$6:$B$205,MATCH(C139,'Properties'!$A$6:$A$205,0))))))</x:f>
      </x:c>
      <x:c r="J139" s="315" t="str">
        <x:f>IF(A139="","",IF(COUNTIFS($A$6:$A$205,A139)&gt;1,"Duplicate ID",IF(OR(B139="",COUNTIFS('Clients'!$A$6:$A$205,B139)&lt;&gt;1),"Check Client ID",IF(OR(C139="",COUNTIFS('Properties'!$A$6:$A$205,C139)&lt;&gt;1),"Check Property ID",IF(NOT(ISNUMBER(D139)),"Add appointment date",IF(E139="","Set viewing status",""))))))</x:f>
      </x:c>
    </x:row>
    <x:row r="140" ht="26" customHeight="1">
      <x:c r="A140" s="317"/>
      <x:c r="B140" s="318"/>
      <x:c r="C140" s="235"/>
      <x:c r="D140" s="348"/>
      <x:c r="E140" s="235"/>
      <x:c r="F140" s="235"/>
      <x:c r="G140" s="239"/>
      <x:c r="H140" s="265" t="str">
        <x:f>IF(A140="","",IF(B140="","",IF(COUNTIFS('Clients'!$A$6:$A$205,B140)&lt;&gt;1,"Check Client ID",IF(INDEX('Clients'!$B$6:$B$205,MATCH(B140,'Clients'!$A$6:$A$205,0))="","Name missing",INDEX('Clients'!$B$6:$B$205,MATCH(B140,'Clients'!$A$6:$A$205,0))))))</x:f>
      </x:c>
      <x:c r="I140" s="265" t="str">
        <x:f>IF(A140="","",IF(C140="","",IF(COUNTIFS('Properties'!$A$6:$A$205,C140)&lt;&gt;1,"Check Property ID",IF(INDEX('Properties'!$B$6:$B$205,MATCH(C140,'Properties'!$A$6:$A$205,0))="","Name missing",INDEX('Properties'!$B$6:$B$205,MATCH(C140,'Properties'!$A$6:$A$205,0))))))</x:f>
      </x:c>
      <x:c r="J140" s="315" t="str">
        <x:f>IF(A140="","",IF(COUNTIFS($A$6:$A$205,A140)&gt;1,"Duplicate ID",IF(OR(B140="",COUNTIFS('Clients'!$A$6:$A$205,B140)&lt;&gt;1),"Check Client ID",IF(OR(C140="",COUNTIFS('Properties'!$A$6:$A$205,C140)&lt;&gt;1),"Check Property ID",IF(NOT(ISNUMBER(D140)),"Add appointment date",IF(E140="","Set viewing status",""))))))</x:f>
      </x:c>
    </x:row>
    <x:row r="141" ht="26" customHeight="1">
      <x:c r="A141" s="319"/>
      <x:c r="B141" s="320"/>
      <x:c r="C141" s="274"/>
      <x:c r="D141" s="350"/>
      <x:c r="E141" s="274"/>
      <x:c r="F141" s="274"/>
      <x:c r="G141" s="280"/>
      <x:c r="H141" s="265" t="str">
        <x:f>IF(A141="","",IF(B141="","",IF(COUNTIFS('Clients'!$A$6:$A$205,B141)&lt;&gt;1,"Check Client ID",IF(INDEX('Clients'!$B$6:$B$205,MATCH(B141,'Clients'!$A$6:$A$205,0))="","Name missing",INDEX('Clients'!$B$6:$B$205,MATCH(B141,'Clients'!$A$6:$A$205,0))))))</x:f>
      </x:c>
      <x:c r="I141" s="265" t="str">
        <x:f>IF(A141="","",IF(C141="","",IF(COUNTIFS('Properties'!$A$6:$A$205,C141)&lt;&gt;1,"Check Property ID",IF(INDEX('Properties'!$B$6:$B$205,MATCH(C141,'Properties'!$A$6:$A$205,0))="","Name missing",INDEX('Properties'!$B$6:$B$205,MATCH(C141,'Properties'!$A$6:$A$205,0))))))</x:f>
      </x:c>
      <x:c r="J141" s="315" t="str">
        <x:f>IF(A141="","",IF(COUNTIFS($A$6:$A$205,A141)&gt;1,"Duplicate ID",IF(OR(B141="",COUNTIFS('Clients'!$A$6:$A$205,B141)&lt;&gt;1),"Check Client ID",IF(OR(C141="",COUNTIFS('Properties'!$A$6:$A$205,C141)&lt;&gt;1),"Check Property ID",IF(NOT(ISNUMBER(D141)),"Add appointment date",IF(E141="","Set viewing status",""))))))</x:f>
      </x:c>
    </x:row>
    <x:row r="142" ht="26" customHeight="1">
      <x:c r="A142" s="317"/>
      <x:c r="B142" s="318"/>
      <x:c r="C142" s="235"/>
      <x:c r="D142" s="348"/>
      <x:c r="E142" s="235"/>
      <x:c r="F142" s="235"/>
      <x:c r="G142" s="239"/>
      <x:c r="H142" s="265" t="str">
        <x:f>IF(A142="","",IF(B142="","",IF(COUNTIFS('Clients'!$A$6:$A$205,B142)&lt;&gt;1,"Check Client ID",IF(INDEX('Clients'!$B$6:$B$205,MATCH(B142,'Clients'!$A$6:$A$205,0))="","Name missing",INDEX('Clients'!$B$6:$B$205,MATCH(B142,'Clients'!$A$6:$A$205,0))))))</x:f>
      </x:c>
      <x:c r="I142" s="265" t="str">
        <x:f>IF(A142="","",IF(C142="","",IF(COUNTIFS('Properties'!$A$6:$A$205,C142)&lt;&gt;1,"Check Property ID",IF(INDEX('Properties'!$B$6:$B$205,MATCH(C142,'Properties'!$A$6:$A$205,0))="","Name missing",INDEX('Properties'!$B$6:$B$205,MATCH(C142,'Properties'!$A$6:$A$205,0))))))</x:f>
      </x:c>
      <x:c r="J142" s="315" t="str">
        <x:f>IF(A142="","",IF(COUNTIFS($A$6:$A$205,A142)&gt;1,"Duplicate ID",IF(OR(B142="",COUNTIFS('Clients'!$A$6:$A$205,B142)&lt;&gt;1),"Check Client ID",IF(OR(C142="",COUNTIFS('Properties'!$A$6:$A$205,C142)&lt;&gt;1),"Check Property ID",IF(NOT(ISNUMBER(D142)),"Add appointment date",IF(E142="","Set viewing status",""))))))</x:f>
      </x:c>
    </x:row>
    <x:row r="143" ht="26" customHeight="1">
      <x:c r="A143" s="319"/>
      <x:c r="B143" s="320"/>
      <x:c r="C143" s="274"/>
      <x:c r="D143" s="350"/>
      <x:c r="E143" s="274"/>
      <x:c r="F143" s="274"/>
      <x:c r="G143" s="280"/>
      <x:c r="H143" s="265" t="str">
        <x:f>IF(A143="","",IF(B143="","",IF(COUNTIFS('Clients'!$A$6:$A$205,B143)&lt;&gt;1,"Check Client ID",IF(INDEX('Clients'!$B$6:$B$205,MATCH(B143,'Clients'!$A$6:$A$205,0))="","Name missing",INDEX('Clients'!$B$6:$B$205,MATCH(B143,'Clients'!$A$6:$A$205,0))))))</x:f>
      </x:c>
      <x:c r="I143" s="265" t="str">
        <x:f>IF(A143="","",IF(C143="","",IF(COUNTIFS('Properties'!$A$6:$A$205,C143)&lt;&gt;1,"Check Property ID",IF(INDEX('Properties'!$B$6:$B$205,MATCH(C143,'Properties'!$A$6:$A$205,0))="","Name missing",INDEX('Properties'!$B$6:$B$205,MATCH(C143,'Properties'!$A$6:$A$205,0))))))</x:f>
      </x:c>
      <x:c r="J143" s="315" t="str">
        <x:f>IF(A143="","",IF(COUNTIFS($A$6:$A$205,A143)&gt;1,"Duplicate ID",IF(OR(B143="",COUNTIFS('Clients'!$A$6:$A$205,B143)&lt;&gt;1),"Check Client ID",IF(OR(C143="",COUNTIFS('Properties'!$A$6:$A$205,C143)&lt;&gt;1),"Check Property ID",IF(NOT(ISNUMBER(D143)),"Add appointment date",IF(E143="","Set viewing status",""))))))</x:f>
      </x:c>
    </x:row>
    <x:row r="144" ht="26" customHeight="1">
      <x:c r="A144" s="317"/>
      <x:c r="B144" s="318"/>
      <x:c r="C144" s="235"/>
      <x:c r="D144" s="348"/>
      <x:c r="E144" s="235"/>
      <x:c r="F144" s="235"/>
      <x:c r="G144" s="239"/>
      <x:c r="H144" s="265" t="str">
        <x:f>IF(A144="","",IF(B144="","",IF(COUNTIFS('Clients'!$A$6:$A$205,B144)&lt;&gt;1,"Check Client ID",IF(INDEX('Clients'!$B$6:$B$205,MATCH(B144,'Clients'!$A$6:$A$205,0))="","Name missing",INDEX('Clients'!$B$6:$B$205,MATCH(B144,'Clients'!$A$6:$A$205,0))))))</x:f>
      </x:c>
      <x:c r="I144" s="265" t="str">
        <x:f>IF(A144="","",IF(C144="","",IF(COUNTIFS('Properties'!$A$6:$A$205,C144)&lt;&gt;1,"Check Property ID",IF(INDEX('Properties'!$B$6:$B$205,MATCH(C144,'Properties'!$A$6:$A$205,0))="","Name missing",INDEX('Properties'!$B$6:$B$205,MATCH(C144,'Properties'!$A$6:$A$205,0))))))</x:f>
      </x:c>
      <x:c r="J144" s="315" t="str">
        <x:f>IF(A144="","",IF(COUNTIFS($A$6:$A$205,A144)&gt;1,"Duplicate ID",IF(OR(B144="",COUNTIFS('Clients'!$A$6:$A$205,B144)&lt;&gt;1),"Check Client ID",IF(OR(C144="",COUNTIFS('Properties'!$A$6:$A$205,C144)&lt;&gt;1),"Check Property ID",IF(NOT(ISNUMBER(D144)),"Add appointment date",IF(E144="","Set viewing status",""))))))</x:f>
      </x:c>
    </x:row>
    <x:row r="145" ht="26" customHeight="1">
      <x:c r="A145" s="319"/>
      <x:c r="B145" s="320"/>
      <x:c r="C145" s="274"/>
      <x:c r="D145" s="350"/>
      <x:c r="E145" s="274"/>
      <x:c r="F145" s="274"/>
      <x:c r="G145" s="280"/>
      <x:c r="H145" s="265" t="str">
        <x:f>IF(A145="","",IF(B145="","",IF(COUNTIFS('Clients'!$A$6:$A$205,B145)&lt;&gt;1,"Check Client ID",IF(INDEX('Clients'!$B$6:$B$205,MATCH(B145,'Clients'!$A$6:$A$205,0))="","Name missing",INDEX('Clients'!$B$6:$B$205,MATCH(B145,'Clients'!$A$6:$A$205,0))))))</x:f>
      </x:c>
      <x:c r="I145" s="265" t="str">
        <x:f>IF(A145="","",IF(C145="","",IF(COUNTIFS('Properties'!$A$6:$A$205,C145)&lt;&gt;1,"Check Property ID",IF(INDEX('Properties'!$B$6:$B$205,MATCH(C145,'Properties'!$A$6:$A$205,0))="","Name missing",INDEX('Properties'!$B$6:$B$205,MATCH(C145,'Properties'!$A$6:$A$205,0))))))</x:f>
      </x:c>
      <x:c r="J145" s="315" t="str">
        <x:f>IF(A145="","",IF(COUNTIFS($A$6:$A$205,A145)&gt;1,"Duplicate ID",IF(OR(B145="",COUNTIFS('Clients'!$A$6:$A$205,B145)&lt;&gt;1),"Check Client ID",IF(OR(C145="",COUNTIFS('Properties'!$A$6:$A$205,C145)&lt;&gt;1),"Check Property ID",IF(NOT(ISNUMBER(D145)),"Add appointment date",IF(E145="","Set viewing status",""))))))</x:f>
      </x:c>
    </x:row>
    <x:row r="146" ht="26" customHeight="1">
      <x:c r="A146" s="317"/>
      <x:c r="B146" s="318"/>
      <x:c r="C146" s="235"/>
      <x:c r="D146" s="348"/>
      <x:c r="E146" s="235"/>
      <x:c r="F146" s="235"/>
      <x:c r="G146" s="239"/>
      <x:c r="H146" s="265" t="str">
        <x:f>IF(A146="","",IF(B146="","",IF(COUNTIFS('Clients'!$A$6:$A$205,B146)&lt;&gt;1,"Check Client ID",IF(INDEX('Clients'!$B$6:$B$205,MATCH(B146,'Clients'!$A$6:$A$205,0))="","Name missing",INDEX('Clients'!$B$6:$B$205,MATCH(B146,'Clients'!$A$6:$A$205,0))))))</x:f>
      </x:c>
      <x:c r="I146" s="265" t="str">
        <x:f>IF(A146="","",IF(C146="","",IF(COUNTIFS('Properties'!$A$6:$A$205,C146)&lt;&gt;1,"Check Property ID",IF(INDEX('Properties'!$B$6:$B$205,MATCH(C146,'Properties'!$A$6:$A$205,0))="","Name missing",INDEX('Properties'!$B$6:$B$205,MATCH(C146,'Properties'!$A$6:$A$205,0))))))</x:f>
      </x:c>
      <x:c r="J146" s="315" t="str">
        <x:f>IF(A146="","",IF(COUNTIFS($A$6:$A$205,A146)&gt;1,"Duplicate ID",IF(OR(B146="",COUNTIFS('Clients'!$A$6:$A$205,B146)&lt;&gt;1),"Check Client ID",IF(OR(C146="",COUNTIFS('Properties'!$A$6:$A$205,C146)&lt;&gt;1),"Check Property ID",IF(NOT(ISNUMBER(D146)),"Add appointment date",IF(E146="","Set viewing status",""))))))</x:f>
      </x:c>
    </x:row>
    <x:row r="147" ht="26" customHeight="1">
      <x:c r="A147" s="319"/>
      <x:c r="B147" s="320"/>
      <x:c r="C147" s="274"/>
      <x:c r="D147" s="350"/>
      <x:c r="E147" s="274"/>
      <x:c r="F147" s="274"/>
      <x:c r="G147" s="280"/>
      <x:c r="H147" s="265" t="str">
        <x:f>IF(A147="","",IF(B147="","",IF(COUNTIFS('Clients'!$A$6:$A$205,B147)&lt;&gt;1,"Check Client ID",IF(INDEX('Clients'!$B$6:$B$205,MATCH(B147,'Clients'!$A$6:$A$205,0))="","Name missing",INDEX('Clients'!$B$6:$B$205,MATCH(B147,'Clients'!$A$6:$A$205,0))))))</x:f>
      </x:c>
      <x:c r="I147" s="265" t="str">
        <x:f>IF(A147="","",IF(C147="","",IF(COUNTIFS('Properties'!$A$6:$A$205,C147)&lt;&gt;1,"Check Property ID",IF(INDEX('Properties'!$B$6:$B$205,MATCH(C147,'Properties'!$A$6:$A$205,0))="","Name missing",INDEX('Properties'!$B$6:$B$205,MATCH(C147,'Properties'!$A$6:$A$205,0))))))</x:f>
      </x:c>
      <x:c r="J147" s="315" t="str">
        <x:f>IF(A147="","",IF(COUNTIFS($A$6:$A$205,A147)&gt;1,"Duplicate ID",IF(OR(B147="",COUNTIFS('Clients'!$A$6:$A$205,B147)&lt;&gt;1),"Check Client ID",IF(OR(C147="",COUNTIFS('Properties'!$A$6:$A$205,C147)&lt;&gt;1),"Check Property ID",IF(NOT(ISNUMBER(D147)),"Add appointment date",IF(E147="","Set viewing status",""))))))</x:f>
      </x:c>
    </x:row>
    <x:row r="148" ht="26" customHeight="1">
      <x:c r="A148" s="317"/>
      <x:c r="B148" s="318"/>
      <x:c r="C148" s="235"/>
      <x:c r="D148" s="348"/>
      <x:c r="E148" s="235"/>
      <x:c r="F148" s="235"/>
      <x:c r="G148" s="239"/>
      <x:c r="H148" s="265" t="str">
        <x:f>IF(A148="","",IF(B148="","",IF(COUNTIFS('Clients'!$A$6:$A$205,B148)&lt;&gt;1,"Check Client ID",IF(INDEX('Clients'!$B$6:$B$205,MATCH(B148,'Clients'!$A$6:$A$205,0))="","Name missing",INDEX('Clients'!$B$6:$B$205,MATCH(B148,'Clients'!$A$6:$A$205,0))))))</x:f>
      </x:c>
      <x:c r="I148" s="265" t="str">
        <x:f>IF(A148="","",IF(C148="","",IF(COUNTIFS('Properties'!$A$6:$A$205,C148)&lt;&gt;1,"Check Property ID",IF(INDEX('Properties'!$B$6:$B$205,MATCH(C148,'Properties'!$A$6:$A$205,0))="","Name missing",INDEX('Properties'!$B$6:$B$205,MATCH(C148,'Properties'!$A$6:$A$205,0))))))</x:f>
      </x:c>
      <x:c r="J148" s="315" t="str">
        <x:f>IF(A148="","",IF(COUNTIFS($A$6:$A$205,A148)&gt;1,"Duplicate ID",IF(OR(B148="",COUNTIFS('Clients'!$A$6:$A$205,B148)&lt;&gt;1),"Check Client ID",IF(OR(C148="",COUNTIFS('Properties'!$A$6:$A$205,C148)&lt;&gt;1),"Check Property ID",IF(NOT(ISNUMBER(D148)),"Add appointment date",IF(E148="","Set viewing status",""))))))</x:f>
      </x:c>
    </x:row>
    <x:row r="149" ht="26" customHeight="1">
      <x:c r="A149" s="319"/>
      <x:c r="B149" s="320"/>
      <x:c r="C149" s="274"/>
      <x:c r="D149" s="350"/>
      <x:c r="E149" s="274"/>
      <x:c r="F149" s="274"/>
      <x:c r="G149" s="280"/>
      <x:c r="H149" s="265" t="str">
        <x:f>IF(A149="","",IF(B149="","",IF(COUNTIFS('Clients'!$A$6:$A$205,B149)&lt;&gt;1,"Check Client ID",IF(INDEX('Clients'!$B$6:$B$205,MATCH(B149,'Clients'!$A$6:$A$205,0))="","Name missing",INDEX('Clients'!$B$6:$B$205,MATCH(B149,'Clients'!$A$6:$A$205,0))))))</x:f>
      </x:c>
      <x:c r="I149" s="265" t="str">
        <x:f>IF(A149="","",IF(C149="","",IF(COUNTIFS('Properties'!$A$6:$A$205,C149)&lt;&gt;1,"Check Property ID",IF(INDEX('Properties'!$B$6:$B$205,MATCH(C149,'Properties'!$A$6:$A$205,0))="","Name missing",INDEX('Properties'!$B$6:$B$205,MATCH(C149,'Properties'!$A$6:$A$205,0))))))</x:f>
      </x:c>
      <x:c r="J149" s="315" t="str">
        <x:f>IF(A149="","",IF(COUNTIFS($A$6:$A$205,A149)&gt;1,"Duplicate ID",IF(OR(B149="",COUNTIFS('Clients'!$A$6:$A$205,B149)&lt;&gt;1),"Check Client ID",IF(OR(C149="",COUNTIFS('Properties'!$A$6:$A$205,C149)&lt;&gt;1),"Check Property ID",IF(NOT(ISNUMBER(D149)),"Add appointment date",IF(E149="","Set viewing status",""))))))</x:f>
      </x:c>
    </x:row>
    <x:row r="150" ht="26" customHeight="1">
      <x:c r="A150" s="317"/>
      <x:c r="B150" s="318"/>
      <x:c r="C150" s="235"/>
      <x:c r="D150" s="348"/>
      <x:c r="E150" s="235"/>
      <x:c r="F150" s="235"/>
      <x:c r="G150" s="239"/>
      <x:c r="H150" s="265" t="str">
        <x:f>IF(A150="","",IF(B150="","",IF(COUNTIFS('Clients'!$A$6:$A$205,B150)&lt;&gt;1,"Check Client ID",IF(INDEX('Clients'!$B$6:$B$205,MATCH(B150,'Clients'!$A$6:$A$205,0))="","Name missing",INDEX('Clients'!$B$6:$B$205,MATCH(B150,'Clients'!$A$6:$A$205,0))))))</x:f>
      </x:c>
      <x:c r="I150" s="265" t="str">
        <x:f>IF(A150="","",IF(C150="","",IF(COUNTIFS('Properties'!$A$6:$A$205,C150)&lt;&gt;1,"Check Property ID",IF(INDEX('Properties'!$B$6:$B$205,MATCH(C150,'Properties'!$A$6:$A$205,0))="","Name missing",INDEX('Properties'!$B$6:$B$205,MATCH(C150,'Properties'!$A$6:$A$205,0))))))</x:f>
      </x:c>
      <x:c r="J150" s="315" t="str">
        <x:f>IF(A150="","",IF(COUNTIFS($A$6:$A$205,A150)&gt;1,"Duplicate ID",IF(OR(B150="",COUNTIFS('Clients'!$A$6:$A$205,B150)&lt;&gt;1),"Check Client ID",IF(OR(C150="",COUNTIFS('Properties'!$A$6:$A$205,C150)&lt;&gt;1),"Check Property ID",IF(NOT(ISNUMBER(D150)),"Add appointment date",IF(E150="","Set viewing status",""))))))</x:f>
      </x:c>
    </x:row>
    <x:row r="151" ht="26" customHeight="1">
      <x:c r="A151" s="319"/>
      <x:c r="B151" s="320"/>
      <x:c r="C151" s="274"/>
      <x:c r="D151" s="350"/>
      <x:c r="E151" s="274"/>
      <x:c r="F151" s="274"/>
      <x:c r="G151" s="280"/>
      <x:c r="H151" s="265" t="str">
        <x:f>IF(A151="","",IF(B151="","",IF(COUNTIFS('Clients'!$A$6:$A$205,B151)&lt;&gt;1,"Check Client ID",IF(INDEX('Clients'!$B$6:$B$205,MATCH(B151,'Clients'!$A$6:$A$205,0))="","Name missing",INDEX('Clients'!$B$6:$B$205,MATCH(B151,'Clients'!$A$6:$A$205,0))))))</x:f>
      </x:c>
      <x:c r="I151" s="265" t="str">
        <x:f>IF(A151="","",IF(C151="","",IF(COUNTIFS('Properties'!$A$6:$A$205,C151)&lt;&gt;1,"Check Property ID",IF(INDEX('Properties'!$B$6:$B$205,MATCH(C151,'Properties'!$A$6:$A$205,0))="","Name missing",INDEX('Properties'!$B$6:$B$205,MATCH(C151,'Properties'!$A$6:$A$205,0))))))</x:f>
      </x:c>
      <x:c r="J151" s="315" t="str">
        <x:f>IF(A151="","",IF(COUNTIFS($A$6:$A$205,A151)&gt;1,"Duplicate ID",IF(OR(B151="",COUNTIFS('Clients'!$A$6:$A$205,B151)&lt;&gt;1),"Check Client ID",IF(OR(C151="",COUNTIFS('Properties'!$A$6:$A$205,C151)&lt;&gt;1),"Check Property ID",IF(NOT(ISNUMBER(D151)),"Add appointment date",IF(E151="","Set viewing status",""))))))</x:f>
      </x:c>
    </x:row>
    <x:row r="152" ht="26" customHeight="1">
      <x:c r="A152" s="317"/>
      <x:c r="B152" s="318"/>
      <x:c r="C152" s="235"/>
      <x:c r="D152" s="348"/>
      <x:c r="E152" s="235"/>
      <x:c r="F152" s="235"/>
      <x:c r="G152" s="239"/>
      <x:c r="H152" s="265" t="str">
        <x:f>IF(A152="","",IF(B152="","",IF(COUNTIFS('Clients'!$A$6:$A$205,B152)&lt;&gt;1,"Check Client ID",IF(INDEX('Clients'!$B$6:$B$205,MATCH(B152,'Clients'!$A$6:$A$205,0))="","Name missing",INDEX('Clients'!$B$6:$B$205,MATCH(B152,'Clients'!$A$6:$A$205,0))))))</x:f>
      </x:c>
      <x:c r="I152" s="265" t="str">
        <x:f>IF(A152="","",IF(C152="","",IF(COUNTIFS('Properties'!$A$6:$A$205,C152)&lt;&gt;1,"Check Property ID",IF(INDEX('Properties'!$B$6:$B$205,MATCH(C152,'Properties'!$A$6:$A$205,0))="","Name missing",INDEX('Properties'!$B$6:$B$205,MATCH(C152,'Properties'!$A$6:$A$205,0))))))</x:f>
      </x:c>
      <x:c r="J152" s="315" t="str">
        <x:f>IF(A152="","",IF(COUNTIFS($A$6:$A$205,A152)&gt;1,"Duplicate ID",IF(OR(B152="",COUNTIFS('Clients'!$A$6:$A$205,B152)&lt;&gt;1),"Check Client ID",IF(OR(C152="",COUNTIFS('Properties'!$A$6:$A$205,C152)&lt;&gt;1),"Check Property ID",IF(NOT(ISNUMBER(D152)),"Add appointment date",IF(E152="","Set viewing status",""))))))</x:f>
      </x:c>
    </x:row>
    <x:row r="153" ht="26" customHeight="1">
      <x:c r="A153" s="319"/>
      <x:c r="B153" s="320"/>
      <x:c r="C153" s="274"/>
      <x:c r="D153" s="350"/>
      <x:c r="E153" s="274"/>
      <x:c r="F153" s="274"/>
      <x:c r="G153" s="280"/>
      <x:c r="H153" s="265" t="str">
        <x:f>IF(A153="","",IF(B153="","",IF(COUNTIFS('Clients'!$A$6:$A$205,B153)&lt;&gt;1,"Check Client ID",IF(INDEX('Clients'!$B$6:$B$205,MATCH(B153,'Clients'!$A$6:$A$205,0))="","Name missing",INDEX('Clients'!$B$6:$B$205,MATCH(B153,'Clients'!$A$6:$A$205,0))))))</x:f>
      </x:c>
      <x:c r="I153" s="265" t="str">
        <x:f>IF(A153="","",IF(C153="","",IF(COUNTIFS('Properties'!$A$6:$A$205,C153)&lt;&gt;1,"Check Property ID",IF(INDEX('Properties'!$B$6:$B$205,MATCH(C153,'Properties'!$A$6:$A$205,0))="","Name missing",INDEX('Properties'!$B$6:$B$205,MATCH(C153,'Properties'!$A$6:$A$205,0))))))</x:f>
      </x:c>
      <x:c r="J153" s="315" t="str">
        <x:f>IF(A153="","",IF(COUNTIFS($A$6:$A$205,A153)&gt;1,"Duplicate ID",IF(OR(B153="",COUNTIFS('Clients'!$A$6:$A$205,B153)&lt;&gt;1),"Check Client ID",IF(OR(C153="",COUNTIFS('Properties'!$A$6:$A$205,C153)&lt;&gt;1),"Check Property ID",IF(NOT(ISNUMBER(D153)),"Add appointment date",IF(E153="","Set viewing status",""))))))</x:f>
      </x:c>
    </x:row>
    <x:row r="154" ht="26" customHeight="1">
      <x:c r="A154" s="317"/>
      <x:c r="B154" s="318"/>
      <x:c r="C154" s="235"/>
      <x:c r="D154" s="348"/>
      <x:c r="E154" s="235"/>
      <x:c r="F154" s="235"/>
      <x:c r="G154" s="239"/>
      <x:c r="H154" s="265" t="str">
        <x:f>IF(A154="","",IF(B154="","",IF(COUNTIFS('Clients'!$A$6:$A$205,B154)&lt;&gt;1,"Check Client ID",IF(INDEX('Clients'!$B$6:$B$205,MATCH(B154,'Clients'!$A$6:$A$205,0))="","Name missing",INDEX('Clients'!$B$6:$B$205,MATCH(B154,'Clients'!$A$6:$A$205,0))))))</x:f>
      </x:c>
      <x:c r="I154" s="265" t="str">
        <x:f>IF(A154="","",IF(C154="","",IF(COUNTIFS('Properties'!$A$6:$A$205,C154)&lt;&gt;1,"Check Property ID",IF(INDEX('Properties'!$B$6:$B$205,MATCH(C154,'Properties'!$A$6:$A$205,0))="","Name missing",INDEX('Properties'!$B$6:$B$205,MATCH(C154,'Properties'!$A$6:$A$205,0))))))</x:f>
      </x:c>
      <x:c r="J154" s="315" t="str">
        <x:f>IF(A154="","",IF(COUNTIFS($A$6:$A$205,A154)&gt;1,"Duplicate ID",IF(OR(B154="",COUNTIFS('Clients'!$A$6:$A$205,B154)&lt;&gt;1),"Check Client ID",IF(OR(C154="",COUNTIFS('Properties'!$A$6:$A$205,C154)&lt;&gt;1),"Check Property ID",IF(NOT(ISNUMBER(D154)),"Add appointment date",IF(E154="","Set viewing status",""))))))</x:f>
      </x:c>
    </x:row>
    <x:row r="155" ht="26" customHeight="1">
      <x:c r="A155" s="319"/>
      <x:c r="B155" s="320"/>
      <x:c r="C155" s="274"/>
      <x:c r="D155" s="350"/>
      <x:c r="E155" s="274"/>
      <x:c r="F155" s="274"/>
      <x:c r="G155" s="280"/>
      <x:c r="H155" s="265" t="str">
        <x:f>IF(A155="","",IF(B155="","",IF(COUNTIFS('Clients'!$A$6:$A$205,B155)&lt;&gt;1,"Check Client ID",IF(INDEX('Clients'!$B$6:$B$205,MATCH(B155,'Clients'!$A$6:$A$205,0))="","Name missing",INDEX('Clients'!$B$6:$B$205,MATCH(B155,'Clients'!$A$6:$A$205,0))))))</x:f>
      </x:c>
      <x:c r="I155" s="265" t="str">
        <x:f>IF(A155="","",IF(C155="","",IF(COUNTIFS('Properties'!$A$6:$A$205,C155)&lt;&gt;1,"Check Property ID",IF(INDEX('Properties'!$B$6:$B$205,MATCH(C155,'Properties'!$A$6:$A$205,0))="","Name missing",INDEX('Properties'!$B$6:$B$205,MATCH(C155,'Properties'!$A$6:$A$205,0))))))</x:f>
      </x:c>
      <x:c r="J155" s="315" t="str">
        <x:f>IF(A155="","",IF(COUNTIFS($A$6:$A$205,A155)&gt;1,"Duplicate ID",IF(OR(B155="",COUNTIFS('Clients'!$A$6:$A$205,B155)&lt;&gt;1),"Check Client ID",IF(OR(C155="",COUNTIFS('Properties'!$A$6:$A$205,C155)&lt;&gt;1),"Check Property ID",IF(NOT(ISNUMBER(D155)),"Add appointment date",IF(E155="","Set viewing status",""))))))</x:f>
      </x:c>
    </x:row>
    <x:row r="156" ht="26" customHeight="1">
      <x:c r="A156" s="317"/>
      <x:c r="B156" s="318"/>
      <x:c r="C156" s="235"/>
      <x:c r="D156" s="348"/>
      <x:c r="E156" s="235"/>
      <x:c r="F156" s="235"/>
      <x:c r="G156" s="239"/>
      <x:c r="H156" s="265" t="str">
        <x:f>IF(A156="","",IF(B156="","",IF(COUNTIFS('Clients'!$A$6:$A$205,B156)&lt;&gt;1,"Check Client ID",IF(INDEX('Clients'!$B$6:$B$205,MATCH(B156,'Clients'!$A$6:$A$205,0))="","Name missing",INDEX('Clients'!$B$6:$B$205,MATCH(B156,'Clients'!$A$6:$A$205,0))))))</x:f>
      </x:c>
      <x:c r="I156" s="265" t="str">
        <x:f>IF(A156="","",IF(C156="","",IF(COUNTIFS('Properties'!$A$6:$A$205,C156)&lt;&gt;1,"Check Property ID",IF(INDEX('Properties'!$B$6:$B$205,MATCH(C156,'Properties'!$A$6:$A$205,0))="","Name missing",INDEX('Properties'!$B$6:$B$205,MATCH(C156,'Properties'!$A$6:$A$205,0))))))</x:f>
      </x:c>
      <x:c r="J156" s="315" t="str">
        <x:f>IF(A156="","",IF(COUNTIFS($A$6:$A$205,A156)&gt;1,"Duplicate ID",IF(OR(B156="",COUNTIFS('Clients'!$A$6:$A$205,B156)&lt;&gt;1),"Check Client ID",IF(OR(C156="",COUNTIFS('Properties'!$A$6:$A$205,C156)&lt;&gt;1),"Check Property ID",IF(NOT(ISNUMBER(D156)),"Add appointment date",IF(E156="","Set viewing status",""))))))</x:f>
      </x:c>
    </x:row>
    <x:row r="157" ht="26" customHeight="1">
      <x:c r="A157" s="319"/>
      <x:c r="B157" s="320"/>
      <x:c r="C157" s="274"/>
      <x:c r="D157" s="350"/>
      <x:c r="E157" s="274"/>
      <x:c r="F157" s="274"/>
      <x:c r="G157" s="280"/>
      <x:c r="H157" s="265" t="str">
        <x:f>IF(A157="","",IF(B157="","",IF(COUNTIFS('Clients'!$A$6:$A$205,B157)&lt;&gt;1,"Check Client ID",IF(INDEX('Clients'!$B$6:$B$205,MATCH(B157,'Clients'!$A$6:$A$205,0))="","Name missing",INDEX('Clients'!$B$6:$B$205,MATCH(B157,'Clients'!$A$6:$A$205,0))))))</x:f>
      </x:c>
      <x:c r="I157" s="265" t="str">
        <x:f>IF(A157="","",IF(C157="","",IF(COUNTIFS('Properties'!$A$6:$A$205,C157)&lt;&gt;1,"Check Property ID",IF(INDEX('Properties'!$B$6:$B$205,MATCH(C157,'Properties'!$A$6:$A$205,0))="","Name missing",INDEX('Properties'!$B$6:$B$205,MATCH(C157,'Properties'!$A$6:$A$205,0))))))</x:f>
      </x:c>
      <x:c r="J157" s="315" t="str">
        <x:f>IF(A157="","",IF(COUNTIFS($A$6:$A$205,A157)&gt;1,"Duplicate ID",IF(OR(B157="",COUNTIFS('Clients'!$A$6:$A$205,B157)&lt;&gt;1),"Check Client ID",IF(OR(C157="",COUNTIFS('Properties'!$A$6:$A$205,C157)&lt;&gt;1),"Check Property ID",IF(NOT(ISNUMBER(D157)),"Add appointment date",IF(E157="","Set viewing status",""))))))</x:f>
      </x:c>
    </x:row>
    <x:row r="158" ht="26" customHeight="1">
      <x:c r="A158" s="317"/>
      <x:c r="B158" s="318"/>
      <x:c r="C158" s="235"/>
      <x:c r="D158" s="348"/>
      <x:c r="E158" s="235"/>
      <x:c r="F158" s="235"/>
      <x:c r="G158" s="239"/>
      <x:c r="H158" s="265" t="str">
        <x:f>IF(A158="","",IF(B158="","",IF(COUNTIFS('Clients'!$A$6:$A$205,B158)&lt;&gt;1,"Check Client ID",IF(INDEX('Clients'!$B$6:$B$205,MATCH(B158,'Clients'!$A$6:$A$205,0))="","Name missing",INDEX('Clients'!$B$6:$B$205,MATCH(B158,'Clients'!$A$6:$A$205,0))))))</x:f>
      </x:c>
      <x:c r="I158" s="265" t="str">
        <x:f>IF(A158="","",IF(C158="","",IF(COUNTIFS('Properties'!$A$6:$A$205,C158)&lt;&gt;1,"Check Property ID",IF(INDEX('Properties'!$B$6:$B$205,MATCH(C158,'Properties'!$A$6:$A$205,0))="","Name missing",INDEX('Properties'!$B$6:$B$205,MATCH(C158,'Properties'!$A$6:$A$205,0))))))</x:f>
      </x:c>
      <x:c r="J158" s="315" t="str">
        <x:f>IF(A158="","",IF(COUNTIFS($A$6:$A$205,A158)&gt;1,"Duplicate ID",IF(OR(B158="",COUNTIFS('Clients'!$A$6:$A$205,B158)&lt;&gt;1),"Check Client ID",IF(OR(C158="",COUNTIFS('Properties'!$A$6:$A$205,C158)&lt;&gt;1),"Check Property ID",IF(NOT(ISNUMBER(D158)),"Add appointment date",IF(E158="","Set viewing status",""))))))</x:f>
      </x:c>
    </x:row>
    <x:row r="159" ht="26" customHeight="1">
      <x:c r="A159" s="319"/>
      <x:c r="B159" s="320"/>
      <x:c r="C159" s="274"/>
      <x:c r="D159" s="350"/>
      <x:c r="E159" s="274"/>
      <x:c r="F159" s="274"/>
      <x:c r="G159" s="280"/>
      <x:c r="H159" s="265" t="str">
        <x:f>IF(A159="","",IF(B159="","",IF(COUNTIFS('Clients'!$A$6:$A$205,B159)&lt;&gt;1,"Check Client ID",IF(INDEX('Clients'!$B$6:$B$205,MATCH(B159,'Clients'!$A$6:$A$205,0))="","Name missing",INDEX('Clients'!$B$6:$B$205,MATCH(B159,'Clients'!$A$6:$A$205,0))))))</x:f>
      </x:c>
      <x:c r="I159" s="265" t="str">
        <x:f>IF(A159="","",IF(C159="","",IF(COUNTIFS('Properties'!$A$6:$A$205,C159)&lt;&gt;1,"Check Property ID",IF(INDEX('Properties'!$B$6:$B$205,MATCH(C159,'Properties'!$A$6:$A$205,0))="","Name missing",INDEX('Properties'!$B$6:$B$205,MATCH(C159,'Properties'!$A$6:$A$205,0))))))</x:f>
      </x:c>
      <x:c r="J159" s="315" t="str">
        <x:f>IF(A159="","",IF(COUNTIFS($A$6:$A$205,A159)&gt;1,"Duplicate ID",IF(OR(B159="",COUNTIFS('Clients'!$A$6:$A$205,B159)&lt;&gt;1),"Check Client ID",IF(OR(C159="",COUNTIFS('Properties'!$A$6:$A$205,C159)&lt;&gt;1),"Check Property ID",IF(NOT(ISNUMBER(D159)),"Add appointment date",IF(E159="","Set viewing status",""))))))</x:f>
      </x:c>
    </x:row>
    <x:row r="160" ht="26" customHeight="1">
      <x:c r="A160" s="317"/>
      <x:c r="B160" s="318"/>
      <x:c r="C160" s="235"/>
      <x:c r="D160" s="348"/>
      <x:c r="E160" s="235"/>
      <x:c r="F160" s="235"/>
      <x:c r="G160" s="239"/>
      <x:c r="H160" s="265" t="str">
        <x:f>IF(A160="","",IF(B160="","",IF(COUNTIFS('Clients'!$A$6:$A$205,B160)&lt;&gt;1,"Check Client ID",IF(INDEX('Clients'!$B$6:$B$205,MATCH(B160,'Clients'!$A$6:$A$205,0))="","Name missing",INDEX('Clients'!$B$6:$B$205,MATCH(B160,'Clients'!$A$6:$A$205,0))))))</x:f>
      </x:c>
      <x:c r="I160" s="265" t="str">
        <x:f>IF(A160="","",IF(C160="","",IF(COUNTIFS('Properties'!$A$6:$A$205,C160)&lt;&gt;1,"Check Property ID",IF(INDEX('Properties'!$B$6:$B$205,MATCH(C160,'Properties'!$A$6:$A$205,0))="","Name missing",INDEX('Properties'!$B$6:$B$205,MATCH(C160,'Properties'!$A$6:$A$205,0))))))</x:f>
      </x:c>
      <x:c r="J160" s="315" t="str">
        <x:f>IF(A160="","",IF(COUNTIFS($A$6:$A$205,A160)&gt;1,"Duplicate ID",IF(OR(B160="",COUNTIFS('Clients'!$A$6:$A$205,B160)&lt;&gt;1),"Check Client ID",IF(OR(C160="",COUNTIFS('Properties'!$A$6:$A$205,C160)&lt;&gt;1),"Check Property ID",IF(NOT(ISNUMBER(D160)),"Add appointment date",IF(E160="","Set viewing status",""))))))</x:f>
      </x:c>
    </x:row>
    <x:row r="161" ht="26" customHeight="1">
      <x:c r="A161" s="319"/>
      <x:c r="B161" s="320"/>
      <x:c r="C161" s="274"/>
      <x:c r="D161" s="350"/>
      <x:c r="E161" s="274"/>
      <x:c r="F161" s="274"/>
      <x:c r="G161" s="280"/>
      <x:c r="H161" s="265" t="str">
        <x:f>IF(A161="","",IF(B161="","",IF(COUNTIFS('Clients'!$A$6:$A$205,B161)&lt;&gt;1,"Check Client ID",IF(INDEX('Clients'!$B$6:$B$205,MATCH(B161,'Clients'!$A$6:$A$205,0))="","Name missing",INDEX('Clients'!$B$6:$B$205,MATCH(B161,'Clients'!$A$6:$A$205,0))))))</x:f>
      </x:c>
      <x:c r="I161" s="265" t="str">
        <x:f>IF(A161="","",IF(C161="","",IF(COUNTIFS('Properties'!$A$6:$A$205,C161)&lt;&gt;1,"Check Property ID",IF(INDEX('Properties'!$B$6:$B$205,MATCH(C161,'Properties'!$A$6:$A$205,0))="","Name missing",INDEX('Properties'!$B$6:$B$205,MATCH(C161,'Properties'!$A$6:$A$205,0))))))</x:f>
      </x:c>
      <x:c r="J161" s="315" t="str">
        <x:f>IF(A161="","",IF(COUNTIFS($A$6:$A$205,A161)&gt;1,"Duplicate ID",IF(OR(B161="",COUNTIFS('Clients'!$A$6:$A$205,B161)&lt;&gt;1),"Check Client ID",IF(OR(C161="",COUNTIFS('Properties'!$A$6:$A$205,C161)&lt;&gt;1),"Check Property ID",IF(NOT(ISNUMBER(D161)),"Add appointment date",IF(E161="","Set viewing status",""))))))</x:f>
      </x:c>
    </x:row>
    <x:row r="162" ht="26" customHeight="1">
      <x:c r="A162" s="317"/>
      <x:c r="B162" s="318"/>
      <x:c r="C162" s="235"/>
      <x:c r="D162" s="348"/>
      <x:c r="E162" s="235"/>
      <x:c r="F162" s="235"/>
      <x:c r="G162" s="239"/>
      <x:c r="H162" s="265" t="str">
        <x:f>IF(A162="","",IF(B162="","",IF(COUNTIFS('Clients'!$A$6:$A$205,B162)&lt;&gt;1,"Check Client ID",IF(INDEX('Clients'!$B$6:$B$205,MATCH(B162,'Clients'!$A$6:$A$205,0))="","Name missing",INDEX('Clients'!$B$6:$B$205,MATCH(B162,'Clients'!$A$6:$A$205,0))))))</x:f>
      </x:c>
      <x:c r="I162" s="265" t="str">
        <x:f>IF(A162="","",IF(C162="","",IF(COUNTIFS('Properties'!$A$6:$A$205,C162)&lt;&gt;1,"Check Property ID",IF(INDEX('Properties'!$B$6:$B$205,MATCH(C162,'Properties'!$A$6:$A$205,0))="","Name missing",INDEX('Properties'!$B$6:$B$205,MATCH(C162,'Properties'!$A$6:$A$205,0))))))</x:f>
      </x:c>
      <x:c r="J162" s="315" t="str">
        <x:f>IF(A162="","",IF(COUNTIFS($A$6:$A$205,A162)&gt;1,"Duplicate ID",IF(OR(B162="",COUNTIFS('Clients'!$A$6:$A$205,B162)&lt;&gt;1),"Check Client ID",IF(OR(C162="",COUNTIFS('Properties'!$A$6:$A$205,C162)&lt;&gt;1),"Check Property ID",IF(NOT(ISNUMBER(D162)),"Add appointment date",IF(E162="","Set viewing status",""))))))</x:f>
      </x:c>
    </x:row>
    <x:row r="163" ht="26" customHeight="1">
      <x:c r="A163" s="319"/>
      <x:c r="B163" s="320"/>
      <x:c r="C163" s="274"/>
      <x:c r="D163" s="350"/>
      <x:c r="E163" s="274"/>
      <x:c r="F163" s="274"/>
      <x:c r="G163" s="280"/>
      <x:c r="H163" s="265" t="str">
        <x:f>IF(A163="","",IF(B163="","",IF(COUNTIFS('Clients'!$A$6:$A$205,B163)&lt;&gt;1,"Check Client ID",IF(INDEX('Clients'!$B$6:$B$205,MATCH(B163,'Clients'!$A$6:$A$205,0))="","Name missing",INDEX('Clients'!$B$6:$B$205,MATCH(B163,'Clients'!$A$6:$A$205,0))))))</x:f>
      </x:c>
      <x:c r="I163" s="265" t="str">
        <x:f>IF(A163="","",IF(C163="","",IF(COUNTIFS('Properties'!$A$6:$A$205,C163)&lt;&gt;1,"Check Property ID",IF(INDEX('Properties'!$B$6:$B$205,MATCH(C163,'Properties'!$A$6:$A$205,0))="","Name missing",INDEX('Properties'!$B$6:$B$205,MATCH(C163,'Properties'!$A$6:$A$205,0))))))</x:f>
      </x:c>
      <x:c r="J163" s="315" t="str">
        <x:f>IF(A163="","",IF(COUNTIFS($A$6:$A$205,A163)&gt;1,"Duplicate ID",IF(OR(B163="",COUNTIFS('Clients'!$A$6:$A$205,B163)&lt;&gt;1),"Check Client ID",IF(OR(C163="",COUNTIFS('Properties'!$A$6:$A$205,C163)&lt;&gt;1),"Check Property ID",IF(NOT(ISNUMBER(D163)),"Add appointment date",IF(E163="","Set viewing status",""))))))</x:f>
      </x:c>
    </x:row>
    <x:row r="164" ht="26" customHeight="1">
      <x:c r="A164" s="317"/>
      <x:c r="B164" s="318"/>
      <x:c r="C164" s="235"/>
      <x:c r="D164" s="348"/>
      <x:c r="E164" s="235"/>
      <x:c r="F164" s="235"/>
      <x:c r="G164" s="239"/>
      <x:c r="H164" s="265" t="str">
        <x:f>IF(A164="","",IF(B164="","",IF(COUNTIFS('Clients'!$A$6:$A$205,B164)&lt;&gt;1,"Check Client ID",IF(INDEX('Clients'!$B$6:$B$205,MATCH(B164,'Clients'!$A$6:$A$205,0))="","Name missing",INDEX('Clients'!$B$6:$B$205,MATCH(B164,'Clients'!$A$6:$A$205,0))))))</x:f>
      </x:c>
      <x:c r="I164" s="265" t="str">
        <x:f>IF(A164="","",IF(C164="","",IF(COUNTIFS('Properties'!$A$6:$A$205,C164)&lt;&gt;1,"Check Property ID",IF(INDEX('Properties'!$B$6:$B$205,MATCH(C164,'Properties'!$A$6:$A$205,0))="","Name missing",INDEX('Properties'!$B$6:$B$205,MATCH(C164,'Properties'!$A$6:$A$205,0))))))</x:f>
      </x:c>
      <x:c r="J164" s="315" t="str">
        <x:f>IF(A164="","",IF(COUNTIFS($A$6:$A$205,A164)&gt;1,"Duplicate ID",IF(OR(B164="",COUNTIFS('Clients'!$A$6:$A$205,B164)&lt;&gt;1),"Check Client ID",IF(OR(C164="",COUNTIFS('Properties'!$A$6:$A$205,C164)&lt;&gt;1),"Check Property ID",IF(NOT(ISNUMBER(D164)),"Add appointment date",IF(E164="","Set viewing status",""))))))</x:f>
      </x:c>
    </x:row>
    <x:row r="165" ht="26" customHeight="1">
      <x:c r="A165" s="319"/>
      <x:c r="B165" s="320"/>
      <x:c r="C165" s="274"/>
      <x:c r="D165" s="350"/>
      <x:c r="E165" s="274"/>
      <x:c r="F165" s="274"/>
      <x:c r="G165" s="280"/>
      <x:c r="H165" s="265" t="str">
        <x:f>IF(A165="","",IF(B165="","",IF(COUNTIFS('Clients'!$A$6:$A$205,B165)&lt;&gt;1,"Check Client ID",IF(INDEX('Clients'!$B$6:$B$205,MATCH(B165,'Clients'!$A$6:$A$205,0))="","Name missing",INDEX('Clients'!$B$6:$B$205,MATCH(B165,'Clients'!$A$6:$A$205,0))))))</x:f>
      </x:c>
      <x:c r="I165" s="265" t="str">
        <x:f>IF(A165="","",IF(C165="","",IF(COUNTIFS('Properties'!$A$6:$A$205,C165)&lt;&gt;1,"Check Property ID",IF(INDEX('Properties'!$B$6:$B$205,MATCH(C165,'Properties'!$A$6:$A$205,0))="","Name missing",INDEX('Properties'!$B$6:$B$205,MATCH(C165,'Properties'!$A$6:$A$205,0))))))</x:f>
      </x:c>
      <x:c r="J165" s="315" t="str">
        <x:f>IF(A165="","",IF(COUNTIFS($A$6:$A$205,A165)&gt;1,"Duplicate ID",IF(OR(B165="",COUNTIFS('Clients'!$A$6:$A$205,B165)&lt;&gt;1),"Check Client ID",IF(OR(C165="",COUNTIFS('Properties'!$A$6:$A$205,C165)&lt;&gt;1),"Check Property ID",IF(NOT(ISNUMBER(D165)),"Add appointment date",IF(E165="","Set viewing status",""))))))</x:f>
      </x:c>
    </x:row>
    <x:row r="166" ht="26" customHeight="1">
      <x:c r="A166" s="317"/>
      <x:c r="B166" s="318"/>
      <x:c r="C166" s="235"/>
      <x:c r="D166" s="348"/>
      <x:c r="E166" s="235"/>
      <x:c r="F166" s="235"/>
      <x:c r="G166" s="239"/>
      <x:c r="H166" s="265" t="str">
        <x:f>IF(A166="","",IF(B166="","",IF(COUNTIFS('Clients'!$A$6:$A$205,B166)&lt;&gt;1,"Check Client ID",IF(INDEX('Clients'!$B$6:$B$205,MATCH(B166,'Clients'!$A$6:$A$205,0))="","Name missing",INDEX('Clients'!$B$6:$B$205,MATCH(B166,'Clients'!$A$6:$A$205,0))))))</x:f>
      </x:c>
      <x:c r="I166" s="265" t="str">
        <x:f>IF(A166="","",IF(C166="","",IF(COUNTIFS('Properties'!$A$6:$A$205,C166)&lt;&gt;1,"Check Property ID",IF(INDEX('Properties'!$B$6:$B$205,MATCH(C166,'Properties'!$A$6:$A$205,0))="","Name missing",INDEX('Properties'!$B$6:$B$205,MATCH(C166,'Properties'!$A$6:$A$205,0))))))</x:f>
      </x:c>
      <x:c r="J166" s="315" t="str">
        <x:f>IF(A166="","",IF(COUNTIFS($A$6:$A$205,A166)&gt;1,"Duplicate ID",IF(OR(B166="",COUNTIFS('Clients'!$A$6:$A$205,B166)&lt;&gt;1),"Check Client ID",IF(OR(C166="",COUNTIFS('Properties'!$A$6:$A$205,C166)&lt;&gt;1),"Check Property ID",IF(NOT(ISNUMBER(D166)),"Add appointment date",IF(E166="","Set viewing status",""))))))</x:f>
      </x:c>
    </x:row>
    <x:row r="167" ht="26" customHeight="1">
      <x:c r="A167" s="319"/>
      <x:c r="B167" s="320"/>
      <x:c r="C167" s="274"/>
      <x:c r="D167" s="350"/>
      <x:c r="E167" s="274"/>
      <x:c r="F167" s="274"/>
      <x:c r="G167" s="280"/>
      <x:c r="H167" s="265" t="str">
        <x:f>IF(A167="","",IF(B167="","",IF(COUNTIFS('Clients'!$A$6:$A$205,B167)&lt;&gt;1,"Check Client ID",IF(INDEX('Clients'!$B$6:$B$205,MATCH(B167,'Clients'!$A$6:$A$205,0))="","Name missing",INDEX('Clients'!$B$6:$B$205,MATCH(B167,'Clients'!$A$6:$A$205,0))))))</x:f>
      </x:c>
      <x:c r="I167" s="265" t="str">
        <x:f>IF(A167="","",IF(C167="","",IF(COUNTIFS('Properties'!$A$6:$A$205,C167)&lt;&gt;1,"Check Property ID",IF(INDEX('Properties'!$B$6:$B$205,MATCH(C167,'Properties'!$A$6:$A$205,0))="","Name missing",INDEX('Properties'!$B$6:$B$205,MATCH(C167,'Properties'!$A$6:$A$205,0))))))</x:f>
      </x:c>
      <x:c r="J167" s="315" t="str">
        <x:f>IF(A167="","",IF(COUNTIFS($A$6:$A$205,A167)&gt;1,"Duplicate ID",IF(OR(B167="",COUNTIFS('Clients'!$A$6:$A$205,B167)&lt;&gt;1),"Check Client ID",IF(OR(C167="",COUNTIFS('Properties'!$A$6:$A$205,C167)&lt;&gt;1),"Check Property ID",IF(NOT(ISNUMBER(D167)),"Add appointment date",IF(E167="","Set viewing status",""))))))</x:f>
      </x:c>
    </x:row>
    <x:row r="168" ht="26" customHeight="1">
      <x:c r="A168" s="317"/>
      <x:c r="B168" s="318"/>
      <x:c r="C168" s="235"/>
      <x:c r="D168" s="348"/>
      <x:c r="E168" s="235"/>
      <x:c r="F168" s="235"/>
      <x:c r="G168" s="239"/>
      <x:c r="H168" s="265" t="str">
        <x:f>IF(A168="","",IF(B168="","",IF(COUNTIFS('Clients'!$A$6:$A$205,B168)&lt;&gt;1,"Check Client ID",IF(INDEX('Clients'!$B$6:$B$205,MATCH(B168,'Clients'!$A$6:$A$205,0))="","Name missing",INDEX('Clients'!$B$6:$B$205,MATCH(B168,'Clients'!$A$6:$A$205,0))))))</x:f>
      </x:c>
      <x:c r="I168" s="265" t="str">
        <x:f>IF(A168="","",IF(C168="","",IF(COUNTIFS('Properties'!$A$6:$A$205,C168)&lt;&gt;1,"Check Property ID",IF(INDEX('Properties'!$B$6:$B$205,MATCH(C168,'Properties'!$A$6:$A$205,0))="","Name missing",INDEX('Properties'!$B$6:$B$205,MATCH(C168,'Properties'!$A$6:$A$205,0))))))</x:f>
      </x:c>
      <x:c r="J168" s="315" t="str">
        <x:f>IF(A168="","",IF(COUNTIFS($A$6:$A$205,A168)&gt;1,"Duplicate ID",IF(OR(B168="",COUNTIFS('Clients'!$A$6:$A$205,B168)&lt;&gt;1),"Check Client ID",IF(OR(C168="",COUNTIFS('Properties'!$A$6:$A$205,C168)&lt;&gt;1),"Check Property ID",IF(NOT(ISNUMBER(D168)),"Add appointment date",IF(E168="","Set viewing status",""))))))</x:f>
      </x:c>
    </x:row>
    <x:row r="169" ht="26" customHeight="1">
      <x:c r="A169" s="319"/>
      <x:c r="B169" s="320"/>
      <x:c r="C169" s="274"/>
      <x:c r="D169" s="350"/>
      <x:c r="E169" s="274"/>
      <x:c r="F169" s="274"/>
      <x:c r="G169" s="280"/>
      <x:c r="H169" s="265" t="str">
        <x:f>IF(A169="","",IF(B169="","",IF(COUNTIFS('Clients'!$A$6:$A$205,B169)&lt;&gt;1,"Check Client ID",IF(INDEX('Clients'!$B$6:$B$205,MATCH(B169,'Clients'!$A$6:$A$205,0))="","Name missing",INDEX('Clients'!$B$6:$B$205,MATCH(B169,'Clients'!$A$6:$A$205,0))))))</x:f>
      </x:c>
      <x:c r="I169" s="265" t="str">
        <x:f>IF(A169="","",IF(C169="","",IF(COUNTIFS('Properties'!$A$6:$A$205,C169)&lt;&gt;1,"Check Property ID",IF(INDEX('Properties'!$B$6:$B$205,MATCH(C169,'Properties'!$A$6:$A$205,0))="","Name missing",INDEX('Properties'!$B$6:$B$205,MATCH(C169,'Properties'!$A$6:$A$205,0))))))</x:f>
      </x:c>
      <x:c r="J169" s="315" t="str">
        <x:f>IF(A169="","",IF(COUNTIFS($A$6:$A$205,A169)&gt;1,"Duplicate ID",IF(OR(B169="",COUNTIFS('Clients'!$A$6:$A$205,B169)&lt;&gt;1),"Check Client ID",IF(OR(C169="",COUNTIFS('Properties'!$A$6:$A$205,C169)&lt;&gt;1),"Check Property ID",IF(NOT(ISNUMBER(D169)),"Add appointment date",IF(E169="","Set viewing status",""))))))</x:f>
      </x:c>
    </x:row>
    <x:row r="170" ht="26" customHeight="1">
      <x:c r="A170" s="317"/>
      <x:c r="B170" s="318"/>
      <x:c r="C170" s="235"/>
      <x:c r="D170" s="348"/>
      <x:c r="E170" s="235"/>
      <x:c r="F170" s="235"/>
      <x:c r="G170" s="239"/>
      <x:c r="H170" s="265" t="str">
        <x:f>IF(A170="","",IF(B170="","",IF(COUNTIFS('Clients'!$A$6:$A$205,B170)&lt;&gt;1,"Check Client ID",IF(INDEX('Clients'!$B$6:$B$205,MATCH(B170,'Clients'!$A$6:$A$205,0))="","Name missing",INDEX('Clients'!$B$6:$B$205,MATCH(B170,'Clients'!$A$6:$A$205,0))))))</x:f>
      </x:c>
      <x:c r="I170" s="265" t="str">
        <x:f>IF(A170="","",IF(C170="","",IF(COUNTIFS('Properties'!$A$6:$A$205,C170)&lt;&gt;1,"Check Property ID",IF(INDEX('Properties'!$B$6:$B$205,MATCH(C170,'Properties'!$A$6:$A$205,0))="","Name missing",INDEX('Properties'!$B$6:$B$205,MATCH(C170,'Properties'!$A$6:$A$205,0))))))</x:f>
      </x:c>
      <x:c r="J170" s="315" t="str">
        <x:f>IF(A170="","",IF(COUNTIFS($A$6:$A$205,A170)&gt;1,"Duplicate ID",IF(OR(B170="",COUNTIFS('Clients'!$A$6:$A$205,B170)&lt;&gt;1),"Check Client ID",IF(OR(C170="",COUNTIFS('Properties'!$A$6:$A$205,C170)&lt;&gt;1),"Check Property ID",IF(NOT(ISNUMBER(D170)),"Add appointment date",IF(E170="","Set viewing status",""))))))</x:f>
      </x:c>
    </x:row>
    <x:row r="171" ht="26" customHeight="1">
      <x:c r="A171" s="319"/>
      <x:c r="B171" s="320"/>
      <x:c r="C171" s="274"/>
      <x:c r="D171" s="350"/>
      <x:c r="E171" s="274"/>
      <x:c r="F171" s="274"/>
      <x:c r="G171" s="280"/>
      <x:c r="H171" s="265" t="str">
        <x:f>IF(A171="","",IF(B171="","",IF(COUNTIFS('Clients'!$A$6:$A$205,B171)&lt;&gt;1,"Check Client ID",IF(INDEX('Clients'!$B$6:$B$205,MATCH(B171,'Clients'!$A$6:$A$205,0))="","Name missing",INDEX('Clients'!$B$6:$B$205,MATCH(B171,'Clients'!$A$6:$A$205,0))))))</x:f>
      </x:c>
      <x:c r="I171" s="265" t="str">
        <x:f>IF(A171="","",IF(C171="","",IF(COUNTIFS('Properties'!$A$6:$A$205,C171)&lt;&gt;1,"Check Property ID",IF(INDEX('Properties'!$B$6:$B$205,MATCH(C171,'Properties'!$A$6:$A$205,0))="","Name missing",INDEX('Properties'!$B$6:$B$205,MATCH(C171,'Properties'!$A$6:$A$205,0))))))</x:f>
      </x:c>
      <x:c r="J171" s="315" t="str">
        <x:f>IF(A171="","",IF(COUNTIFS($A$6:$A$205,A171)&gt;1,"Duplicate ID",IF(OR(B171="",COUNTIFS('Clients'!$A$6:$A$205,B171)&lt;&gt;1),"Check Client ID",IF(OR(C171="",COUNTIFS('Properties'!$A$6:$A$205,C171)&lt;&gt;1),"Check Property ID",IF(NOT(ISNUMBER(D171)),"Add appointment date",IF(E171="","Set viewing status",""))))))</x:f>
      </x:c>
    </x:row>
    <x:row r="172" ht="26" customHeight="1">
      <x:c r="A172" s="317"/>
      <x:c r="B172" s="318"/>
      <x:c r="C172" s="235"/>
      <x:c r="D172" s="348"/>
      <x:c r="E172" s="235"/>
      <x:c r="F172" s="235"/>
      <x:c r="G172" s="239"/>
      <x:c r="H172" s="265" t="str">
        <x:f>IF(A172="","",IF(B172="","",IF(COUNTIFS('Clients'!$A$6:$A$205,B172)&lt;&gt;1,"Check Client ID",IF(INDEX('Clients'!$B$6:$B$205,MATCH(B172,'Clients'!$A$6:$A$205,0))="","Name missing",INDEX('Clients'!$B$6:$B$205,MATCH(B172,'Clients'!$A$6:$A$205,0))))))</x:f>
      </x:c>
      <x:c r="I172" s="265" t="str">
        <x:f>IF(A172="","",IF(C172="","",IF(COUNTIFS('Properties'!$A$6:$A$205,C172)&lt;&gt;1,"Check Property ID",IF(INDEX('Properties'!$B$6:$B$205,MATCH(C172,'Properties'!$A$6:$A$205,0))="","Name missing",INDEX('Properties'!$B$6:$B$205,MATCH(C172,'Properties'!$A$6:$A$205,0))))))</x:f>
      </x:c>
      <x:c r="J172" s="315" t="str">
        <x:f>IF(A172="","",IF(COUNTIFS($A$6:$A$205,A172)&gt;1,"Duplicate ID",IF(OR(B172="",COUNTIFS('Clients'!$A$6:$A$205,B172)&lt;&gt;1),"Check Client ID",IF(OR(C172="",COUNTIFS('Properties'!$A$6:$A$205,C172)&lt;&gt;1),"Check Property ID",IF(NOT(ISNUMBER(D172)),"Add appointment date",IF(E172="","Set viewing status",""))))))</x:f>
      </x:c>
    </x:row>
    <x:row r="173" ht="26" customHeight="1">
      <x:c r="A173" s="319"/>
      <x:c r="B173" s="320"/>
      <x:c r="C173" s="274"/>
      <x:c r="D173" s="350"/>
      <x:c r="E173" s="274"/>
      <x:c r="F173" s="274"/>
      <x:c r="G173" s="280"/>
      <x:c r="H173" s="265" t="str">
        <x:f>IF(A173="","",IF(B173="","",IF(COUNTIFS('Clients'!$A$6:$A$205,B173)&lt;&gt;1,"Check Client ID",IF(INDEX('Clients'!$B$6:$B$205,MATCH(B173,'Clients'!$A$6:$A$205,0))="","Name missing",INDEX('Clients'!$B$6:$B$205,MATCH(B173,'Clients'!$A$6:$A$205,0))))))</x:f>
      </x:c>
      <x:c r="I173" s="265" t="str">
        <x:f>IF(A173="","",IF(C173="","",IF(COUNTIFS('Properties'!$A$6:$A$205,C173)&lt;&gt;1,"Check Property ID",IF(INDEX('Properties'!$B$6:$B$205,MATCH(C173,'Properties'!$A$6:$A$205,0))="","Name missing",INDEX('Properties'!$B$6:$B$205,MATCH(C173,'Properties'!$A$6:$A$205,0))))))</x:f>
      </x:c>
      <x:c r="J173" s="315" t="str">
        <x:f>IF(A173="","",IF(COUNTIFS($A$6:$A$205,A173)&gt;1,"Duplicate ID",IF(OR(B173="",COUNTIFS('Clients'!$A$6:$A$205,B173)&lt;&gt;1),"Check Client ID",IF(OR(C173="",COUNTIFS('Properties'!$A$6:$A$205,C173)&lt;&gt;1),"Check Property ID",IF(NOT(ISNUMBER(D173)),"Add appointment date",IF(E173="","Set viewing status",""))))))</x:f>
      </x:c>
    </x:row>
    <x:row r="174" ht="26" customHeight="1">
      <x:c r="A174" s="317"/>
      <x:c r="B174" s="318"/>
      <x:c r="C174" s="235"/>
      <x:c r="D174" s="348"/>
      <x:c r="E174" s="235"/>
      <x:c r="F174" s="235"/>
      <x:c r="G174" s="239"/>
      <x:c r="H174" s="265" t="str">
        <x:f>IF(A174="","",IF(B174="","",IF(COUNTIFS('Clients'!$A$6:$A$205,B174)&lt;&gt;1,"Check Client ID",IF(INDEX('Clients'!$B$6:$B$205,MATCH(B174,'Clients'!$A$6:$A$205,0))="","Name missing",INDEX('Clients'!$B$6:$B$205,MATCH(B174,'Clients'!$A$6:$A$205,0))))))</x:f>
      </x:c>
      <x:c r="I174" s="265" t="str">
        <x:f>IF(A174="","",IF(C174="","",IF(COUNTIFS('Properties'!$A$6:$A$205,C174)&lt;&gt;1,"Check Property ID",IF(INDEX('Properties'!$B$6:$B$205,MATCH(C174,'Properties'!$A$6:$A$205,0))="","Name missing",INDEX('Properties'!$B$6:$B$205,MATCH(C174,'Properties'!$A$6:$A$205,0))))))</x:f>
      </x:c>
      <x:c r="J174" s="315" t="str">
        <x:f>IF(A174="","",IF(COUNTIFS($A$6:$A$205,A174)&gt;1,"Duplicate ID",IF(OR(B174="",COUNTIFS('Clients'!$A$6:$A$205,B174)&lt;&gt;1),"Check Client ID",IF(OR(C174="",COUNTIFS('Properties'!$A$6:$A$205,C174)&lt;&gt;1),"Check Property ID",IF(NOT(ISNUMBER(D174)),"Add appointment date",IF(E174="","Set viewing status",""))))))</x:f>
      </x:c>
    </x:row>
    <x:row r="175" ht="26" customHeight="1">
      <x:c r="A175" s="319"/>
      <x:c r="B175" s="320"/>
      <x:c r="C175" s="274"/>
      <x:c r="D175" s="350"/>
      <x:c r="E175" s="274"/>
      <x:c r="F175" s="274"/>
      <x:c r="G175" s="280"/>
      <x:c r="H175" s="265" t="str">
        <x:f>IF(A175="","",IF(B175="","",IF(COUNTIFS('Clients'!$A$6:$A$205,B175)&lt;&gt;1,"Check Client ID",IF(INDEX('Clients'!$B$6:$B$205,MATCH(B175,'Clients'!$A$6:$A$205,0))="","Name missing",INDEX('Clients'!$B$6:$B$205,MATCH(B175,'Clients'!$A$6:$A$205,0))))))</x:f>
      </x:c>
      <x:c r="I175" s="265" t="str">
        <x:f>IF(A175="","",IF(C175="","",IF(COUNTIFS('Properties'!$A$6:$A$205,C175)&lt;&gt;1,"Check Property ID",IF(INDEX('Properties'!$B$6:$B$205,MATCH(C175,'Properties'!$A$6:$A$205,0))="","Name missing",INDEX('Properties'!$B$6:$B$205,MATCH(C175,'Properties'!$A$6:$A$205,0))))))</x:f>
      </x:c>
      <x:c r="J175" s="315" t="str">
        <x:f>IF(A175="","",IF(COUNTIFS($A$6:$A$205,A175)&gt;1,"Duplicate ID",IF(OR(B175="",COUNTIFS('Clients'!$A$6:$A$205,B175)&lt;&gt;1),"Check Client ID",IF(OR(C175="",COUNTIFS('Properties'!$A$6:$A$205,C175)&lt;&gt;1),"Check Property ID",IF(NOT(ISNUMBER(D175)),"Add appointment date",IF(E175="","Set viewing status",""))))))</x:f>
      </x:c>
    </x:row>
    <x:row r="176" ht="26" customHeight="1">
      <x:c r="A176" s="317"/>
      <x:c r="B176" s="318"/>
      <x:c r="C176" s="235"/>
      <x:c r="D176" s="348"/>
      <x:c r="E176" s="235"/>
      <x:c r="F176" s="235"/>
      <x:c r="G176" s="239"/>
      <x:c r="H176" s="265" t="str">
        <x:f>IF(A176="","",IF(B176="","",IF(COUNTIFS('Clients'!$A$6:$A$205,B176)&lt;&gt;1,"Check Client ID",IF(INDEX('Clients'!$B$6:$B$205,MATCH(B176,'Clients'!$A$6:$A$205,0))="","Name missing",INDEX('Clients'!$B$6:$B$205,MATCH(B176,'Clients'!$A$6:$A$205,0))))))</x:f>
      </x:c>
      <x:c r="I176" s="265" t="str">
        <x:f>IF(A176="","",IF(C176="","",IF(COUNTIFS('Properties'!$A$6:$A$205,C176)&lt;&gt;1,"Check Property ID",IF(INDEX('Properties'!$B$6:$B$205,MATCH(C176,'Properties'!$A$6:$A$205,0))="","Name missing",INDEX('Properties'!$B$6:$B$205,MATCH(C176,'Properties'!$A$6:$A$205,0))))))</x:f>
      </x:c>
      <x:c r="J176" s="315" t="str">
        <x:f>IF(A176="","",IF(COUNTIFS($A$6:$A$205,A176)&gt;1,"Duplicate ID",IF(OR(B176="",COUNTIFS('Clients'!$A$6:$A$205,B176)&lt;&gt;1),"Check Client ID",IF(OR(C176="",COUNTIFS('Properties'!$A$6:$A$205,C176)&lt;&gt;1),"Check Property ID",IF(NOT(ISNUMBER(D176)),"Add appointment date",IF(E176="","Set viewing status",""))))))</x:f>
      </x:c>
    </x:row>
    <x:row r="177" ht="26" customHeight="1">
      <x:c r="A177" s="319"/>
      <x:c r="B177" s="320"/>
      <x:c r="C177" s="274"/>
      <x:c r="D177" s="350"/>
      <x:c r="E177" s="274"/>
      <x:c r="F177" s="274"/>
      <x:c r="G177" s="280"/>
      <x:c r="H177" s="265" t="str">
        <x:f>IF(A177="","",IF(B177="","",IF(COUNTIFS('Clients'!$A$6:$A$205,B177)&lt;&gt;1,"Check Client ID",IF(INDEX('Clients'!$B$6:$B$205,MATCH(B177,'Clients'!$A$6:$A$205,0))="","Name missing",INDEX('Clients'!$B$6:$B$205,MATCH(B177,'Clients'!$A$6:$A$205,0))))))</x:f>
      </x:c>
      <x:c r="I177" s="265" t="str">
        <x:f>IF(A177="","",IF(C177="","",IF(COUNTIFS('Properties'!$A$6:$A$205,C177)&lt;&gt;1,"Check Property ID",IF(INDEX('Properties'!$B$6:$B$205,MATCH(C177,'Properties'!$A$6:$A$205,0))="","Name missing",INDEX('Properties'!$B$6:$B$205,MATCH(C177,'Properties'!$A$6:$A$205,0))))))</x:f>
      </x:c>
      <x:c r="J177" s="315" t="str">
        <x:f>IF(A177="","",IF(COUNTIFS($A$6:$A$205,A177)&gt;1,"Duplicate ID",IF(OR(B177="",COUNTIFS('Clients'!$A$6:$A$205,B177)&lt;&gt;1),"Check Client ID",IF(OR(C177="",COUNTIFS('Properties'!$A$6:$A$205,C177)&lt;&gt;1),"Check Property ID",IF(NOT(ISNUMBER(D177)),"Add appointment date",IF(E177="","Set viewing status",""))))))</x:f>
      </x:c>
    </x:row>
    <x:row r="178" ht="26" customHeight="1">
      <x:c r="A178" s="317"/>
      <x:c r="B178" s="318"/>
      <x:c r="C178" s="235"/>
      <x:c r="D178" s="348"/>
      <x:c r="E178" s="235"/>
      <x:c r="F178" s="235"/>
      <x:c r="G178" s="239"/>
      <x:c r="H178" s="265" t="str">
        <x:f>IF(A178="","",IF(B178="","",IF(COUNTIFS('Clients'!$A$6:$A$205,B178)&lt;&gt;1,"Check Client ID",IF(INDEX('Clients'!$B$6:$B$205,MATCH(B178,'Clients'!$A$6:$A$205,0))="","Name missing",INDEX('Clients'!$B$6:$B$205,MATCH(B178,'Clients'!$A$6:$A$205,0))))))</x:f>
      </x:c>
      <x:c r="I178" s="265" t="str">
        <x:f>IF(A178="","",IF(C178="","",IF(COUNTIFS('Properties'!$A$6:$A$205,C178)&lt;&gt;1,"Check Property ID",IF(INDEX('Properties'!$B$6:$B$205,MATCH(C178,'Properties'!$A$6:$A$205,0))="","Name missing",INDEX('Properties'!$B$6:$B$205,MATCH(C178,'Properties'!$A$6:$A$205,0))))))</x:f>
      </x:c>
      <x:c r="J178" s="315" t="str">
        <x:f>IF(A178="","",IF(COUNTIFS($A$6:$A$205,A178)&gt;1,"Duplicate ID",IF(OR(B178="",COUNTIFS('Clients'!$A$6:$A$205,B178)&lt;&gt;1),"Check Client ID",IF(OR(C178="",COUNTIFS('Properties'!$A$6:$A$205,C178)&lt;&gt;1),"Check Property ID",IF(NOT(ISNUMBER(D178)),"Add appointment date",IF(E178="","Set viewing status",""))))))</x:f>
      </x:c>
    </x:row>
    <x:row r="179" ht="26" customHeight="1">
      <x:c r="A179" s="319"/>
      <x:c r="B179" s="320"/>
      <x:c r="C179" s="274"/>
      <x:c r="D179" s="350"/>
      <x:c r="E179" s="274"/>
      <x:c r="F179" s="274"/>
      <x:c r="G179" s="280"/>
      <x:c r="H179" s="265" t="str">
        <x:f>IF(A179="","",IF(B179="","",IF(COUNTIFS('Clients'!$A$6:$A$205,B179)&lt;&gt;1,"Check Client ID",IF(INDEX('Clients'!$B$6:$B$205,MATCH(B179,'Clients'!$A$6:$A$205,0))="","Name missing",INDEX('Clients'!$B$6:$B$205,MATCH(B179,'Clients'!$A$6:$A$205,0))))))</x:f>
      </x:c>
      <x:c r="I179" s="265" t="str">
        <x:f>IF(A179="","",IF(C179="","",IF(COUNTIFS('Properties'!$A$6:$A$205,C179)&lt;&gt;1,"Check Property ID",IF(INDEX('Properties'!$B$6:$B$205,MATCH(C179,'Properties'!$A$6:$A$205,0))="","Name missing",INDEX('Properties'!$B$6:$B$205,MATCH(C179,'Properties'!$A$6:$A$205,0))))))</x:f>
      </x:c>
      <x:c r="J179" s="315" t="str">
        <x:f>IF(A179="","",IF(COUNTIFS($A$6:$A$205,A179)&gt;1,"Duplicate ID",IF(OR(B179="",COUNTIFS('Clients'!$A$6:$A$205,B179)&lt;&gt;1),"Check Client ID",IF(OR(C179="",COUNTIFS('Properties'!$A$6:$A$205,C179)&lt;&gt;1),"Check Property ID",IF(NOT(ISNUMBER(D179)),"Add appointment date",IF(E179="","Set viewing status",""))))))</x:f>
      </x:c>
    </x:row>
    <x:row r="180" ht="26" customHeight="1">
      <x:c r="A180" s="317"/>
      <x:c r="B180" s="318"/>
      <x:c r="C180" s="235"/>
      <x:c r="D180" s="348"/>
      <x:c r="E180" s="235"/>
      <x:c r="F180" s="235"/>
      <x:c r="G180" s="239"/>
      <x:c r="H180" s="265" t="str">
        <x:f>IF(A180="","",IF(B180="","",IF(COUNTIFS('Clients'!$A$6:$A$205,B180)&lt;&gt;1,"Check Client ID",IF(INDEX('Clients'!$B$6:$B$205,MATCH(B180,'Clients'!$A$6:$A$205,0))="","Name missing",INDEX('Clients'!$B$6:$B$205,MATCH(B180,'Clients'!$A$6:$A$205,0))))))</x:f>
      </x:c>
      <x:c r="I180" s="265" t="str">
        <x:f>IF(A180="","",IF(C180="","",IF(COUNTIFS('Properties'!$A$6:$A$205,C180)&lt;&gt;1,"Check Property ID",IF(INDEX('Properties'!$B$6:$B$205,MATCH(C180,'Properties'!$A$6:$A$205,0))="","Name missing",INDEX('Properties'!$B$6:$B$205,MATCH(C180,'Properties'!$A$6:$A$205,0))))))</x:f>
      </x:c>
      <x:c r="J180" s="315" t="str">
        <x:f>IF(A180="","",IF(COUNTIFS($A$6:$A$205,A180)&gt;1,"Duplicate ID",IF(OR(B180="",COUNTIFS('Clients'!$A$6:$A$205,B180)&lt;&gt;1),"Check Client ID",IF(OR(C180="",COUNTIFS('Properties'!$A$6:$A$205,C180)&lt;&gt;1),"Check Property ID",IF(NOT(ISNUMBER(D180)),"Add appointment date",IF(E180="","Set viewing status",""))))))</x:f>
      </x:c>
    </x:row>
    <x:row r="181" ht="26" customHeight="1">
      <x:c r="A181" s="319"/>
      <x:c r="B181" s="320"/>
      <x:c r="C181" s="274"/>
      <x:c r="D181" s="350"/>
      <x:c r="E181" s="274"/>
      <x:c r="F181" s="274"/>
      <x:c r="G181" s="280"/>
      <x:c r="H181" s="265" t="str">
        <x:f>IF(A181="","",IF(B181="","",IF(COUNTIFS('Clients'!$A$6:$A$205,B181)&lt;&gt;1,"Check Client ID",IF(INDEX('Clients'!$B$6:$B$205,MATCH(B181,'Clients'!$A$6:$A$205,0))="","Name missing",INDEX('Clients'!$B$6:$B$205,MATCH(B181,'Clients'!$A$6:$A$205,0))))))</x:f>
      </x:c>
      <x:c r="I181" s="265" t="str">
        <x:f>IF(A181="","",IF(C181="","",IF(COUNTIFS('Properties'!$A$6:$A$205,C181)&lt;&gt;1,"Check Property ID",IF(INDEX('Properties'!$B$6:$B$205,MATCH(C181,'Properties'!$A$6:$A$205,0))="","Name missing",INDEX('Properties'!$B$6:$B$205,MATCH(C181,'Properties'!$A$6:$A$205,0))))))</x:f>
      </x:c>
      <x:c r="J181" s="315" t="str">
        <x:f>IF(A181="","",IF(COUNTIFS($A$6:$A$205,A181)&gt;1,"Duplicate ID",IF(OR(B181="",COUNTIFS('Clients'!$A$6:$A$205,B181)&lt;&gt;1),"Check Client ID",IF(OR(C181="",COUNTIFS('Properties'!$A$6:$A$205,C181)&lt;&gt;1),"Check Property ID",IF(NOT(ISNUMBER(D181)),"Add appointment date",IF(E181="","Set viewing status",""))))))</x:f>
      </x:c>
    </x:row>
    <x:row r="182" ht="26" customHeight="1">
      <x:c r="A182" s="317"/>
      <x:c r="B182" s="318"/>
      <x:c r="C182" s="235"/>
      <x:c r="D182" s="348"/>
      <x:c r="E182" s="235"/>
      <x:c r="F182" s="235"/>
      <x:c r="G182" s="239"/>
      <x:c r="H182" s="265" t="str">
        <x:f>IF(A182="","",IF(B182="","",IF(COUNTIFS('Clients'!$A$6:$A$205,B182)&lt;&gt;1,"Check Client ID",IF(INDEX('Clients'!$B$6:$B$205,MATCH(B182,'Clients'!$A$6:$A$205,0))="","Name missing",INDEX('Clients'!$B$6:$B$205,MATCH(B182,'Clients'!$A$6:$A$205,0))))))</x:f>
      </x:c>
      <x:c r="I182" s="265" t="str">
        <x:f>IF(A182="","",IF(C182="","",IF(COUNTIFS('Properties'!$A$6:$A$205,C182)&lt;&gt;1,"Check Property ID",IF(INDEX('Properties'!$B$6:$B$205,MATCH(C182,'Properties'!$A$6:$A$205,0))="","Name missing",INDEX('Properties'!$B$6:$B$205,MATCH(C182,'Properties'!$A$6:$A$205,0))))))</x:f>
      </x:c>
      <x:c r="J182" s="315" t="str">
        <x:f>IF(A182="","",IF(COUNTIFS($A$6:$A$205,A182)&gt;1,"Duplicate ID",IF(OR(B182="",COUNTIFS('Clients'!$A$6:$A$205,B182)&lt;&gt;1),"Check Client ID",IF(OR(C182="",COUNTIFS('Properties'!$A$6:$A$205,C182)&lt;&gt;1),"Check Property ID",IF(NOT(ISNUMBER(D182)),"Add appointment date",IF(E182="","Set viewing status",""))))))</x:f>
      </x:c>
    </x:row>
    <x:row r="183" ht="26" customHeight="1">
      <x:c r="A183" s="319"/>
      <x:c r="B183" s="320"/>
      <x:c r="C183" s="274"/>
      <x:c r="D183" s="350"/>
      <x:c r="E183" s="274"/>
      <x:c r="F183" s="274"/>
      <x:c r="G183" s="280"/>
      <x:c r="H183" s="265" t="str">
        <x:f>IF(A183="","",IF(B183="","",IF(COUNTIFS('Clients'!$A$6:$A$205,B183)&lt;&gt;1,"Check Client ID",IF(INDEX('Clients'!$B$6:$B$205,MATCH(B183,'Clients'!$A$6:$A$205,0))="","Name missing",INDEX('Clients'!$B$6:$B$205,MATCH(B183,'Clients'!$A$6:$A$205,0))))))</x:f>
      </x:c>
      <x:c r="I183" s="265" t="str">
        <x:f>IF(A183="","",IF(C183="","",IF(COUNTIFS('Properties'!$A$6:$A$205,C183)&lt;&gt;1,"Check Property ID",IF(INDEX('Properties'!$B$6:$B$205,MATCH(C183,'Properties'!$A$6:$A$205,0))="","Name missing",INDEX('Properties'!$B$6:$B$205,MATCH(C183,'Properties'!$A$6:$A$205,0))))))</x:f>
      </x:c>
      <x:c r="J183" s="315" t="str">
        <x:f>IF(A183="","",IF(COUNTIFS($A$6:$A$205,A183)&gt;1,"Duplicate ID",IF(OR(B183="",COUNTIFS('Clients'!$A$6:$A$205,B183)&lt;&gt;1),"Check Client ID",IF(OR(C183="",COUNTIFS('Properties'!$A$6:$A$205,C183)&lt;&gt;1),"Check Property ID",IF(NOT(ISNUMBER(D183)),"Add appointment date",IF(E183="","Set viewing status",""))))))</x:f>
      </x:c>
    </x:row>
    <x:row r="184" ht="26" customHeight="1">
      <x:c r="A184" s="317"/>
      <x:c r="B184" s="318"/>
      <x:c r="C184" s="235"/>
      <x:c r="D184" s="348"/>
      <x:c r="E184" s="235"/>
      <x:c r="F184" s="235"/>
      <x:c r="G184" s="239"/>
      <x:c r="H184" s="265" t="str">
        <x:f>IF(A184="","",IF(B184="","",IF(COUNTIFS('Clients'!$A$6:$A$205,B184)&lt;&gt;1,"Check Client ID",IF(INDEX('Clients'!$B$6:$B$205,MATCH(B184,'Clients'!$A$6:$A$205,0))="","Name missing",INDEX('Clients'!$B$6:$B$205,MATCH(B184,'Clients'!$A$6:$A$205,0))))))</x:f>
      </x:c>
      <x:c r="I184" s="265" t="str">
        <x:f>IF(A184="","",IF(C184="","",IF(COUNTIFS('Properties'!$A$6:$A$205,C184)&lt;&gt;1,"Check Property ID",IF(INDEX('Properties'!$B$6:$B$205,MATCH(C184,'Properties'!$A$6:$A$205,0))="","Name missing",INDEX('Properties'!$B$6:$B$205,MATCH(C184,'Properties'!$A$6:$A$205,0))))))</x:f>
      </x:c>
      <x:c r="J184" s="315" t="str">
        <x:f>IF(A184="","",IF(COUNTIFS($A$6:$A$205,A184)&gt;1,"Duplicate ID",IF(OR(B184="",COUNTIFS('Clients'!$A$6:$A$205,B184)&lt;&gt;1),"Check Client ID",IF(OR(C184="",COUNTIFS('Properties'!$A$6:$A$205,C184)&lt;&gt;1),"Check Property ID",IF(NOT(ISNUMBER(D184)),"Add appointment date",IF(E184="","Set viewing status",""))))))</x:f>
      </x:c>
    </x:row>
    <x:row r="185" ht="26" customHeight="1">
      <x:c r="A185" s="319"/>
      <x:c r="B185" s="320"/>
      <x:c r="C185" s="274"/>
      <x:c r="D185" s="350"/>
      <x:c r="E185" s="274"/>
      <x:c r="F185" s="274"/>
      <x:c r="G185" s="280"/>
      <x:c r="H185" s="265" t="str">
        <x:f>IF(A185="","",IF(B185="","",IF(COUNTIFS('Clients'!$A$6:$A$205,B185)&lt;&gt;1,"Check Client ID",IF(INDEX('Clients'!$B$6:$B$205,MATCH(B185,'Clients'!$A$6:$A$205,0))="","Name missing",INDEX('Clients'!$B$6:$B$205,MATCH(B185,'Clients'!$A$6:$A$205,0))))))</x:f>
      </x:c>
      <x:c r="I185" s="265" t="str">
        <x:f>IF(A185="","",IF(C185="","",IF(COUNTIFS('Properties'!$A$6:$A$205,C185)&lt;&gt;1,"Check Property ID",IF(INDEX('Properties'!$B$6:$B$205,MATCH(C185,'Properties'!$A$6:$A$205,0))="","Name missing",INDEX('Properties'!$B$6:$B$205,MATCH(C185,'Properties'!$A$6:$A$205,0))))))</x:f>
      </x:c>
      <x:c r="J185" s="315" t="str">
        <x:f>IF(A185="","",IF(COUNTIFS($A$6:$A$205,A185)&gt;1,"Duplicate ID",IF(OR(B185="",COUNTIFS('Clients'!$A$6:$A$205,B185)&lt;&gt;1),"Check Client ID",IF(OR(C185="",COUNTIFS('Properties'!$A$6:$A$205,C185)&lt;&gt;1),"Check Property ID",IF(NOT(ISNUMBER(D185)),"Add appointment date",IF(E185="","Set viewing status",""))))))</x:f>
      </x:c>
    </x:row>
    <x:row r="186" ht="26" customHeight="1">
      <x:c r="A186" s="317"/>
      <x:c r="B186" s="318"/>
      <x:c r="C186" s="235"/>
      <x:c r="D186" s="348"/>
      <x:c r="E186" s="235"/>
      <x:c r="F186" s="235"/>
      <x:c r="G186" s="239"/>
      <x:c r="H186" s="265" t="str">
        <x:f>IF(A186="","",IF(B186="","",IF(COUNTIFS('Clients'!$A$6:$A$205,B186)&lt;&gt;1,"Check Client ID",IF(INDEX('Clients'!$B$6:$B$205,MATCH(B186,'Clients'!$A$6:$A$205,0))="","Name missing",INDEX('Clients'!$B$6:$B$205,MATCH(B186,'Clients'!$A$6:$A$205,0))))))</x:f>
      </x:c>
      <x:c r="I186" s="265" t="str">
        <x:f>IF(A186="","",IF(C186="","",IF(COUNTIFS('Properties'!$A$6:$A$205,C186)&lt;&gt;1,"Check Property ID",IF(INDEX('Properties'!$B$6:$B$205,MATCH(C186,'Properties'!$A$6:$A$205,0))="","Name missing",INDEX('Properties'!$B$6:$B$205,MATCH(C186,'Properties'!$A$6:$A$205,0))))))</x:f>
      </x:c>
      <x:c r="J186" s="315" t="str">
        <x:f>IF(A186="","",IF(COUNTIFS($A$6:$A$205,A186)&gt;1,"Duplicate ID",IF(OR(B186="",COUNTIFS('Clients'!$A$6:$A$205,B186)&lt;&gt;1),"Check Client ID",IF(OR(C186="",COUNTIFS('Properties'!$A$6:$A$205,C186)&lt;&gt;1),"Check Property ID",IF(NOT(ISNUMBER(D186)),"Add appointment date",IF(E186="","Set viewing status",""))))))</x:f>
      </x:c>
    </x:row>
    <x:row r="187" ht="26" customHeight="1">
      <x:c r="A187" s="319"/>
      <x:c r="B187" s="320"/>
      <x:c r="C187" s="274"/>
      <x:c r="D187" s="350"/>
      <x:c r="E187" s="274"/>
      <x:c r="F187" s="274"/>
      <x:c r="G187" s="280"/>
      <x:c r="H187" s="265" t="str">
        <x:f>IF(A187="","",IF(B187="","",IF(COUNTIFS('Clients'!$A$6:$A$205,B187)&lt;&gt;1,"Check Client ID",IF(INDEX('Clients'!$B$6:$B$205,MATCH(B187,'Clients'!$A$6:$A$205,0))="","Name missing",INDEX('Clients'!$B$6:$B$205,MATCH(B187,'Clients'!$A$6:$A$205,0))))))</x:f>
      </x:c>
      <x:c r="I187" s="265" t="str">
        <x:f>IF(A187="","",IF(C187="","",IF(COUNTIFS('Properties'!$A$6:$A$205,C187)&lt;&gt;1,"Check Property ID",IF(INDEX('Properties'!$B$6:$B$205,MATCH(C187,'Properties'!$A$6:$A$205,0))="","Name missing",INDEX('Properties'!$B$6:$B$205,MATCH(C187,'Properties'!$A$6:$A$205,0))))))</x:f>
      </x:c>
      <x:c r="J187" s="315" t="str">
        <x:f>IF(A187="","",IF(COUNTIFS($A$6:$A$205,A187)&gt;1,"Duplicate ID",IF(OR(B187="",COUNTIFS('Clients'!$A$6:$A$205,B187)&lt;&gt;1),"Check Client ID",IF(OR(C187="",COUNTIFS('Properties'!$A$6:$A$205,C187)&lt;&gt;1),"Check Property ID",IF(NOT(ISNUMBER(D187)),"Add appointment date",IF(E187="","Set viewing status",""))))))</x:f>
      </x:c>
    </x:row>
    <x:row r="188" ht="26" customHeight="1">
      <x:c r="A188" s="317"/>
      <x:c r="B188" s="318"/>
      <x:c r="C188" s="235"/>
      <x:c r="D188" s="348"/>
      <x:c r="E188" s="235"/>
      <x:c r="F188" s="235"/>
      <x:c r="G188" s="239"/>
      <x:c r="H188" s="265" t="str">
        <x:f>IF(A188="","",IF(B188="","",IF(COUNTIFS('Clients'!$A$6:$A$205,B188)&lt;&gt;1,"Check Client ID",IF(INDEX('Clients'!$B$6:$B$205,MATCH(B188,'Clients'!$A$6:$A$205,0))="","Name missing",INDEX('Clients'!$B$6:$B$205,MATCH(B188,'Clients'!$A$6:$A$205,0))))))</x:f>
      </x:c>
      <x:c r="I188" s="265" t="str">
        <x:f>IF(A188="","",IF(C188="","",IF(COUNTIFS('Properties'!$A$6:$A$205,C188)&lt;&gt;1,"Check Property ID",IF(INDEX('Properties'!$B$6:$B$205,MATCH(C188,'Properties'!$A$6:$A$205,0))="","Name missing",INDEX('Properties'!$B$6:$B$205,MATCH(C188,'Properties'!$A$6:$A$205,0))))))</x:f>
      </x:c>
      <x:c r="J188" s="315" t="str">
        <x:f>IF(A188="","",IF(COUNTIFS($A$6:$A$205,A188)&gt;1,"Duplicate ID",IF(OR(B188="",COUNTIFS('Clients'!$A$6:$A$205,B188)&lt;&gt;1),"Check Client ID",IF(OR(C188="",COUNTIFS('Properties'!$A$6:$A$205,C188)&lt;&gt;1),"Check Property ID",IF(NOT(ISNUMBER(D188)),"Add appointment date",IF(E188="","Set viewing status",""))))))</x:f>
      </x:c>
    </x:row>
    <x:row r="189" ht="26" customHeight="1">
      <x:c r="A189" s="319"/>
      <x:c r="B189" s="320"/>
      <x:c r="C189" s="274"/>
      <x:c r="D189" s="350"/>
      <x:c r="E189" s="274"/>
      <x:c r="F189" s="274"/>
      <x:c r="G189" s="280"/>
      <x:c r="H189" s="265" t="str">
        <x:f>IF(A189="","",IF(B189="","",IF(COUNTIFS('Clients'!$A$6:$A$205,B189)&lt;&gt;1,"Check Client ID",IF(INDEX('Clients'!$B$6:$B$205,MATCH(B189,'Clients'!$A$6:$A$205,0))="","Name missing",INDEX('Clients'!$B$6:$B$205,MATCH(B189,'Clients'!$A$6:$A$205,0))))))</x:f>
      </x:c>
      <x:c r="I189" s="265" t="str">
        <x:f>IF(A189="","",IF(C189="","",IF(COUNTIFS('Properties'!$A$6:$A$205,C189)&lt;&gt;1,"Check Property ID",IF(INDEX('Properties'!$B$6:$B$205,MATCH(C189,'Properties'!$A$6:$A$205,0))="","Name missing",INDEX('Properties'!$B$6:$B$205,MATCH(C189,'Properties'!$A$6:$A$205,0))))))</x:f>
      </x:c>
      <x:c r="J189" s="315" t="str">
        <x:f>IF(A189="","",IF(COUNTIFS($A$6:$A$205,A189)&gt;1,"Duplicate ID",IF(OR(B189="",COUNTIFS('Clients'!$A$6:$A$205,B189)&lt;&gt;1),"Check Client ID",IF(OR(C189="",COUNTIFS('Properties'!$A$6:$A$205,C189)&lt;&gt;1),"Check Property ID",IF(NOT(ISNUMBER(D189)),"Add appointment date",IF(E189="","Set viewing status",""))))))</x:f>
      </x:c>
    </x:row>
    <x:row r="190" ht="26" customHeight="1">
      <x:c r="A190" s="317"/>
      <x:c r="B190" s="318"/>
      <x:c r="C190" s="235"/>
      <x:c r="D190" s="348"/>
      <x:c r="E190" s="235"/>
      <x:c r="F190" s="235"/>
      <x:c r="G190" s="239"/>
      <x:c r="H190" s="265" t="str">
        <x:f>IF(A190="","",IF(B190="","",IF(COUNTIFS('Clients'!$A$6:$A$205,B190)&lt;&gt;1,"Check Client ID",IF(INDEX('Clients'!$B$6:$B$205,MATCH(B190,'Clients'!$A$6:$A$205,0))="","Name missing",INDEX('Clients'!$B$6:$B$205,MATCH(B190,'Clients'!$A$6:$A$205,0))))))</x:f>
      </x:c>
      <x:c r="I190" s="265" t="str">
        <x:f>IF(A190="","",IF(C190="","",IF(COUNTIFS('Properties'!$A$6:$A$205,C190)&lt;&gt;1,"Check Property ID",IF(INDEX('Properties'!$B$6:$B$205,MATCH(C190,'Properties'!$A$6:$A$205,0))="","Name missing",INDEX('Properties'!$B$6:$B$205,MATCH(C190,'Properties'!$A$6:$A$205,0))))))</x:f>
      </x:c>
      <x:c r="J190" s="315" t="str">
        <x:f>IF(A190="","",IF(COUNTIFS($A$6:$A$205,A190)&gt;1,"Duplicate ID",IF(OR(B190="",COUNTIFS('Clients'!$A$6:$A$205,B190)&lt;&gt;1),"Check Client ID",IF(OR(C190="",COUNTIFS('Properties'!$A$6:$A$205,C190)&lt;&gt;1),"Check Property ID",IF(NOT(ISNUMBER(D190)),"Add appointment date",IF(E190="","Set viewing status",""))))))</x:f>
      </x:c>
    </x:row>
    <x:row r="191" ht="26" customHeight="1">
      <x:c r="A191" s="319"/>
      <x:c r="B191" s="320"/>
      <x:c r="C191" s="274"/>
      <x:c r="D191" s="350"/>
      <x:c r="E191" s="274"/>
      <x:c r="F191" s="274"/>
      <x:c r="G191" s="280"/>
      <x:c r="H191" s="265" t="str">
        <x:f>IF(A191="","",IF(B191="","",IF(COUNTIFS('Clients'!$A$6:$A$205,B191)&lt;&gt;1,"Check Client ID",IF(INDEX('Clients'!$B$6:$B$205,MATCH(B191,'Clients'!$A$6:$A$205,0))="","Name missing",INDEX('Clients'!$B$6:$B$205,MATCH(B191,'Clients'!$A$6:$A$205,0))))))</x:f>
      </x:c>
      <x:c r="I191" s="265" t="str">
        <x:f>IF(A191="","",IF(C191="","",IF(COUNTIFS('Properties'!$A$6:$A$205,C191)&lt;&gt;1,"Check Property ID",IF(INDEX('Properties'!$B$6:$B$205,MATCH(C191,'Properties'!$A$6:$A$205,0))="","Name missing",INDEX('Properties'!$B$6:$B$205,MATCH(C191,'Properties'!$A$6:$A$205,0))))))</x:f>
      </x:c>
      <x:c r="J191" s="315" t="str">
        <x:f>IF(A191="","",IF(COUNTIFS($A$6:$A$205,A191)&gt;1,"Duplicate ID",IF(OR(B191="",COUNTIFS('Clients'!$A$6:$A$205,B191)&lt;&gt;1),"Check Client ID",IF(OR(C191="",COUNTIFS('Properties'!$A$6:$A$205,C191)&lt;&gt;1),"Check Property ID",IF(NOT(ISNUMBER(D191)),"Add appointment date",IF(E191="","Set viewing status",""))))))</x:f>
      </x:c>
    </x:row>
    <x:row r="192" ht="26" customHeight="1">
      <x:c r="A192" s="317"/>
      <x:c r="B192" s="318"/>
      <x:c r="C192" s="235"/>
      <x:c r="D192" s="348"/>
      <x:c r="E192" s="235"/>
      <x:c r="F192" s="235"/>
      <x:c r="G192" s="239"/>
      <x:c r="H192" s="265" t="str">
        <x:f>IF(A192="","",IF(B192="","",IF(COUNTIFS('Clients'!$A$6:$A$205,B192)&lt;&gt;1,"Check Client ID",IF(INDEX('Clients'!$B$6:$B$205,MATCH(B192,'Clients'!$A$6:$A$205,0))="","Name missing",INDEX('Clients'!$B$6:$B$205,MATCH(B192,'Clients'!$A$6:$A$205,0))))))</x:f>
      </x:c>
      <x:c r="I192" s="265" t="str">
        <x:f>IF(A192="","",IF(C192="","",IF(COUNTIFS('Properties'!$A$6:$A$205,C192)&lt;&gt;1,"Check Property ID",IF(INDEX('Properties'!$B$6:$B$205,MATCH(C192,'Properties'!$A$6:$A$205,0))="","Name missing",INDEX('Properties'!$B$6:$B$205,MATCH(C192,'Properties'!$A$6:$A$205,0))))))</x:f>
      </x:c>
      <x:c r="J192" s="315" t="str">
        <x:f>IF(A192="","",IF(COUNTIFS($A$6:$A$205,A192)&gt;1,"Duplicate ID",IF(OR(B192="",COUNTIFS('Clients'!$A$6:$A$205,B192)&lt;&gt;1),"Check Client ID",IF(OR(C192="",COUNTIFS('Properties'!$A$6:$A$205,C192)&lt;&gt;1),"Check Property ID",IF(NOT(ISNUMBER(D192)),"Add appointment date",IF(E192="","Set viewing status",""))))))</x:f>
      </x:c>
    </x:row>
    <x:row r="193" ht="26" customHeight="1">
      <x:c r="A193" s="319"/>
      <x:c r="B193" s="320"/>
      <x:c r="C193" s="274"/>
      <x:c r="D193" s="350"/>
      <x:c r="E193" s="274"/>
      <x:c r="F193" s="274"/>
      <x:c r="G193" s="280"/>
      <x:c r="H193" s="265" t="str">
        <x:f>IF(A193="","",IF(B193="","",IF(COUNTIFS('Clients'!$A$6:$A$205,B193)&lt;&gt;1,"Check Client ID",IF(INDEX('Clients'!$B$6:$B$205,MATCH(B193,'Clients'!$A$6:$A$205,0))="","Name missing",INDEX('Clients'!$B$6:$B$205,MATCH(B193,'Clients'!$A$6:$A$205,0))))))</x:f>
      </x:c>
      <x:c r="I193" s="265" t="str">
        <x:f>IF(A193="","",IF(C193="","",IF(COUNTIFS('Properties'!$A$6:$A$205,C193)&lt;&gt;1,"Check Property ID",IF(INDEX('Properties'!$B$6:$B$205,MATCH(C193,'Properties'!$A$6:$A$205,0))="","Name missing",INDEX('Properties'!$B$6:$B$205,MATCH(C193,'Properties'!$A$6:$A$205,0))))))</x:f>
      </x:c>
      <x:c r="J193" s="315" t="str">
        <x:f>IF(A193="","",IF(COUNTIFS($A$6:$A$205,A193)&gt;1,"Duplicate ID",IF(OR(B193="",COUNTIFS('Clients'!$A$6:$A$205,B193)&lt;&gt;1),"Check Client ID",IF(OR(C193="",COUNTIFS('Properties'!$A$6:$A$205,C193)&lt;&gt;1),"Check Property ID",IF(NOT(ISNUMBER(D193)),"Add appointment date",IF(E193="","Set viewing status",""))))))</x:f>
      </x:c>
    </x:row>
    <x:row r="194" ht="26" customHeight="1">
      <x:c r="A194" s="317"/>
      <x:c r="B194" s="318"/>
      <x:c r="C194" s="235"/>
      <x:c r="D194" s="348"/>
      <x:c r="E194" s="235"/>
      <x:c r="F194" s="235"/>
      <x:c r="G194" s="239"/>
      <x:c r="H194" s="265" t="str">
        <x:f>IF(A194="","",IF(B194="","",IF(COUNTIFS('Clients'!$A$6:$A$205,B194)&lt;&gt;1,"Check Client ID",IF(INDEX('Clients'!$B$6:$B$205,MATCH(B194,'Clients'!$A$6:$A$205,0))="","Name missing",INDEX('Clients'!$B$6:$B$205,MATCH(B194,'Clients'!$A$6:$A$205,0))))))</x:f>
      </x:c>
      <x:c r="I194" s="265" t="str">
        <x:f>IF(A194="","",IF(C194="","",IF(COUNTIFS('Properties'!$A$6:$A$205,C194)&lt;&gt;1,"Check Property ID",IF(INDEX('Properties'!$B$6:$B$205,MATCH(C194,'Properties'!$A$6:$A$205,0))="","Name missing",INDEX('Properties'!$B$6:$B$205,MATCH(C194,'Properties'!$A$6:$A$205,0))))))</x:f>
      </x:c>
      <x:c r="J194" s="315" t="str">
        <x:f>IF(A194="","",IF(COUNTIFS($A$6:$A$205,A194)&gt;1,"Duplicate ID",IF(OR(B194="",COUNTIFS('Clients'!$A$6:$A$205,B194)&lt;&gt;1),"Check Client ID",IF(OR(C194="",COUNTIFS('Properties'!$A$6:$A$205,C194)&lt;&gt;1),"Check Property ID",IF(NOT(ISNUMBER(D194)),"Add appointment date",IF(E194="","Set viewing status",""))))))</x:f>
      </x:c>
    </x:row>
    <x:row r="195" ht="26" customHeight="1">
      <x:c r="A195" s="319"/>
      <x:c r="B195" s="320"/>
      <x:c r="C195" s="274"/>
      <x:c r="D195" s="350"/>
      <x:c r="E195" s="274"/>
      <x:c r="F195" s="274"/>
      <x:c r="G195" s="280"/>
      <x:c r="H195" s="265" t="str">
        <x:f>IF(A195="","",IF(B195="","",IF(COUNTIFS('Clients'!$A$6:$A$205,B195)&lt;&gt;1,"Check Client ID",IF(INDEX('Clients'!$B$6:$B$205,MATCH(B195,'Clients'!$A$6:$A$205,0))="","Name missing",INDEX('Clients'!$B$6:$B$205,MATCH(B195,'Clients'!$A$6:$A$205,0))))))</x:f>
      </x:c>
      <x:c r="I195" s="265" t="str">
        <x:f>IF(A195="","",IF(C195="","",IF(COUNTIFS('Properties'!$A$6:$A$205,C195)&lt;&gt;1,"Check Property ID",IF(INDEX('Properties'!$B$6:$B$205,MATCH(C195,'Properties'!$A$6:$A$205,0))="","Name missing",INDEX('Properties'!$B$6:$B$205,MATCH(C195,'Properties'!$A$6:$A$205,0))))))</x:f>
      </x:c>
      <x:c r="J195" s="315" t="str">
        <x:f>IF(A195="","",IF(COUNTIFS($A$6:$A$205,A195)&gt;1,"Duplicate ID",IF(OR(B195="",COUNTIFS('Clients'!$A$6:$A$205,B195)&lt;&gt;1),"Check Client ID",IF(OR(C195="",COUNTIFS('Properties'!$A$6:$A$205,C195)&lt;&gt;1),"Check Property ID",IF(NOT(ISNUMBER(D195)),"Add appointment date",IF(E195="","Set viewing status",""))))))</x:f>
      </x:c>
    </x:row>
    <x:row r="196" ht="26" customHeight="1">
      <x:c r="A196" s="317"/>
      <x:c r="B196" s="318"/>
      <x:c r="C196" s="235"/>
      <x:c r="D196" s="348"/>
      <x:c r="E196" s="235"/>
      <x:c r="F196" s="235"/>
      <x:c r="G196" s="239"/>
      <x:c r="H196" s="265" t="str">
        <x:f>IF(A196="","",IF(B196="","",IF(COUNTIFS('Clients'!$A$6:$A$205,B196)&lt;&gt;1,"Check Client ID",IF(INDEX('Clients'!$B$6:$B$205,MATCH(B196,'Clients'!$A$6:$A$205,0))="","Name missing",INDEX('Clients'!$B$6:$B$205,MATCH(B196,'Clients'!$A$6:$A$205,0))))))</x:f>
      </x:c>
      <x:c r="I196" s="265" t="str">
        <x:f>IF(A196="","",IF(C196="","",IF(COUNTIFS('Properties'!$A$6:$A$205,C196)&lt;&gt;1,"Check Property ID",IF(INDEX('Properties'!$B$6:$B$205,MATCH(C196,'Properties'!$A$6:$A$205,0))="","Name missing",INDEX('Properties'!$B$6:$B$205,MATCH(C196,'Properties'!$A$6:$A$205,0))))))</x:f>
      </x:c>
      <x:c r="J196" s="315" t="str">
        <x:f>IF(A196="","",IF(COUNTIFS($A$6:$A$205,A196)&gt;1,"Duplicate ID",IF(OR(B196="",COUNTIFS('Clients'!$A$6:$A$205,B196)&lt;&gt;1),"Check Client ID",IF(OR(C196="",COUNTIFS('Properties'!$A$6:$A$205,C196)&lt;&gt;1),"Check Property ID",IF(NOT(ISNUMBER(D196)),"Add appointment date",IF(E196="","Set viewing status",""))))))</x:f>
      </x:c>
    </x:row>
    <x:row r="197" ht="26" customHeight="1">
      <x:c r="A197" s="319"/>
      <x:c r="B197" s="320"/>
      <x:c r="C197" s="274"/>
      <x:c r="D197" s="350"/>
      <x:c r="E197" s="274"/>
      <x:c r="F197" s="274"/>
      <x:c r="G197" s="280"/>
      <x:c r="H197" s="265" t="str">
        <x:f>IF(A197="","",IF(B197="","",IF(COUNTIFS('Clients'!$A$6:$A$205,B197)&lt;&gt;1,"Check Client ID",IF(INDEX('Clients'!$B$6:$B$205,MATCH(B197,'Clients'!$A$6:$A$205,0))="","Name missing",INDEX('Clients'!$B$6:$B$205,MATCH(B197,'Clients'!$A$6:$A$205,0))))))</x:f>
      </x:c>
      <x:c r="I197" s="265" t="str">
        <x:f>IF(A197="","",IF(C197="","",IF(COUNTIFS('Properties'!$A$6:$A$205,C197)&lt;&gt;1,"Check Property ID",IF(INDEX('Properties'!$B$6:$B$205,MATCH(C197,'Properties'!$A$6:$A$205,0))="","Name missing",INDEX('Properties'!$B$6:$B$205,MATCH(C197,'Properties'!$A$6:$A$205,0))))))</x:f>
      </x:c>
      <x:c r="J197" s="315" t="str">
        <x:f>IF(A197="","",IF(COUNTIFS($A$6:$A$205,A197)&gt;1,"Duplicate ID",IF(OR(B197="",COUNTIFS('Clients'!$A$6:$A$205,B197)&lt;&gt;1),"Check Client ID",IF(OR(C197="",COUNTIFS('Properties'!$A$6:$A$205,C197)&lt;&gt;1),"Check Property ID",IF(NOT(ISNUMBER(D197)),"Add appointment date",IF(E197="","Set viewing status",""))))))</x:f>
      </x:c>
    </x:row>
    <x:row r="198" ht="26" customHeight="1">
      <x:c r="A198" s="317"/>
      <x:c r="B198" s="318"/>
      <x:c r="C198" s="235"/>
      <x:c r="D198" s="348"/>
      <x:c r="E198" s="235"/>
      <x:c r="F198" s="235"/>
      <x:c r="G198" s="239"/>
      <x:c r="H198" s="265" t="str">
        <x:f>IF(A198="","",IF(B198="","",IF(COUNTIFS('Clients'!$A$6:$A$205,B198)&lt;&gt;1,"Check Client ID",IF(INDEX('Clients'!$B$6:$B$205,MATCH(B198,'Clients'!$A$6:$A$205,0))="","Name missing",INDEX('Clients'!$B$6:$B$205,MATCH(B198,'Clients'!$A$6:$A$205,0))))))</x:f>
      </x:c>
      <x:c r="I198" s="265" t="str">
        <x:f>IF(A198="","",IF(C198="","",IF(COUNTIFS('Properties'!$A$6:$A$205,C198)&lt;&gt;1,"Check Property ID",IF(INDEX('Properties'!$B$6:$B$205,MATCH(C198,'Properties'!$A$6:$A$205,0))="","Name missing",INDEX('Properties'!$B$6:$B$205,MATCH(C198,'Properties'!$A$6:$A$205,0))))))</x:f>
      </x:c>
      <x:c r="J198" s="315" t="str">
        <x:f>IF(A198="","",IF(COUNTIFS($A$6:$A$205,A198)&gt;1,"Duplicate ID",IF(OR(B198="",COUNTIFS('Clients'!$A$6:$A$205,B198)&lt;&gt;1),"Check Client ID",IF(OR(C198="",COUNTIFS('Properties'!$A$6:$A$205,C198)&lt;&gt;1),"Check Property ID",IF(NOT(ISNUMBER(D198)),"Add appointment date",IF(E198="","Set viewing status",""))))))</x:f>
      </x:c>
    </x:row>
    <x:row r="199" ht="26" customHeight="1">
      <x:c r="A199" s="319"/>
      <x:c r="B199" s="320"/>
      <x:c r="C199" s="274"/>
      <x:c r="D199" s="350"/>
      <x:c r="E199" s="274"/>
      <x:c r="F199" s="274"/>
      <x:c r="G199" s="280"/>
      <x:c r="H199" s="265" t="str">
        <x:f>IF(A199="","",IF(B199="","",IF(COUNTIFS('Clients'!$A$6:$A$205,B199)&lt;&gt;1,"Check Client ID",IF(INDEX('Clients'!$B$6:$B$205,MATCH(B199,'Clients'!$A$6:$A$205,0))="","Name missing",INDEX('Clients'!$B$6:$B$205,MATCH(B199,'Clients'!$A$6:$A$205,0))))))</x:f>
      </x:c>
      <x:c r="I199" s="265" t="str">
        <x:f>IF(A199="","",IF(C199="","",IF(COUNTIFS('Properties'!$A$6:$A$205,C199)&lt;&gt;1,"Check Property ID",IF(INDEX('Properties'!$B$6:$B$205,MATCH(C199,'Properties'!$A$6:$A$205,0))="","Name missing",INDEX('Properties'!$B$6:$B$205,MATCH(C199,'Properties'!$A$6:$A$205,0))))))</x:f>
      </x:c>
      <x:c r="J199" s="315" t="str">
        <x:f>IF(A199="","",IF(COUNTIFS($A$6:$A$205,A199)&gt;1,"Duplicate ID",IF(OR(B199="",COUNTIFS('Clients'!$A$6:$A$205,B199)&lt;&gt;1),"Check Client ID",IF(OR(C199="",COUNTIFS('Properties'!$A$6:$A$205,C199)&lt;&gt;1),"Check Property ID",IF(NOT(ISNUMBER(D199)),"Add appointment date",IF(E199="","Set viewing status",""))))))</x:f>
      </x:c>
    </x:row>
    <x:row r="200" ht="26" customHeight="1">
      <x:c r="A200" s="317"/>
      <x:c r="B200" s="318"/>
      <x:c r="C200" s="235"/>
      <x:c r="D200" s="348"/>
      <x:c r="E200" s="235"/>
      <x:c r="F200" s="235"/>
      <x:c r="G200" s="239"/>
      <x:c r="H200" s="265" t="str">
        <x:f>IF(A200="","",IF(B200="","",IF(COUNTIFS('Clients'!$A$6:$A$205,B200)&lt;&gt;1,"Check Client ID",IF(INDEX('Clients'!$B$6:$B$205,MATCH(B200,'Clients'!$A$6:$A$205,0))="","Name missing",INDEX('Clients'!$B$6:$B$205,MATCH(B200,'Clients'!$A$6:$A$205,0))))))</x:f>
      </x:c>
      <x:c r="I200" s="265" t="str">
        <x:f>IF(A200="","",IF(C200="","",IF(COUNTIFS('Properties'!$A$6:$A$205,C200)&lt;&gt;1,"Check Property ID",IF(INDEX('Properties'!$B$6:$B$205,MATCH(C200,'Properties'!$A$6:$A$205,0))="","Name missing",INDEX('Properties'!$B$6:$B$205,MATCH(C200,'Properties'!$A$6:$A$205,0))))))</x:f>
      </x:c>
      <x:c r="J200" s="315" t="str">
        <x:f>IF(A200="","",IF(COUNTIFS($A$6:$A$205,A200)&gt;1,"Duplicate ID",IF(OR(B200="",COUNTIFS('Clients'!$A$6:$A$205,B200)&lt;&gt;1),"Check Client ID",IF(OR(C200="",COUNTIFS('Properties'!$A$6:$A$205,C200)&lt;&gt;1),"Check Property ID",IF(NOT(ISNUMBER(D200)),"Add appointment date",IF(E200="","Set viewing status",""))))))</x:f>
      </x:c>
    </x:row>
    <x:row r="201" ht="26" customHeight="1">
      <x:c r="A201" s="319"/>
      <x:c r="B201" s="320"/>
      <x:c r="C201" s="274"/>
      <x:c r="D201" s="350"/>
      <x:c r="E201" s="274"/>
      <x:c r="F201" s="274"/>
      <x:c r="G201" s="280"/>
      <x:c r="H201" s="265" t="str">
        <x:f>IF(A201="","",IF(B201="","",IF(COUNTIFS('Clients'!$A$6:$A$205,B201)&lt;&gt;1,"Check Client ID",IF(INDEX('Clients'!$B$6:$B$205,MATCH(B201,'Clients'!$A$6:$A$205,0))="","Name missing",INDEX('Clients'!$B$6:$B$205,MATCH(B201,'Clients'!$A$6:$A$205,0))))))</x:f>
      </x:c>
      <x:c r="I201" s="265" t="str">
        <x:f>IF(A201="","",IF(C201="","",IF(COUNTIFS('Properties'!$A$6:$A$205,C201)&lt;&gt;1,"Check Property ID",IF(INDEX('Properties'!$B$6:$B$205,MATCH(C201,'Properties'!$A$6:$A$205,0))="","Name missing",INDEX('Properties'!$B$6:$B$205,MATCH(C201,'Properties'!$A$6:$A$205,0))))))</x:f>
      </x:c>
      <x:c r="J201" s="315" t="str">
        <x:f>IF(A201="","",IF(COUNTIFS($A$6:$A$205,A201)&gt;1,"Duplicate ID",IF(OR(B201="",COUNTIFS('Clients'!$A$6:$A$205,B201)&lt;&gt;1),"Check Client ID",IF(OR(C201="",COUNTIFS('Properties'!$A$6:$A$205,C201)&lt;&gt;1),"Check Property ID",IF(NOT(ISNUMBER(D201)),"Add appointment date",IF(E201="","Set viewing status",""))))))</x:f>
      </x:c>
    </x:row>
    <x:row r="202" ht="26" customHeight="1">
      <x:c r="A202" s="317"/>
      <x:c r="B202" s="318"/>
      <x:c r="C202" s="235"/>
      <x:c r="D202" s="348"/>
      <x:c r="E202" s="235"/>
      <x:c r="F202" s="235"/>
      <x:c r="G202" s="239"/>
      <x:c r="H202" s="265" t="str">
        <x:f>IF(A202="","",IF(B202="","",IF(COUNTIFS('Clients'!$A$6:$A$205,B202)&lt;&gt;1,"Check Client ID",IF(INDEX('Clients'!$B$6:$B$205,MATCH(B202,'Clients'!$A$6:$A$205,0))="","Name missing",INDEX('Clients'!$B$6:$B$205,MATCH(B202,'Clients'!$A$6:$A$205,0))))))</x:f>
      </x:c>
      <x:c r="I202" s="265" t="str">
        <x:f>IF(A202="","",IF(C202="","",IF(COUNTIFS('Properties'!$A$6:$A$205,C202)&lt;&gt;1,"Check Property ID",IF(INDEX('Properties'!$B$6:$B$205,MATCH(C202,'Properties'!$A$6:$A$205,0))="","Name missing",INDEX('Properties'!$B$6:$B$205,MATCH(C202,'Properties'!$A$6:$A$205,0))))))</x:f>
      </x:c>
      <x:c r="J202" s="315" t="str">
        <x:f>IF(A202="","",IF(COUNTIFS($A$6:$A$205,A202)&gt;1,"Duplicate ID",IF(OR(B202="",COUNTIFS('Clients'!$A$6:$A$205,B202)&lt;&gt;1),"Check Client ID",IF(OR(C202="",COUNTIFS('Properties'!$A$6:$A$205,C202)&lt;&gt;1),"Check Property ID",IF(NOT(ISNUMBER(D202)),"Add appointment date",IF(E202="","Set viewing status",""))))))</x:f>
      </x:c>
    </x:row>
    <x:row r="203" ht="26" customHeight="1">
      <x:c r="A203" s="319"/>
      <x:c r="B203" s="320"/>
      <x:c r="C203" s="274"/>
      <x:c r="D203" s="350"/>
      <x:c r="E203" s="274"/>
      <x:c r="F203" s="274"/>
      <x:c r="G203" s="280"/>
      <x:c r="H203" s="265" t="str">
        <x:f>IF(A203="","",IF(B203="","",IF(COUNTIFS('Clients'!$A$6:$A$205,B203)&lt;&gt;1,"Check Client ID",IF(INDEX('Clients'!$B$6:$B$205,MATCH(B203,'Clients'!$A$6:$A$205,0))="","Name missing",INDEX('Clients'!$B$6:$B$205,MATCH(B203,'Clients'!$A$6:$A$205,0))))))</x:f>
      </x:c>
      <x:c r="I203" s="265" t="str">
        <x:f>IF(A203="","",IF(C203="","",IF(COUNTIFS('Properties'!$A$6:$A$205,C203)&lt;&gt;1,"Check Property ID",IF(INDEX('Properties'!$B$6:$B$205,MATCH(C203,'Properties'!$A$6:$A$205,0))="","Name missing",INDEX('Properties'!$B$6:$B$205,MATCH(C203,'Properties'!$A$6:$A$205,0))))))</x:f>
      </x:c>
      <x:c r="J203" s="315" t="str">
        <x:f>IF(A203="","",IF(COUNTIFS($A$6:$A$205,A203)&gt;1,"Duplicate ID",IF(OR(B203="",COUNTIFS('Clients'!$A$6:$A$205,B203)&lt;&gt;1),"Check Client ID",IF(OR(C203="",COUNTIFS('Properties'!$A$6:$A$205,C203)&lt;&gt;1),"Check Property ID",IF(NOT(ISNUMBER(D203)),"Add appointment date",IF(E203="","Set viewing status",""))))))</x:f>
      </x:c>
    </x:row>
    <x:row r="204" ht="26" customHeight="1">
      <x:c r="A204" s="317"/>
      <x:c r="B204" s="318"/>
      <x:c r="C204" s="235"/>
      <x:c r="D204" s="348"/>
      <x:c r="E204" s="235"/>
      <x:c r="F204" s="235"/>
      <x:c r="G204" s="239"/>
      <x:c r="H204" s="265" t="str">
        <x:f>IF(A204="","",IF(B204="","",IF(COUNTIFS('Clients'!$A$6:$A$205,B204)&lt;&gt;1,"Check Client ID",IF(INDEX('Clients'!$B$6:$B$205,MATCH(B204,'Clients'!$A$6:$A$205,0))="","Name missing",INDEX('Clients'!$B$6:$B$205,MATCH(B204,'Clients'!$A$6:$A$205,0))))))</x:f>
      </x:c>
      <x:c r="I204" s="265" t="str">
        <x:f>IF(A204="","",IF(C204="","",IF(COUNTIFS('Properties'!$A$6:$A$205,C204)&lt;&gt;1,"Check Property ID",IF(INDEX('Properties'!$B$6:$B$205,MATCH(C204,'Properties'!$A$6:$A$205,0))="","Name missing",INDEX('Properties'!$B$6:$B$205,MATCH(C204,'Properties'!$A$6:$A$205,0))))))</x:f>
      </x:c>
      <x:c r="J204" s="315" t="str">
        <x:f>IF(A204="","",IF(COUNTIFS($A$6:$A$205,A204)&gt;1,"Duplicate ID",IF(OR(B204="",COUNTIFS('Clients'!$A$6:$A$205,B204)&lt;&gt;1),"Check Client ID",IF(OR(C204="",COUNTIFS('Properties'!$A$6:$A$205,C204)&lt;&gt;1),"Check Property ID",IF(NOT(ISNUMBER(D204)),"Add appointment date",IF(E204="","Set viewing status",""))))))</x:f>
      </x:c>
    </x:row>
    <x:row r="205" ht="26" customHeight="1">
      <x:c r="A205" s="321"/>
      <x:c r="B205" s="322"/>
      <x:c r="C205" s="307"/>
      <x:c r="D205" s="351"/>
      <x:c r="E205" s="307"/>
      <x:c r="F205" s="307"/>
      <x:c r="G205" s="311"/>
      <x:c r="H205" s="314" t="str">
        <x:f>IF(A205="","",IF(B205="","",IF(COUNTIFS('Clients'!$A$6:$A$205,B205)&lt;&gt;1,"Check Client ID",IF(INDEX('Clients'!$B$6:$B$205,MATCH(B205,'Clients'!$A$6:$A$205,0))="","Name missing",INDEX('Clients'!$B$6:$B$205,MATCH(B205,'Clients'!$A$6:$A$205,0))))))</x:f>
      </x:c>
      <x:c r="I205" s="314" t="str">
        <x:f>IF(A205="","",IF(C205="","",IF(COUNTIFS('Properties'!$A$6:$A$205,C205)&lt;&gt;1,"Check Property ID",IF(INDEX('Properties'!$B$6:$B$205,MATCH(C205,'Properties'!$A$6:$A$205,0))="","Name missing",INDEX('Properties'!$B$6:$B$205,MATCH(C205,'Properties'!$A$6:$A$205,0))))))</x:f>
      </x:c>
      <x:c r="J205" s="316" t="str">
        <x:f>IF(A205="","",IF(COUNTIFS($A$6:$A$205,A205)&gt;1,"Duplicate ID",IF(OR(B205="",COUNTIFS('Clients'!$A$6:$A$205,B205)&lt;&gt;1),"Check Client ID",IF(OR(C205="",COUNTIFS('Properties'!$A$6:$A$205,C205)&lt;&gt;1),"Check Property ID",IF(NOT(ISNUMBER(D205)),"Add appointment date",IF(E205="","Set viewing status",""))))))</x:f>
      </x:c>
    </x:row>
  </x:sheetData>
  <x:mergeCells>
    <x:mergeCell ref="A1:D1"/>
    <x:mergeCell ref="A2:E2"/>
    <x:mergeCell ref="F2:H2"/>
    <x:mergeCell ref="A3:H3"/>
    <x:mergeCell ref="E1:G1"/>
  </x:mergeCells>
  <x:conditionalFormatting sqref="A6:A205">
    <x:cfRule type="expression" dxfId="4" priority="1">
      <x:formula>AND(A6&lt;&gt;"",COUNTIFS($A$6:$A$205,A6)&gt;1)</x:formula>
    </x:cfRule>
    <x:cfRule type="expression" dxfId="35" priority="5">
      <x:formula>AND(A6&lt;&gt;"",COUNTIFS($A$6:$A$205,A6)&gt;1)</x:formula>
    </x:cfRule>
  </x:conditionalFormatting>
  <x:conditionalFormatting sqref="E6:E205">
    <x:cfRule type="cellIs" dxfId="14" priority="2" operator="equal">
      <x:formula>"Completed"</x:formula>
    </x:cfRule>
    <x:cfRule type="cellIs" dxfId="19" priority="3" operator="equal">
      <x:formula>"Confirmed"</x:formula>
    </x:cfRule>
  </x:conditionalFormatting>
  <x:conditionalFormatting sqref="J6:J205">
    <x:cfRule type="expression" dxfId="34" priority="4">
      <x:formula>J6&lt;&gt;""</x:formula>
    </x:cfRule>
  </x:conditionalFormatting>
  <x:dataValidations count="3">
    <x:dataValidation type="list" sqref="B6:B205">
      <x:formula1>'Clients'!$A$6:$A$205</x:formula1>
    </x:dataValidation>
    <x:dataValidation type="list" sqref="C6:C205">
      <x:formula1>'Properties'!$A$6:$A$205</x:formula1>
    </x:dataValidation>
    <x:dataValidation type="list" sqref="E6:E205">
      <x:formula1>"Scheduled,Confirmed,Completed,Cancelled,No-show"</x:formula1>
    </x:dataValidation>
  </x:dataValidations>
  <x:pageMargins left="0.7" right="0.7" top="0.75" bottom="0.75" header="0.3" footer="0.3"/>
  <x:tableParts count="1">
    <x:tablePart xmlns:r="http://schemas.openxmlformats.org/officeDocument/2006/relationships" r:id="Rfb9e641372c1486c"/>
  </x:tableParts>
</x:worksheet>
</file>

<file path=xl/worksheets/sheet8.xml><?xml version="1.0" encoding="utf-8"?>
<x:worksheet xmlns:x="http://schemas.openxmlformats.org/spreadsheetml/2006/main">
  <x:sheetPr>
    <x:tabColor rgb="FFA18350"/>
  </x:sheetPr>
  <x:sheetViews>
    <x:sheetView showGridLines="0" workbookViewId="0">
      <x:pane xSplit="2" ySplit="5" topLeftCell="C6" activePane="bottomRight" state="frozen"/>
    </x:sheetView>
  </x:sheetViews>
  <x:sheetFormatPr defaultRowHeight="15"/>
  <x:cols>
    <x:col min="1" max="1" width="13" hidden="0" customWidth="1"/>
    <x:col min="2" max="2" width="13" hidden="0" customWidth="1"/>
    <x:col min="3" max="3" width="18" hidden="0" customWidth="1"/>
    <x:col min="4" max="4" width="19" hidden="0" customWidth="1"/>
    <x:col min="5" max="5" width="19" hidden="0" customWidth="1"/>
    <x:col min="6" max="6" width="19" hidden="0" customWidth="1"/>
    <x:col min="7" max="7" width="25" hidden="0" customWidth="1"/>
    <x:col min="8" max="8" width="32" hidden="0" customWidth="1"/>
    <x:col min="9" max="9" width="25" hidden="0" customWidth="1"/>
  </x:cols>
  <x:sheetData>
    <x:row r="1" ht="22" customHeight="1">
      <x:c r="A1" s="259" t="str">
        <x:v>KEYS WITH SIMONI</x:v>
      </x:c>
      <x:c r="B1" s="260"/>
      <x:c r="C1" s="260"/>
      <x:c r="D1" s="260"/>
      <x:c r="E1" s="382" t="str">
        <x:v>Records to review</x:v>
      </x:c>
      <x:c r="F1" s="382"/>
      <x:c r="G1" s="382"/>
      <x:c r="H1" s="385" t="n">
        <x:f>SUM(COUNTIFS($I$6:$I$205,"Duplicate ID"),COUNTIFS($I$6:$I$205,"Check Deal ID"),COUNTIFS($I$6:$I$205,"Add receipt date"),COUNTIFS($I$6:$I$205,"Add fee received"))</x:f>
        <x:v>0</x:v>
      </x:c>
      <x:c r="I1" s="257"/>
    </x:row>
    <x:row r="2" ht="37" customHeight="1">
      <x:c r="A2" s="263" t="str">
        <x:v>Commission receipts</x:v>
      </x:c>
      <x:c r="B2" s="264"/>
      <x:c r="C2" s="264"/>
      <x:c r="D2" s="264"/>
      <x:c r="E2" s="264"/>
      <x:c r="F2" s="268" t="str">
        <x:v>White: enter data. Blue-grey: calculated.</x:v>
      </x:c>
      <x:c r="G2" s="268"/>
      <x:c r="H2" s="268"/>
      <x:c r="I2" s="239"/>
    </x:row>
    <x:row r="3" ht="35" customHeight="1">
      <x:c r="A3" s="271" t="str">
        <x:v>Enter each payment to you once. Separate your fee from VAT. Negative amounts record refunds.</x:v>
      </x:c>
      <x:c r="B3" s="272"/>
      <x:c r="C3" s="272"/>
      <x:c r="D3" s="272"/>
      <x:c r="E3" s="272"/>
      <x:c r="F3" s="272"/>
      <x:c r="G3" s="272"/>
      <x:c r="H3" s="272"/>
      <x:c r="I3" s="239"/>
    </x:row>
    <x:row r="4" ht="24" customHeight="1">
      <x:c r="A4" s="277" t="str">
        <x:v>01  RECEIPT</x:v>
      </x:c>
      <x:c r="B4" s="278"/>
      <x:c r="C4" s="278"/>
      <x:c r="D4" s="279" t="str">
        <x:v>02  AMOUNTS</x:v>
      </x:c>
      <x:c r="E4" s="279"/>
      <x:c r="F4" s="279"/>
      <x:c r="G4" s="279" t="str">
        <x:v>03  REFERENCE &amp; REVIEW</x:v>
      </x:c>
      <x:c r="H4" s="279"/>
      <x:c r="I4" s="282"/>
    </x:row>
    <x:row r="5" ht="44" customHeight="1">
      <x:c r="A5" s="293" t="str">
        <x:v>Payment
ID</x:v>
      </x:c>
      <x:c r="B5" s="294" t="str">
        <x:v>Deal
ID</x:v>
      </x:c>
      <x:c r="C5" s="294" t="str">
        <x:v>Receipt
date</x:v>
      </x:c>
      <x:c r="D5" s="294" t="str">
        <x:v>Your fee received
AED ex VAT</x:v>
      </x:c>
      <x:c r="E5" s="294" t="str">
        <x:v>VAT received
AED</x:v>
      </x:c>
      <x:c r="F5" s="294" t="str">
        <x:v>Total received
AED</x:v>
      </x:c>
      <x:c r="G5" s="294" t="str">
        <x:v>Payment
reference</x:v>
      </x:c>
      <x:c r="H5" s="294" t="str">
        <x:v>Notes</x:v>
      </x:c>
      <x:c r="I5" s="299" t="str">
        <x:v>Record
check</x:v>
      </x:c>
    </x:row>
    <x:row r="6" ht="26" customHeight="1">
      <x:c r="A6" s="317"/>
      <x:c r="B6" s="318"/>
      <x:c r="C6" s="238"/>
      <x:c r="D6" s="236"/>
      <x:c r="E6" s="236"/>
      <x:c r="F6" s="312" t="str">
        <x:f>IF(OR(A6="",NOT(ISNUMBER(D6))),"",SUM(D6:E6))</x:f>
      </x:c>
      <x:c r="G6" s="235"/>
      <x:c r="H6" s="239"/>
      <x:c r="I6" s="315" t="str">
        <x:f>IF(A6="","",IF(COUNTIFS($A$6:$A$205,A6)&gt;1,"Duplicate ID",IF(OR(B6="",COUNTIFS('Deals'!$A$6:$A$205,B6)&lt;&gt;1),"Check Deal ID",IF(NOT(ISNUMBER(C6)),"Add receipt date",IF(NOT(ISNUMBER(D6)),"Add fee received","")))))</x:f>
      </x:c>
    </x:row>
    <x:row r="7" ht="26" customHeight="1">
      <x:c r="A7" s="319"/>
      <x:c r="B7" s="320"/>
      <x:c r="C7" s="304"/>
      <x:c r="D7" s="302"/>
      <x:c r="E7" s="302"/>
      <x:c r="F7" s="312" t="str">
        <x:f>IF(OR(A7="",NOT(ISNUMBER(D7))),"",SUM(D7:E7))</x:f>
      </x:c>
      <x:c r="G7" s="274"/>
      <x:c r="H7" s="280"/>
      <x:c r="I7" s="315" t="str">
        <x:f>IF(A7="","",IF(COUNTIFS($A$6:$A$205,A7)&gt;1,"Duplicate ID",IF(OR(B7="",COUNTIFS('Deals'!$A$6:$A$205,B7)&lt;&gt;1),"Check Deal ID",IF(NOT(ISNUMBER(C7)),"Add receipt date",IF(NOT(ISNUMBER(D7)),"Add fee received","")))))</x:f>
      </x:c>
    </x:row>
    <x:row r="8" ht="26" customHeight="1">
      <x:c r="A8" s="317"/>
      <x:c r="B8" s="318"/>
      <x:c r="C8" s="238"/>
      <x:c r="D8" s="236"/>
      <x:c r="E8" s="236"/>
      <x:c r="F8" s="312" t="str">
        <x:f>IF(OR(A8="",NOT(ISNUMBER(D8))),"",SUM(D8:E8))</x:f>
      </x:c>
      <x:c r="G8" s="235"/>
      <x:c r="H8" s="239"/>
      <x:c r="I8" s="315" t="str">
        <x:f>IF(A8="","",IF(COUNTIFS($A$6:$A$205,A8)&gt;1,"Duplicate ID",IF(OR(B8="",COUNTIFS('Deals'!$A$6:$A$205,B8)&lt;&gt;1),"Check Deal ID",IF(NOT(ISNUMBER(C8)),"Add receipt date",IF(NOT(ISNUMBER(D8)),"Add fee received","")))))</x:f>
      </x:c>
    </x:row>
    <x:row r="9" ht="26" customHeight="1">
      <x:c r="A9" s="319"/>
      <x:c r="B9" s="320"/>
      <x:c r="C9" s="304"/>
      <x:c r="D9" s="302"/>
      <x:c r="E9" s="302"/>
      <x:c r="F9" s="312" t="str">
        <x:f>IF(OR(A9="",NOT(ISNUMBER(D9))),"",SUM(D9:E9))</x:f>
      </x:c>
      <x:c r="G9" s="274"/>
      <x:c r="H9" s="280"/>
      <x:c r="I9" s="315" t="str">
        <x:f>IF(A9="","",IF(COUNTIFS($A$6:$A$205,A9)&gt;1,"Duplicate ID",IF(OR(B9="",COUNTIFS('Deals'!$A$6:$A$205,B9)&lt;&gt;1),"Check Deal ID",IF(NOT(ISNUMBER(C9)),"Add receipt date",IF(NOT(ISNUMBER(D9)),"Add fee received","")))))</x:f>
      </x:c>
    </x:row>
    <x:row r="10" ht="26" customHeight="1">
      <x:c r="A10" s="317"/>
      <x:c r="B10" s="318"/>
      <x:c r="C10" s="238"/>
      <x:c r="D10" s="236"/>
      <x:c r="E10" s="236"/>
      <x:c r="F10" s="312" t="str">
        <x:f>IF(OR(A10="",NOT(ISNUMBER(D10))),"",SUM(D10:E10))</x:f>
      </x:c>
      <x:c r="G10" s="235"/>
      <x:c r="H10" s="239"/>
      <x:c r="I10" s="315" t="str">
        <x:f>IF(A10="","",IF(COUNTIFS($A$6:$A$205,A10)&gt;1,"Duplicate ID",IF(OR(B10="",COUNTIFS('Deals'!$A$6:$A$205,B10)&lt;&gt;1),"Check Deal ID",IF(NOT(ISNUMBER(C10)),"Add receipt date",IF(NOT(ISNUMBER(D10)),"Add fee received","")))))</x:f>
      </x:c>
    </x:row>
    <x:row r="11" ht="26" customHeight="1">
      <x:c r="A11" s="319"/>
      <x:c r="B11" s="320"/>
      <x:c r="C11" s="304"/>
      <x:c r="D11" s="302"/>
      <x:c r="E11" s="302"/>
      <x:c r="F11" s="312" t="str">
        <x:f>IF(OR(A11="",NOT(ISNUMBER(D11))),"",SUM(D11:E11))</x:f>
      </x:c>
      <x:c r="G11" s="274"/>
      <x:c r="H11" s="280"/>
      <x:c r="I11" s="315" t="str">
        <x:f>IF(A11="","",IF(COUNTIFS($A$6:$A$205,A11)&gt;1,"Duplicate ID",IF(OR(B11="",COUNTIFS('Deals'!$A$6:$A$205,B11)&lt;&gt;1),"Check Deal ID",IF(NOT(ISNUMBER(C11)),"Add receipt date",IF(NOT(ISNUMBER(D11)),"Add fee received","")))))</x:f>
      </x:c>
    </x:row>
    <x:row r="12" ht="26" customHeight="1">
      <x:c r="A12" s="317"/>
      <x:c r="B12" s="318"/>
      <x:c r="C12" s="238"/>
      <x:c r="D12" s="236"/>
      <x:c r="E12" s="236"/>
      <x:c r="F12" s="312" t="str">
        <x:f>IF(OR(A12="",NOT(ISNUMBER(D12))),"",SUM(D12:E12))</x:f>
      </x:c>
      <x:c r="G12" s="235"/>
      <x:c r="H12" s="239"/>
      <x:c r="I12" s="315" t="str">
        <x:f>IF(A12="","",IF(COUNTIFS($A$6:$A$205,A12)&gt;1,"Duplicate ID",IF(OR(B12="",COUNTIFS('Deals'!$A$6:$A$205,B12)&lt;&gt;1),"Check Deal ID",IF(NOT(ISNUMBER(C12)),"Add receipt date",IF(NOT(ISNUMBER(D12)),"Add fee received","")))))</x:f>
      </x:c>
    </x:row>
    <x:row r="13" ht="26" customHeight="1">
      <x:c r="A13" s="319"/>
      <x:c r="B13" s="320"/>
      <x:c r="C13" s="304"/>
      <x:c r="D13" s="302"/>
      <x:c r="E13" s="302"/>
      <x:c r="F13" s="312" t="str">
        <x:f>IF(OR(A13="",NOT(ISNUMBER(D13))),"",SUM(D13:E13))</x:f>
      </x:c>
      <x:c r="G13" s="274"/>
      <x:c r="H13" s="280"/>
      <x:c r="I13" s="315" t="str">
        <x:f>IF(A13="","",IF(COUNTIFS($A$6:$A$205,A13)&gt;1,"Duplicate ID",IF(OR(B13="",COUNTIFS('Deals'!$A$6:$A$205,B13)&lt;&gt;1),"Check Deal ID",IF(NOT(ISNUMBER(C13)),"Add receipt date",IF(NOT(ISNUMBER(D13)),"Add fee received","")))))</x:f>
      </x:c>
    </x:row>
    <x:row r="14" ht="26" customHeight="1">
      <x:c r="A14" s="317"/>
      <x:c r="B14" s="318"/>
      <x:c r="C14" s="238"/>
      <x:c r="D14" s="236"/>
      <x:c r="E14" s="236"/>
      <x:c r="F14" s="312" t="str">
        <x:f>IF(OR(A14="",NOT(ISNUMBER(D14))),"",SUM(D14:E14))</x:f>
      </x:c>
      <x:c r="G14" s="235"/>
      <x:c r="H14" s="239"/>
      <x:c r="I14" s="315" t="str">
        <x:f>IF(A14="","",IF(COUNTIFS($A$6:$A$205,A14)&gt;1,"Duplicate ID",IF(OR(B14="",COUNTIFS('Deals'!$A$6:$A$205,B14)&lt;&gt;1),"Check Deal ID",IF(NOT(ISNUMBER(C14)),"Add receipt date",IF(NOT(ISNUMBER(D14)),"Add fee received","")))))</x:f>
      </x:c>
    </x:row>
    <x:row r="15" ht="26" customHeight="1">
      <x:c r="A15" s="319"/>
      <x:c r="B15" s="320"/>
      <x:c r="C15" s="304"/>
      <x:c r="D15" s="302"/>
      <x:c r="E15" s="302"/>
      <x:c r="F15" s="312" t="str">
        <x:f>IF(OR(A15="",NOT(ISNUMBER(D15))),"",SUM(D15:E15))</x:f>
      </x:c>
      <x:c r="G15" s="274"/>
      <x:c r="H15" s="280"/>
      <x:c r="I15" s="315" t="str">
        <x:f>IF(A15="","",IF(COUNTIFS($A$6:$A$205,A15)&gt;1,"Duplicate ID",IF(OR(B15="",COUNTIFS('Deals'!$A$6:$A$205,B15)&lt;&gt;1),"Check Deal ID",IF(NOT(ISNUMBER(C15)),"Add receipt date",IF(NOT(ISNUMBER(D15)),"Add fee received","")))))</x:f>
      </x:c>
    </x:row>
    <x:row r="16" ht="26" customHeight="1">
      <x:c r="A16" s="317"/>
      <x:c r="B16" s="318"/>
      <x:c r="C16" s="238"/>
      <x:c r="D16" s="236"/>
      <x:c r="E16" s="236"/>
      <x:c r="F16" s="312" t="str">
        <x:f>IF(OR(A16="",NOT(ISNUMBER(D16))),"",SUM(D16:E16))</x:f>
      </x:c>
      <x:c r="G16" s="235"/>
      <x:c r="H16" s="239"/>
      <x:c r="I16" s="315" t="str">
        <x:f>IF(A16="","",IF(COUNTIFS($A$6:$A$205,A16)&gt;1,"Duplicate ID",IF(OR(B16="",COUNTIFS('Deals'!$A$6:$A$205,B16)&lt;&gt;1),"Check Deal ID",IF(NOT(ISNUMBER(C16)),"Add receipt date",IF(NOT(ISNUMBER(D16)),"Add fee received","")))))</x:f>
      </x:c>
    </x:row>
    <x:row r="17" ht="26" customHeight="1">
      <x:c r="A17" s="319"/>
      <x:c r="B17" s="320"/>
      <x:c r="C17" s="304"/>
      <x:c r="D17" s="302"/>
      <x:c r="E17" s="302"/>
      <x:c r="F17" s="312" t="str">
        <x:f>IF(OR(A17="",NOT(ISNUMBER(D17))),"",SUM(D17:E17))</x:f>
      </x:c>
      <x:c r="G17" s="274"/>
      <x:c r="H17" s="280"/>
      <x:c r="I17" s="315" t="str">
        <x:f>IF(A17="","",IF(COUNTIFS($A$6:$A$205,A17)&gt;1,"Duplicate ID",IF(OR(B17="",COUNTIFS('Deals'!$A$6:$A$205,B17)&lt;&gt;1),"Check Deal ID",IF(NOT(ISNUMBER(C17)),"Add receipt date",IF(NOT(ISNUMBER(D17)),"Add fee received","")))))</x:f>
      </x:c>
    </x:row>
    <x:row r="18" ht="26" customHeight="1">
      <x:c r="A18" s="317"/>
      <x:c r="B18" s="318"/>
      <x:c r="C18" s="238"/>
      <x:c r="D18" s="236"/>
      <x:c r="E18" s="236"/>
      <x:c r="F18" s="312" t="str">
        <x:f>IF(OR(A18="",NOT(ISNUMBER(D18))),"",SUM(D18:E18))</x:f>
      </x:c>
      <x:c r="G18" s="235"/>
      <x:c r="H18" s="239"/>
      <x:c r="I18" s="315" t="str">
        <x:f>IF(A18="","",IF(COUNTIFS($A$6:$A$205,A18)&gt;1,"Duplicate ID",IF(OR(B18="",COUNTIFS('Deals'!$A$6:$A$205,B18)&lt;&gt;1),"Check Deal ID",IF(NOT(ISNUMBER(C18)),"Add receipt date",IF(NOT(ISNUMBER(D18)),"Add fee received","")))))</x:f>
      </x:c>
    </x:row>
    <x:row r="19" ht="26" customHeight="1">
      <x:c r="A19" s="319"/>
      <x:c r="B19" s="320"/>
      <x:c r="C19" s="304"/>
      <x:c r="D19" s="302"/>
      <x:c r="E19" s="302"/>
      <x:c r="F19" s="312" t="str">
        <x:f>IF(OR(A19="",NOT(ISNUMBER(D19))),"",SUM(D19:E19))</x:f>
      </x:c>
      <x:c r="G19" s="274"/>
      <x:c r="H19" s="280"/>
      <x:c r="I19" s="315" t="str">
        <x:f>IF(A19="","",IF(COUNTIFS($A$6:$A$205,A19)&gt;1,"Duplicate ID",IF(OR(B19="",COUNTIFS('Deals'!$A$6:$A$205,B19)&lt;&gt;1),"Check Deal ID",IF(NOT(ISNUMBER(C19)),"Add receipt date",IF(NOT(ISNUMBER(D19)),"Add fee received","")))))</x:f>
      </x:c>
    </x:row>
    <x:row r="20" ht="26" customHeight="1">
      <x:c r="A20" s="317"/>
      <x:c r="B20" s="318"/>
      <x:c r="C20" s="238"/>
      <x:c r="D20" s="236"/>
      <x:c r="E20" s="236"/>
      <x:c r="F20" s="312" t="str">
        <x:f>IF(OR(A20="",NOT(ISNUMBER(D20))),"",SUM(D20:E20))</x:f>
      </x:c>
      <x:c r="G20" s="235"/>
      <x:c r="H20" s="239"/>
      <x:c r="I20" s="315" t="str">
        <x:f>IF(A20="","",IF(COUNTIFS($A$6:$A$205,A20)&gt;1,"Duplicate ID",IF(OR(B20="",COUNTIFS('Deals'!$A$6:$A$205,B20)&lt;&gt;1),"Check Deal ID",IF(NOT(ISNUMBER(C20)),"Add receipt date",IF(NOT(ISNUMBER(D20)),"Add fee received","")))))</x:f>
      </x:c>
    </x:row>
    <x:row r="21" ht="26" customHeight="1">
      <x:c r="A21" s="319"/>
      <x:c r="B21" s="320"/>
      <x:c r="C21" s="304"/>
      <x:c r="D21" s="302"/>
      <x:c r="E21" s="302"/>
      <x:c r="F21" s="312" t="str">
        <x:f>IF(OR(A21="",NOT(ISNUMBER(D21))),"",SUM(D21:E21))</x:f>
      </x:c>
      <x:c r="G21" s="274"/>
      <x:c r="H21" s="280"/>
      <x:c r="I21" s="315" t="str">
        <x:f>IF(A21="","",IF(COUNTIFS($A$6:$A$205,A21)&gt;1,"Duplicate ID",IF(OR(B21="",COUNTIFS('Deals'!$A$6:$A$205,B21)&lt;&gt;1),"Check Deal ID",IF(NOT(ISNUMBER(C21)),"Add receipt date",IF(NOT(ISNUMBER(D21)),"Add fee received","")))))</x:f>
      </x:c>
    </x:row>
    <x:row r="22" ht="26" customHeight="1">
      <x:c r="A22" s="317"/>
      <x:c r="B22" s="318"/>
      <x:c r="C22" s="238"/>
      <x:c r="D22" s="236"/>
      <x:c r="E22" s="236"/>
      <x:c r="F22" s="312" t="str">
        <x:f>IF(OR(A22="",NOT(ISNUMBER(D22))),"",SUM(D22:E22))</x:f>
      </x:c>
      <x:c r="G22" s="235"/>
      <x:c r="H22" s="239"/>
      <x:c r="I22" s="315" t="str">
        <x:f>IF(A22="","",IF(COUNTIFS($A$6:$A$205,A22)&gt;1,"Duplicate ID",IF(OR(B22="",COUNTIFS('Deals'!$A$6:$A$205,B22)&lt;&gt;1),"Check Deal ID",IF(NOT(ISNUMBER(C22)),"Add receipt date",IF(NOT(ISNUMBER(D22)),"Add fee received","")))))</x:f>
      </x:c>
    </x:row>
    <x:row r="23" ht="26" customHeight="1">
      <x:c r="A23" s="319"/>
      <x:c r="B23" s="320"/>
      <x:c r="C23" s="304"/>
      <x:c r="D23" s="302"/>
      <x:c r="E23" s="302"/>
      <x:c r="F23" s="312" t="str">
        <x:f>IF(OR(A23="",NOT(ISNUMBER(D23))),"",SUM(D23:E23))</x:f>
      </x:c>
      <x:c r="G23" s="274"/>
      <x:c r="H23" s="280"/>
      <x:c r="I23" s="315" t="str">
        <x:f>IF(A23="","",IF(COUNTIFS($A$6:$A$205,A23)&gt;1,"Duplicate ID",IF(OR(B23="",COUNTIFS('Deals'!$A$6:$A$205,B23)&lt;&gt;1),"Check Deal ID",IF(NOT(ISNUMBER(C23)),"Add receipt date",IF(NOT(ISNUMBER(D23)),"Add fee received","")))))</x:f>
      </x:c>
    </x:row>
    <x:row r="24" ht="26" customHeight="1">
      <x:c r="A24" s="317"/>
      <x:c r="B24" s="318"/>
      <x:c r="C24" s="238"/>
      <x:c r="D24" s="236"/>
      <x:c r="E24" s="236"/>
      <x:c r="F24" s="312" t="str">
        <x:f>IF(OR(A24="",NOT(ISNUMBER(D24))),"",SUM(D24:E24))</x:f>
      </x:c>
      <x:c r="G24" s="235"/>
      <x:c r="H24" s="239"/>
      <x:c r="I24" s="315" t="str">
        <x:f>IF(A24="","",IF(COUNTIFS($A$6:$A$205,A24)&gt;1,"Duplicate ID",IF(OR(B24="",COUNTIFS('Deals'!$A$6:$A$205,B24)&lt;&gt;1),"Check Deal ID",IF(NOT(ISNUMBER(C24)),"Add receipt date",IF(NOT(ISNUMBER(D24)),"Add fee received","")))))</x:f>
      </x:c>
    </x:row>
    <x:row r="25" ht="26" customHeight="1">
      <x:c r="A25" s="319"/>
      <x:c r="B25" s="320"/>
      <x:c r="C25" s="304"/>
      <x:c r="D25" s="302"/>
      <x:c r="E25" s="302"/>
      <x:c r="F25" s="312" t="str">
        <x:f>IF(OR(A25="",NOT(ISNUMBER(D25))),"",SUM(D25:E25))</x:f>
      </x:c>
      <x:c r="G25" s="274"/>
      <x:c r="H25" s="280"/>
      <x:c r="I25" s="315" t="str">
        <x:f>IF(A25="","",IF(COUNTIFS($A$6:$A$205,A25)&gt;1,"Duplicate ID",IF(OR(B25="",COUNTIFS('Deals'!$A$6:$A$205,B25)&lt;&gt;1),"Check Deal ID",IF(NOT(ISNUMBER(C25)),"Add receipt date",IF(NOT(ISNUMBER(D25)),"Add fee received","")))))</x:f>
      </x:c>
    </x:row>
    <x:row r="26" ht="26" customHeight="1">
      <x:c r="A26" s="317"/>
      <x:c r="B26" s="318"/>
      <x:c r="C26" s="238"/>
      <x:c r="D26" s="236"/>
      <x:c r="E26" s="236"/>
      <x:c r="F26" s="312" t="str">
        <x:f>IF(OR(A26="",NOT(ISNUMBER(D26))),"",SUM(D26:E26))</x:f>
      </x:c>
      <x:c r="G26" s="235"/>
      <x:c r="H26" s="239"/>
      <x:c r="I26" s="315" t="str">
        <x:f>IF(A26="","",IF(COUNTIFS($A$6:$A$205,A26)&gt;1,"Duplicate ID",IF(OR(B26="",COUNTIFS('Deals'!$A$6:$A$205,B26)&lt;&gt;1),"Check Deal ID",IF(NOT(ISNUMBER(C26)),"Add receipt date",IF(NOT(ISNUMBER(D26)),"Add fee received","")))))</x:f>
      </x:c>
    </x:row>
    <x:row r="27" ht="26" customHeight="1">
      <x:c r="A27" s="319"/>
      <x:c r="B27" s="320"/>
      <x:c r="C27" s="304"/>
      <x:c r="D27" s="302"/>
      <x:c r="E27" s="302"/>
      <x:c r="F27" s="312" t="str">
        <x:f>IF(OR(A27="",NOT(ISNUMBER(D27))),"",SUM(D27:E27))</x:f>
      </x:c>
      <x:c r="G27" s="274"/>
      <x:c r="H27" s="280"/>
      <x:c r="I27" s="315" t="str">
        <x:f>IF(A27="","",IF(COUNTIFS($A$6:$A$205,A27)&gt;1,"Duplicate ID",IF(OR(B27="",COUNTIFS('Deals'!$A$6:$A$205,B27)&lt;&gt;1),"Check Deal ID",IF(NOT(ISNUMBER(C27)),"Add receipt date",IF(NOT(ISNUMBER(D27)),"Add fee received","")))))</x:f>
      </x:c>
    </x:row>
    <x:row r="28" ht="26" customHeight="1">
      <x:c r="A28" s="317"/>
      <x:c r="B28" s="318"/>
      <x:c r="C28" s="238"/>
      <x:c r="D28" s="236"/>
      <x:c r="E28" s="236"/>
      <x:c r="F28" s="312" t="str">
        <x:f>IF(OR(A28="",NOT(ISNUMBER(D28))),"",SUM(D28:E28))</x:f>
      </x:c>
      <x:c r="G28" s="235"/>
      <x:c r="H28" s="239"/>
      <x:c r="I28" s="315" t="str">
        <x:f>IF(A28="","",IF(COUNTIFS($A$6:$A$205,A28)&gt;1,"Duplicate ID",IF(OR(B28="",COUNTIFS('Deals'!$A$6:$A$205,B28)&lt;&gt;1),"Check Deal ID",IF(NOT(ISNUMBER(C28)),"Add receipt date",IF(NOT(ISNUMBER(D28)),"Add fee received","")))))</x:f>
      </x:c>
    </x:row>
    <x:row r="29" ht="26" customHeight="1">
      <x:c r="A29" s="319"/>
      <x:c r="B29" s="320"/>
      <x:c r="C29" s="304"/>
      <x:c r="D29" s="302"/>
      <x:c r="E29" s="302"/>
      <x:c r="F29" s="312" t="str">
        <x:f>IF(OR(A29="",NOT(ISNUMBER(D29))),"",SUM(D29:E29))</x:f>
      </x:c>
      <x:c r="G29" s="274"/>
      <x:c r="H29" s="280"/>
      <x:c r="I29" s="315" t="str">
        <x:f>IF(A29="","",IF(COUNTIFS($A$6:$A$205,A29)&gt;1,"Duplicate ID",IF(OR(B29="",COUNTIFS('Deals'!$A$6:$A$205,B29)&lt;&gt;1),"Check Deal ID",IF(NOT(ISNUMBER(C29)),"Add receipt date",IF(NOT(ISNUMBER(D29)),"Add fee received","")))))</x:f>
      </x:c>
    </x:row>
    <x:row r="30" ht="26" customHeight="1">
      <x:c r="A30" s="317"/>
      <x:c r="B30" s="318"/>
      <x:c r="C30" s="238"/>
      <x:c r="D30" s="236"/>
      <x:c r="E30" s="236"/>
      <x:c r="F30" s="312" t="str">
        <x:f>IF(OR(A30="",NOT(ISNUMBER(D30))),"",SUM(D30:E30))</x:f>
      </x:c>
      <x:c r="G30" s="235"/>
      <x:c r="H30" s="239"/>
      <x:c r="I30" s="315" t="str">
        <x:f>IF(A30="","",IF(COUNTIFS($A$6:$A$205,A30)&gt;1,"Duplicate ID",IF(OR(B30="",COUNTIFS('Deals'!$A$6:$A$205,B30)&lt;&gt;1),"Check Deal ID",IF(NOT(ISNUMBER(C30)),"Add receipt date",IF(NOT(ISNUMBER(D30)),"Add fee received","")))))</x:f>
      </x:c>
    </x:row>
    <x:row r="31" ht="26" customHeight="1">
      <x:c r="A31" s="319"/>
      <x:c r="B31" s="320"/>
      <x:c r="C31" s="304"/>
      <x:c r="D31" s="302"/>
      <x:c r="E31" s="302"/>
      <x:c r="F31" s="312" t="str">
        <x:f>IF(OR(A31="",NOT(ISNUMBER(D31))),"",SUM(D31:E31))</x:f>
      </x:c>
      <x:c r="G31" s="274"/>
      <x:c r="H31" s="280"/>
      <x:c r="I31" s="315" t="str">
        <x:f>IF(A31="","",IF(COUNTIFS($A$6:$A$205,A31)&gt;1,"Duplicate ID",IF(OR(B31="",COUNTIFS('Deals'!$A$6:$A$205,B31)&lt;&gt;1),"Check Deal ID",IF(NOT(ISNUMBER(C31)),"Add receipt date",IF(NOT(ISNUMBER(D31)),"Add fee received","")))))</x:f>
      </x:c>
    </x:row>
    <x:row r="32" ht="26" customHeight="1">
      <x:c r="A32" s="317"/>
      <x:c r="B32" s="318"/>
      <x:c r="C32" s="238"/>
      <x:c r="D32" s="236"/>
      <x:c r="E32" s="236"/>
      <x:c r="F32" s="312" t="str">
        <x:f>IF(OR(A32="",NOT(ISNUMBER(D32))),"",SUM(D32:E32))</x:f>
      </x:c>
      <x:c r="G32" s="235"/>
      <x:c r="H32" s="239"/>
      <x:c r="I32" s="315" t="str">
        <x:f>IF(A32="","",IF(COUNTIFS($A$6:$A$205,A32)&gt;1,"Duplicate ID",IF(OR(B32="",COUNTIFS('Deals'!$A$6:$A$205,B32)&lt;&gt;1),"Check Deal ID",IF(NOT(ISNUMBER(C32)),"Add receipt date",IF(NOT(ISNUMBER(D32)),"Add fee received","")))))</x:f>
      </x:c>
    </x:row>
    <x:row r="33" ht="26" customHeight="1">
      <x:c r="A33" s="319"/>
      <x:c r="B33" s="320"/>
      <x:c r="C33" s="304"/>
      <x:c r="D33" s="302"/>
      <x:c r="E33" s="302"/>
      <x:c r="F33" s="312" t="str">
        <x:f>IF(OR(A33="",NOT(ISNUMBER(D33))),"",SUM(D33:E33))</x:f>
      </x:c>
      <x:c r="G33" s="274"/>
      <x:c r="H33" s="280"/>
      <x:c r="I33" s="315" t="str">
        <x:f>IF(A33="","",IF(COUNTIFS($A$6:$A$205,A33)&gt;1,"Duplicate ID",IF(OR(B33="",COUNTIFS('Deals'!$A$6:$A$205,B33)&lt;&gt;1),"Check Deal ID",IF(NOT(ISNUMBER(C33)),"Add receipt date",IF(NOT(ISNUMBER(D33)),"Add fee received","")))))</x:f>
      </x:c>
    </x:row>
    <x:row r="34" ht="26" customHeight="1">
      <x:c r="A34" s="317"/>
      <x:c r="B34" s="318"/>
      <x:c r="C34" s="238"/>
      <x:c r="D34" s="236"/>
      <x:c r="E34" s="236"/>
      <x:c r="F34" s="312" t="str">
        <x:f>IF(OR(A34="",NOT(ISNUMBER(D34))),"",SUM(D34:E34))</x:f>
      </x:c>
      <x:c r="G34" s="235"/>
      <x:c r="H34" s="239"/>
      <x:c r="I34" s="315" t="str">
        <x:f>IF(A34="","",IF(COUNTIFS($A$6:$A$205,A34)&gt;1,"Duplicate ID",IF(OR(B34="",COUNTIFS('Deals'!$A$6:$A$205,B34)&lt;&gt;1),"Check Deal ID",IF(NOT(ISNUMBER(C34)),"Add receipt date",IF(NOT(ISNUMBER(D34)),"Add fee received","")))))</x:f>
      </x:c>
    </x:row>
    <x:row r="35" ht="26" customHeight="1">
      <x:c r="A35" s="319"/>
      <x:c r="B35" s="320"/>
      <x:c r="C35" s="304"/>
      <x:c r="D35" s="302"/>
      <x:c r="E35" s="302"/>
      <x:c r="F35" s="312" t="str">
        <x:f>IF(OR(A35="",NOT(ISNUMBER(D35))),"",SUM(D35:E35))</x:f>
      </x:c>
      <x:c r="G35" s="274"/>
      <x:c r="H35" s="280"/>
      <x:c r="I35" s="315" t="str">
        <x:f>IF(A35="","",IF(COUNTIFS($A$6:$A$205,A35)&gt;1,"Duplicate ID",IF(OR(B35="",COUNTIFS('Deals'!$A$6:$A$205,B35)&lt;&gt;1),"Check Deal ID",IF(NOT(ISNUMBER(C35)),"Add receipt date",IF(NOT(ISNUMBER(D35)),"Add fee received","")))))</x:f>
      </x:c>
    </x:row>
    <x:row r="36" ht="26" customHeight="1">
      <x:c r="A36" s="317"/>
      <x:c r="B36" s="318"/>
      <x:c r="C36" s="238"/>
      <x:c r="D36" s="236"/>
      <x:c r="E36" s="236"/>
      <x:c r="F36" s="312" t="str">
        <x:f>IF(OR(A36="",NOT(ISNUMBER(D36))),"",SUM(D36:E36))</x:f>
      </x:c>
      <x:c r="G36" s="235"/>
      <x:c r="H36" s="239"/>
      <x:c r="I36" s="315" t="str">
        <x:f>IF(A36="","",IF(COUNTIFS($A$6:$A$205,A36)&gt;1,"Duplicate ID",IF(OR(B36="",COUNTIFS('Deals'!$A$6:$A$205,B36)&lt;&gt;1),"Check Deal ID",IF(NOT(ISNUMBER(C36)),"Add receipt date",IF(NOT(ISNUMBER(D36)),"Add fee received","")))))</x:f>
      </x:c>
    </x:row>
    <x:row r="37" ht="26" customHeight="1">
      <x:c r="A37" s="319"/>
      <x:c r="B37" s="320"/>
      <x:c r="C37" s="304"/>
      <x:c r="D37" s="302"/>
      <x:c r="E37" s="302"/>
      <x:c r="F37" s="312" t="str">
        <x:f>IF(OR(A37="",NOT(ISNUMBER(D37))),"",SUM(D37:E37))</x:f>
      </x:c>
      <x:c r="G37" s="274"/>
      <x:c r="H37" s="280"/>
      <x:c r="I37" s="315" t="str">
        <x:f>IF(A37="","",IF(COUNTIFS($A$6:$A$205,A37)&gt;1,"Duplicate ID",IF(OR(B37="",COUNTIFS('Deals'!$A$6:$A$205,B37)&lt;&gt;1),"Check Deal ID",IF(NOT(ISNUMBER(C37)),"Add receipt date",IF(NOT(ISNUMBER(D37)),"Add fee received","")))))</x:f>
      </x:c>
    </x:row>
    <x:row r="38" ht="26" customHeight="1">
      <x:c r="A38" s="317"/>
      <x:c r="B38" s="318"/>
      <x:c r="C38" s="238"/>
      <x:c r="D38" s="236"/>
      <x:c r="E38" s="236"/>
      <x:c r="F38" s="312" t="str">
        <x:f>IF(OR(A38="",NOT(ISNUMBER(D38))),"",SUM(D38:E38))</x:f>
      </x:c>
      <x:c r="G38" s="235"/>
      <x:c r="H38" s="239"/>
      <x:c r="I38" s="315" t="str">
        <x:f>IF(A38="","",IF(COUNTIFS($A$6:$A$205,A38)&gt;1,"Duplicate ID",IF(OR(B38="",COUNTIFS('Deals'!$A$6:$A$205,B38)&lt;&gt;1),"Check Deal ID",IF(NOT(ISNUMBER(C38)),"Add receipt date",IF(NOT(ISNUMBER(D38)),"Add fee received","")))))</x:f>
      </x:c>
    </x:row>
    <x:row r="39" ht="26" customHeight="1">
      <x:c r="A39" s="319"/>
      <x:c r="B39" s="320"/>
      <x:c r="C39" s="304"/>
      <x:c r="D39" s="302"/>
      <x:c r="E39" s="302"/>
      <x:c r="F39" s="312" t="str">
        <x:f>IF(OR(A39="",NOT(ISNUMBER(D39))),"",SUM(D39:E39))</x:f>
      </x:c>
      <x:c r="G39" s="274"/>
      <x:c r="H39" s="280"/>
      <x:c r="I39" s="315" t="str">
        <x:f>IF(A39="","",IF(COUNTIFS($A$6:$A$205,A39)&gt;1,"Duplicate ID",IF(OR(B39="",COUNTIFS('Deals'!$A$6:$A$205,B39)&lt;&gt;1),"Check Deal ID",IF(NOT(ISNUMBER(C39)),"Add receipt date",IF(NOT(ISNUMBER(D39)),"Add fee received","")))))</x:f>
      </x:c>
    </x:row>
    <x:row r="40" ht="26" customHeight="1">
      <x:c r="A40" s="317"/>
      <x:c r="B40" s="318"/>
      <x:c r="C40" s="238"/>
      <x:c r="D40" s="236"/>
      <x:c r="E40" s="236"/>
      <x:c r="F40" s="312" t="str">
        <x:f>IF(OR(A40="",NOT(ISNUMBER(D40))),"",SUM(D40:E40))</x:f>
      </x:c>
      <x:c r="G40" s="235"/>
      <x:c r="H40" s="239"/>
      <x:c r="I40" s="315" t="str">
        <x:f>IF(A40="","",IF(COUNTIFS($A$6:$A$205,A40)&gt;1,"Duplicate ID",IF(OR(B40="",COUNTIFS('Deals'!$A$6:$A$205,B40)&lt;&gt;1),"Check Deal ID",IF(NOT(ISNUMBER(C40)),"Add receipt date",IF(NOT(ISNUMBER(D40)),"Add fee received","")))))</x:f>
      </x:c>
    </x:row>
    <x:row r="41" ht="26" customHeight="1">
      <x:c r="A41" s="319"/>
      <x:c r="B41" s="320"/>
      <x:c r="C41" s="304"/>
      <x:c r="D41" s="302"/>
      <x:c r="E41" s="302"/>
      <x:c r="F41" s="312" t="str">
        <x:f>IF(OR(A41="",NOT(ISNUMBER(D41))),"",SUM(D41:E41))</x:f>
      </x:c>
      <x:c r="G41" s="274"/>
      <x:c r="H41" s="280"/>
      <x:c r="I41" s="315" t="str">
        <x:f>IF(A41="","",IF(COUNTIFS($A$6:$A$205,A41)&gt;1,"Duplicate ID",IF(OR(B41="",COUNTIFS('Deals'!$A$6:$A$205,B41)&lt;&gt;1),"Check Deal ID",IF(NOT(ISNUMBER(C41)),"Add receipt date",IF(NOT(ISNUMBER(D41)),"Add fee received","")))))</x:f>
      </x:c>
    </x:row>
    <x:row r="42" ht="26" customHeight="1">
      <x:c r="A42" s="317"/>
      <x:c r="B42" s="318"/>
      <x:c r="C42" s="238"/>
      <x:c r="D42" s="236"/>
      <x:c r="E42" s="236"/>
      <x:c r="F42" s="312" t="str">
        <x:f>IF(OR(A42="",NOT(ISNUMBER(D42))),"",SUM(D42:E42))</x:f>
      </x:c>
      <x:c r="G42" s="235"/>
      <x:c r="H42" s="239"/>
      <x:c r="I42" s="315" t="str">
        <x:f>IF(A42="","",IF(COUNTIFS($A$6:$A$205,A42)&gt;1,"Duplicate ID",IF(OR(B42="",COUNTIFS('Deals'!$A$6:$A$205,B42)&lt;&gt;1),"Check Deal ID",IF(NOT(ISNUMBER(C42)),"Add receipt date",IF(NOT(ISNUMBER(D42)),"Add fee received","")))))</x:f>
      </x:c>
    </x:row>
    <x:row r="43" ht="26" customHeight="1">
      <x:c r="A43" s="319"/>
      <x:c r="B43" s="320"/>
      <x:c r="C43" s="304"/>
      <x:c r="D43" s="302"/>
      <x:c r="E43" s="302"/>
      <x:c r="F43" s="312" t="str">
        <x:f>IF(OR(A43="",NOT(ISNUMBER(D43))),"",SUM(D43:E43))</x:f>
      </x:c>
      <x:c r="G43" s="274"/>
      <x:c r="H43" s="280"/>
      <x:c r="I43" s="315" t="str">
        <x:f>IF(A43="","",IF(COUNTIFS($A$6:$A$205,A43)&gt;1,"Duplicate ID",IF(OR(B43="",COUNTIFS('Deals'!$A$6:$A$205,B43)&lt;&gt;1),"Check Deal ID",IF(NOT(ISNUMBER(C43)),"Add receipt date",IF(NOT(ISNUMBER(D43)),"Add fee received","")))))</x:f>
      </x:c>
    </x:row>
    <x:row r="44" ht="26" customHeight="1">
      <x:c r="A44" s="317"/>
      <x:c r="B44" s="318"/>
      <x:c r="C44" s="238"/>
      <x:c r="D44" s="236"/>
      <x:c r="E44" s="236"/>
      <x:c r="F44" s="312" t="str">
        <x:f>IF(OR(A44="",NOT(ISNUMBER(D44))),"",SUM(D44:E44))</x:f>
      </x:c>
      <x:c r="G44" s="235"/>
      <x:c r="H44" s="239"/>
      <x:c r="I44" s="315" t="str">
        <x:f>IF(A44="","",IF(COUNTIFS($A$6:$A$205,A44)&gt;1,"Duplicate ID",IF(OR(B44="",COUNTIFS('Deals'!$A$6:$A$205,B44)&lt;&gt;1),"Check Deal ID",IF(NOT(ISNUMBER(C44)),"Add receipt date",IF(NOT(ISNUMBER(D44)),"Add fee received","")))))</x:f>
      </x:c>
    </x:row>
    <x:row r="45" ht="26" customHeight="1">
      <x:c r="A45" s="319"/>
      <x:c r="B45" s="320"/>
      <x:c r="C45" s="304"/>
      <x:c r="D45" s="302"/>
      <x:c r="E45" s="302"/>
      <x:c r="F45" s="312" t="str">
        <x:f>IF(OR(A45="",NOT(ISNUMBER(D45))),"",SUM(D45:E45))</x:f>
      </x:c>
      <x:c r="G45" s="274"/>
      <x:c r="H45" s="280"/>
      <x:c r="I45" s="315" t="str">
        <x:f>IF(A45="","",IF(COUNTIFS($A$6:$A$205,A45)&gt;1,"Duplicate ID",IF(OR(B45="",COUNTIFS('Deals'!$A$6:$A$205,B45)&lt;&gt;1),"Check Deal ID",IF(NOT(ISNUMBER(C45)),"Add receipt date",IF(NOT(ISNUMBER(D45)),"Add fee received","")))))</x:f>
      </x:c>
    </x:row>
    <x:row r="46" ht="26" customHeight="1">
      <x:c r="A46" s="317"/>
      <x:c r="B46" s="318"/>
      <x:c r="C46" s="238"/>
      <x:c r="D46" s="236"/>
      <x:c r="E46" s="236"/>
      <x:c r="F46" s="312" t="str">
        <x:f>IF(OR(A46="",NOT(ISNUMBER(D46))),"",SUM(D46:E46))</x:f>
      </x:c>
      <x:c r="G46" s="235"/>
      <x:c r="H46" s="239"/>
      <x:c r="I46" s="315" t="str">
        <x:f>IF(A46="","",IF(COUNTIFS($A$6:$A$205,A46)&gt;1,"Duplicate ID",IF(OR(B46="",COUNTIFS('Deals'!$A$6:$A$205,B46)&lt;&gt;1),"Check Deal ID",IF(NOT(ISNUMBER(C46)),"Add receipt date",IF(NOT(ISNUMBER(D46)),"Add fee received","")))))</x:f>
      </x:c>
    </x:row>
    <x:row r="47" ht="26" customHeight="1">
      <x:c r="A47" s="319"/>
      <x:c r="B47" s="320"/>
      <x:c r="C47" s="304"/>
      <x:c r="D47" s="302"/>
      <x:c r="E47" s="302"/>
      <x:c r="F47" s="312" t="str">
        <x:f>IF(OR(A47="",NOT(ISNUMBER(D47))),"",SUM(D47:E47))</x:f>
      </x:c>
      <x:c r="G47" s="274"/>
      <x:c r="H47" s="280"/>
      <x:c r="I47" s="315" t="str">
        <x:f>IF(A47="","",IF(COUNTIFS($A$6:$A$205,A47)&gt;1,"Duplicate ID",IF(OR(B47="",COUNTIFS('Deals'!$A$6:$A$205,B47)&lt;&gt;1),"Check Deal ID",IF(NOT(ISNUMBER(C47)),"Add receipt date",IF(NOT(ISNUMBER(D47)),"Add fee received","")))))</x:f>
      </x:c>
    </x:row>
    <x:row r="48" ht="26" customHeight="1">
      <x:c r="A48" s="317"/>
      <x:c r="B48" s="318"/>
      <x:c r="C48" s="238"/>
      <x:c r="D48" s="236"/>
      <x:c r="E48" s="236"/>
      <x:c r="F48" s="312" t="str">
        <x:f>IF(OR(A48="",NOT(ISNUMBER(D48))),"",SUM(D48:E48))</x:f>
      </x:c>
      <x:c r="G48" s="235"/>
      <x:c r="H48" s="239"/>
      <x:c r="I48" s="315" t="str">
        <x:f>IF(A48="","",IF(COUNTIFS($A$6:$A$205,A48)&gt;1,"Duplicate ID",IF(OR(B48="",COUNTIFS('Deals'!$A$6:$A$205,B48)&lt;&gt;1),"Check Deal ID",IF(NOT(ISNUMBER(C48)),"Add receipt date",IF(NOT(ISNUMBER(D48)),"Add fee received","")))))</x:f>
      </x:c>
    </x:row>
    <x:row r="49" ht="26" customHeight="1">
      <x:c r="A49" s="319"/>
      <x:c r="B49" s="320"/>
      <x:c r="C49" s="304"/>
      <x:c r="D49" s="302"/>
      <x:c r="E49" s="302"/>
      <x:c r="F49" s="312" t="str">
        <x:f>IF(OR(A49="",NOT(ISNUMBER(D49))),"",SUM(D49:E49))</x:f>
      </x:c>
      <x:c r="G49" s="274"/>
      <x:c r="H49" s="280"/>
      <x:c r="I49" s="315" t="str">
        <x:f>IF(A49="","",IF(COUNTIFS($A$6:$A$205,A49)&gt;1,"Duplicate ID",IF(OR(B49="",COUNTIFS('Deals'!$A$6:$A$205,B49)&lt;&gt;1),"Check Deal ID",IF(NOT(ISNUMBER(C49)),"Add receipt date",IF(NOT(ISNUMBER(D49)),"Add fee received","")))))</x:f>
      </x:c>
    </x:row>
    <x:row r="50" ht="26" customHeight="1">
      <x:c r="A50" s="317"/>
      <x:c r="B50" s="318"/>
      <x:c r="C50" s="238"/>
      <x:c r="D50" s="236"/>
      <x:c r="E50" s="236"/>
      <x:c r="F50" s="312" t="str">
        <x:f>IF(OR(A50="",NOT(ISNUMBER(D50))),"",SUM(D50:E50))</x:f>
      </x:c>
      <x:c r="G50" s="235"/>
      <x:c r="H50" s="239"/>
      <x:c r="I50" s="315" t="str">
        <x:f>IF(A50="","",IF(COUNTIFS($A$6:$A$205,A50)&gt;1,"Duplicate ID",IF(OR(B50="",COUNTIFS('Deals'!$A$6:$A$205,B50)&lt;&gt;1),"Check Deal ID",IF(NOT(ISNUMBER(C50)),"Add receipt date",IF(NOT(ISNUMBER(D50)),"Add fee received","")))))</x:f>
      </x:c>
    </x:row>
    <x:row r="51" ht="26" customHeight="1">
      <x:c r="A51" s="319"/>
      <x:c r="B51" s="320"/>
      <x:c r="C51" s="304"/>
      <x:c r="D51" s="302"/>
      <x:c r="E51" s="302"/>
      <x:c r="F51" s="312" t="str">
        <x:f>IF(OR(A51="",NOT(ISNUMBER(D51))),"",SUM(D51:E51))</x:f>
      </x:c>
      <x:c r="G51" s="274"/>
      <x:c r="H51" s="280"/>
      <x:c r="I51" s="315" t="str">
        <x:f>IF(A51="","",IF(COUNTIFS($A$6:$A$205,A51)&gt;1,"Duplicate ID",IF(OR(B51="",COUNTIFS('Deals'!$A$6:$A$205,B51)&lt;&gt;1),"Check Deal ID",IF(NOT(ISNUMBER(C51)),"Add receipt date",IF(NOT(ISNUMBER(D51)),"Add fee received","")))))</x:f>
      </x:c>
    </x:row>
    <x:row r="52" ht="26" customHeight="1">
      <x:c r="A52" s="317"/>
      <x:c r="B52" s="318"/>
      <x:c r="C52" s="238"/>
      <x:c r="D52" s="236"/>
      <x:c r="E52" s="236"/>
      <x:c r="F52" s="312" t="str">
        <x:f>IF(OR(A52="",NOT(ISNUMBER(D52))),"",SUM(D52:E52))</x:f>
      </x:c>
      <x:c r="G52" s="235"/>
      <x:c r="H52" s="239"/>
      <x:c r="I52" s="315" t="str">
        <x:f>IF(A52="","",IF(COUNTIFS($A$6:$A$205,A52)&gt;1,"Duplicate ID",IF(OR(B52="",COUNTIFS('Deals'!$A$6:$A$205,B52)&lt;&gt;1),"Check Deal ID",IF(NOT(ISNUMBER(C52)),"Add receipt date",IF(NOT(ISNUMBER(D52)),"Add fee received","")))))</x:f>
      </x:c>
    </x:row>
    <x:row r="53" ht="26" customHeight="1">
      <x:c r="A53" s="319"/>
      <x:c r="B53" s="320"/>
      <x:c r="C53" s="304"/>
      <x:c r="D53" s="302"/>
      <x:c r="E53" s="302"/>
      <x:c r="F53" s="312" t="str">
        <x:f>IF(OR(A53="",NOT(ISNUMBER(D53))),"",SUM(D53:E53))</x:f>
      </x:c>
      <x:c r="G53" s="274"/>
      <x:c r="H53" s="280"/>
      <x:c r="I53" s="315" t="str">
        <x:f>IF(A53="","",IF(COUNTIFS($A$6:$A$205,A53)&gt;1,"Duplicate ID",IF(OR(B53="",COUNTIFS('Deals'!$A$6:$A$205,B53)&lt;&gt;1),"Check Deal ID",IF(NOT(ISNUMBER(C53)),"Add receipt date",IF(NOT(ISNUMBER(D53)),"Add fee received","")))))</x:f>
      </x:c>
    </x:row>
    <x:row r="54" ht="26" customHeight="1">
      <x:c r="A54" s="317"/>
      <x:c r="B54" s="318"/>
      <x:c r="C54" s="238"/>
      <x:c r="D54" s="236"/>
      <x:c r="E54" s="236"/>
      <x:c r="F54" s="312" t="str">
        <x:f>IF(OR(A54="",NOT(ISNUMBER(D54))),"",SUM(D54:E54))</x:f>
      </x:c>
      <x:c r="G54" s="235"/>
      <x:c r="H54" s="239"/>
      <x:c r="I54" s="315" t="str">
        <x:f>IF(A54="","",IF(COUNTIFS($A$6:$A$205,A54)&gt;1,"Duplicate ID",IF(OR(B54="",COUNTIFS('Deals'!$A$6:$A$205,B54)&lt;&gt;1),"Check Deal ID",IF(NOT(ISNUMBER(C54)),"Add receipt date",IF(NOT(ISNUMBER(D54)),"Add fee received","")))))</x:f>
      </x:c>
    </x:row>
    <x:row r="55" ht="26" customHeight="1">
      <x:c r="A55" s="319"/>
      <x:c r="B55" s="320"/>
      <x:c r="C55" s="304"/>
      <x:c r="D55" s="302"/>
      <x:c r="E55" s="302"/>
      <x:c r="F55" s="312" t="str">
        <x:f>IF(OR(A55="",NOT(ISNUMBER(D55))),"",SUM(D55:E55))</x:f>
      </x:c>
      <x:c r="G55" s="274"/>
      <x:c r="H55" s="280"/>
      <x:c r="I55" s="315" t="str">
        <x:f>IF(A55="","",IF(COUNTIFS($A$6:$A$205,A55)&gt;1,"Duplicate ID",IF(OR(B55="",COUNTIFS('Deals'!$A$6:$A$205,B55)&lt;&gt;1),"Check Deal ID",IF(NOT(ISNUMBER(C55)),"Add receipt date",IF(NOT(ISNUMBER(D55)),"Add fee received","")))))</x:f>
      </x:c>
    </x:row>
    <x:row r="56" ht="26" customHeight="1">
      <x:c r="A56" s="317"/>
      <x:c r="B56" s="318"/>
      <x:c r="C56" s="238"/>
      <x:c r="D56" s="236"/>
      <x:c r="E56" s="236"/>
      <x:c r="F56" s="312" t="str">
        <x:f>IF(OR(A56="",NOT(ISNUMBER(D56))),"",SUM(D56:E56))</x:f>
      </x:c>
      <x:c r="G56" s="235"/>
      <x:c r="H56" s="239"/>
      <x:c r="I56" s="315" t="str">
        <x:f>IF(A56="","",IF(COUNTIFS($A$6:$A$205,A56)&gt;1,"Duplicate ID",IF(OR(B56="",COUNTIFS('Deals'!$A$6:$A$205,B56)&lt;&gt;1),"Check Deal ID",IF(NOT(ISNUMBER(C56)),"Add receipt date",IF(NOT(ISNUMBER(D56)),"Add fee received","")))))</x:f>
      </x:c>
    </x:row>
    <x:row r="57" ht="26" customHeight="1">
      <x:c r="A57" s="319"/>
      <x:c r="B57" s="320"/>
      <x:c r="C57" s="304"/>
      <x:c r="D57" s="302"/>
      <x:c r="E57" s="302"/>
      <x:c r="F57" s="312" t="str">
        <x:f>IF(OR(A57="",NOT(ISNUMBER(D57))),"",SUM(D57:E57))</x:f>
      </x:c>
      <x:c r="G57" s="274"/>
      <x:c r="H57" s="280"/>
      <x:c r="I57" s="315" t="str">
        <x:f>IF(A57="","",IF(COUNTIFS($A$6:$A$205,A57)&gt;1,"Duplicate ID",IF(OR(B57="",COUNTIFS('Deals'!$A$6:$A$205,B57)&lt;&gt;1),"Check Deal ID",IF(NOT(ISNUMBER(C57)),"Add receipt date",IF(NOT(ISNUMBER(D57)),"Add fee received","")))))</x:f>
      </x:c>
    </x:row>
    <x:row r="58" ht="26" customHeight="1">
      <x:c r="A58" s="317"/>
      <x:c r="B58" s="318"/>
      <x:c r="C58" s="238"/>
      <x:c r="D58" s="236"/>
      <x:c r="E58" s="236"/>
      <x:c r="F58" s="312" t="str">
        <x:f>IF(OR(A58="",NOT(ISNUMBER(D58))),"",SUM(D58:E58))</x:f>
      </x:c>
      <x:c r="G58" s="235"/>
      <x:c r="H58" s="239"/>
      <x:c r="I58" s="315" t="str">
        <x:f>IF(A58="","",IF(COUNTIFS($A$6:$A$205,A58)&gt;1,"Duplicate ID",IF(OR(B58="",COUNTIFS('Deals'!$A$6:$A$205,B58)&lt;&gt;1),"Check Deal ID",IF(NOT(ISNUMBER(C58)),"Add receipt date",IF(NOT(ISNUMBER(D58)),"Add fee received","")))))</x:f>
      </x:c>
    </x:row>
    <x:row r="59" ht="26" customHeight="1">
      <x:c r="A59" s="319"/>
      <x:c r="B59" s="320"/>
      <x:c r="C59" s="304"/>
      <x:c r="D59" s="302"/>
      <x:c r="E59" s="302"/>
      <x:c r="F59" s="312" t="str">
        <x:f>IF(OR(A59="",NOT(ISNUMBER(D59))),"",SUM(D59:E59))</x:f>
      </x:c>
      <x:c r="G59" s="274"/>
      <x:c r="H59" s="280"/>
      <x:c r="I59" s="315" t="str">
        <x:f>IF(A59="","",IF(COUNTIFS($A$6:$A$205,A59)&gt;1,"Duplicate ID",IF(OR(B59="",COUNTIFS('Deals'!$A$6:$A$205,B59)&lt;&gt;1),"Check Deal ID",IF(NOT(ISNUMBER(C59)),"Add receipt date",IF(NOT(ISNUMBER(D59)),"Add fee received","")))))</x:f>
      </x:c>
    </x:row>
    <x:row r="60" ht="26" customHeight="1">
      <x:c r="A60" s="317"/>
      <x:c r="B60" s="318"/>
      <x:c r="C60" s="238"/>
      <x:c r="D60" s="236"/>
      <x:c r="E60" s="236"/>
      <x:c r="F60" s="312" t="str">
        <x:f>IF(OR(A60="",NOT(ISNUMBER(D60))),"",SUM(D60:E60))</x:f>
      </x:c>
      <x:c r="G60" s="235"/>
      <x:c r="H60" s="239"/>
      <x:c r="I60" s="315" t="str">
        <x:f>IF(A60="","",IF(COUNTIFS($A$6:$A$205,A60)&gt;1,"Duplicate ID",IF(OR(B60="",COUNTIFS('Deals'!$A$6:$A$205,B60)&lt;&gt;1),"Check Deal ID",IF(NOT(ISNUMBER(C60)),"Add receipt date",IF(NOT(ISNUMBER(D60)),"Add fee received","")))))</x:f>
      </x:c>
    </x:row>
    <x:row r="61" ht="26" customHeight="1">
      <x:c r="A61" s="319"/>
      <x:c r="B61" s="320"/>
      <x:c r="C61" s="304"/>
      <x:c r="D61" s="302"/>
      <x:c r="E61" s="302"/>
      <x:c r="F61" s="312" t="str">
        <x:f>IF(OR(A61="",NOT(ISNUMBER(D61))),"",SUM(D61:E61))</x:f>
      </x:c>
      <x:c r="G61" s="274"/>
      <x:c r="H61" s="280"/>
      <x:c r="I61" s="315" t="str">
        <x:f>IF(A61="","",IF(COUNTIFS($A$6:$A$205,A61)&gt;1,"Duplicate ID",IF(OR(B61="",COUNTIFS('Deals'!$A$6:$A$205,B61)&lt;&gt;1),"Check Deal ID",IF(NOT(ISNUMBER(C61)),"Add receipt date",IF(NOT(ISNUMBER(D61)),"Add fee received","")))))</x:f>
      </x:c>
    </x:row>
    <x:row r="62" ht="26" customHeight="1">
      <x:c r="A62" s="317"/>
      <x:c r="B62" s="318"/>
      <x:c r="C62" s="238"/>
      <x:c r="D62" s="236"/>
      <x:c r="E62" s="236"/>
      <x:c r="F62" s="312" t="str">
        <x:f>IF(OR(A62="",NOT(ISNUMBER(D62))),"",SUM(D62:E62))</x:f>
      </x:c>
      <x:c r="G62" s="235"/>
      <x:c r="H62" s="239"/>
      <x:c r="I62" s="315" t="str">
        <x:f>IF(A62="","",IF(COUNTIFS($A$6:$A$205,A62)&gt;1,"Duplicate ID",IF(OR(B62="",COUNTIFS('Deals'!$A$6:$A$205,B62)&lt;&gt;1),"Check Deal ID",IF(NOT(ISNUMBER(C62)),"Add receipt date",IF(NOT(ISNUMBER(D62)),"Add fee received","")))))</x:f>
      </x:c>
    </x:row>
    <x:row r="63" ht="26" customHeight="1">
      <x:c r="A63" s="319"/>
      <x:c r="B63" s="320"/>
      <x:c r="C63" s="304"/>
      <x:c r="D63" s="302"/>
      <x:c r="E63" s="302"/>
      <x:c r="F63" s="312" t="str">
        <x:f>IF(OR(A63="",NOT(ISNUMBER(D63))),"",SUM(D63:E63))</x:f>
      </x:c>
      <x:c r="G63" s="274"/>
      <x:c r="H63" s="280"/>
      <x:c r="I63" s="315" t="str">
        <x:f>IF(A63="","",IF(COUNTIFS($A$6:$A$205,A63)&gt;1,"Duplicate ID",IF(OR(B63="",COUNTIFS('Deals'!$A$6:$A$205,B63)&lt;&gt;1),"Check Deal ID",IF(NOT(ISNUMBER(C63)),"Add receipt date",IF(NOT(ISNUMBER(D63)),"Add fee received","")))))</x:f>
      </x:c>
    </x:row>
    <x:row r="64" ht="26" customHeight="1">
      <x:c r="A64" s="317"/>
      <x:c r="B64" s="318"/>
      <x:c r="C64" s="238"/>
      <x:c r="D64" s="236"/>
      <x:c r="E64" s="236"/>
      <x:c r="F64" s="312" t="str">
        <x:f>IF(OR(A64="",NOT(ISNUMBER(D64))),"",SUM(D64:E64))</x:f>
      </x:c>
      <x:c r="G64" s="235"/>
      <x:c r="H64" s="239"/>
      <x:c r="I64" s="315" t="str">
        <x:f>IF(A64="","",IF(COUNTIFS($A$6:$A$205,A64)&gt;1,"Duplicate ID",IF(OR(B64="",COUNTIFS('Deals'!$A$6:$A$205,B64)&lt;&gt;1),"Check Deal ID",IF(NOT(ISNUMBER(C64)),"Add receipt date",IF(NOT(ISNUMBER(D64)),"Add fee received","")))))</x:f>
      </x:c>
    </x:row>
    <x:row r="65" ht="26" customHeight="1">
      <x:c r="A65" s="319"/>
      <x:c r="B65" s="320"/>
      <x:c r="C65" s="304"/>
      <x:c r="D65" s="302"/>
      <x:c r="E65" s="302"/>
      <x:c r="F65" s="312" t="str">
        <x:f>IF(OR(A65="",NOT(ISNUMBER(D65))),"",SUM(D65:E65))</x:f>
      </x:c>
      <x:c r="G65" s="274"/>
      <x:c r="H65" s="280"/>
      <x:c r="I65" s="315" t="str">
        <x:f>IF(A65="","",IF(COUNTIFS($A$6:$A$205,A65)&gt;1,"Duplicate ID",IF(OR(B65="",COUNTIFS('Deals'!$A$6:$A$205,B65)&lt;&gt;1),"Check Deal ID",IF(NOT(ISNUMBER(C65)),"Add receipt date",IF(NOT(ISNUMBER(D65)),"Add fee received","")))))</x:f>
      </x:c>
    </x:row>
    <x:row r="66" ht="26" customHeight="1">
      <x:c r="A66" s="317"/>
      <x:c r="B66" s="318"/>
      <x:c r="C66" s="238"/>
      <x:c r="D66" s="236"/>
      <x:c r="E66" s="236"/>
      <x:c r="F66" s="312" t="str">
        <x:f>IF(OR(A66="",NOT(ISNUMBER(D66))),"",SUM(D66:E66))</x:f>
      </x:c>
      <x:c r="G66" s="235"/>
      <x:c r="H66" s="239"/>
      <x:c r="I66" s="315" t="str">
        <x:f>IF(A66="","",IF(COUNTIFS($A$6:$A$205,A66)&gt;1,"Duplicate ID",IF(OR(B66="",COUNTIFS('Deals'!$A$6:$A$205,B66)&lt;&gt;1),"Check Deal ID",IF(NOT(ISNUMBER(C66)),"Add receipt date",IF(NOT(ISNUMBER(D66)),"Add fee received","")))))</x:f>
      </x:c>
    </x:row>
    <x:row r="67" ht="26" customHeight="1">
      <x:c r="A67" s="319"/>
      <x:c r="B67" s="320"/>
      <x:c r="C67" s="304"/>
      <x:c r="D67" s="302"/>
      <x:c r="E67" s="302"/>
      <x:c r="F67" s="312" t="str">
        <x:f>IF(OR(A67="",NOT(ISNUMBER(D67))),"",SUM(D67:E67))</x:f>
      </x:c>
      <x:c r="G67" s="274"/>
      <x:c r="H67" s="280"/>
      <x:c r="I67" s="315" t="str">
        <x:f>IF(A67="","",IF(COUNTIFS($A$6:$A$205,A67)&gt;1,"Duplicate ID",IF(OR(B67="",COUNTIFS('Deals'!$A$6:$A$205,B67)&lt;&gt;1),"Check Deal ID",IF(NOT(ISNUMBER(C67)),"Add receipt date",IF(NOT(ISNUMBER(D67)),"Add fee received","")))))</x:f>
      </x:c>
    </x:row>
    <x:row r="68" ht="26" customHeight="1">
      <x:c r="A68" s="317"/>
      <x:c r="B68" s="318"/>
      <x:c r="C68" s="238"/>
      <x:c r="D68" s="236"/>
      <x:c r="E68" s="236"/>
      <x:c r="F68" s="312" t="str">
        <x:f>IF(OR(A68="",NOT(ISNUMBER(D68))),"",SUM(D68:E68))</x:f>
      </x:c>
      <x:c r="G68" s="235"/>
      <x:c r="H68" s="239"/>
      <x:c r="I68" s="315" t="str">
        <x:f>IF(A68="","",IF(COUNTIFS($A$6:$A$205,A68)&gt;1,"Duplicate ID",IF(OR(B68="",COUNTIFS('Deals'!$A$6:$A$205,B68)&lt;&gt;1),"Check Deal ID",IF(NOT(ISNUMBER(C68)),"Add receipt date",IF(NOT(ISNUMBER(D68)),"Add fee received","")))))</x:f>
      </x:c>
    </x:row>
    <x:row r="69" ht="26" customHeight="1">
      <x:c r="A69" s="319"/>
      <x:c r="B69" s="320"/>
      <x:c r="C69" s="304"/>
      <x:c r="D69" s="302"/>
      <x:c r="E69" s="302"/>
      <x:c r="F69" s="312" t="str">
        <x:f>IF(OR(A69="",NOT(ISNUMBER(D69))),"",SUM(D69:E69))</x:f>
      </x:c>
      <x:c r="G69" s="274"/>
      <x:c r="H69" s="280"/>
      <x:c r="I69" s="315" t="str">
        <x:f>IF(A69="","",IF(COUNTIFS($A$6:$A$205,A69)&gt;1,"Duplicate ID",IF(OR(B69="",COUNTIFS('Deals'!$A$6:$A$205,B69)&lt;&gt;1),"Check Deal ID",IF(NOT(ISNUMBER(C69)),"Add receipt date",IF(NOT(ISNUMBER(D69)),"Add fee received","")))))</x:f>
      </x:c>
    </x:row>
    <x:row r="70" ht="26" customHeight="1">
      <x:c r="A70" s="317"/>
      <x:c r="B70" s="318"/>
      <x:c r="C70" s="238"/>
      <x:c r="D70" s="236"/>
      <x:c r="E70" s="236"/>
      <x:c r="F70" s="312" t="str">
        <x:f>IF(OR(A70="",NOT(ISNUMBER(D70))),"",SUM(D70:E70))</x:f>
      </x:c>
      <x:c r="G70" s="235"/>
      <x:c r="H70" s="239"/>
      <x:c r="I70" s="315" t="str">
        <x:f>IF(A70="","",IF(COUNTIFS($A$6:$A$205,A70)&gt;1,"Duplicate ID",IF(OR(B70="",COUNTIFS('Deals'!$A$6:$A$205,B70)&lt;&gt;1),"Check Deal ID",IF(NOT(ISNUMBER(C70)),"Add receipt date",IF(NOT(ISNUMBER(D70)),"Add fee received","")))))</x:f>
      </x:c>
    </x:row>
    <x:row r="71" ht="26" customHeight="1">
      <x:c r="A71" s="319"/>
      <x:c r="B71" s="320"/>
      <x:c r="C71" s="304"/>
      <x:c r="D71" s="302"/>
      <x:c r="E71" s="302"/>
      <x:c r="F71" s="312" t="str">
        <x:f>IF(OR(A71="",NOT(ISNUMBER(D71))),"",SUM(D71:E71))</x:f>
      </x:c>
      <x:c r="G71" s="274"/>
      <x:c r="H71" s="280"/>
      <x:c r="I71" s="315" t="str">
        <x:f>IF(A71="","",IF(COUNTIFS($A$6:$A$205,A71)&gt;1,"Duplicate ID",IF(OR(B71="",COUNTIFS('Deals'!$A$6:$A$205,B71)&lt;&gt;1),"Check Deal ID",IF(NOT(ISNUMBER(C71)),"Add receipt date",IF(NOT(ISNUMBER(D71)),"Add fee received","")))))</x:f>
      </x:c>
    </x:row>
    <x:row r="72" ht="26" customHeight="1">
      <x:c r="A72" s="317"/>
      <x:c r="B72" s="318"/>
      <x:c r="C72" s="238"/>
      <x:c r="D72" s="236"/>
      <x:c r="E72" s="236"/>
      <x:c r="F72" s="312" t="str">
        <x:f>IF(OR(A72="",NOT(ISNUMBER(D72))),"",SUM(D72:E72))</x:f>
      </x:c>
      <x:c r="G72" s="235"/>
      <x:c r="H72" s="239"/>
      <x:c r="I72" s="315" t="str">
        <x:f>IF(A72="","",IF(COUNTIFS($A$6:$A$205,A72)&gt;1,"Duplicate ID",IF(OR(B72="",COUNTIFS('Deals'!$A$6:$A$205,B72)&lt;&gt;1),"Check Deal ID",IF(NOT(ISNUMBER(C72)),"Add receipt date",IF(NOT(ISNUMBER(D72)),"Add fee received","")))))</x:f>
      </x:c>
    </x:row>
    <x:row r="73" ht="26" customHeight="1">
      <x:c r="A73" s="319"/>
      <x:c r="B73" s="320"/>
      <x:c r="C73" s="304"/>
      <x:c r="D73" s="302"/>
      <x:c r="E73" s="302"/>
      <x:c r="F73" s="312" t="str">
        <x:f>IF(OR(A73="",NOT(ISNUMBER(D73))),"",SUM(D73:E73))</x:f>
      </x:c>
      <x:c r="G73" s="274"/>
      <x:c r="H73" s="280"/>
      <x:c r="I73" s="315" t="str">
        <x:f>IF(A73="","",IF(COUNTIFS($A$6:$A$205,A73)&gt;1,"Duplicate ID",IF(OR(B73="",COUNTIFS('Deals'!$A$6:$A$205,B73)&lt;&gt;1),"Check Deal ID",IF(NOT(ISNUMBER(C73)),"Add receipt date",IF(NOT(ISNUMBER(D73)),"Add fee received","")))))</x:f>
      </x:c>
    </x:row>
    <x:row r="74" ht="26" customHeight="1">
      <x:c r="A74" s="317"/>
      <x:c r="B74" s="318"/>
      <x:c r="C74" s="238"/>
      <x:c r="D74" s="236"/>
      <x:c r="E74" s="236"/>
      <x:c r="F74" s="312" t="str">
        <x:f>IF(OR(A74="",NOT(ISNUMBER(D74))),"",SUM(D74:E74))</x:f>
      </x:c>
      <x:c r="G74" s="235"/>
      <x:c r="H74" s="239"/>
      <x:c r="I74" s="315" t="str">
        <x:f>IF(A74="","",IF(COUNTIFS($A$6:$A$205,A74)&gt;1,"Duplicate ID",IF(OR(B74="",COUNTIFS('Deals'!$A$6:$A$205,B74)&lt;&gt;1),"Check Deal ID",IF(NOT(ISNUMBER(C74)),"Add receipt date",IF(NOT(ISNUMBER(D74)),"Add fee received","")))))</x:f>
      </x:c>
    </x:row>
    <x:row r="75" ht="26" customHeight="1">
      <x:c r="A75" s="319"/>
      <x:c r="B75" s="320"/>
      <x:c r="C75" s="304"/>
      <x:c r="D75" s="302"/>
      <x:c r="E75" s="302"/>
      <x:c r="F75" s="312" t="str">
        <x:f>IF(OR(A75="",NOT(ISNUMBER(D75))),"",SUM(D75:E75))</x:f>
      </x:c>
      <x:c r="G75" s="274"/>
      <x:c r="H75" s="280"/>
      <x:c r="I75" s="315" t="str">
        <x:f>IF(A75="","",IF(COUNTIFS($A$6:$A$205,A75)&gt;1,"Duplicate ID",IF(OR(B75="",COUNTIFS('Deals'!$A$6:$A$205,B75)&lt;&gt;1),"Check Deal ID",IF(NOT(ISNUMBER(C75)),"Add receipt date",IF(NOT(ISNUMBER(D75)),"Add fee received","")))))</x:f>
      </x:c>
    </x:row>
    <x:row r="76" ht="26" customHeight="1">
      <x:c r="A76" s="317"/>
      <x:c r="B76" s="318"/>
      <x:c r="C76" s="238"/>
      <x:c r="D76" s="236"/>
      <x:c r="E76" s="236"/>
      <x:c r="F76" s="312" t="str">
        <x:f>IF(OR(A76="",NOT(ISNUMBER(D76))),"",SUM(D76:E76))</x:f>
      </x:c>
      <x:c r="G76" s="235"/>
      <x:c r="H76" s="239"/>
      <x:c r="I76" s="315" t="str">
        <x:f>IF(A76="","",IF(COUNTIFS($A$6:$A$205,A76)&gt;1,"Duplicate ID",IF(OR(B76="",COUNTIFS('Deals'!$A$6:$A$205,B76)&lt;&gt;1),"Check Deal ID",IF(NOT(ISNUMBER(C76)),"Add receipt date",IF(NOT(ISNUMBER(D76)),"Add fee received","")))))</x:f>
      </x:c>
    </x:row>
    <x:row r="77" ht="26" customHeight="1">
      <x:c r="A77" s="319"/>
      <x:c r="B77" s="320"/>
      <x:c r="C77" s="304"/>
      <x:c r="D77" s="302"/>
      <x:c r="E77" s="302"/>
      <x:c r="F77" s="312" t="str">
        <x:f>IF(OR(A77="",NOT(ISNUMBER(D77))),"",SUM(D77:E77))</x:f>
      </x:c>
      <x:c r="G77" s="274"/>
      <x:c r="H77" s="280"/>
      <x:c r="I77" s="315" t="str">
        <x:f>IF(A77="","",IF(COUNTIFS($A$6:$A$205,A77)&gt;1,"Duplicate ID",IF(OR(B77="",COUNTIFS('Deals'!$A$6:$A$205,B77)&lt;&gt;1),"Check Deal ID",IF(NOT(ISNUMBER(C77)),"Add receipt date",IF(NOT(ISNUMBER(D77)),"Add fee received","")))))</x:f>
      </x:c>
    </x:row>
    <x:row r="78" ht="26" customHeight="1">
      <x:c r="A78" s="317"/>
      <x:c r="B78" s="318"/>
      <x:c r="C78" s="238"/>
      <x:c r="D78" s="236"/>
      <x:c r="E78" s="236"/>
      <x:c r="F78" s="312" t="str">
        <x:f>IF(OR(A78="",NOT(ISNUMBER(D78))),"",SUM(D78:E78))</x:f>
      </x:c>
      <x:c r="G78" s="235"/>
      <x:c r="H78" s="239"/>
      <x:c r="I78" s="315" t="str">
        <x:f>IF(A78="","",IF(COUNTIFS($A$6:$A$205,A78)&gt;1,"Duplicate ID",IF(OR(B78="",COUNTIFS('Deals'!$A$6:$A$205,B78)&lt;&gt;1),"Check Deal ID",IF(NOT(ISNUMBER(C78)),"Add receipt date",IF(NOT(ISNUMBER(D78)),"Add fee received","")))))</x:f>
      </x:c>
    </x:row>
    <x:row r="79" ht="26" customHeight="1">
      <x:c r="A79" s="319"/>
      <x:c r="B79" s="320"/>
      <x:c r="C79" s="304"/>
      <x:c r="D79" s="302"/>
      <x:c r="E79" s="302"/>
      <x:c r="F79" s="312" t="str">
        <x:f>IF(OR(A79="",NOT(ISNUMBER(D79))),"",SUM(D79:E79))</x:f>
      </x:c>
      <x:c r="G79" s="274"/>
      <x:c r="H79" s="280"/>
      <x:c r="I79" s="315" t="str">
        <x:f>IF(A79="","",IF(COUNTIFS($A$6:$A$205,A79)&gt;1,"Duplicate ID",IF(OR(B79="",COUNTIFS('Deals'!$A$6:$A$205,B79)&lt;&gt;1),"Check Deal ID",IF(NOT(ISNUMBER(C79)),"Add receipt date",IF(NOT(ISNUMBER(D79)),"Add fee received","")))))</x:f>
      </x:c>
    </x:row>
    <x:row r="80" ht="26" customHeight="1">
      <x:c r="A80" s="317"/>
      <x:c r="B80" s="318"/>
      <x:c r="C80" s="238"/>
      <x:c r="D80" s="236"/>
      <x:c r="E80" s="236"/>
      <x:c r="F80" s="312" t="str">
        <x:f>IF(OR(A80="",NOT(ISNUMBER(D80))),"",SUM(D80:E80))</x:f>
      </x:c>
      <x:c r="G80" s="235"/>
      <x:c r="H80" s="239"/>
      <x:c r="I80" s="315" t="str">
        <x:f>IF(A80="","",IF(COUNTIFS($A$6:$A$205,A80)&gt;1,"Duplicate ID",IF(OR(B80="",COUNTIFS('Deals'!$A$6:$A$205,B80)&lt;&gt;1),"Check Deal ID",IF(NOT(ISNUMBER(C80)),"Add receipt date",IF(NOT(ISNUMBER(D80)),"Add fee received","")))))</x:f>
      </x:c>
    </x:row>
    <x:row r="81" ht="26" customHeight="1">
      <x:c r="A81" s="319"/>
      <x:c r="B81" s="320"/>
      <x:c r="C81" s="304"/>
      <x:c r="D81" s="302"/>
      <x:c r="E81" s="302"/>
      <x:c r="F81" s="312" t="str">
        <x:f>IF(OR(A81="",NOT(ISNUMBER(D81))),"",SUM(D81:E81))</x:f>
      </x:c>
      <x:c r="G81" s="274"/>
      <x:c r="H81" s="280"/>
      <x:c r="I81" s="315" t="str">
        <x:f>IF(A81="","",IF(COUNTIFS($A$6:$A$205,A81)&gt;1,"Duplicate ID",IF(OR(B81="",COUNTIFS('Deals'!$A$6:$A$205,B81)&lt;&gt;1),"Check Deal ID",IF(NOT(ISNUMBER(C81)),"Add receipt date",IF(NOT(ISNUMBER(D81)),"Add fee received","")))))</x:f>
      </x:c>
    </x:row>
    <x:row r="82" ht="26" customHeight="1">
      <x:c r="A82" s="317"/>
      <x:c r="B82" s="318"/>
      <x:c r="C82" s="238"/>
      <x:c r="D82" s="236"/>
      <x:c r="E82" s="236"/>
      <x:c r="F82" s="312" t="str">
        <x:f>IF(OR(A82="",NOT(ISNUMBER(D82))),"",SUM(D82:E82))</x:f>
      </x:c>
      <x:c r="G82" s="235"/>
      <x:c r="H82" s="239"/>
      <x:c r="I82" s="315" t="str">
        <x:f>IF(A82="","",IF(COUNTIFS($A$6:$A$205,A82)&gt;1,"Duplicate ID",IF(OR(B82="",COUNTIFS('Deals'!$A$6:$A$205,B82)&lt;&gt;1),"Check Deal ID",IF(NOT(ISNUMBER(C82)),"Add receipt date",IF(NOT(ISNUMBER(D82)),"Add fee received","")))))</x:f>
      </x:c>
    </x:row>
    <x:row r="83" ht="26" customHeight="1">
      <x:c r="A83" s="319"/>
      <x:c r="B83" s="320"/>
      <x:c r="C83" s="304"/>
      <x:c r="D83" s="302"/>
      <x:c r="E83" s="302"/>
      <x:c r="F83" s="312" t="str">
        <x:f>IF(OR(A83="",NOT(ISNUMBER(D83))),"",SUM(D83:E83))</x:f>
      </x:c>
      <x:c r="G83" s="274"/>
      <x:c r="H83" s="280"/>
      <x:c r="I83" s="315" t="str">
        <x:f>IF(A83="","",IF(COUNTIFS($A$6:$A$205,A83)&gt;1,"Duplicate ID",IF(OR(B83="",COUNTIFS('Deals'!$A$6:$A$205,B83)&lt;&gt;1),"Check Deal ID",IF(NOT(ISNUMBER(C83)),"Add receipt date",IF(NOT(ISNUMBER(D83)),"Add fee received","")))))</x:f>
      </x:c>
    </x:row>
    <x:row r="84" ht="26" customHeight="1">
      <x:c r="A84" s="317"/>
      <x:c r="B84" s="318"/>
      <x:c r="C84" s="238"/>
      <x:c r="D84" s="236"/>
      <x:c r="E84" s="236"/>
      <x:c r="F84" s="312" t="str">
        <x:f>IF(OR(A84="",NOT(ISNUMBER(D84))),"",SUM(D84:E84))</x:f>
      </x:c>
      <x:c r="G84" s="235"/>
      <x:c r="H84" s="239"/>
      <x:c r="I84" s="315" t="str">
        <x:f>IF(A84="","",IF(COUNTIFS($A$6:$A$205,A84)&gt;1,"Duplicate ID",IF(OR(B84="",COUNTIFS('Deals'!$A$6:$A$205,B84)&lt;&gt;1),"Check Deal ID",IF(NOT(ISNUMBER(C84)),"Add receipt date",IF(NOT(ISNUMBER(D84)),"Add fee received","")))))</x:f>
      </x:c>
    </x:row>
    <x:row r="85" ht="26" customHeight="1">
      <x:c r="A85" s="319"/>
      <x:c r="B85" s="320"/>
      <x:c r="C85" s="304"/>
      <x:c r="D85" s="302"/>
      <x:c r="E85" s="302"/>
      <x:c r="F85" s="312" t="str">
        <x:f>IF(OR(A85="",NOT(ISNUMBER(D85))),"",SUM(D85:E85))</x:f>
      </x:c>
      <x:c r="G85" s="274"/>
      <x:c r="H85" s="280"/>
      <x:c r="I85" s="315" t="str">
        <x:f>IF(A85="","",IF(COUNTIFS($A$6:$A$205,A85)&gt;1,"Duplicate ID",IF(OR(B85="",COUNTIFS('Deals'!$A$6:$A$205,B85)&lt;&gt;1),"Check Deal ID",IF(NOT(ISNUMBER(C85)),"Add receipt date",IF(NOT(ISNUMBER(D85)),"Add fee received","")))))</x:f>
      </x:c>
    </x:row>
    <x:row r="86" ht="26" customHeight="1">
      <x:c r="A86" s="317"/>
      <x:c r="B86" s="318"/>
      <x:c r="C86" s="238"/>
      <x:c r="D86" s="236"/>
      <x:c r="E86" s="236"/>
      <x:c r="F86" s="312" t="str">
        <x:f>IF(OR(A86="",NOT(ISNUMBER(D86))),"",SUM(D86:E86))</x:f>
      </x:c>
      <x:c r="G86" s="235"/>
      <x:c r="H86" s="239"/>
      <x:c r="I86" s="315" t="str">
        <x:f>IF(A86="","",IF(COUNTIFS($A$6:$A$205,A86)&gt;1,"Duplicate ID",IF(OR(B86="",COUNTIFS('Deals'!$A$6:$A$205,B86)&lt;&gt;1),"Check Deal ID",IF(NOT(ISNUMBER(C86)),"Add receipt date",IF(NOT(ISNUMBER(D86)),"Add fee received","")))))</x:f>
      </x:c>
    </x:row>
    <x:row r="87" ht="26" customHeight="1">
      <x:c r="A87" s="319"/>
      <x:c r="B87" s="320"/>
      <x:c r="C87" s="304"/>
      <x:c r="D87" s="302"/>
      <x:c r="E87" s="302"/>
      <x:c r="F87" s="312" t="str">
        <x:f>IF(OR(A87="",NOT(ISNUMBER(D87))),"",SUM(D87:E87))</x:f>
      </x:c>
      <x:c r="G87" s="274"/>
      <x:c r="H87" s="280"/>
      <x:c r="I87" s="315" t="str">
        <x:f>IF(A87="","",IF(COUNTIFS($A$6:$A$205,A87)&gt;1,"Duplicate ID",IF(OR(B87="",COUNTIFS('Deals'!$A$6:$A$205,B87)&lt;&gt;1),"Check Deal ID",IF(NOT(ISNUMBER(C87)),"Add receipt date",IF(NOT(ISNUMBER(D87)),"Add fee received","")))))</x:f>
      </x:c>
    </x:row>
    <x:row r="88" ht="26" customHeight="1">
      <x:c r="A88" s="317"/>
      <x:c r="B88" s="318"/>
      <x:c r="C88" s="238"/>
      <x:c r="D88" s="236"/>
      <x:c r="E88" s="236"/>
      <x:c r="F88" s="312" t="str">
        <x:f>IF(OR(A88="",NOT(ISNUMBER(D88))),"",SUM(D88:E88))</x:f>
      </x:c>
      <x:c r="G88" s="235"/>
      <x:c r="H88" s="239"/>
      <x:c r="I88" s="315" t="str">
        <x:f>IF(A88="","",IF(COUNTIFS($A$6:$A$205,A88)&gt;1,"Duplicate ID",IF(OR(B88="",COUNTIFS('Deals'!$A$6:$A$205,B88)&lt;&gt;1),"Check Deal ID",IF(NOT(ISNUMBER(C88)),"Add receipt date",IF(NOT(ISNUMBER(D88)),"Add fee received","")))))</x:f>
      </x:c>
    </x:row>
    <x:row r="89" ht="26" customHeight="1">
      <x:c r="A89" s="319"/>
      <x:c r="B89" s="320"/>
      <x:c r="C89" s="304"/>
      <x:c r="D89" s="302"/>
      <x:c r="E89" s="302"/>
      <x:c r="F89" s="312" t="str">
        <x:f>IF(OR(A89="",NOT(ISNUMBER(D89))),"",SUM(D89:E89))</x:f>
      </x:c>
      <x:c r="G89" s="274"/>
      <x:c r="H89" s="280"/>
      <x:c r="I89" s="315" t="str">
        <x:f>IF(A89="","",IF(COUNTIFS($A$6:$A$205,A89)&gt;1,"Duplicate ID",IF(OR(B89="",COUNTIFS('Deals'!$A$6:$A$205,B89)&lt;&gt;1),"Check Deal ID",IF(NOT(ISNUMBER(C89)),"Add receipt date",IF(NOT(ISNUMBER(D89)),"Add fee received","")))))</x:f>
      </x:c>
    </x:row>
    <x:row r="90" ht="26" customHeight="1">
      <x:c r="A90" s="317"/>
      <x:c r="B90" s="318"/>
      <x:c r="C90" s="238"/>
      <x:c r="D90" s="236"/>
      <x:c r="E90" s="236"/>
      <x:c r="F90" s="312" t="str">
        <x:f>IF(OR(A90="",NOT(ISNUMBER(D90))),"",SUM(D90:E90))</x:f>
      </x:c>
      <x:c r="G90" s="235"/>
      <x:c r="H90" s="239"/>
      <x:c r="I90" s="315" t="str">
        <x:f>IF(A90="","",IF(COUNTIFS($A$6:$A$205,A90)&gt;1,"Duplicate ID",IF(OR(B90="",COUNTIFS('Deals'!$A$6:$A$205,B90)&lt;&gt;1),"Check Deal ID",IF(NOT(ISNUMBER(C90)),"Add receipt date",IF(NOT(ISNUMBER(D90)),"Add fee received","")))))</x:f>
      </x:c>
    </x:row>
    <x:row r="91" ht="26" customHeight="1">
      <x:c r="A91" s="319"/>
      <x:c r="B91" s="320"/>
      <x:c r="C91" s="304"/>
      <x:c r="D91" s="302"/>
      <x:c r="E91" s="302"/>
      <x:c r="F91" s="312" t="str">
        <x:f>IF(OR(A91="",NOT(ISNUMBER(D91))),"",SUM(D91:E91))</x:f>
      </x:c>
      <x:c r="G91" s="274"/>
      <x:c r="H91" s="280"/>
      <x:c r="I91" s="315" t="str">
        <x:f>IF(A91="","",IF(COUNTIFS($A$6:$A$205,A91)&gt;1,"Duplicate ID",IF(OR(B91="",COUNTIFS('Deals'!$A$6:$A$205,B91)&lt;&gt;1),"Check Deal ID",IF(NOT(ISNUMBER(C91)),"Add receipt date",IF(NOT(ISNUMBER(D91)),"Add fee received","")))))</x:f>
      </x:c>
    </x:row>
    <x:row r="92" ht="26" customHeight="1">
      <x:c r="A92" s="317"/>
      <x:c r="B92" s="318"/>
      <x:c r="C92" s="238"/>
      <x:c r="D92" s="236"/>
      <x:c r="E92" s="236"/>
      <x:c r="F92" s="312" t="str">
        <x:f>IF(OR(A92="",NOT(ISNUMBER(D92))),"",SUM(D92:E92))</x:f>
      </x:c>
      <x:c r="G92" s="235"/>
      <x:c r="H92" s="239"/>
      <x:c r="I92" s="315" t="str">
        <x:f>IF(A92="","",IF(COUNTIFS($A$6:$A$205,A92)&gt;1,"Duplicate ID",IF(OR(B92="",COUNTIFS('Deals'!$A$6:$A$205,B92)&lt;&gt;1),"Check Deal ID",IF(NOT(ISNUMBER(C92)),"Add receipt date",IF(NOT(ISNUMBER(D92)),"Add fee received","")))))</x:f>
      </x:c>
    </x:row>
    <x:row r="93" ht="26" customHeight="1">
      <x:c r="A93" s="319"/>
      <x:c r="B93" s="320"/>
      <x:c r="C93" s="304"/>
      <x:c r="D93" s="302"/>
      <x:c r="E93" s="302"/>
      <x:c r="F93" s="312" t="str">
        <x:f>IF(OR(A93="",NOT(ISNUMBER(D93))),"",SUM(D93:E93))</x:f>
      </x:c>
      <x:c r="G93" s="274"/>
      <x:c r="H93" s="280"/>
      <x:c r="I93" s="315" t="str">
        <x:f>IF(A93="","",IF(COUNTIFS($A$6:$A$205,A93)&gt;1,"Duplicate ID",IF(OR(B93="",COUNTIFS('Deals'!$A$6:$A$205,B93)&lt;&gt;1),"Check Deal ID",IF(NOT(ISNUMBER(C93)),"Add receipt date",IF(NOT(ISNUMBER(D93)),"Add fee received","")))))</x:f>
      </x:c>
    </x:row>
    <x:row r="94" ht="26" customHeight="1">
      <x:c r="A94" s="317"/>
      <x:c r="B94" s="318"/>
      <x:c r="C94" s="238"/>
      <x:c r="D94" s="236"/>
      <x:c r="E94" s="236"/>
      <x:c r="F94" s="312" t="str">
        <x:f>IF(OR(A94="",NOT(ISNUMBER(D94))),"",SUM(D94:E94))</x:f>
      </x:c>
      <x:c r="G94" s="235"/>
      <x:c r="H94" s="239"/>
      <x:c r="I94" s="315" t="str">
        <x:f>IF(A94="","",IF(COUNTIFS($A$6:$A$205,A94)&gt;1,"Duplicate ID",IF(OR(B94="",COUNTIFS('Deals'!$A$6:$A$205,B94)&lt;&gt;1),"Check Deal ID",IF(NOT(ISNUMBER(C94)),"Add receipt date",IF(NOT(ISNUMBER(D94)),"Add fee received","")))))</x:f>
      </x:c>
    </x:row>
    <x:row r="95" ht="26" customHeight="1">
      <x:c r="A95" s="319"/>
      <x:c r="B95" s="320"/>
      <x:c r="C95" s="304"/>
      <x:c r="D95" s="302"/>
      <x:c r="E95" s="302"/>
      <x:c r="F95" s="312" t="str">
        <x:f>IF(OR(A95="",NOT(ISNUMBER(D95))),"",SUM(D95:E95))</x:f>
      </x:c>
      <x:c r="G95" s="274"/>
      <x:c r="H95" s="280"/>
      <x:c r="I95" s="315" t="str">
        <x:f>IF(A95="","",IF(COUNTIFS($A$6:$A$205,A95)&gt;1,"Duplicate ID",IF(OR(B95="",COUNTIFS('Deals'!$A$6:$A$205,B95)&lt;&gt;1),"Check Deal ID",IF(NOT(ISNUMBER(C95)),"Add receipt date",IF(NOT(ISNUMBER(D95)),"Add fee received","")))))</x:f>
      </x:c>
    </x:row>
    <x:row r="96" ht="26" customHeight="1">
      <x:c r="A96" s="317"/>
      <x:c r="B96" s="318"/>
      <x:c r="C96" s="238"/>
      <x:c r="D96" s="236"/>
      <x:c r="E96" s="236"/>
      <x:c r="F96" s="312" t="str">
        <x:f>IF(OR(A96="",NOT(ISNUMBER(D96))),"",SUM(D96:E96))</x:f>
      </x:c>
      <x:c r="G96" s="235"/>
      <x:c r="H96" s="239"/>
      <x:c r="I96" s="315" t="str">
        <x:f>IF(A96="","",IF(COUNTIFS($A$6:$A$205,A96)&gt;1,"Duplicate ID",IF(OR(B96="",COUNTIFS('Deals'!$A$6:$A$205,B96)&lt;&gt;1),"Check Deal ID",IF(NOT(ISNUMBER(C96)),"Add receipt date",IF(NOT(ISNUMBER(D96)),"Add fee received","")))))</x:f>
      </x:c>
    </x:row>
    <x:row r="97" ht="26" customHeight="1">
      <x:c r="A97" s="319"/>
      <x:c r="B97" s="320"/>
      <x:c r="C97" s="304"/>
      <x:c r="D97" s="302"/>
      <x:c r="E97" s="302"/>
      <x:c r="F97" s="312" t="str">
        <x:f>IF(OR(A97="",NOT(ISNUMBER(D97))),"",SUM(D97:E97))</x:f>
      </x:c>
      <x:c r="G97" s="274"/>
      <x:c r="H97" s="280"/>
      <x:c r="I97" s="315" t="str">
        <x:f>IF(A97="","",IF(COUNTIFS($A$6:$A$205,A97)&gt;1,"Duplicate ID",IF(OR(B97="",COUNTIFS('Deals'!$A$6:$A$205,B97)&lt;&gt;1),"Check Deal ID",IF(NOT(ISNUMBER(C97)),"Add receipt date",IF(NOT(ISNUMBER(D97)),"Add fee received","")))))</x:f>
      </x:c>
    </x:row>
    <x:row r="98" ht="26" customHeight="1">
      <x:c r="A98" s="317"/>
      <x:c r="B98" s="318"/>
      <x:c r="C98" s="238"/>
      <x:c r="D98" s="236"/>
      <x:c r="E98" s="236"/>
      <x:c r="F98" s="312" t="str">
        <x:f>IF(OR(A98="",NOT(ISNUMBER(D98))),"",SUM(D98:E98))</x:f>
      </x:c>
      <x:c r="G98" s="235"/>
      <x:c r="H98" s="239"/>
      <x:c r="I98" s="315" t="str">
        <x:f>IF(A98="","",IF(COUNTIFS($A$6:$A$205,A98)&gt;1,"Duplicate ID",IF(OR(B98="",COUNTIFS('Deals'!$A$6:$A$205,B98)&lt;&gt;1),"Check Deal ID",IF(NOT(ISNUMBER(C98)),"Add receipt date",IF(NOT(ISNUMBER(D98)),"Add fee received","")))))</x:f>
      </x:c>
    </x:row>
    <x:row r="99" ht="26" customHeight="1">
      <x:c r="A99" s="319"/>
      <x:c r="B99" s="320"/>
      <x:c r="C99" s="304"/>
      <x:c r="D99" s="302"/>
      <x:c r="E99" s="302"/>
      <x:c r="F99" s="312" t="str">
        <x:f>IF(OR(A99="",NOT(ISNUMBER(D99))),"",SUM(D99:E99))</x:f>
      </x:c>
      <x:c r="G99" s="274"/>
      <x:c r="H99" s="280"/>
      <x:c r="I99" s="315" t="str">
        <x:f>IF(A99="","",IF(COUNTIFS($A$6:$A$205,A99)&gt;1,"Duplicate ID",IF(OR(B99="",COUNTIFS('Deals'!$A$6:$A$205,B99)&lt;&gt;1),"Check Deal ID",IF(NOT(ISNUMBER(C99)),"Add receipt date",IF(NOT(ISNUMBER(D99)),"Add fee received","")))))</x:f>
      </x:c>
    </x:row>
    <x:row r="100" ht="26" customHeight="1">
      <x:c r="A100" s="317"/>
      <x:c r="B100" s="318"/>
      <x:c r="C100" s="238"/>
      <x:c r="D100" s="236"/>
      <x:c r="E100" s="236"/>
      <x:c r="F100" s="312" t="str">
        <x:f>IF(OR(A100="",NOT(ISNUMBER(D100))),"",SUM(D100:E100))</x:f>
      </x:c>
      <x:c r="G100" s="235"/>
      <x:c r="H100" s="239"/>
      <x:c r="I100" s="315" t="str">
        <x:f>IF(A100="","",IF(COUNTIFS($A$6:$A$205,A100)&gt;1,"Duplicate ID",IF(OR(B100="",COUNTIFS('Deals'!$A$6:$A$205,B100)&lt;&gt;1),"Check Deal ID",IF(NOT(ISNUMBER(C100)),"Add receipt date",IF(NOT(ISNUMBER(D100)),"Add fee received","")))))</x:f>
      </x:c>
    </x:row>
    <x:row r="101" ht="26" customHeight="1">
      <x:c r="A101" s="319"/>
      <x:c r="B101" s="320"/>
      <x:c r="C101" s="304"/>
      <x:c r="D101" s="302"/>
      <x:c r="E101" s="302"/>
      <x:c r="F101" s="312" t="str">
        <x:f>IF(OR(A101="",NOT(ISNUMBER(D101))),"",SUM(D101:E101))</x:f>
      </x:c>
      <x:c r="G101" s="274"/>
      <x:c r="H101" s="280"/>
      <x:c r="I101" s="315" t="str">
        <x:f>IF(A101="","",IF(COUNTIFS($A$6:$A$205,A101)&gt;1,"Duplicate ID",IF(OR(B101="",COUNTIFS('Deals'!$A$6:$A$205,B101)&lt;&gt;1),"Check Deal ID",IF(NOT(ISNUMBER(C101)),"Add receipt date",IF(NOT(ISNUMBER(D101)),"Add fee received","")))))</x:f>
      </x:c>
    </x:row>
    <x:row r="102" ht="26" customHeight="1">
      <x:c r="A102" s="317"/>
      <x:c r="B102" s="318"/>
      <x:c r="C102" s="238"/>
      <x:c r="D102" s="236"/>
      <x:c r="E102" s="236"/>
      <x:c r="F102" s="312" t="str">
        <x:f>IF(OR(A102="",NOT(ISNUMBER(D102))),"",SUM(D102:E102))</x:f>
      </x:c>
      <x:c r="G102" s="235"/>
      <x:c r="H102" s="239"/>
      <x:c r="I102" s="315" t="str">
        <x:f>IF(A102="","",IF(COUNTIFS($A$6:$A$205,A102)&gt;1,"Duplicate ID",IF(OR(B102="",COUNTIFS('Deals'!$A$6:$A$205,B102)&lt;&gt;1),"Check Deal ID",IF(NOT(ISNUMBER(C102)),"Add receipt date",IF(NOT(ISNUMBER(D102)),"Add fee received","")))))</x:f>
      </x:c>
    </x:row>
    <x:row r="103" ht="26" customHeight="1">
      <x:c r="A103" s="319"/>
      <x:c r="B103" s="320"/>
      <x:c r="C103" s="304"/>
      <x:c r="D103" s="302"/>
      <x:c r="E103" s="302"/>
      <x:c r="F103" s="312" t="str">
        <x:f>IF(OR(A103="",NOT(ISNUMBER(D103))),"",SUM(D103:E103))</x:f>
      </x:c>
      <x:c r="G103" s="274"/>
      <x:c r="H103" s="280"/>
      <x:c r="I103" s="315" t="str">
        <x:f>IF(A103="","",IF(COUNTIFS($A$6:$A$205,A103)&gt;1,"Duplicate ID",IF(OR(B103="",COUNTIFS('Deals'!$A$6:$A$205,B103)&lt;&gt;1),"Check Deal ID",IF(NOT(ISNUMBER(C103)),"Add receipt date",IF(NOT(ISNUMBER(D103)),"Add fee received","")))))</x:f>
      </x:c>
    </x:row>
    <x:row r="104" ht="26" customHeight="1">
      <x:c r="A104" s="317"/>
      <x:c r="B104" s="318"/>
      <x:c r="C104" s="238"/>
      <x:c r="D104" s="236"/>
      <x:c r="E104" s="236"/>
      <x:c r="F104" s="312" t="str">
        <x:f>IF(OR(A104="",NOT(ISNUMBER(D104))),"",SUM(D104:E104))</x:f>
      </x:c>
      <x:c r="G104" s="235"/>
      <x:c r="H104" s="239"/>
      <x:c r="I104" s="315" t="str">
        <x:f>IF(A104="","",IF(COUNTIFS($A$6:$A$205,A104)&gt;1,"Duplicate ID",IF(OR(B104="",COUNTIFS('Deals'!$A$6:$A$205,B104)&lt;&gt;1),"Check Deal ID",IF(NOT(ISNUMBER(C104)),"Add receipt date",IF(NOT(ISNUMBER(D104)),"Add fee received","")))))</x:f>
      </x:c>
    </x:row>
    <x:row r="105" ht="26" customHeight="1">
      <x:c r="A105" s="319"/>
      <x:c r="B105" s="320"/>
      <x:c r="C105" s="304"/>
      <x:c r="D105" s="302"/>
      <x:c r="E105" s="302"/>
      <x:c r="F105" s="312" t="str">
        <x:f>IF(OR(A105="",NOT(ISNUMBER(D105))),"",SUM(D105:E105))</x:f>
      </x:c>
      <x:c r="G105" s="274"/>
      <x:c r="H105" s="280"/>
      <x:c r="I105" s="315" t="str">
        <x:f>IF(A105="","",IF(COUNTIFS($A$6:$A$205,A105)&gt;1,"Duplicate ID",IF(OR(B105="",COUNTIFS('Deals'!$A$6:$A$205,B105)&lt;&gt;1),"Check Deal ID",IF(NOT(ISNUMBER(C105)),"Add receipt date",IF(NOT(ISNUMBER(D105)),"Add fee received","")))))</x:f>
      </x:c>
    </x:row>
    <x:row r="106" ht="26" customHeight="1">
      <x:c r="A106" s="317"/>
      <x:c r="B106" s="318"/>
      <x:c r="C106" s="238"/>
      <x:c r="D106" s="236"/>
      <x:c r="E106" s="236"/>
      <x:c r="F106" s="312" t="str">
        <x:f>IF(OR(A106="",NOT(ISNUMBER(D106))),"",SUM(D106:E106))</x:f>
      </x:c>
      <x:c r="G106" s="235"/>
      <x:c r="H106" s="239"/>
      <x:c r="I106" s="315" t="str">
        <x:f>IF(A106="","",IF(COUNTIFS($A$6:$A$205,A106)&gt;1,"Duplicate ID",IF(OR(B106="",COUNTIFS('Deals'!$A$6:$A$205,B106)&lt;&gt;1),"Check Deal ID",IF(NOT(ISNUMBER(C106)),"Add receipt date",IF(NOT(ISNUMBER(D106)),"Add fee received","")))))</x:f>
      </x:c>
    </x:row>
    <x:row r="107" ht="26" customHeight="1">
      <x:c r="A107" s="319"/>
      <x:c r="B107" s="320"/>
      <x:c r="C107" s="304"/>
      <x:c r="D107" s="302"/>
      <x:c r="E107" s="302"/>
      <x:c r="F107" s="312" t="str">
        <x:f>IF(OR(A107="",NOT(ISNUMBER(D107))),"",SUM(D107:E107))</x:f>
      </x:c>
      <x:c r="G107" s="274"/>
      <x:c r="H107" s="280"/>
      <x:c r="I107" s="315" t="str">
        <x:f>IF(A107="","",IF(COUNTIFS($A$6:$A$205,A107)&gt;1,"Duplicate ID",IF(OR(B107="",COUNTIFS('Deals'!$A$6:$A$205,B107)&lt;&gt;1),"Check Deal ID",IF(NOT(ISNUMBER(C107)),"Add receipt date",IF(NOT(ISNUMBER(D107)),"Add fee received","")))))</x:f>
      </x:c>
    </x:row>
    <x:row r="108" ht="26" customHeight="1">
      <x:c r="A108" s="317"/>
      <x:c r="B108" s="318"/>
      <x:c r="C108" s="238"/>
      <x:c r="D108" s="236"/>
      <x:c r="E108" s="236"/>
      <x:c r="F108" s="312" t="str">
        <x:f>IF(OR(A108="",NOT(ISNUMBER(D108))),"",SUM(D108:E108))</x:f>
      </x:c>
      <x:c r="G108" s="235"/>
      <x:c r="H108" s="239"/>
      <x:c r="I108" s="315" t="str">
        <x:f>IF(A108="","",IF(COUNTIFS($A$6:$A$205,A108)&gt;1,"Duplicate ID",IF(OR(B108="",COUNTIFS('Deals'!$A$6:$A$205,B108)&lt;&gt;1),"Check Deal ID",IF(NOT(ISNUMBER(C108)),"Add receipt date",IF(NOT(ISNUMBER(D108)),"Add fee received","")))))</x:f>
      </x:c>
    </x:row>
    <x:row r="109" ht="26" customHeight="1">
      <x:c r="A109" s="319"/>
      <x:c r="B109" s="320"/>
      <x:c r="C109" s="304"/>
      <x:c r="D109" s="302"/>
      <x:c r="E109" s="302"/>
      <x:c r="F109" s="312" t="str">
        <x:f>IF(OR(A109="",NOT(ISNUMBER(D109))),"",SUM(D109:E109))</x:f>
      </x:c>
      <x:c r="G109" s="274"/>
      <x:c r="H109" s="280"/>
      <x:c r="I109" s="315" t="str">
        <x:f>IF(A109="","",IF(COUNTIFS($A$6:$A$205,A109)&gt;1,"Duplicate ID",IF(OR(B109="",COUNTIFS('Deals'!$A$6:$A$205,B109)&lt;&gt;1),"Check Deal ID",IF(NOT(ISNUMBER(C109)),"Add receipt date",IF(NOT(ISNUMBER(D109)),"Add fee received","")))))</x:f>
      </x:c>
    </x:row>
    <x:row r="110" ht="26" customHeight="1">
      <x:c r="A110" s="317"/>
      <x:c r="B110" s="318"/>
      <x:c r="C110" s="238"/>
      <x:c r="D110" s="236"/>
      <x:c r="E110" s="236"/>
      <x:c r="F110" s="312" t="str">
        <x:f>IF(OR(A110="",NOT(ISNUMBER(D110))),"",SUM(D110:E110))</x:f>
      </x:c>
      <x:c r="G110" s="235"/>
      <x:c r="H110" s="239"/>
      <x:c r="I110" s="315" t="str">
        <x:f>IF(A110="","",IF(COUNTIFS($A$6:$A$205,A110)&gt;1,"Duplicate ID",IF(OR(B110="",COUNTIFS('Deals'!$A$6:$A$205,B110)&lt;&gt;1),"Check Deal ID",IF(NOT(ISNUMBER(C110)),"Add receipt date",IF(NOT(ISNUMBER(D110)),"Add fee received","")))))</x:f>
      </x:c>
    </x:row>
    <x:row r="111" ht="26" customHeight="1">
      <x:c r="A111" s="319"/>
      <x:c r="B111" s="320"/>
      <x:c r="C111" s="304"/>
      <x:c r="D111" s="302"/>
      <x:c r="E111" s="302"/>
      <x:c r="F111" s="312" t="str">
        <x:f>IF(OR(A111="",NOT(ISNUMBER(D111))),"",SUM(D111:E111))</x:f>
      </x:c>
      <x:c r="G111" s="274"/>
      <x:c r="H111" s="280"/>
      <x:c r="I111" s="315" t="str">
        <x:f>IF(A111="","",IF(COUNTIFS($A$6:$A$205,A111)&gt;1,"Duplicate ID",IF(OR(B111="",COUNTIFS('Deals'!$A$6:$A$205,B111)&lt;&gt;1),"Check Deal ID",IF(NOT(ISNUMBER(C111)),"Add receipt date",IF(NOT(ISNUMBER(D111)),"Add fee received","")))))</x:f>
      </x:c>
    </x:row>
    <x:row r="112" ht="26" customHeight="1">
      <x:c r="A112" s="317"/>
      <x:c r="B112" s="318"/>
      <x:c r="C112" s="238"/>
      <x:c r="D112" s="236"/>
      <x:c r="E112" s="236"/>
      <x:c r="F112" s="312" t="str">
        <x:f>IF(OR(A112="",NOT(ISNUMBER(D112))),"",SUM(D112:E112))</x:f>
      </x:c>
      <x:c r="G112" s="235"/>
      <x:c r="H112" s="239"/>
      <x:c r="I112" s="315" t="str">
        <x:f>IF(A112="","",IF(COUNTIFS($A$6:$A$205,A112)&gt;1,"Duplicate ID",IF(OR(B112="",COUNTIFS('Deals'!$A$6:$A$205,B112)&lt;&gt;1),"Check Deal ID",IF(NOT(ISNUMBER(C112)),"Add receipt date",IF(NOT(ISNUMBER(D112)),"Add fee received","")))))</x:f>
      </x:c>
    </x:row>
    <x:row r="113" ht="26" customHeight="1">
      <x:c r="A113" s="319"/>
      <x:c r="B113" s="320"/>
      <x:c r="C113" s="304"/>
      <x:c r="D113" s="302"/>
      <x:c r="E113" s="302"/>
      <x:c r="F113" s="312" t="str">
        <x:f>IF(OR(A113="",NOT(ISNUMBER(D113))),"",SUM(D113:E113))</x:f>
      </x:c>
      <x:c r="G113" s="274"/>
      <x:c r="H113" s="280"/>
      <x:c r="I113" s="315" t="str">
        <x:f>IF(A113="","",IF(COUNTIFS($A$6:$A$205,A113)&gt;1,"Duplicate ID",IF(OR(B113="",COUNTIFS('Deals'!$A$6:$A$205,B113)&lt;&gt;1),"Check Deal ID",IF(NOT(ISNUMBER(C113)),"Add receipt date",IF(NOT(ISNUMBER(D113)),"Add fee received","")))))</x:f>
      </x:c>
    </x:row>
    <x:row r="114" ht="26" customHeight="1">
      <x:c r="A114" s="317"/>
      <x:c r="B114" s="318"/>
      <x:c r="C114" s="238"/>
      <x:c r="D114" s="236"/>
      <x:c r="E114" s="236"/>
      <x:c r="F114" s="312" t="str">
        <x:f>IF(OR(A114="",NOT(ISNUMBER(D114))),"",SUM(D114:E114))</x:f>
      </x:c>
      <x:c r="G114" s="235"/>
      <x:c r="H114" s="239"/>
      <x:c r="I114" s="315" t="str">
        <x:f>IF(A114="","",IF(COUNTIFS($A$6:$A$205,A114)&gt;1,"Duplicate ID",IF(OR(B114="",COUNTIFS('Deals'!$A$6:$A$205,B114)&lt;&gt;1),"Check Deal ID",IF(NOT(ISNUMBER(C114)),"Add receipt date",IF(NOT(ISNUMBER(D114)),"Add fee received","")))))</x:f>
      </x:c>
    </x:row>
    <x:row r="115" ht="26" customHeight="1">
      <x:c r="A115" s="319"/>
      <x:c r="B115" s="320"/>
      <x:c r="C115" s="304"/>
      <x:c r="D115" s="302"/>
      <x:c r="E115" s="302"/>
      <x:c r="F115" s="312" t="str">
        <x:f>IF(OR(A115="",NOT(ISNUMBER(D115))),"",SUM(D115:E115))</x:f>
      </x:c>
      <x:c r="G115" s="274"/>
      <x:c r="H115" s="280"/>
      <x:c r="I115" s="315" t="str">
        <x:f>IF(A115="","",IF(COUNTIFS($A$6:$A$205,A115)&gt;1,"Duplicate ID",IF(OR(B115="",COUNTIFS('Deals'!$A$6:$A$205,B115)&lt;&gt;1),"Check Deal ID",IF(NOT(ISNUMBER(C115)),"Add receipt date",IF(NOT(ISNUMBER(D115)),"Add fee received","")))))</x:f>
      </x:c>
    </x:row>
    <x:row r="116" ht="26" customHeight="1">
      <x:c r="A116" s="317"/>
      <x:c r="B116" s="318"/>
      <x:c r="C116" s="238"/>
      <x:c r="D116" s="236"/>
      <x:c r="E116" s="236"/>
      <x:c r="F116" s="312" t="str">
        <x:f>IF(OR(A116="",NOT(ISNUMBER(D116))),"",SUM(D116:E116))</x:f>
      </x:c>
      <x:c r="G116" s="235"/>
      <x:c r="H116" s="239"/>
      <x:c r="I116" s="315" t="str">
        <x:f>IF(A116="","",IF(COUNTIFS($A$6:$A$205,A116)&gt;1,"Duplicate ID",IF(OR(B116="",COUNTIFS('Deals'!$A$6:$A$205,B116)&lt;&gt;1),"Check Deal ID",IF(NOT(ISNUMBER(C116)),"Add receipt date",IF(NOT(ISNUMBER(D116)),"Add fee received","")))))</x:f>
      </x:c>
    </x:row>
    <x:row r="117" ht="26" customHeight="1">
      <x:c r="A117" s="319"/>
      <x:c r="B117" s="320"/>
      <x:c r="C117" s="304"/>
      <x:c r="D117" s="302"/>
      <x:c r="E117" s="302"/>
      <x:c r="F117" s="312" t="str">
        <x:f>IF(OR(A117="",NOT(ISNUMBER(D117))),"",SUM(D117:E117))</x:f>
      </x:c>
      <x:c r="G117" s="274"/>
      <x:c r="H117" s="280"/>
      <x:c r="I117" s="315" t="str">
        <x:f>IF(A117="","",IF(COUNTIFS($A$6:$A$205,A117)&gt;1,"Duplicate ID",IF(OR(B117="",COUNTIFS('Deals'!$A$6:$A$205,B117)&lt;&gt;1),"Check Deal ID",IF(NOT(ISNUMBER(C117)),"Add receipt date",IF(NOT(ISNUMBER(D117)),"Add fee received","")))))</x:f>
      </x:c>
    </x:row>
    <x:row r="118" ht="26" customHeight="1">
      <x:c r="A118" s="317"/>
      <x:c r="B118" s="318"/>
      <x:c r="C118" s="238"/>
      <x:c r="D118" s="236"/>
      <x:c r="E118" s="236"/>
      <x:c r="F118" s="312" t="str">
        <x:f>IF(OR(A118="",NOT(ISNUMBER(D118))),"",SUM(D118:E118))</x:f>
      </x:c>
      <x:c r="G118" s="235"/>
      <x:c r="H118" s="239"/>
      <x:c r="I118" s="315" t="str">
        <x:f>IF(A118="","",IF(COUNTIFS($A$6:$A$205,A118)&gt;1,"Duplicate ID",IF(OR(B118="",COUNTIFS('Deals'!$A$6:$A$205,B118)&lt;&gt;1),"Check Deal ID",IF(NOT(ISNUMBER(C118)),"Add receipt date",IF(NOT(ISNUMBER(D118)),"Add fee received","")))))</x:f>
      </x:c>
    </x:row>
    <x:row r="119" ht="26" customHeight="1">
      <x:c r="A119" s="319"/>
      <x:c r="B119" s="320"/>
      <x:c r="C119" s="304"/>
      <x:c r="D119" s="302"/>
      <x:c r="E119" s="302"/>
      <x:c r="F119" s="312" t="str">
        <x:f>IF(OR(A119="",NOT(ISNUMBER(D119))),"",SUM(D119:E119))</x:f>
      </x:c>
      <x:c r="G119" s="274"/>
      <x:c r="H119" s="280"/>
      <x:c r="I119" s="315" t="str">
        <x:f>IF(A119="","",IF(COUNTIFS($A$6:$A$205,A119)&gt;1,"Duplicate ID",IF(OR(B119="",COUNTIFS('Deals'!$A$6:$A$205,B119)&lt;&gt;1),"Check Deal ID",IF(NOT(ISNUMBER(C119)),"Add receipt date",IF(NOT(ISNUMBER(D119)),"Add fee received","")))))</x:f>
      </x:c>
    </x:row>
    <x:row r="120" ht="26" customHeight="1">
      <x:c r="A120" s="317"/>
      <x:c r="B120" s="318"/>
      <x:c r="C120" s="238"/>
      <x:c r="D120" s="236"/>
      <x:c r="E120" s="236"/>
      <x:c r="F120" s="312" t="str">
        <x:f>IF(OR(A120="",NOT(ISNUMBER(D120))),"",SUM(D120:E120))</x:f>
      </x:c>
      <x:c r="G120" s="235"/>
      <x:c r="H120" s="239"/>
      <x:c r="I120" s="315" t="str">
        <x:f>IF(A120="","",IF(COUNTIFS($A$6:$A$205,A120)&gt;1,"Duplicate ID",IF(OR(B120="",COUNTIFS('Deals'!$A$6:$A$205,B120)&lt;&gt;1),"Check Deal ID",IF(NOT(ISNUMBER(C120)),"Add receipt date",IF(NOT(ISNUMBER(D120)),"Add fee received","")))))</x:f>
      </x:c>
    </x:row>
    <x:row r="121" ht="26" customHeight="1">
      <x:c r="A121" s="319"/>
      <x:c r="B121" s="320"/>
      <x:c r="C121" s="304"/>
      <x:c r="D121" s="302"/>
      <x:c r="E121" s="302"/>
      <x:c r="F121" s="312" t="str">
        <x:f>IF(OR(A121="",NOT(ISNUMBER(D121))),"",SUM(D121:E121))</x:f>
      </x:c>
      <x:c r="G121" s="274"/>
      <x:c r="H121" s="280"/>
      <x:c r="I121" s="315" t="str">
        <x:f>IF(A121="","",IF(COUNTIFS($A$6:$A$205,A121)&gt;1,"Duplicate ID",IF(OR(B121="",COUNTIFS('Deals'!$A$6:$A$205,B121)&lt;&gt;1),"Check Deal ID",IF(NOT(ISNUMBER(C121)),"Add receipt date",IF(NOT(ISNUMBER(D121)),"Add fee received","")))))</x:f>
      </x:c>
    </x:row>
    <x:row r="122" ht="26" customHeight="1">
      <x:c r="A122" s="317"/>
      <x:c r="B122" s="318"/>
      <x:c r="C122" s="238"/>
      <x:c r="D122" s="236"/>
      <x:c r="E122" s="236"/>
      <x:c r="F122" s="312" t="str">
        <x:f>IF(OR(A122="",NOT(ISNUMBER(D122))),"",SUM(D122:E122))</x:f>
      </x:c>
      <x:c r="G122" s="235"/>
      <x:c r="H122" s="239"/>
      <x:c r="I122" s="315" t="str">
        <x:f>IF(A122="","",IF(COUNTIFS($A$6:$A$205,A122)&gt;1,"Duplicate ID",IF(OR(B122="",COUNTIFS('Deals'!$A$6:$A$205,B122)&lt;&gt;1),"Check Deal ID",IF(NOT(ISNUMBER(C122)),"Add receipt date",IF(NOT(ISNUMBER(D122)),"Add fee received","")))))</x:f>
      </x:c>
    </x:row>
    <x:row r="123" ht="26" customHeight="1">
      <x:c r="A123" s="319"/>
      <x:c r="B123" s="320"/>
      <x:c r="C123" s="304"/>
      <x:c r="D123" s="302"/>
      <x:c r="E123" s="302"/>
      <x:c r="F123" s="312" t="str">
        <x:f>IF(OR(A123="",NOT(ISNUMBER(D123))),"",SUM(D123:E123))</x:f>
      </x:c>
      <x:c r="G123" s="274"/>
      <x:c r="H123" s="280"/>
      <x:c r="I123" s="315" t="str">
        <x:f>IF(A123="","",IF(COUNTIFS($A$6:$A$205,A123)&gt;1,"Duplicate ID",IF(OR(B123="",COUNTIFS('Deals'!$A$6:$A$205,B123)&lt;&gt;1),"Check Deal ID",IF(NOT(ISNUMBER(C123)),"Add receipt date",IF(NOT(ISNUMBER(D123)),"Add fee received","")))))</x:f>
      </x:c>
    </x:row>
    <x:row r="124" ht="26" customHeight="1">
      <x:c r="A124" s="317"/>
      <x:c r="B124" s="318"/>
      <x:c r="C124" s="238"/>
      <x:c r="D124" s="236"/>
      <x:c r="E124" s="236"/>
      <x:c r="F124" s="312" t="str">
        <x:f>IF(OR(A124="",NOT(ISNUMBER(D124))),"",SUM(D124:E124))</x:f>
      </x:c>
      <x:c r="G124" s="235"/>
      <x:c r="H124" s="239"/>
      <x:c r="I124" s="315" t="str">
        <x:f>IF(A124="","",IF(COUNTIFS($A$6:$A$205,A124)&gt;1,"Duplicate ID",IF(OR(B124="",COUNTIFS('Deals'!$A$6:$A$205,B124)&lt;&gt;1),"Check Deal ID",IF(NOT(ISNUMBER(C124)),"Add receipt date",IF(NOT(ISNUMBER(D124)),"Add fee received","")))))</x:f>
      </x:c>
    </x:row>
    <x:row r="125" ht="26" customHeight="1">
      <x:c r="A125" s="319"/>
      <x:c r="B125" s="320"/>
      <x:c r="C125" s="304"/>
      <x:c r="D125" s="302"/>
      <x:c r="E125" s="302"/>
      <x:c r="F125" s="312" t="str">
        <x:f>IF(OR(A125="",NOT(ISNUMBER(D125))),"",SUM(D125:E125))</x:f>
      </x:c>
      <x:c r="G125" s="274"/>
      <x:c r="H125" s="280"/>
      <x:c r="I125" s="315" t="str">
        <x:f>IF(A125="","",IF(COUNTIFS($A$6:$A$205,A125)&gt;1,"Duplicate ID",IF(OR(B125="",COUNTIFS('Deals'!$A$6:$A$205,B125)&lt;&gt;1),"Check Deal ID",IF(NOT(ISNUMBER(C125)),"Add receipt date",IF(NOT(ISNUMBER(D125)),"Add fee received","")))))</x:f>
      </x:c>
    </x:row>
    <x:row r="126" ht="26" customHeight="1">
      <x:c r="A126" s="317"/>
      <x:c r="B126" s="318"/>
      <x:c r="C126" s="238"/>
      <x:c r="D126" s="236"/>
      <x:c r="E126" s="236"/>
      <x:c r="F126" s="312" t="str">
        <x:f>IF(OR(A126="",NOT(ISNUMBER(D126))),"",SUM(D126:E126))</x:f>
      </x:c>
      <x:c r="G126" s="235"/>
      <x:c r="H126" s="239"/>
      <x:c r="I126" s="315" t="str">
        <x:f>IF(A126="","",IF(COUNTIFS($A$6:$A$205,A126)&gt;1,"Duplicate ID",IF(OR(B126="",COUNTIFS('Deals'!$A$6:$A$205,B126)&lt;&gt;1),"Check Deal ID",IF(NOT(ISNUMBER(C126)),"Add receipt date",IF(NOT(ISNUMBER(D126)),"Add fee received","")))))</x:f>
      </x:c>
    </x:row>
    <x:row r="127" ht="26" customHeight="1">
      <x:c r="A127" s="319"/>
      <x:c r="B127" s="320"/>
      <x:c r="C127" s="304"/>
      <x:c r="D127" s="302"/>
      <x:c r="E127" s="302"/>
      <x:c r="F127" s="312" t="str">
        <x:f>IF(OR(A127="",NOT(ISNUMBER(D127))),"",SUM(D127:E127))</x:f>
      </x:c>
      <x:c r="G127" s="274"/>
      <x:c r="H127" s="280"/>
      <x:c r="I127" s="315" t="str">
        <x:f>IF(A127="","",IF(COUNTIFS($A$6:$A$205,A127)&gt;1,"Duplicate ID",IF(OR(B127="",COUNTIFS('Deals'!$A$6:$A$205,B127)&lt;&gt;1),"Check Deal ID",IF(NOT(ISNUMBER(C127)),"Add receipt date",IF(NOT(ISNUMBER(D127)),"Add fee received","")))))</x:f>
      </x:c>
    </x:row>
    <x:row r="128" ht="26" customHeight="1">
      <x:c r="A128" s="317"/>
      <x:c r="B128" s="318"/>
      <x:c r="C128" s="238"/>
      <x:c r="D128" s="236"/>
      <x:c r="E128" s="236"/>
      <x:c r="F128" s="312" t="str">
        <x:f>IF(OR(A128="",NOT(ISNUMBER(D128))),"",SUM(D128:E128))</x:f>
      </x:c>
      <x:c r="G128" s="235"/>
      <x:c r="H128" s="239"/>
      <x:c r="I128" s="315" t="str">
        <x:f>IF(A128="","",IF(COUNTIFS($A$6:$A$205,A128)&gt;1,"Duplicate ID",IF(OR(B128="",COUNTIFS('Deals'!$A$6:$A$205,B128)&lt;&gt;1),"Check Deal ID",IF(NOT(ISNUMBER(C128)),"Add receipt date",IF(NOT(ISNUMBER(D128)),"Add fee received","")))))</x:f>
      </x:c>
    </x:row>
    <x:row r="129" ht="26" customHeight="1">
      <x:c r="A129" s="319"/>
      <x:c r="B129" s="320"/>
      <x:c r="C129" s="304"/>
      <x:c r="D129" s="302"/>
      <x:c r="E129" s="302"/>
      <x:c r="F129" s="312" t="str">
        <x:f>IF(OR(A129="",NOT(ISNUMBER(D129))),"",SUM(D129:E129))</x:f>
      </x:c>
      <x:c r="G129" s="274"/>
      <x:c r="H129" s="280"/>
      <x:c r="I129" s="315" t="str">
        <x:f>IF(A129="","",IF(COUNTIFS($A$6:$A$205,A129)&gt;1,"Duplicate ID",IF(OR(B129="",COUNTIFS('Deals'!$A$6:$A$205,B129)&lt;&gt;1),"Check Deal ID",IF(NOT(ISNUMBER(C129)),"Add receipt date",IF(NOT(ISNUMBER(D129)),"Add fee received","")))))</x:f>
      </x:c>
    </x:row>
    <x:row r="130" ht="26" customHeight="1">
      <x:c r="A130" s="317"/>
      <x:c r="B130" s="318"/>
      <x:c r="C130" s="238"/>
      <x:c r="D130" s="236"/>
      <x:c r="E130" s="236"/>
      <x:c r="F130" s="312" t="str">
        <x:f>IF(OR(A130="",NOT(ISNUMBER(D130))),"",SUM(D130:E130))</x:f>
      </x:c>
      <x:c r="G130" s="235"/>
      <x:c r="H130" s="239"/>
      <x:c r="I130" s="315" t="str">
        <x:f>IF(A130="","",IF(COUNTIFS($A$6:$A$205,A130)&gt;1,"Duplicate ID",IF(OR(B130="",COUNTIFS('Deals'!$A$6:$A$205,B130)&lt;&gt;1),"Check Deal ID",IF(NOT(ISNUMBER(C130)),"Add receipt date",IF(NOT(ISNUMBER(D130)),"Add fee received","")))))</x:f>
      </x:c>
    </x:row>
    <x:row r="131" ht="26" customHeight="1">
      <x:c r="A131" s="319"/>
      <x:c r="B131" s="320"/>
      <x:c r="C131" s="304"/>
      <x:c r="D131" s="302"/>
      <x:c r="E131" s="302"/>
      <x:c r="F131" s="312" t="str">
        <x:f>IF(OR(A131="",NOT(ISNUMBER(D131))),"",SUM(D131:E131))</x:f>
      </x:c>
      <x:c r="G131" s="274"/>
      <x:c r="H131" s="280"/>
      <x:c r="I131" s="315" t="str">
        <x:f>IF(A131="","",IF(COUNTIFS($A$6:$A$205,A131)&gt;1,"Duplicate ID",IF(OR(B131="",COUNTIFS('Deals'!$A$6:$A$205,B131)&lt;&gt;1),"Check Deal ID",IF(NOT(ISNUMBER(C131)),"Add receipt date",IF(NOT(ISNUMBER(D131)),"Add fee received","")))))</x:f>
      </x:c>
    </x:row>
    <x:row r="132" ht="26" customHeight="1">
      <x:c r="A132" s="317"/>
      <x:c r="B132" s="318"/>
      <x:c r="C132" s="238"/>
      <x:c r="D132" s="236"/>
      <x:c r="E132" s="236"/>
      <x:c r="F132" s="312" t="str">
        <x:f>IF(OR(A132="",NOT(ISNUMBER(D132))),"",SUM(D132:E132))</x:f>
      </x:c>
      <x:c r="G132" s="235"/>
      <x:c r="H132" s="239"/>
      <x:c r="I132" s="315" t="str">
        <x:f>IF(A132="","",IF(COUNTIFS($A$6:$A$205,A132)&gt;1,"Duplicate ID",IF(OR(B132="",COUNTIFS('Deals'!$A$6:$A$205,B132)&lt;&gt;1),"Check Deal ID",IF(NOT(ISNUMBER(C132)),"Add receipt date",IF(NOT(ISNUMBER(D132)),"Add fee received","")))))</x:f>
      </x:c>
    </x:row>
    <x:row r="133" ht="26" customHeight="1">
      <x:c r="A133" s="319"/>
      <x:c r="B133" s="320"/>
      <x:c r="C133" s="304"/>
      <x:c r="D133" s="302"/>
      <x:c r="E133" s="302"/>
      <x:c r="F133" s="312" t="str">
        <x:f>IF(OR(A133="",NOT(ISNUMBER(D133))),"",SUM(D133:E133))</x:f>
      </x:c>
      <x:c r="G133" s="274"/>
      <x:c r="H133" s="280"/>
      <x:c r="I133" s="315" t="str">
        <x:f>IF(A133="","",IF(COUNTIFS($A$6:$A$205,A133)&gt;1,"Duplicate ID",IF(OR(B133="",COUNTIFS('Deals'!$A$6:$A$205,B133)&lt;&gt;1),"Check Deal ID",IF(NOT(ISNUMBER(C133)),"Add receipt date",IF(NOT(ISNUMBER(D133)),"Add fee received","")))))</x:f>
      </x:c>
    </x:row>
    <x:row r="134" ht="26" customHeight="1">
      <x:c r="A134" s="317"/>
      <x:c r="B134" s="318"/>
      <x:c r="C134" s="238"/>
      <x:c r="D134" s="236"/>
      <x:c r="E134" s="236"/>
      <x:c r="F134" s="312" t="str">
        <x:f>IF(OR(A134="",NOT(ISNUMBER(D134))),"",SUM(D134:E134))</x:f>
      </x:c>
      <x:c r="G134" s="235"/>
      <x:c r="H134" s="239"/>
      <x:c r="I134" s="315" t="str">
        <x:f>IF(A134="","",IF(COUNTIFS($A$6:$A$205,A134)&gt;1,"Duplicate ID",IF(OR(B134="",COUNTIFS('Deals'!$A$6:$A$205,B134)&lt;&gt;1),"Check Deal ID",IF(NOT(ISNUMBER(C134)),"Add receipt date",IF(NOT(ISNUMBER(D134)),"Add fee received","")))))</x:f>
      </x:c>
    </x:row>
    <x:row r="135" ht="26" customHeight="1">
      <x:c r="A135" s="319"/>
      <x:c r="B135" s="320"/>
      <x:c r="C135" s="304"/>
      <x:c r="D135" s="302"/>
      <x:c r="E135" s="302"/>
      <x:c r="F135" s="312" t="str">
        <x:f>IF(OR(A135="",NOT(ISNUMBER(D135))),"",SUM(D135:E135))</x:f>
      </x:c>
      <x:c r="G135" s="274"/>
      <x:c r="H135" s="280"/>
      <x:c r="I135" s="315" t="str">
        <x:f>IF(A135="","",IF(COUNTIFS($A$6:$A$205,A135)&gt;1,"Duplicate ID",IF(OR(B135="",COUNTIFS('Deals'!$A$6:$A$205,B135)&lt;&gt;1),"Check Deal ID",IF(NOT(ISNUMBER(C135)),"Add receipt date",IF(NOT(ISNUMBER(D135)),"Add fee received","")))))</x:f>
      </x:c>
    </x:row>
    <x:row r="136" ht="26" customHeight="1">
      <x:c r="A136" s="317"/>
      <x:c r="B136" s="318"/>
      <x:c r="C136" s="238"/>
      <x:c r="D136" s="236"/>
      <x:c r="E136" s="236"/>
      <x:c r="F136" s="312" t="str">
        <x:f>IF(OR(A136="",NOT(ISNUMBER(D136))),"",SUM(D136:E136))</x:f>
      </x:c>
      <x:c r="G136" s="235"/>
      <x:c r="H136" s="239"/>
      <x:c r="I136" s="315" t="str">
        <x:f>IF(A136="","",IF(COUNTIFS($A$6:$A$205,A136)&gt;1,"Duplicate ID",IF(OR(B136="",COUNTIFS('Deals'!$A$6:$A$205,B136)&lt;&gt;1),"Check Deal ID",IF(NOT(ISNUMBER(C136)),"Add receipt date",IF(NOT(ISNUMBER(D136)),"Add fee received","")))))</x:f>
      </x:c>
    </x:row>
    <x:row r="137" ht="26" customHeight="1">
      <x:c r="A137" s="319"/>
      <x:c r="B137" s="320"/>
      <x:c r="C137" s="304"/>
      <x:c r="D137" s="302"/>
      <x:c r="E137" s="302"/>
      <x:c r="F137" s="312" t="str">
        <x:f>IF(OR(A137="",NOT(ISNUMBER(D137))),"",SUM(D137:E137))</x:f>
      </x:c>
      <x:c r="G137" s="274"/>
      <x:c r="H137" s="280"/>
      <x:c r="I137" s="315" t="str">
        <x:f>IF(A137="","",IF(COUNTIFS($A$6:$A$205,A137)&gt;1,"Duplicate ID",IF(OR(B137="",COUNTIFS('Deals'!$A$6:$A$205,B137)&lt;&gt;1),"Check Deal ID",IF(NOT(ISNUMBER(C137)),"Add receipt date",IF(NOT(ISNUMBER(D137)),"Add fee received","")))))</x:f>
      </x:c>
    </x:row>
    <x:row r="138" ht="26" customHeight="1">
      <x:c r="A138" s="317"/>
      <x:c r="B138" s="318"/>
      <x:c r="C138" s="238"/>
      <x:c r="D138" s="236"/>
      <x:c r="E138" s="236"/>
      <x:c r="F138" s="312" t="str">
        <x:f>IF(OR(A138="",NOT(ISNUMBER(D138))),"",SUM(D138:E138))</x:f>
      </x:c>
      <x:c r="G138" s="235"/>
      <x:c r="H138" s="239"/>
      <x:c r="I138" s="315" t="str">
        <x:f>IF(A138="","",IF(COUNTIFS($A$6:$A$205,A138)&gt;1,"Duplicate ID",IF(OR(B138="",COUNTIFS('Deals'!$A$6:$A$205,B138)&lt;&gt;1),"Check Deal ID",IF(NOT(ISNUMBER(C138)),"Add receipt date",IF(NOT(ISNUMBER(D138)),"Add fee received","")))))</x:f>
      </x:c>
    </x:row>
    <x:row r="139" ht="26" customHeight="1">
      <x:c r="A139" s="319"/>
      <x:c r="B139" s="320"/>
      <x:c r="C139" s="304"/>
      <x:c r="D139" s="302"/>
      <x:c r="E139" s="302"/>
      <x:c r="F139" s="312" t="str">
        <x:f>IF(OR(A139="",NOT(ISNUMBER(D139))),"",SUM(D139:E139))</x:f>
      </x:c>
      <x:c r="G139" s="274"/>
      <x:c r="H139" s="280"/>
      <x:c r="I139" s="315" t="str">
        <x:f>IF(A139="","",IF(COUNTIFS($A$6:$A$205,A139)&gt;1,"Duplicate ID",IF(OR(B139="",COUNTIFS('Deals'!$A$6:$A$205,B139)&lt;&gt;1),"Check Deal ID",IF(NOT(ISNUMBER(C139)),"Add receipt date",IF(NOT(ISNUMBER(D139)),"Add fee received","")))))</x:f>
      </x:c>
    </x:row>
    <x:row r="140" ht="26" customHeight="1">
      <x:c r="A140" s="317"/>
      <x:c r="B140" s="318"/>
      <x:c r="C140" s="238"/>
      <x:c r="D140" s="236"/>
      <x:c r="E140" s="236"/>
      <x:c r="F140" s="312" t="str">
        <x:f>IF(OR(A140="",NOT(ISNUMBER(D140))),"",SUM(D140:E140))</x:f>
      </x:c>
      <x:c r="G140" s="235"/>
      <x:c r="H140" s="239"/>
      <x:c r="I140" s="315" t="str">
        <x:f>IF(A140="","",IF(COUNTIFS($A$6:$A$205,A140)&gt;1,"Duplicate ID",IF(OR(B140="",COUNTIFS('Deals'!$A$6:$A$205,B140)&lt;&gt;1),"Check Deal ID",IF(NOT(ISNUMBER(C140)),"Add receipt date",IF(NOT(ISNUMBER(D140)),"Add fee received","")))))</x:f>
      </x:c>
    </x:row>
    <x:row r="141" ht="26" customHeight="1">
      <x:c r="A141" s="319"/>
      <x:c r="B141" s="320"/>
      <x:c r="C141" s="304"/>
      <x:c r="D141" s="302"/>
      <x:c r="E141" s="302"/>
      <x:c r="F141" s="312" t="str">
        <x:f>IF(OR(A141="",NOT(ISNUMBER(D141))),"",SUM(D141:E141))</x:f>
      </x:c>
      <x:c r="G141" s="274"/>
      <x:c r="H141" s="280"/>
      <x:c r="I141" s="315" t="str">
        <x:f>IF(A141="","",IF(COUNTIFS($A$6:$A$205,A141)&gt;1,"Duplicate ID",IF(OR(B141="",COUNTIFS('Deals'!$A$6:$A$205,B141)&lt;&gt;1),"Check Deal ID",IF(NOT(ISNUMBER(C141)),"Add receipt date",IF(NOT(ISNUMBER(D141)),"Add fee received","")))))</x:f>
      </x:c>
    </x:row>
    <x:row r="142" ht="26" customHeight="1">
      <x:c r="A142" s="317"/>
      <x:c r="B142" s="318"/>
      <x:c r="C142" s="238"/>
      <x:c r="D142" s="236"/>
      <x:c r="E142" s="236"/>
      <x:c r="F142" s="312" t="str">
        <x:f>IF(OR(A142="",NOT(ISNUMBER(D142))),"",SUM(D142:E142))</x:f>
      </x:c>
      <x:c r="G142" s="235"/>
      <x:c r="H142" s="239"/>
      <x:c r="I142" s="315" t="str">
        <x:f>IF(A142="","",IF(COUNTIFS($A$6:$A$205,A142)&gt;1,"Duplicate ID",IF(OR(B142="",COUNTIFS('Deals'!$A$6:$A$205,B142)&lt;&gt;1),"Check Deal ID",IF(NOT(ISNUMBER(C142)),"Add receipt date",IF(NOT(ISNUMBER(D142)),"Add fee received","")))))</x:f>
      </x:c>
    </x:row>
    <x:row r="143" ht="26" customHeight="1">
      <x:c r="A143" s="319"/>
      <x:c r="B143" s="320"/>
      <x:c r="C143" s="304"/>
      <x:c r="D143" s="302"/>
      <x:c r="E143" s="302"/>
      <x:c r="F143" s="312" t="str">
        <x:f>IF(OR(A143="",NOT(ISNUMBER(D143))),"",SUM(D143:E143))</x:f>
      </x:c>
      <x:c r="G143" s="274"/>
      <x:c r="H143" s="280"/>
      <x:c r="I143" s="315" t="str">
        <x:f>IF(A143="","",IF(COUNTIFS($A$6:$A$205,A143)&gt;1,"Duplicate ID",IF(OR(B143="",COUNTIFS('Deals'!$A$6:$A$205,B143)&lt;&gt;1),"Check Deal ID",IF(NOT(ISNUMBER(C143)),"Add receipt date",IF(NOT(ISNUMBER(D143)),"Add fee received","")))))</x:f>
      </x:c>
    </x:row>
    <x:row r="144" ht="26" customHeight="1">
      <x:c r="A144" s="317"/>
      <x:c r="B144" s="318"/>
      <x:c r="C144" s="238"/>
      <x:c r="D144" s="236"/>
      <x:c r="E144" s="236"/>
      <x:c r="F144" s="312" t="str">
        <x:f>IF(OR(A144="",NOT(ISNUMBER(D144))),"",SUM(D144:E144))</x:f>
      </x:c>
      <x:c r="G144" s="235"/>
      <x:c r="H144" s="239"/>
      <x:c r="I144" s="315" t="str">
        <x:f>IF(A144="","",IF(COUNTIFS($A$6:$A$205,A144)&gt;1,"Duplicate ID",IF(OR(B144="",COUNTIFS('Deals'!$A$6:$A$205,B144)&lt;&gt;1),"Check Deal ID",IF(NOT(ISNUMBER(C144)),"Add receipt date",IF(NOT(ISNUMBER(D144)),"Add fee received","")))))</x:f>
      </x:c>
    </x:row>
    <x:row r="145" ht="26" customHeight="1">
      <x:c r="A145" s="319"/>
      <x:c r="B145" s="320"/>
      <x:c r="C145" s="304"/>
      <x:c r="D145" s="302"/>
      <x:c r="E145" s="302"/>
      <x:c r="F145" s="312" t="str">
        <x:f>IF(OR(A145="",NOT(ISNUMBER(D145))),"",SUM(D145:E145))</x:f>
      </x:c>
      <x:c r="G145" s="274"/>
      <x:c r="H145" s="280"/>
      <x:c r="I145" s="315" t="str">
        <x:f>IF(A145="","",IF(COUNTIFS($A$6:$A$205,A145)&gt;1,"Duplicate ID",IF(OR(B145="",COUNTIFS('Deals'!$A$6:$A$205,B145)&lt;&gt;1),"Check Deal ID",IF(NOT(ISNUMBER(C145)),"Add receipt date",IF(NOT(ISNUMBER(D145)),"Add fee received","")))))</x:f>
      </x:c>
    </x:row>
    <x:row r="146" ht="26" customHeight="1">
      <x:c r="A146" s="317"/>
      <x:c r="B146" s="318"/>
      <x:c r="C146" s="238"/>
      <x:c r="D146" s="236"/>
      <x:c r="E146" s="236"/>
      <x:c r="F146" s="312" t="str">
        <x:f>IF(OR(A146="",NOT(ISNUMBER(D146))),"",SUM(D146:E146))</x:f>
      </x:c>
      <x:c r="G146" s="235"/>
      <x:c r="H146" s="239"/>
      <x:c r="I146" s="315" t="str">
        <x:f>IF(A146="","",IF(COUNTIFS($A$6:$A$205,A146)&gt;1,"Duplicate ID",IF(OR(B146="",COUNTIFS('Deals'!$A$6:$A$205,B146)&lt;&gt;1),"Check Deal ID",IF(NOT(ISNUMBER(C146)),"Add receipt date",IF(NOT(ISNUMBER(D146)),"Add fee received","")))))</x:f>
      </x:c>
    </x:row>
    <x:row r="147" ht="26" customHeight="1">
      <x:c r="A147" s="319"/>
      <x:c r="B147" s="320"/>
      <x:c r="C147" s="304"/>
      <x:c r="D147" s="302"/>
      <x:c r="E147" s="302"/>
      <x:c r="F147" s="312" t="str">
        <x:f>IF(OR(A147="",NOT(ISNUMBER(D147))),"",SUM(D147:E147))</x:f>
      </x:c>
      <x:c r="G147" s="274"/>
      <x:c r="H147" s="280"/>
      <x:c r="I147" s="315" t="str">
        <x:f>IF(A147="","",IF(COUNTIFS($A$6:$A$205,A147)&gt;1,"Duplicate ID",IF(OR(B147="",COUNTIFS('Deals'!$A$6:$A$205,B147)&lt;&gt;1),"Check Deal ID",IF(NOT(ISNUMBER(C147)),"Add receipt date",IF(NOT(ISNUMBER(D147)),"Add fee received","")))))</x:f>
      </x:c>
    </x:row>
    <x:row r="148" ht="26" customHeight="1">
      <x:c r="A148" s="317"/>
      <x:c r="B148" s="318"/>
      <x:c r="C148" s="238"/>
      <x:c r="D148" s="236"/>
      <x:c r="E148" s="236"/>
      <x:c r="F148" s="312" t="str">
        <x:f>IF(OR(A148="",NOT(ISNUMBER(D148))),"",SUM(D148:E148))</x:f>
      </x:c>
      <x:c r="G148" s="235"/>
      <x:c r="H148" s="239"/>
      <x:c r="I148" s="315" t="str">
        <x:f>IF(A148="","",IF(COUNTIFS($A$6:$A$205,A148)&gt;1,"Duplicate ID",IF(OR(B148="",COUNTIFS('Deals'!$A$6:$A$205,B148)&lt;&gt;1),"Check Deal ID",IF(NOT(ISNUMBER(C148)),"Add receipt date",IF(NOT(ISNUMBER(D148)),"Add fee received","")))))</x:f>
      </x:c>
    </x:row>
    <x:row r="149" ht="26" customHeight="1">
      <x:c r="A149" s="319"/>
      <x:c r="B149" s="320"/>
      <x:c r="C149" s="304"/>
      <x:c r="D149" s="302"/>
      <x:c r="E149" s="302"/>
      <x:c r="F149" s="312" t="str">
        <x:f>IF(OR(A149="",NOT(ISNUMBER(D149))),"",SUM(D149:E149))</x:f>
      </x:c>
      <x:c r="G149" s="274"/>
      <x:c r="H149" s="280"/>
      <x:c r="I149" s="315" t="str">
        <x:f>IF(A149="","",IF(COUNTIFS($A$6:$A$205,A149)&gt;1,"Duplicate ID",IF(OR(B149="",COUNTIFS('Deals'!$A$6:$A$205,B149)&lt;&gt;1),"Check Deal ID",IF(NOT(ISNUMBER(C149)),"Add receipt date",IF(NOT(ISNUMBER(D149)),"Add fee received","")))))</x:f>
      </x:c>
    </x:row>
    <x:row r="150" ht="26" customHeight="1">
      <x:c r="A150" s="317"/>
      <x:c r="B150" s="318"/>
      <x:c r="C150" s="238"/>
      <x:c r="D150" s="236"/>
      <x:c r="E150" s="236"/>
      <x:c r="F150" s="312" t="str">
        <x:f>IF(OR(A150="",NOT(ISNUMBER(D150))),"",SUM(D150:E150))</x:f>
      </x:c>
      <x:c r="G150" s="235"/>
      <x:c r="H150" s="239"/>
      <x:c r="I150" s="315" t="str">
        <x:f>IF(A150="","",IF(COUNTIFS($A$6:$A$205,A150)&gt;1,"Duplicate ID",IF(OR(B150="",COUNTIFS('Deals'!$A$6:$A$205,B150)&lt;&gt;1),"Check Deal ID",IF(NOT(ISNUMBER(C150)),"Add receipt date",IF(NOT(ISNUMBER(D150)),"Add fee received","")))))</x:f>
      </x:c>
    </x:row>
    <x:row r="151" ht="26" customHeight="1">
      <x:c r="A151" s="319"/>
      <x:c r="B151" s="320"/>
      <x:c r="C151" s="304"/>
      <x:c r="D151" s="302"/>
      <x:c r="E151" s="302"/>
      <x:c r="F151" s="312" t="str">
        <x:f>IF(OR(A151="",NOT(ISNUMBER(D151))),"",SUM(D151:E151))</x:f>
      </x:c>
      <x:c r="G151" s="274"/>
      <x:c r="H151" s="280"/>
      <x:c r="I151" s="315" t="str">
        <x:f>IF(A151="","",IF(COUNTIFS($A$6:$A$205,A151)&gt;1,"Duplicate ID",IF(OR(B151="",COUNTIFS('Deals'!$A$6:$A$205,B151)&lt;&gt;1),"Check Deal ID",IF(NOT(ISNUMBER(C151)),"Add receipt date",IF(NOT(ISNUMBER(D151)),"Add fee received","")))))</x:f>
      </x:c>
    </x:row>
    <x:row r="152" ht="26" customHeight="1">
      <x:c r="A152" s="317"/>
      <x:c r="B152" s="318"/>
      <x:c r="C152" s="238"/>
      <x:c r="D152" s="236"/>
      <x:c r="E152" s="236"/>
      <x:c r="F152" s="312" t="str">
        <x:f>IF(OR(A152="",NOT(ISNUMBER(D152))),"",SUM(D152:E152))</x:f>
      </x:c>
      <x:c r="G152" s="235"/>
      <x:c r="H152" s="239"/>
      <x:c r="I152" s="315" t="str">
        <x:f>IF(A152="","",IF(COUNTIFS($A$6:$A$205,A152)&gt;1,"Duplicate ID",IF(OR(B152="",COUNTIFS('Deals'!$A$6:$A$205,B152)&lt;&gt;1),"Check Deal ID",IF(NOT(ISNUMBER(C152)),"Add receipt date",IF(NOT(ISNUMBER(D152)),"Add fee received","")))))</x:f>
      </x:c>
    </x:row>
    <x:row r="153" ht="26" customHeight="1">
      <x:c r="A153" s="319"/>
      <x:c r="B153" s="320"/>
      <x:c r="C153" s="304"/>
      <x:c r="D153" s="302"/>
      <x:c r="E153" s="302"/>
      <x:c r="F153" s="312" t="str">
        <x:f>IF(OR(A153="",NOT(ISNUMBER(D153))),"",SUM(D153:E153))</x:f>
      </x:c>
      <x:c r="G153" s="274"/>
      <x:c r="H153" s="280"/>
      <x:c r="I153" s="315" t="str">
        <x:f>IF(A153="","",IF(COUNTIFS($A$6:$A$205,A153)&gt;1,"Duplicate ID",IF(OR(B153="",COUNTIFS('Deals'!$A$6:$A$205,B153)&lt;&gt;1),"Check Deal ID",IF(NOT(ISNUMBER(C153)),"Add receipt date",IF(NOT(ISNUMBER(D153)),"Add fee received","")))))</x:f>
      </x:c>
    </x:row>
    <x:row r="154" ht="26" customHeight="1">
      <x:c r="A154" s="317"/>
      <x:c r="B154" s="318"/>
      <x:c r="C154" s="238"/>
      <x:c r="D154" s="236"/>
      <x:c r="E154" s="236"/>
      <x:c r="F154" s="312" t="str">
        <x:f>IF(OR(A154="",NOT(ISNUMBER(D154))),"",SUM(D154:E154))</x:f>
      </x:c>
      <x:c r="G154" s="235"/>
      <x:c r="H154" s="239"/>
      <x:c r="I154" s="315" t="str">
        <x:f>IF(A154="","",IF(COUNTIFS($A$6:$A$205,A154)&gt;1,"Duplicate ID",IF(OR(B154="",COUNTIFS('Deals'!$A$6:$A$205,B154)&lt;&gt;1),"Check Deal ID",IF(NOT(ISNUMBER(C154)),"Add receipt date",IF(NOT(ISNUMBER(D154)),"Add fee received","")))))</x:f>
      </x:c>
    </x:row>
    <x:row r="155" ht="26" customHeight="1">
      <x:c r="A155" s="319"/>
      <x:c r="B155" s="320"/>
      <x:c r="C155" s="304"/>
      <x:c r="D155" s="302"/>
      <x:c r="E155" s="302"/>
      <x:c r="F155" s="312" t="str">
        <x:f>IF(OR(A155="",NOT(ISNUMBER(D155))),"",SUM(D155:E155))</x:f>
      </x:c>
      <x:c r="G155" s="274"/>
      <x:c r="H155" s="280"/>
      <x:c r="I155" s="315" t="str">
        <x:f>IF(A155="","",IF(COUNTIFS($A$6:$A$205,A155)&gt;1,"Duplicate ID",IF(OR(B155="",COUNTIFS('Deals'!$A$6:$A$205,B155)&lt;&gt;1),"Check Deal ID",IF(NOT(ISNUMBER(C155)),"Add receipt date",IF(NOT(ISNUMBER(D155)),"Add fee received","")))))</x:f>
      </x:c>
    </x:row>
    <x:row r="156" ht="26" customHeight="1">
      <x:c r="A156" s="317"/>
      <x:c r="B156" s="318"/>
      <x:c r="C156" s="238"/>
      <x:c r="D156" s="236"/>
      <x:c r="E156" s="236"/>
      <x:c r="F156" s="312" t="str">
        <x:f>IF(OR(A156="",NOT(ISNUMBER(D156))),"",SUM(D156:E156))</x:f>
      </x:c>
      <x:c r="G156" s="235"/>
      <x:c r="H156" s="239"/>
      <x:c r="I156" s="315" t="str">
        <x:f>IF(A156="","",IF(COUNTIFS($A$6:$A$205,A156)&gt;1,"Duplicate ID",IF(OR(B156="",COUNTIFS('Deals'!$A$6:$A$205,B156)&lt;&gt;1),"Check Deal ID",IF(NOT(ISNUMBER(C156)),"Add receipt date",IF(NOT(ISNUMBER(D156)),"Add fee received","")))))</x:f>
      </x:c>
    </x:row>
    <x:row r="157" ht="26" customHeight="1">
      <x:c r="A157" s="319"/>
      <x:c r="B157" s="320"/>
      <x:c r="C157" s="304"/>
      <x:c r="D157" s="302"/>
      <x:c r="E157" s="302"/>
      <x:c r="F157" s="312" t="str">
        <x:f>IF(OR(A157="",NOT(ISNUMBER(D157))),"",SUM(D157:E157))</x:f>
      </x:c>
      <x:c r="G157" s="274"/>
      <x:c r="H157" s="280"/>
      <x:c r="I157" s="315" t="str">
        <x:f>IF(A157="","",IF(COUNTIFS($A$6:$A$205,A157)&gt;1,"Duplicate ID",IF(OR(B157="",COUNTIFS('Deals'!$A$6:$A$205,B157)&lt;&gt;1),"Check Deal ID",IF(NOT(ISNUMBER(C157)),"Add receipt date",IF(NOT(ISNUMBER(D157)),"Add fee received","")))))</x:f>
      </x:c>
    </x:row>
    <x:row r="158" ht="26" customHeight="1">
      <x:c r="A158" s="317"/>
      <x:c r="B158" s="318"/>
      <x:c r="C158" s="238"/>
      <x:c r="D158" s="236"/>
      <x:c r="E158" s="236"/>
      <x:c r="F158" s="312" t="str">
        <x:f>IF(OR(A158="",NOT(ISNUMBER(D158))),"",SUM(D158:E158))</x:f>
      </x:c>
      <x:c r="G158" s="235"/>
      <x:c r="H158" s="239"/>
      <x:c r="I158" s="315" t="str">
        <x:f>IF(A158="","",IF(COUNTIFS($A$6:$A$205,A158)&gt;1,"Duplicate ID",IF(OR(B158="",COUNTIFS('Deals'!$A$6:$A$205,B158)&lt;&gt;1),"Check Deal ID",IF(NOT(ISNUMBER(C158)),"Add receipt date",IF(NOT(ISNUMBER(D158)),"Add fee received","")))))</x:f>
      </x:c>
    </x:row>
    <x:row r="159" ht="26" customHeight="1">
      <x:c r="A159" s="319"/>
      <x:c r="B159" s="320"/>
      <x:c r="C159" s="304"/>
      <x:c r="D159" s="302"/>
      <x:c r="E159" s="302"/>
      <x:c r="F159" s="312" t="str">
        <x:f>IF(OR(A159="",NOT(ISNUMBER(D159))),"",SUM(D159:E159))</x:f>
      </x:c>
      <x:c r="G159" s="274"/>
      <x:c r="H159" s="280"/>
      <x:c r="I159" s="315" t="str">
        <x:f>IF(A159="","",IF(COUNTIFS($A$6:$A$205,A159)&gt;1,"Duplicate ID",IF(OR(B159="",COUNTIFS('Deals'!$A$6:$A$205,B159)&lt;&gt;1),"Check Deal ID",IF(NOT(ISNUMBER(C159)),"Add receipt date",IF(NOT(ISNUMBER(D159)),"Add fee received","")))))</x:f>
      </x:c>
    </x:row>
    <x:row r="160" ht="26" customHeight="1">
      <x:c r="A160" s="317"/>
      <x:c r="B160" s="318"/>
      <x:c r="C160" s="238"/>
      <x:c r="D160" s="236"/>
      <x:c r="E160" s="236"/>
      <x:c r="F160" s="312" t="str">
        <x:f>IF(OR(A160="",NOT(ISNUMBER(D160))),"",SUM(D160:E160))</x:f>
      </x:c>
      <x:c r="G160" s="235"/>
      <x:c r="H160" s="239"/>
      <x:c r="I160" s="315" t="str">
        <x:f>IF(A160="","",IF(COUNTIFS($A$6:$A$205,A160)&gt;1,"Duplicate ID",IF(OR(B160="",COUNTIFS('Deals'!$A$6:$A$205,B160)&lt;&gt;1),"Check Deal ID",IF(NOT(ISNUMBER(C160)),"Add receipt date",IF(NOT(ISNUMBER(D160)),"Add fee received","")))))</x:f>
      </x:c>
    </x:row>
    <x:row r="161" ht="26" customHeight="1">
      <x:c r="A161" s="319"/>
      <x:c r="B161" s="320"/>
      <x:c r="C161" s="304"/>
      <x:c r="D161" s="302"/>
      <x:c r="E161" s="302"/>
      <x:c r="F161" s="312" t="str">
        <x:f>IF(OR(A161="",NOT(ISNUMBER(D161))),"",SUM(D161:E161))</x:f>
      </x:c>
      <x:c r="G161" s="274"/>
      <x:c r="H161" s="280"/>
      <x:c r="I161" s="315" t="str">
        <x:f>IF(A161="","",IF(COUNTIFS($A$6:$A$205,A161)&gt;1,"Duplicate ID",IF(OR(B161="",COUNTIFS('Deals'!$A$6:$A$205,B161)&lt;&gt;1),"Check Deal ID",IF(NOT(ISNUMBER(C161)),"Add receipt date",IF(NOT(ISNUMBER(D161)),"Add fee received","")))))</x:f>
      </x:c>
    </x:row>
    <x:row r="162" ht="26" customHeight="1">
      <x:c r="A162" s="317"/>
      <x:c r="B162" s="318"/>
      <x:c r="C162" s="238"/>
      <x:c r="D162" s="236"/>
      <x:c r="E162" s="236"/>
      <x:c r="F162" s="312" t="str">
        <x:f>IF(OR(A162="",NOT(ISNUMBER(D162))),"",SUM(D162:E162))</x:f>
      </x:c>
      <x:c r="G162" s="235"/>
      <x:c r="H162" s="239"/>
      <x:c r="I162" s="315" t="str">
        <x:f>IF(A162="","",IF(COUNTIFS($A$6:$A$205,A162)&gt;1,"Duplicate ID",IF(OR(B162="",COUNTIFS('Deals'!$A$6:$A$205,B162)&lt;&gt;1),"Check Deal ID",IF(NOT(ISNUMBER(C162)),"Add receipt date",IF(NOT(ISNUMBER(D162)),"Add fee received","")))))</x:f>
      </x:c>
    </x:row>
    <x:row r="163" ht="26" customHeight="1">
      <x:c r="A163" s="319"/>
      <x:c r="B163" s="320"/>
      <x:c r="C163" s="304"/>
      <x:c r="D163" s="302"/>
      <x:c r="E163" s="302"/>
      <x:c r="F163" s="312" t="str">
        <x:f>IF(OR(A163="",NOT(ISNUMBER(D163))),"",SUM(D163:E163))</x:f>
      </x:c>
      <x:c r="G163" s="274"/>
      <x:c r="H163" s="280"/>
      <x:c r="I163" s="315" t="str">
        <x:f>IF(A163="","",IF(COUNTIFS($A$6:$A$205,A163)&gt;1,"Duplicate ID",IF(OR(B163="",COUNTIFS('Deals'!$A$6:$A$205,B163)&lt;&gt;1),"Check Deal ID",IF(NOT(ISNUMBER(C163)),"Add receipt date",IF(NOT(ISNUMBER(D163)),"Add fee received","")))))</x:f>
      </x:c>
    </x:row>
    <x:row r="164" ht="26" customHeight="1">
      <x:c r="A164" s="317"/>
      <x:c r="B164" s="318"/>
      <x:c r="C164" s="238"/>
      <x:c r="D164" s="236"/>
      <x:c r="E164" s="236"/>
      <x:c r="F164" s="312" t="str">
        <x:f>IF(OR(A164="",NOT(ISNUMBER(D164))),"",SUM(D164:E164))</x:f>
      </x:c>
      <x:c r="G164" s="235"/>
      <x:c r="H164" s="239"/>
      <x:c r="I164" s="315" t="str">
        <x:f>IF(A164="","",IF(COUNTIFS($A$6:$A$205,A164)&gt;1,"Duplicate ID",IF(OR(B164="",COUNTIFS('Deals'!$A$6:$A$205,B164)&lt;&gt;1),"Check Deal ID",IF(NOT(ISNUMBER(C164)),"Add receipt date",IF(NOT(ISNUMBER(D164)),"Add fee received","")))))</x:f>
      </x:c>
    </x:row>
    <x:row r="165" ht="26" customHeight="1">
      <x:c r="A165" s="319"/>
      <x:c r="B165" s="320"/>
      <x:c r="C165" s="304"/>
      <x:c r="D165" s="302"/>
      <x:c r="E165" s="302"/>
      <x:c r="F165" s="312" t="str">
        <x:f>IF(OR(A165="",NOT(ISNUMBER(D165))),"",SUM(D165:E165))</x:f>
      </x:c>
      <x:c r="G165" s="274"/>
      <x:c r="H165" s="280"/>
      <x:c r="I165" s="315" t="str">
        <x:f>IF(A165="","",IF(COUNTIFS($A$6:$A$205,A165)&gt;1,"Duplicate ID",IF(OR(B165="",COUNTIFS('Deals'!$A$6:$A$205,B165)&lt;&gt;1),"Check Deal ID",IF(NOT(ISNUMBER(C165)),"Add receipt date",IF(NOT(ISNUMBER(D165)),"Add fee received","")))))</x:f>
      </x:c>
    </x:row>
    <x:row r="166" ht="26" customHeight="1">
      <x:c r="A166" s="317"/>
      <x:c r="B166" s="318"/>
      <x:c r="C166" s="238"/>
      <x:c r="D166" s="236"/>
      <x:c r="E166" s="236"/>
      <x:c r="F166" s="312" t="str">
        <x:f>IF(OR(A166="",NOT(ISNUMBER(D166))),"",SUM(D166:E166))</x:f>
      </x:c>
      <x:c r="G166" s="235"/>
      <x:c r="H166" s="239"/>
      <x:c r="I166" s="315" t="str">
        <x:f>IF(A166="","",IF(COUNTIFS($A$6:$A$205,A166)&gt;1,"Duplicate ID",IF(OR(B166="",COUNTIFS('Deals'!$A$6:$A$205,B166)&lt;&gt;1),"Check Deal ID",IF(NOT(ISNUMBER(C166)),"Add receipt date",IF(NOT(ISNUMBER(D166)),"Add fee received","")))))</x:f>
      </x:c>
    </x:row>
    <x:row r="167" ht="26" customHeight="1">
      <x:c r="A167" s="319"/>
      <x:c r="B167" s="320"/>
      <x:c r="C167" s="304"/>
      <x:c r="D167" s="302"/>
      <x:c r="E167" s="302"/>
      <x:c r="F167" s="312" t="str">
        <x:f>IF(OR(A167="",NOT(ISNUMBER(D167))),"",SUM(D167:E167))</x:f>
      </x:c>
      <x:c r="G167" s="274"/>
      <x:c r="H167" s="280"/>
      <x:c r="I167" s="315" t="str">
        <x:f>IF(A167="","",IF(COUNTIFS($A$6:$A$205,A167)&gt;1,"Duplicate ID",IF(OR(B167="",COUNTIFS('Deals'!$A$6:$A$205,B167)&lt;&gt;1),"Check Deal ID",IF(NOT(ISNUMBER(C167)),"Add receipt date",IF(NOT(ISNUMBER(D167)),"Add fee received","")))))</x:f>
      </x:c>
    </x:row>
    <x:row r="168" ht="26" customHeight="1">
      <x:c r="A168" s="317"/>
      <x:c r="B168" s="318"/>
      <x:c r="C168" s="238"/>
      <x:c r="D168" s="236"/>
      <x:c r="E168" s="236"/>
      <x:c r="F168" s="312" t="str">
        <x:f>IF(OR(A168="",NOT(ISNUMBER(D168))),"",SUM(D168:E168))</x:f>
      </x:c>
      <x:c r="G168" s="235"/>
      <x:c r="H168" s="239"/>
      <x:c r="I168" s="315" t="str">
        <x:f>IF(A168="","",IF(COUNTIFS($A$6:$A$205,A168)&gt;1,"Duplicate ID",IF(OR(B168="",COUNTIFS('Deals'!$A$6:$A$205,B168)&lt;&gt;1),"Check Deal ID",IF(NOT(ISNUMBER(C168)),"Add receipt date",IF(NOT(ISNUMBER(D168)),"Add fee received","")))))</x:f>
      </x:c>
    </x:row>
    <x:row r="169" ht="26" customHeight="1">
      <x:c r="A169" s="319"/>
      <x:c r="B169" s="320"/>
      <x:c r="C169" s="304"/>
      <x:c r="D169" s="302"/>
      <x:c r="E169" s="302"/>
      <x:c r="F169" s="312" t="str">
        <x:f>IF(OR(A169="",NOT(ISNUMBER(D169))),"",SUM(D169:E169))</x:f>
      </x:c>
      <x:c r="G169" s="274"/>
      <x:c r="H169" s="280"/>
      <x:c r="I169" s="315" t="str">
        <x:f>IF(A169="","",IF(COUNTIFS($A$6:$A$205,A169)&gt;1,"Duplicate ID",IF(OR(B169="",COUNTIFS('Deals'!$A$6:$A$205,B169)&lt;&gt;1),"Check Deal ID",IF(NOT(ISNUMBER(C169)),"Add receipt date",IF(NOT(ISNUMBER(D169)),"Add fee received","")))))</x:f>
      </x:c>
    </x:row>
    <x:row r="170" ht="26" customHeight="1">
      <x:c r="A170" s="317"/>
      <x:c r="B170" s="318"/>
      <x:c r="C170" s="238"/>
      <x:c r="D170" s="236"/>
      <x:c r="E170" s="236"/>
      <x:c r="F170" s="312" t="str">
        <x:f>IF(OR(A170="",NOT(ISNUMBER(D170))),"",SUM(D170:E170))</x:f>
      </x:c>
      <x:c r="G170" s="235"/>
      <x:c r="H170" s="239"/>
      <x:c r="I170" s="315" t="str">
        <x:f>IF(A170="","",IF(COUNTIFS($A$6:$A$205,A170)&gt;1,"Duplicate ID",IF(OR(B170="",COUNTIFS('Deals'!$A$6:$A$205,B170)&lt;&gt;1),"Check Deal ID",IF(NOT(ISNUMBER(C170)),"Add receipt date",IF(NOT(ISNUMBER(D170)),"Add fee received","")))))</x:f>
      </x:c>
    </x:row>
    <x:row r="171" ht="26" customHeight="1">
      <x:c r="A171" s="319"/>
      <x:c r="B171" s="320"/>
      <x:c r="C171" s="304"/>
      <x:c r="D171" s="302"/>
      <x:c r="E171" s="302"/>
      <x:c r="F171" s="312" t="str">
        <x:f>IF(OR(A171="",NOT(ISNUMBER(D171))),"",SUM(D171:E171))</x:f>
      </x:c>
      <x:c r="G171" s="274"/>
      <x:c r="H171" s="280"/>
      <x:c r="I171" s="315" t="str">
        <x:f>IF(A171="","",IF(COUNTIFS($A$6:$A$205,A171)&gt;1,"Duplicate ID",IF(OR(B171="",COUNTIFS('Deals'!$A$6:$A$205,B171)&lt;&gt;1),"Check Deal ID",IF(NOT(ISNUMBER(C171)),"Add receipt date",IF(NOT(ISNUMBER(D171)),"Add fee received","")))))</x:f>
      </x:c>
    </x:row>
    <x:row r="172" ht="26" customHeight="1">
      <x:c r="A172" s="317"/>
      <x:c r="B172" s="318"/>
      <x:c r="C172" s="238"/>
      <x:c r="D172" s="236"/>
      <x:c r="E172" s="236"/>
      <x:c r="F172" s="312" t="str">
        <x:f>IF(OR(A172="",NOT(ISNUMBER(D172))),"",SUM(D172:E172))</x:f>
      </x:c>
      <x:c r="G172" s="235"/>
      <x:c r="H172" s="239"/>
      <x:c r="I172" s="315" t="str">
        <x:f>IF(A172="","",IF(COUNTIFS($A$6:$A$205,A172)&gt;1,"Duplicate ID",IF(OR(B172="",COUNTIFS('Deals'!$A$6:$A$205,B172)&lt;&gt;1),"Check Deal ID",IF(NOT(ISNUMBER(C172)),"Add receipt date",IF(NOT(ISNUMBER(D172)),"Add fee received","")))))</x:f>
      </x:c>
    </x:row>
    <x:row r="173" ht="26" customHeight="1">
      <x:c r="A173" s="319"/>
      <x:c r="B173" s="320"/>
      <x:c r="C173" s="304"/>
      <x:c r="D173" s="302"/>
      <x:c r="E173" s="302"/>
      <x:c r="F173" s="312" t="str">
        <x:f>IF(OR(A173="",NOT(ISNUMBER(D173))),"",SUM(D173:E173))</x:f>
      </x:c>
      <x:c r="G173" s="274"/>
      <x:c r="H173" s="280"/>
      <x:c r="I173" s="315" t="str">
        <x:f>IF(A173="","",IF(COUNTIFS($A$6:$A$205,A173)&gt;1,"Duplicate ID",IF(OR(B173="",COUNTIFS('Deals'!$A$6:$A$205,B173)&lt;&gt;1),"Check Deal ID",IF(NOT(ISNUMBER(C173)),"Add receipt date",IF(NOT(ISNUMBER(D173)),"Add fee received","")))))</x:f>
      </x:c>
    </x:row>
    <x:row r="174" ht="26" customHeight="1">
      <x:c r="A174" s="317"/>
      <x:c r="B174" s="318"/>
      <x:c r="C174" s="238"/>
      <x:c r="D174" s="236"/>
      <x:c r="E174" s="236"/>
      <x:c r="F174" s="312" t="str">
        <x:f>IF(OR(A174="",NOT(ISNUMBER(D174))),"",SUM(D174:E174))</x:f>
      </x:c>
      <x:c r="G174" s="235"/>
      <x:c r="H174" s="239"/>
      <x:c r="I174" s="315" t="str">
        <x:f>IF(A174="","",IF(COUNTIFS($A$6:$A$205,A174)&gt;1,"Duplicate ID",IF(OR(B174="",COUNTIFS('Deals'!$A$6:$A$205,B174)&lt;&gt;1),"Check Deal ID",IF(NOT(ISNUMBER(C174)),"Add receipt date",IF(NOT(ISNUMBER(D174)),"Add fee received","")))))</x:f>
      </x:c>
    </x:row>
    <x:row r="175" ht="26" customHeight="1">
      <x:c r="A175" s="319"/>
      <x:c r="B175" s="320"/>
      <x:c r="C175" s="304"/>
      <x:c r="D175" s="302"/>
      <x:c r="E175" s="302"/>
      <x:c r="F175" s="312" t="str">
        <x:f>IF(OR(A175="",NOT(ISNUMBER(D175))),"",SUM(D175:E175))</x:f>
      </x:c>
      <x:c r="G175" s="274"/>
      <x:c r="H175" s="280"/>
      <x:c r="I175" s="315" t="str">
        <x:f>IF(A175="","",IF(COUNTIFS($A$6:$A$205,A175)&gt;1,"Duplicate ID",IF(OR(B175="",COUNTIFS('Deals'!$A$6:$A$205,B175)&lt;&gt;1),"Check Deal ID",IF(NOT(ISNUMBER(C175)),"Add receipt date",IF(NOT(ISNUMBER(D175)),"Add fee received","")))))</x:f>
      </x:c>
    </x:row>
    <x:row r="176" ht="26" customHeight="1">
      <x:c r="A176" s="317"/>
      <x:c r="B176" s="318"/>
      <x:c r="C176" s="238"/>
      <x:c r="D176" s="236"/>
      <x:c r="E176" s="236"/>
      <x:c r="F176" s="312" t="str">
        <x:f>IF(OR(A176="",NOT(ISNUMBER(D176))),"",SUM(D176:E176))</x:f>
      </x:c>
      <x:c r="G176" s="235"/>
      <x:c r="H176" s="239"/>
      <x:c r="I176" s="315" t="str">
        <x:f>IF(A176="","",IF(COUNTIFS($A$6:$A$205,A176)&gt;1,"Duplicate ID",IF(OR(B176="",COUNTIFS('Deals'!$A$6:$A$205,B176)&lt;&gt;1),"Check Deal ID",IF(NOT(ISNUMBER(C176)),"Add receipt date",IF(NOT(ISNUMBER(D176)),"Add fee received","")))))</x:f>
      </x:c>
    </x:row>
    <x:row r="177" ht="26" customHeight="1">
      <x:c r="A177" s="319"/>
      <x:c r="B177" s="320"/>
      <x:c r="C177" s="304"/>
      <x:c r="D177" s="302"/>
      <x:c r="E177" s="302"/>
      <x:c r="F177" s="312" t="str">
        <x:f>IF(OR(A177="",NOT(ISNUMBER(D177))),"",SUM(D177:E177))</x:f>
      </x:c>
      <x:c r="G177" s="274"/>
      <x:c r="H177" s="280"/>
      <x:c r="I177" s="315" t="str">
        <x:f>IF(A177="","",IF(COUNTIFS($A$6:$A$205,A177)&gt;1,"Duplicate ID",IF(OR(B177="",COUNTIFS('Deals'!$A$6:$A$205,B177)&lt;&gt;1),"Check Deal ID",IF(NOT(ISNUMBER(C177)),"Add receipt date",IF(NOT(ISNUMBER(D177)),"Add fee received","")))))</x:f>
      </x:c>
    </x:row>
    <x:row r="178" ht="26" customHeight="1">
      <x:c r="A178" s="317"/>
      <x:c r="B178" s="318"/>
      <x:c r="C178" s="238"/>
      <x:c r="D178" s="236"/>
      <x:c r="E178" s="236"/>
      <x:c r="F178" s="312" t="str">
        <x:f>IF(OR(A178="",NOT(ISNUMBER(D178))),"",SUM(D178:E178))</x:f>
      </x:c>
      <x:c r="G178" s="235"/>
      <x:c r="H178" s="239"/>
      <x:c r="I178" s="315" t="str">
        <x:f>IF(A178="","",IF(COUNTIFS($A$6:$A$205,A178)&gt;1,"Duplicate ID",IF(OR(B178="",COUNTIFS('Deals'!$A$6:$A$205,B178)&lt;&gt;1),"Check Deal ID",IF(NOT(ISNUMBER(C178)),"Add receipt date",IF(NOT(ISNUMBER(D178)),"Add fee received","")))))</x:f>
      </x:c>
    </x:row>
    <x:row r="179" ht="26" customHeight="1">
      <x:c r="A179" s="319"/>
      <x:c r="B179" s="320"/>
      <x:c r="C179" s="304"/>
      <x:c r="D179" s="302"/>
      <x:c r="E179" s="302"/>
      <x:c r="F179" s="312" t="str">
        <x:f>IF(OR(A179="",NOT(ISNUMBER(D179))),"",SUM(D179:E179))</x:f>
      </x:c>
      <x:c r="G179" s="274"/>
      <x:c r="H179" s="280"/>
      <x:c r="I179" s="315" t="str">
        <x:f>IF(A179="","",IF(COUNTIFS($A$6:$A$205,A179)&gt;1,"Duplicate ID",IF(OR(B179="",COUNTIFS('Deals'!$A$6:$A$205,B179)&lt;&gt;1),"Check Deal ID",IF(NOT(ISNUMBER(C179)),"Add receipt date",IF(NOT(ISNUMBER(D179)),"Add fee received","")))))</x:f>
      </x:c>
    </x:row>
    <x:row r="180" ht="26" customHeight="1">
      <x:c r="A180" s="317"/>
      <x:c r="B180" s="318"/>
      <x:c r="C180" s="238"/>
      <x:c r="D180" s="236"/>
      <x:c r="E180" s="236"/>
      <x:c r="F180" s="312" t="str">
        <x:f>IF(OR(A180="",NOT(ISNUMBER(D180))),"",SUM(D180:E180))</x:f>
      </x:c>
      <x:c r="G180" s="235"/>
      <x:c r="H180" s="239"/>
      <x:c r="I180" s="315" t="str">
        <x:f>IF(A180="","",IF(COUNTIFS($A$6:$A$205,A180)&gt;1,"Duplicate ID",IF(OR(B180="",COUNTIFS('Deals'!$A$6:$A$205,B180)&lt;&gt;1),"Check Deal ID",IF(NOT(ISNUMBER(C180)),"Add receipt date",IF(NOT(ISNUMBER(D180)),"Add fee received","")))))</x:f>
      </x:c>
    </x:row>
    <x:row r="181" ht="26" customHeight="1">
      <x:c r="A181" s="319"/>
      <x:c r="B181" s="320"/>
      <x:c r="C181" s="304"/>
      <x:c r="D181" s="302"/>
      <x:c r="E181" s="302"/>
      <x:c r="F181" s="312" t="str">
        <x:f>IF(OR(A181="",NOT(ISNUMBER(D181))),"",SUM(D181:E181))</x:f>
      </x:c>
      <x:c r="G181" s="274"/>
      <x:c r="H181" s="280"/>
      <x:c r="I181" s="315" t="str">
        <x:f>IF(A181="","",IF(COUNTIFS($A$6:$A$205,A181)&gt;1,"Duplicate ID",IF(OR(B181="",COUNTIFS('Deals'!$A$6:$A$205,B181)&lt;&gt;1),"Check Deal ID",IF(NOT(ISNUMBER(C181)),"Add receipt date",IF(NOT(ISNUMBER(D181)),"Add fee received","")))))</x:f>
      </x:c>
    </x:row>
    <x:row r="182" ht="26" customHeight="1">
      <x:c r="A182" s="317"/>
      <x:c r="B182" s="318"/>
      <x:c r="C182" s="238"/>
      <x:c r="D182" s="236"/>
      <x:c r="E182" s="236"/>
      <x:c r="F182" s="312" t="str">
        <x:f>IF(OR(A182="",NOT(ISNUMBER(D182))),"",SUM(D182:E182))</x:f>
      </x:c>
      <x:c r="G182" s="235"/>
      <x:c r="H182" s="239"/>
      <x:c r="I182" s="315" t="str">
        <x:f>IF(A182="","",IF(COUNTIFS($A$6:$A$205,A182)&gt;1,"Duplicate ID",IF(OR(B182="",COUNTIFS('Deals'!$A$6:$A$205,B182)&lt;&gt;1),"Check Deal ID",IF(NOT(ISNUMBER(C182)),"Add receipt date",IF(NOT(ISNUMBER(D182)),"Add fee received","")))))</x:f>
      </x:c>
    </x:row>
    <x:row r="183" ht="26" customHeight="1">
      <x:c r="A183" s="319"/>
      <x:c r="B183" s="320"/>
      <x:c r="C183" s="304"/>
      <x:c r="D183" s="302"/>
      <x:c r="E183" s="302"/>
      <x:c r="F183" s="312" t="str">
        <x:f>IF(OR(A183="",NOT(ISNUMBER(D183))),"",SUM(D183:E183))</x:f>
      </x:c>
      <x:c r="G183" s="274"/>
      <x:c r="H183" s="280"/>
      <x:c r="I183" s="315" t="str">
        <x:f>IF(A183="","",IF(COUNTIFS($A$6:$A$205,A183)&gt;1,"Duplicate ID",IF(OR(B183="",COUNTIFS('Deals'!$A$6:$A$205,B183)&lt;&gt;1),"Check Deal ID",IF(NOT(ISNUMBER(C183)),"Add receipt date",IF(NOT(ISNUMBER(D183)),"Add fee received","")))))</x:f>
      </x:c>
    </x:row>
    <x:row r="184" ht="26" customHeight="1">
      <x:c r="A184" s="317"/>
      <x:c r="B184" s="318"/>
      <x:c r="C184" s="238"/>
      <x:c r="D184" s="236"/>
      <x:c r="E184" s="236"/>
      <x:c r="F184" s="312" t="str">
        <x:f>IF(OR(A184="",NOT(ISNUMBER(D184))),"",SUM(D184:E184))</x:f>
      </x:c>
      <x:c r="G184" s="235"/>
      <x:c r="H184" s="239"/>
      <x:c r="I184" s="315" t="str">
        <x:f>IF(A184="","",IF(COUNTIFS($A$6:$A$205,A184)&gt;1,"Duplicate ID",IF(OR(B184="",COUNTIFS('Deals'!$A$6:$A$205,B184)&lt;&gt;1),"Check Deal ID",IF(NOT(ISNUMBER(C184)),"Add receipt date",IF(NOT(ISNUMBER(D184)),"Add fee received","")))))</x:f>
      </x:c>
    </x:row>
    <x:row r="185" ht="26" customHeight="1">
      <x:c r="A185" s="319"/>
      <x:c r="B185" s="320"/>
      <x:c r="C185" s="304"/>
      <x:c r="D185" s="302"/>
      <x:c r="E185" s="302"/>
      <x:c r="F185" s="312" t="str">
        <x:f>IF(OR(A185="",NOT(ISNUMBER(D185))),"",SUM(D185:E185))</x:f>
      </x:c>
      <x:c r="G185" s="274"/>
      <x:c r="H185" s="280"/>
      <x:c r="I185" s="315" t="str">
        <x:f>IF(A185="","",IF(COUNTIFS($A$6:$A$205,A185)&gt;1,"Duplicate ID",IF(OR(B185="",COUNTIFS('Deals'!$A$6:$A$205,B185)&lt;&gt;1),"Check Deal ID",IF(NOT(ISNUMBER(C185)),"Add receipt date",IF(NOT(ISNUMBER(D185)),"Add fee received","")))))</x:f>
      </x:c>
    </x:row>
    <x:row r="186" ht="26" customHeight="1">
      <x:c r="A186" s="317"/>
      <x:c r="B186" s="318"/>
      <x:c r="C186" s="238"/>
      <x:c r="D186" s="236"/>
      <x:c r="E186" s="236"/>
      <x:c r="F186" s="312" t="str">
        <x:f>IF(OR(A186="",NOT(ISNUMBER(D186))),"",SUM(D186:E186))</x:f>
      </x:c>
      <x:c r="G186" s="235"/>
      <x:c r="H186" s="239"/>
      <x:c r="I186" s="315" t="str">
        <x:f>IF(A186="","",IF(COUNTIFS($A$6:$A$205,A186)&gt;1,"Duplicate ID",IF(OR(B186="",COUNTIFS('Deals'!$A$6:$A$205,B186)&lt;&gt;1),"Check Deal ID",IF(NOT(ISNUMBER(C186)),"Add receipt date",IF(NOT(ISNUMBER(D186)),"Add fee received","")))))</x:f>
      </x:c>
    </x:row>
    <x:row r="187" ht="26" customHeight="1">
      <x:c r="A187" s="319"/>
      <x:c r="B187" s="320"/>
      <x:c r="C187" s="304"/>
      <x:c r="D187" s="302"/>
      <x:c r="E187" s="302"/>
      <x:c r="F187" s="312" t="str">
        <x:f>IF(OR(A187="",NOT(ISNUMBER(D187))),"",SUM(D187:E187))</x:f>
      </x:c>
      <x:c r="G187" s="274"/>
      <x:c r="H187" s="280"/>
      <x:c r="I187" s="315" t="str">
        <x:f>IF(A187="","",IF(COUNTIFS($A$6:$A$205,A187)&gt;1,"Duplicate ID",IF(OR(B187="",COUNTIFS('Deals'!$A$6:$A$205,B187)&lt;&gt;1),"Check Deal ID",IF(NOT(ISNUMBER(C187)),"Add receipt date",IF(NOT(ISNUMBER(D187)),"Add fee received","")))))</x:f>
      </x:c>
    </x:row>
    <x:row r="188" ht="26" customHeight="1">
      <x:c r="A188" s="317"/>
      <x:c r="B188" s="318"/>
      <x:c r="C188" s="238"/>
      <x:c r="D188" s="236"/>
      <x:c r="E188" s="236"/>
      <x:c r="F188" s="312" t="str">
        <x:f>IF(OR(A188="",NOT(ISNUMBER(D188))),"",SUM(D188:E188))</x:f>
      </x:c>
      <x:c r="G188" s="235"/>
      <x:c r="H188" s="239"/>
      <x:c r="I188" s="315" t="str">
        <x:f>IF(A188="","",IF(COUNTIFS($A$6:$A$205,A188)&gt;1,"Duplicate ID",IF(OR(B188="",COUNTIFS('Deals'!$A$6:$A$205,B188)&lt;&gt;1),"Check Deal ID",IF(NOT(ISNUMBER(C188)),"Add receipt date",IF(NOT(ISNUMBER(D188)),"Add fee received","")))))</x:f>
      </x:c>
    </x:row>
    <x:row r="189" ht="26" customHeight="1">
      <x:c r="A189" s="319"/>
      <x:c r="B189" s="320"/>
      <x:c r="C189" s="304"/>
      <x:c r="D189" s="302"/>
      <x:c r="E189" s="302"/>
      <x:c r="F189" s="312" t="str">
        <x:f>IF(OR(A189="",NOT(ISNUMBER(D189))),"",SUM(D189:E189))</x:f>
      </x:c>
      <x:c r="G189" s="274"/>
      <x:c r="H189" s="280"/>
      <x:c r="I189" s="315" t="str">
        <x:f>IF(A189="","",IF(COUNTIFS($A$6:$A$205,A189)&gt;1,"Duplicate ID",IF(OR(B189="",COUNTIFS('Deals'!$A$6:$A$205,B189)&lt;&gt;1),"Check Deal ID",IF(NOT(ISNUMBER(C189)),"Add receipt date",IF(NOT(ISNUMBER(D189)),"Add fee received","")))))</x:f>
      </x:c>
    </x:row>
    <x:row r="190" ht="26" customHeight="1">
      <x:c r="A190" s="317"/>
      <x:c r="B190" s="318"/>
      <x:c r="C190" s="238"/>
      <x:c r="D190" s="236"/>
      <x:c r="E190" s="236"/>
      <x:c r="F190" s="312" t="str">
        <x:f>IF(OR(A190="",NOT(ISNUMBER(D190))),"",SUM(D190:E190))</x:f>
      </x:c>
      <x:c r="G190" s="235"/>
      <x:c r="H190" s="239"/>
      <x:c r="I190" s="315" t="str">
        <x:f>IF(A190="","",IF(COUNTIFS($A$6:$A$205,A190)&gt;1,"Duplicate ID",IF(OR(B190="",COUNTIFS('Deals'!$A$6:$A$205,B190)&lt;&gt;1),"Check Deal ID",IF(NOT(ISNUMBER(C190)),"Add receipt date",IF(NOT(ISNUMBER(D190)),"Add fee received","")))))</x:f>
      </x:c>
    </x:row>
    <x:row r="191" ht="26" customHeight="1">
      <x:c r="A191" s="319"/>
      <x:c r="B191" s="320"/>
      <x:c r="C191" s="304"/>
      <x:c r="D191" s="302"/>
      <x:c r="E191" s="302"/>
      <x:c r="F191" s="312" t="str">
        <x:f>IF(OR(A191="",NOT(ISNUMBER(D191))),"",SUM(D191:E191))</x:f>
      </x:c>
      <x:c r="G191" s="274"/>
      <x:c r="H191" s="280"/>
      <x:c r="I191" s="315" t="str">
        <x:f>IF(A191="","",IF(COUNTIFS($A$6:$A$205,A191)&gt;1,"Duplicate ID",IF(OR(B191="",COUNTIFS('Deals'!$A$6:$A$205,B191)&lt;&gt;1),"Check Deal ID",IF(NOT(ISNUMBER(C191)),"Add receipt date",IF(NOT(ISNUMBER(D191)),"Add fee received","")))))</x:f>
      </x:c>
    </x:row>
    <x:row r="192" ht="26" customHeight="1">
      <x:c r="A192" s="317"/>
      <x:c r="B192" s="318"/>
      <x:c r="C192" s="238"/>
      <x:c r="D192" s="236"/>
      <x:c r="E192" s="236"/>
      <x:c r="F192" s="312" t="str">
        <x:f>IF(OR(A192="",NOT(ISNUMBER(D192))),"",SUM(D192:E192))</x:f>
      </x:c>
      <x:c r="G192" s="235"/>
      <x:c r="H192" s="239"/>
      <x:c r="I192" s="315" t="str">
        <x:f>IF(A192="","",IF(COUNTIFS($A$6:$A$205,A192)&gt;1,"Duplicate ID",IF(OR(B192="",COUNTIFS('Deals'!$A$6:$A$205,B192)&lt;&gt;1),"Check Deal ID",IF(NOT(ISNUMBER(C192)),"Add receipt date",IF(NOT(ISNUMBER(D192)),"Add fee received","")))))</x:f>
      </x:c>
    </x:row>
    <x:row r="193" ht="26" customHeight="1">
      <x:c r="A193" s="319"/>
      <x:c r="B193" s="320"/>
      <x:c r="C193" s="304"/>
      <x:c r="D193" s="302"/>
      <x:c r="E193" s="302"/>
      <x:c r="F193" s="312" t="str">
        <x:f>IF(OR(A193="",NOT(ISNUMBER(D193))),"",SUM(D193:E193))</x:f>
      </x:c>
      <x:c r="G193" s="274"/>
      <x:c r="H193" s="280"/>
      <x:c r="I193" s="315" t="str">
        <x:f>IF(A193="","",IF(COUNTIFS($A$6:$A$205,A193)&gt;1,"Duplicate ID",IF(OR(B193="",COUNTIFS('Deals'!$A$6:$A$205,B193)&lt;&gt;1),"Check Deal ID",IF(NOT(ISNUMBER(C193)),"Add receipt date",IF(NOT(ISNUMBER(D193)),"Add fee received","")))))</x:f>
      </x:c>
    </x:row>
    <x:row r="194" ht="26" customHeight="1">
      <x:c r="A194" s="317"/>
      <x:c r="B194" s="318"/>
      <x:c r="C194" s="238"/>
      <x:c r="D194" s="236"/>
      <x:c r="E194" s="236"/>
      <x:c r="F194" s="312" t="str">
        <x:f>IF(OR(A194="",NOT(ISNUMBER(D194))),"",SUM(D194:E194))</x:f>
      </x:c>
      <x:c r="G194" s="235"/>
      <x:c r="H194" s="239"/>
      <x:c r="I194" s="315" t="str">
        <x:f>IF(A194="","",IF(COUNTIFS($A$6:$A$205,A194)&gt;1,"Duplicate ID",IF(OR(B194="",COUNTIFS('Deals'!$A$6:$A$205,B194)&lt;&gt;1),"Check Deal ID",IF(NOT(ISNUMBER(C194)),"Add receipt date",IF(NOT(ISNUMBER(D194)),"Add fee received","")))))</x:f>
      </x:c>
    </x:row>
    <x:row r="195" ht="26" customHeight="1">
      <x:c r="A195" s="319"/>
      <x:c r="B195" s="320"/>
      <x:c r="C195" s="304"/>
      <x:c r="D195" s="302"/>
      <x:c r="E195" s="302"/>
      <x:c r="F195" s="312" t="str">
        <x:f>IF(OR(A195="",NOT(ISNUMBER(D195))),"",SUM(D195:E195))</x:f>
      </x:c>
      <x:c r="G195" s="274"/>
      <x:c r="H195" s="280"/>
      <x:c r="I195" s="315" t="str">
        <x:f>IF(A195="","",IF(COUNTIFS($A$6:$A$205,A195)&gt;1,"Duplicate ID",IF(OR(B195="",COUNTIFS('Deals'!$A$6:$A$205,B195)&lt;&gt;1),"Check Deal ID",IF(NOT(ISNUMBER(C195)),"Add receipt date",IF(NOT(ISNUMBER(D195)),"Add fee received","")))))</x:f>
      </x:c>
    </x:row>
    <x:row r="196" ht="26" customHeight="1">
      <x:c r="A196" s="317"/>
      <x:c r="B196" s="318"/>
      <x:c r="C196" s="238"/>
      <x:c r="D196" s="236"/>
      <x:c r="E196" s="236"/>
      <x:c r="F196" s="312" t="str">
        <x:f>IF(OR(A196="",NOT(ISNUMBER(D196))),"",SUM(D196:E196))</x:f>
      </x:c>
      <x:c r="G196" s="235"/>
      <x:c r="H196" s="239"/>
      <x:c r="I196" s="315" t="str">
        <x:f>IF(A196="","",IF(COUNTIFS($A$6:$A$205,A196)&gt;1,"Duplicate ID",IF(OR(B196="",COUNTIFS('Deals'!$A$6:$A$205,B196)&lt;&gt;1),"Check Deal ID",IF(NOT(ISNUMBER(C196)),"Add receipt date",IF(NOT(ISNUMBER(D196)),"Add fee received","")))))</x:f>
      </x:c>
    </x:row>
    <x:row r="197" ht="26" customHeight="1">
      <x:c r="A197" s="319"/>
      <x:c r="B197" s="320"/>
      <x:c r="C197" s="304"/>
      <x:c r="D197" s="302"/>
      <x:c r="E197" s="302"/>
      <x:c r="F197" s="312" t="str">
        <x:f>IF(OR(A197="",NOT(ISNUMBER(D197))),"",SUM(D197:E197))</x:f>
      </x:c>
      <x:c r="G197" s="274"/>
      <x:c r="H197" s="280"/>
      <x:c r="I197" s="315" t="str">
        <x:f>IF(A197="","",IF(COUNTIFS($A$6:$A$205,A197)&gt;1,"Duplicate ID",IF(OR(B197="",COUNTIFS('Deals'!$A$6:$A$205,B197)&lt;&gt;1),"Check Deal ID",IF(NOT(ISNUMBER(C197)),"Add receipt date",IF(NOT(ISNUMBER(D197)),"Add fee received","")))))</x:f>
      </x:c>
    </x:row>
    <x:row r="198" ht="26" customHeight="1">
      <x:c r="A198" s="317"/>
      <x:c r="B198" s="318"/>
      <x:c r="C198" s="238"/>
      <x:c r="D198" s="236"/>
      <x:c r="E198" s="236"/>
      <x:c r="F198" s="312" t="str">
        <x:f>IF(OR(A198="",NOT(ISNUMBER(D198))),"",SUM(D198:E198))</x:f>
      </x:c>
      <x:c r="G198" s="235"/>
      <x:c r="H198" s="239"/>
      <x:c r="I198" s="315" t="str">
        <x:f>IF(A198="","",IF(COUNTIFS($A$6:$A$205,A198)&gt;1,"Duplicate ID",IF(OR(B198="",COUNTIFS('Deals'!$A$6:$A$205,B198)&lt;&gt;1),"Check Deal ID",IF(NOT(ISNUMBER(C198)),"Add receipt date",IF(NOT(ISNUMBER(D198)),"Add fee received","")))))</x:f>
      </x:c>
    </x:row>
    <x:row r="199" ht="26" customHeight="1">
      <x:c r="A199" s="319"/>
      <x:c r="B199" s="320"/>
      <x:c r="C199" s="304"/>
      <x:c r="D199" s="302"/>
      <x:c r="E199" s="302"/>
      <x:c r="F199" s="312" t="str">
        <x:f>IF(OR(A199="",NOT(ISNUMBER(D199))),"",SUM(D199:E199))</x:f>
      </x:c>
      <x:c r="G199" s="274"/>
      <x:c r="H199" s="280"/>
      <x:c r="I199" s="315" t="str">
        <x:f>IF(A199="","",IF(COUNTIFS($A$6:$A$205,A199)&gt;1,"Duplicate ID",IF(OR(B199="",COUNTIFS('Deals'!$A$6:$A$205,B199)&lt;&gt;1),"Check Deal ID",IF(NOT(ISNUMBER(C199)),"Add receipt date",IF(NOT(ISNUMBER(D199)),"Add fee received","")))))</x:f>
      </x:c>
    </x:row>
    <x:row r="200" ht="26" customHeight="1">
      <x:c r="A200" s="317"/>
      <x:c r="B200" s="318"/>
      <x:c r="C200" s="238"/>
      <x:c r="D200" s="236"/>
      <x:c r="E200" s="236"/>
      <x:c r="F200" s="312" t="str">
        <x:f>IF(OR(A200="",NOT(ISNUMBER(D200))),"",SUM(D200:E200))</x:f>
      </x:c>
      <x:c r="G200" s="235"/>
      <x:c r="H200" s="239"/>
      <x:c r="I200" s="315" t="str">
        <x:f>IF(A200="","",IF(COUNTIFS($A$6:$A$205,A200)&gt;1,"Duplicate ID",IF(OR(B200="",COUNTIFS('Deals'!$A$6:$A$205,B200)&lt;&gt;1),"Check Deal ID",IF(NOT(ISNUMBER(C200)),"Add receipt date",IF(NOT(ISNUMBER(D200)),"Add fee received","")))))</x:f>
      </x:c>
    </x:row>
    <x:row r="201" ht="26" customHeight="1">
      <x:c r="A201" s="319"/>
      <x:c r="B201" s="320"/>
      <x:c r="C201" s="304"/>
      <x:c r="D201" s="302"/>
      <x:c r="E201" s="302"/>
      <x:c r="F201" s="312" t="str">
        <x:f>IF(OR(A201="",NOT(ISNUMBER(D201))),"",SUM(D201:E201))</x:f>
      </x:c>
      <x:c r="G201" s="274"/>
      <x:c r="H201" s="280"/>
      <x:c r="I201" s="315" t="str">
        <x:f>IF(A201="","",IF(COUNTIFS($A$6:$A$205,A201)&gt;1,"Duplicate ID",IF(OR(B201="",COUNTIFS('Deals'!$A$6:$A$205,B201)&lt;&gt;1),"Check Deal ID",IF(NOT(ISNUMBER(C201)),"Add receipt date",IF(NOT(ISNUMBER(D201)),"Add fee received","")))))</x:f>
      </x:c>
    </x:row>
    <x:row r="202" ht="26" customHeight="1">
      <x:c r="A202" s="317"/>
      <x:c r="B202" s="318"/>
      <x:c r="C202" s="238"/>
      <x:c r="D202" s="236"/>
      <x:c r="E202" s="236"/>
      <x:c r="F202" s="312" t="str">
        <x:f>IF(OR(A202="",NOT(ISNUMBER(D202))),"",SUM(D202:E202))</x:f>
      </x:c>
      <x:c r="G202" s="235"/>
      <x:c r="H202" s="239"/>
      <x:c r="I202" s="315" t="str">
        <x:f>IF(A202="","",IF(COUNTIFS($A$6:$A$205,A202)&gt;1,"Duplicate ID",IF(OR(B202="",COUNTIFS('Deals'!$A$6:$A$205,B202)&lt;&gt;1),"Check Deal ID",IF(NOT(ISNUMBER(C202)),"Add receipt date",IF(NOT(ISNUMBER(D202)),"Add fee received","")))))</x:f>
      </x:c>
    </x:row>
    <x:row r="203" ht="26" customHeight="1">
      <x:c r="A203" s="319"/>
      <x:c r="B203" s="320"/>
      <x:c r="C203" s="304"/>
      <x:c r="D203" s="302"/>
      <x:c r="E203" s="302"/>
      <x:c r="F203" s="312" t="str">
        <x:f>IF(OR(A203="",NOT(ISNUMBER(D203))),"",SUM(D203:E203))</x:f>
      </x:c>
      <x:c r="G203" s="274"/>
      <x:c r="H203" s="280"/>
      <x:c r="I203" s="315" t="str">
        <x:f>IF(A203="","",IF(COUNTIFS($A$6:$A$205,A203)&gt;1,"Duplicate ID",IF(OR(B203="",COUNTIFS('Deals'!$A$6:$A$205,B203)&lt;&gt;1),"Check Deal ID",IF(NOT(ISNUMBER(C203)),"Add receipt date",IF(NOT(ISNUMBER(D203)),"Add fee received","")))))</x:f>
      </x:c>
    </x:row>
    <x:row r="204" ht="26" customHeight="1">
      <x:c r="A204" s="317"/>
      <x:c r="B204" s="318"/>
      <x:c r="C204" s="238"/>
      <x:c r="D204" s="236"/>
      <x:c r="E204" s="236"/>
      <x:c r="F204" s="312" t="str">
        <x:f>IF(OR(A204="",NOT(ISNUMBER(D204))),"",SUM(D204:E204))</x:f>
      </x:c>
      <x:c r="G204" s="235"/>
      <x:c r="H204" s="239"/>
      <x:c r="I204" s="315" t="str">
        <x:f>IF(A204="","",IF(COUNTIFS($A$6:$A$205,A204)&gt;1,"Duplicate ID",IF(OR(B204="",COUNTIFS('Deals'!$A$6:$A$205,B204)&lt;&gt;1),"Check Deal ID",IF(NOT(ISNUMBER(C204)),"Add receipt date",IF(NOT(ISNUMBER(D204)),"Add fee received","")))))</x:f>
      </x:c>
    </x:row>
    <x:row r="205" ht="26" customHeight="1">
      <x:c r="A205" s="321"/>
      <x:c r="B205" s="322"/>
      <x:c r="C205" s="310"/>
      <x:c r="D205" s="308"/>
      <x:c r="E205" s="308"/>
      <x:c r="F205" s="313" t="str">
        <x:f>IF(OR(A205="",NOT(ISNUMBER(D205))),"",SUM(D205:E205))</x:f>
      </x:c>
      <x:c r="G205" s="307"/>
      <x:c r="H205" s="311"/>
      <x:c r="I205" s="316" t="str">
        <x:f>IF(A205="","",IF(COUNTIFS($A$6:$A$205,A205)&gt;1,"Duplicate ID",IF(OR(B205="",COUNTIFS('Deals'!$A$6:$A$205,B205)&lt;&gt;1),"Check Deal ID",IF(NOT(ISNUMBER(C205)),"Add receipt date",IF(NOT(ISNUMBER(D205)),"Add fee received","")))))</x:f>
      </x:c>
    </x:row>
  </x:sheetData>
  <x:mergeCells>
    <x:mergeCell ref="A1:D1"/>
    <x:mergeCell ref="A2:E2"/>
    <x:mergeCell ref="F2:H2"/>
    <x:mergeCell ref="A3:H3"/>
    <x:mergeCell ref="E1:G1"/>
  </x:mergeCells>
  <x:conditionalFormatting sqref="A6:A205">
    <x:cfRule type="expression" dxfId="6" priority="1">
      <x:formula>AND(A6&lt;&gt;"",COUNTIFS($A$6:$A$205,A6)&gt;1)</x:formula>
    </x:cfRule>
    <x:cfRule type="expression" dxfId="37" priority="3">
      <x:formula>AND(A6&lt;&gt;"",COUNTIFS($A$6:$A$205,A6)&gt;1)</x:formula>
    </x:cfRule>
  </x:conditionalFormatting>
  <x:conditionalFormatting sqref="I6:I205">
    <x:cfRule type="expression" dxfId="36" priority="2">
      <x:formula>I6&lt;&gt;""</x:formula>
    </x:cfRule>
  </x:conditionalFormatting>
  <x:dataValidations count="1">
    <x:dataValidation type="list" sqref="B6:B205">
      <x:formula1>'Deals'!$A$6:$A$205</x:formula1>
    </x:dataValidation>
  </x:dataValidations>
  <x:pageMargins left="0.7" right="0.7" top="0.75" bottom="0.75" header="0.3" footer="0.3"/>
  <x:tableParts count="1">
    <x:tablePart xmlns:r="http://schemas.openxmlformats.org/officeDocument/2006/relationships" r:id="Rc1ce84fe300f4ab2"/>
  </x:tableParts>
</x:worksheet>
</file>

<file path=xl/worksheets/sheet9.xml><?xml version="1.0" encoding="utf-8"?>
<x:worksheet xmlns:x="http://schemas.openxmlformats.org/spreadsheetml/2006/main">
  <x:sheetPr>
    <x:tabColor rgb="FFA18350"/>
  </x:sheetPr>
  <x:sheetViews>
    <x:sheetView showGridLines="0" workbookViewId="0">
      <x:pane xSplit="2" ySplit="5" topLeftCell="C6" activePane="bottomRight" state="frozen"/>
    </x:sheetView>
  </x:sheetViews>
  <x:sheetFormatPr defaultRowHeight="15"/>
  <x:cols>
    <x:col min="1" max="1" width="13" hidden="0" customWidth="1"/>
    <x:col min="2" max="2" width="18" hidden="0" customWidth="1"/>
    <x:col min="3" max="3" width="18" hidden="0" customWidth="1"/>
    <x:col min="4" max="4" width="25" hidden="0" customWidth="1"/>
    <x:col min="5" max="5" width="25" hidden="0" customWidth="1"/>
    <x:col min="6" max="6" width="13" hidden="0" customWidth="1"/>
    <x:col min="7" max="7" width="19" hidden="0" customWidth="1"/>
    <x:col min="8" max="8" width="25" hidden="0" customWidth="1"/>
    <x:col min="9" max="9" width="32" hidden="0" customWidth="1"/>
    <x:col min="10" max="10" width="25" hidden="0" customWidth="1"/>
  </x:cols>
  <x:sheetData>
    <x:row r="1" ht="22" customHeight="1">
      <x:c r="A1" s="259" t="str">
        <x:v>KEYS WITH SIMONI</x:v>
      </x:c>
      <x:c r="B1" s="260"/>
      <x:c r="C1" s="260"/>
      <x:c r="D1" s="260"/>
      <x:c r="E1" s="382" t="str">
        <x:v>Records to review</x:v>
      </x:c>
      <x:c r="F1" s="382"/>
      <x:c r="G1" s="382"/>
      <x:c r="H1" s="385" t="n">
        <x:f>SUM(COUNTIFS($J$6:$J$205,"Duplicate ID"),COUNTIFS($J$6:$J$205,"Add payment date"),COUNTIFS($J$6:$J$205,"Set expense category"),COUNTIFS($J$6:$J$205,"Add amount paid"),COUNTIFS($J$6:$J$205,"Check Property ID"))</x:f>
        <x:v>0</x:v>
      </x:c>
      <x:c r="I1" s="256"/>
      <x:c r="J1" s="257"/>
    </x:row>
    <x:row r="2" ht="37" customHeight="1">
      <x:c r="A2" s="263" t="str">
        <x:v>Business expenses</x:v>
      </x:c>
      <x:c r="B2" s="264"/>
      <x:c r="C2" s="264"/>
      <x:c r="D2" s="264"/>
      <x:c r="E2" s="264"/>
      <x:c r="F2" s="268" t="str">
        <x:v>White: enter data. Blue-grey: calculated.</x:v>
      </x:c>
      <x:c r="G2" s="268"/>
      <x:c r="H2" s="268"/>
      <x:c r="I2" s="235"/>
      <x:c r="J2" s="239"/>
    </x:row>
    <x:row r="3" ht="35" customHeight="1">
      <x:c r="A3" s="271" t="str">
        <x:v>Record paid expenses. Use the same campaign reference in Clients to identify enquiries from your advertising.</x:v>
      </x:c>
      <x:c r="B3" s="272"/>
      <x:c r="C3" s="272"/>
      <x:c r="D3" s="272"/>
      <x:c r="E3" s="272"/>
      <x:c r="F3" s="272"/>
      <x:c r="G3" s="272"/>
      <x:c r="H3" s="272"/>
      <x:c r="I3" s="235"/>
      <x:c r="J3" s="239"/>
    </x:row>
    <x:row r="4" ht="24" customHeight="1">
      <x:c r="A4" s="277" t="str">
        <x:v>01  EXPENSE</x:v>
      </x:c>
      <x:c r="B4" s="278"/>
      <x:c r="C4" s="278"/>
      <x:c r="D4" s="278"/>
      <x:c r="E4" s="278"/>
      <x:c r="F4" s="278"/>
      <x:c r="G4" s="279" t="str">
        <x:v>02  AMOUNT &amp; EVIDENCE</x:v>
      </x:c>
      <x:c r="H4" s="279"/>
      <x:c r="I4" s="279"/>
      <x:c r="J4" s="282"/>
    </x:row>
    <x:row r="5" ht="44" customHeight="1">
      <x:c r="A5" s="293" t="str">
        <x:v>Expense
ID</x:v>
      </x:c>
      <x:c r="B5" s="294" t="str">
        <x:v>Date
paid</x:v>
      </x:c>
      <x:c r="C5" s="294" t="str">
        <x:v>Expense
category</x:v>
      </x:c>
      <x:c r="D5" s="294" t="str">
        <x:v>Platform /
supplier</x:v>
      </x:c>
      <x:c r="E5" s="294" t="str">
        <x:v>Campaign
reference</x:v>
      </x:c>
      <x:c r="F5" s="294" t="str">
        <x:v>Property
ID</x:v>
      </x:c>
      <x:c r="G5" s="294" t="str">
        <x:v>Amount paid
AED</x:v>
      </x:c>
      <x:c r="H5" s="294" t="str">
        <x:v>Receipt
URL</x:v>
      </x:c>
      <x:c r="I5" s="294" t="str">
        <x:v>Notes</x:v>
      </x:c>
      <x:c r="J5" s="299" t="str">
        <x:v>Record
check</x:v>
      </x:c>
    </x:row>
    <x:row r="6" ht="26" customHeight="1">
      <x:c r="A6" s="317"/>
      <x:c r="B6" s="358"/>
      <x:c r="C6" s="235"/>
      <x:c r="D6" s="235"/>
      <x:c r="E6" s="235"/>
      <x:c r="F6" s="235"/>
      <x:c r="G6" s="236"/>
      <x:c r="H6" s="235"/>
      <x:c r="I6" s="239"/>
      <x:c r="J6" s="315" t="str">
        <x:f>IF(A6="","",IF(COUNTIFS($A$6:$A$205,A6)&gt;1,"Duplicate ID",IF(NOT(ISNUMBER(B6)),"Add payment date",IF(C6="","Set expense category",IF(NOT(ISNUMBER(G6)),"Add amount paid",IF(AND(F6&lt;&gt;"",COUNTIFS('Properties'!$A$6:$A$205,F6)&lt;&gt;1),"Check Property ID",""))))))</x:f>
      </x:c>
    </x:row>
    <x:row r="7" ht="26" customHeight="1">
      <x:c r="A7" s="319"/>
      <x:c r="B7" s="359"/>
      <x:c r="C7" s="274"/>
      <x:c r="D7" s="274"/>
      <x:c r="E7" s="274"/>
      <x:c r="F7" s="274"/>
      <x:c r="G7" s="302"/>
      <x:c r="H7" s="274"/>
      <x:c r="I7" s="280"/>
      <x:c r="J7" s="315" t="str">
        <x:f>IF(A7="","",IF(COUNTIFS($A$6:$A$205,A7)&gt;1,"Duplicate ID",IF(NOT(ISNUMBER(B7)),"Add payment date",IF(C7="","Set expense category",IF(NOT(ISNUMBER(G7)),"Add amount paid",IF(AND(F7&lt;&gt;"",COUNTIFS('Properties'!$A$6:$A$205,F7)&lt;&gt;1),"Check Property ID",""))))))</x:f>
      </x:c>
    </x:row>
    <x:row r="8" ht="26" customHeight="1">
      <x:c r="A8" s="317"/>
      <x:c r="B8" s="358"/>
      <x:c r="C8" s="235"/>
      <x:c r="D8" s="235"/>
      <x:c r="E8" s="235"/>
      <x:c r="F8" s="235"/>
      <x:c r="G8" s="236"/>
      <x:c r="H8" s="235"/>
      <x:c r="I8" s="239"/>
      <x:c r="J8" s="315" t="str">
        <x:f>IF(A8="","",IF(COUNTIFS($A$6:$A$205,A8)&gt;1,"Duplicate ID",IF(NOT(ISNUMBER(B8)),"Add payment date",IF(C8="","Set expense category",IF(NOT(ISNUMBER(G8)),"Add amount paid",IF(AND(F8&lt;&gt;"",COUNTIFS('Properties'!$A$6:$A$205,F8)&lt;&gt;1),"Check Property ID",""))))))</x:f>
      </x:c>
    </x:row>
    <x:row r="9" ht="26" customHeight="1">
      <x:c r="A9" s="319"/>
      <x:c r="B9" s="359"/>
      <x:c r="C9" s="274"/>
      <x:c r="D9" s="274"/>
      <x:c r="E9" s="274"/>
      <x:c r="F9" s="274"/>
      <x:c r="G9" s="302"/>
      <x:c r="H9" s="274"/>
      <x:c r="I9" s="280"/>
      <x:c r="J9" s="315" t="str">
        <x:f>IF(A9="","",IF(COUNTIFS($A$6:$A$205,A9)&gt;1,"Duplicate ID",IF(NOT(ISNUMBER(B9)),"Add payment date",IF(C9="","Set expense category",IF(NOT(ISNUMBER(G9)),"Add amount paid",IF(AND(F9&lt;&gt;"",COUNTIFS('Properties'!$A$6:$A$205,F9)&lt;&gt;1),"Check Property ID",""))))))</x:f>
      </x:c>
    </x:row>
    <x:row r="10" ht="26" customHeight="1">
      <x:c r="A10" s="317"/>
      <x:c r="B10" s="358"/>
      <x:c r="C10" s="235"/>
      <x:c r="D10" s="235"/>
      <x:c r="E10" s="235"/>
      <x:c r="F10" s="235"/>
      <x:c r="G10" s="236"/>
      <x:c r="H10" s="235"/>
      <x:c r="I10" s="239"/>
      <x:c r="J10" s="315" t="str">
        <x:f>IF(A10="","",IF(COUNTIFS($A$6:$A$205,A10)&gt;1,"Duplicate ID",IF(NOT(ISNUMBER(B10)),"Add payment date",IF(C10="","Set expense category",IF(NOT(ISNUMBER(G10)),"Add amount paid",IF(AND(F10&lt;&gt;"",COUNTIFS('Properties'!$A$6:$A$205,F10)&lt;&gt;1),"Check Property ID",""))))))</x:f>
      </x:c>
    </x:row>
    <x:row r="11" ht="26" customHeight="1">
      <x:c r="A11" s="319"/>
      <x:c r="B11" s="359"/>
      <x:c r="C11" s="274"/>
      <x:c r="D11" s="274"/>
      <x:c r="E11" s="274"/>
      <x:c r="F11" s="274"/>
      <x:c r="G11" s="302"/>
      <x:c r="H11" s="274"/>
      <x:c r="I11" s="280"/>
      <x:c r="J11" s="315" t="str">
        <x:f>IF(A11="","",IF(COUNTIFS($A$6:$A$205,A11)&gt;1,"Duplicate ID",IF(NOT(ISNUMBER(B11)),"Add payment date",IF(C11="","Set expense category",IF(NOT(ISNUMBER(G11)),"Add amount paid",IF(AND(F11&lt;&gt;"",COUNTIFS('Properties'!$A$6:$A$205,F11)&lt;&gt;1),"Check Property ID",""))))))</x:f>
      </x:c>
    </x:row>
    <x:row r="12" ht="26" customHeight="1">
      <x:c r="A12" s="317"/>
      <x:c r="B12" s="358"/>
      <x:c r="C12" s="235"/>
      <x:c r="D12" s="235"/>
      <x:c r="E12" s="235"/>
      <x:c r="F12" s="235"/>
      <x:c r="G12" s="236"/>
      <x:c r="H12" s="235"/>
      <x:c r="I12" s="239"/>
      <x:c r="J12" s="315" t="str">
        <x:f>IF(A12="","",IF(COUNTIFS($A$6:$A$205,A12)&gt;1,"Duplicate ID",IF(NOT(ISNUMBER(B12)),"Add payment date",IF(C12="","Set expense category",IF(NOT(ISNUMBER(G12)),"Add amount paid",IF(AND(F12&lt;&gt;"",COUNTIFS('Properties'!$A$6:$A$205,F12)&lt;&gt;1),"Check Property ID",""))))))</x:f>
      </x:c>
    </x:row>
    <x:row r="13" ht="26" customHeight="1">
      <x:c r="A13" s="319"/>
      <x:c r="B13" s="359"/>
      <x:c r="C13" s="274"/>
      <x:c r="D13" s="274"/>
      <x:c r="E13" s="274"/>
      <x:c r="F13" s="274"/>
      <x:c r="G13" s="302"/>
      <x:c r="H13" s="274"/>
      <x:c r="I13" s="280"/>
      <x:c r="J13" s="315" t="str">
        <x:f>IF(A13="","",IF(COUNTIFS($A$6:$A$205,A13)&gt;1,"Duplicate ID",IF(NOT(ISNUMBER(B13)),"Add payment date",IF(C13="","Set expense category",IF(NOT(ISNUMBER(G13)),"Add amount paid",IF(AND(F13&lt;&gt;"",COUNTIFS('Properties'!$A$6:$A$205,F13)&lt;&gt;1),"Check Property ID",""))))))</x:f>
      </x:c>
    </x:row>
    <x:row r="14" ht="26" customHeight="1">
      <x:c r="A14" s="317"/>
      <x:c r="B14" s="358"/>
      <x:c r="C14" s="235"/>
      <x:c r="D14" s="235"/>
      <x:c r="E14" s="235"/>
      <x:c r="F14" s="235"/>
      <x:c r="G14" s="236"/>
      <x:c r="H14" s="235"/>
      <x:c r="I14" s="239"/>
      <x:c r="J14" s="315" t="str">
        <x:f>IF(A14="","",IF(COUNTIFS($A$6:$A$205,A14)&gt;1,"Duplicate ID",IF(NOT(ISNUMBER(B14)),"Add payment date",IF(C14="","Set expense category",IF(NOT(ISNUMBER(G14)),"Add amount paid",IF(AND(F14&lt;&gt;"",COUNTIFS('Properties'!$A$6:$A$205,F14)&lt;&gt;1),"Check Property ID",""))))))</x:f>
      </x:c>
    </x:row>
    <x:row r="15" ht="26" customHeight="1">
      <x:c r="A15" s="319"/>
      <x:c r="B15" s="359"/>
      <x:c r="C15" s="274"/>
      <x:c r="D15" s="274"/>
      <x:c r="E15" s="274"/>
      <x:c r="F15" s="274"/>
      <x:c r="G15" s="302"/>
      <x:c r="H15" s="274"/>
      <x:c r="I15" s="280"/>
      <x:c r="J15" s="315" t="str">
        <x:f>IF(A15="","",IF(COUNTIFS($A$6:$A$205,A15)&gt;1,"Duplicate ID",IF(NOT(ISNUMBER(B15)),"Add payment date",IF(C15="","Set expense category",IF(NOT(ISNUMBER(G15)),"Add amount paid",IF(AND(F15&lt;&gt;"",COUNTIFS('Properties'!$A$6:$A$205,F15)&lt;&gt;1),"Check Property ID",""))))))</x:f>
      </x:c>
    </x:row>
    <x:row r="16" ht="26" customHeight="1">
      <x:c r="A16" s="317"/>
      <x:c r="B16" s="358"/>
      <x:c r="C16" s="235"/>
      <x:c r="D16" s="235"/>
      <x:c r="E16" s="235"/>
      <x:c r="F16" s="235"/>
      <x:c r="G16" s="236"/>
      <x:c r="H16" s="235"/>
      <x:c r="I16" s="239"/>
      <x:c r="J16" s="315" t="str">
        <x:f>IF(A16="","",IF(COUNTIFS($A$6:$A$205,A16)&gt;1,"Duplicate ID",IF(NOT(ISNUMBER(B16)),"Add payment date",IF(C16="","Set expense category",IF(NOT(ISNUMBER(G16)),"Add amount paid",IF(AND(F16&lt;&gt;"",COUNTIFS('Properties'!$A$6:$A$205,F16)&lt;&gt;1),"Check Property ID",""))))))</x:f>
      </x:c>
    </x:row>
    <x:row r="17" ht="26" customHeight="1">
      <x:c r="A17" s="319"/>
      <x:c r="B17" s="359"/>
      <x:c r="C17" s="274"/>
      <x:c r="D17" s="274"/>
      <x:c r="E17" s="274"/>
      <x:c r="F17" s="274"/>
      <x:c r="G17" s="302"/>
      <x:c r="H17" s="274"/>
      <x:c r="I17" s="280"/>
      <x:c r="J17" s="315" t="str">
        <x:f>IF(A17="","",IF(COUNTIFS($A$6:$A$205,A17)&gt;1,"Duplicate ID",IF(NOT(ISNUMBER(B17)),"Add payment date",IF(C17="","Set expense category",IF(NOT(ISNUMBER(G17)),"Add amount paid",IF(AND(F17&lt;&gt;"",COUNTIFS('Properties'!$A$6:$A$205,F17)&lt;&gt;1),"Check Property ID",""))))))</x:f>
      </x:c>
    </x:row>
    <x:row r="18" ht="26" customHeight="1">
      <x:c r="A18" s="317"/>
      <x:c r="B18" s="358"/>
      <x:c r="C18" s="235"/>
      <x:c r="D18" s="235"/>
      <x:c r="E18" s="235"/>
      <x:c r="F18" s="235"/>
      <x:c r="G18" s="236"/>
      <x:c r="H18" s="235"/>
      <x:c r="I18" s="239"/>
      <x:c r="J18" s="315" t="str">
        <x:f>IF(A18="","",IF(COUNTIFS($A$6:$A$205,A18)&gt;1,"Duplicate ID",IF(NOT(ISNUMBER(B18)),"Add payment date",IF(C18="","Set expense category",IF(NOT(ISNUMBER(G18)),"Add amount paid",IF(AND(F18&lt;&gt;"",COUNTIFS('Properties'!$A$6:$A$205,F18)&lt;&gt;1),"Check Property ID",""))))))</x:f>
      </x:c>
    </x:row>
    <x:row r="19" ht="26" customHeight="1">
      <x:c r="A19" s="319"/>
      <x:c r="B19" s="359"/>
      <x:c r="C19" s="274"/>
      <x:c r="D19" s="274"/>
      <x:c r="E19" s="274"/>
      <x:c r="F19" s="274"/>
      <x:c r="G19" s="302"/>
      <x:c r="H19" s="274"/>
      <x:c r="I19" s="280"/>
      <x:c r="J19" s="315" t="str">
        <x:f>IF(A19="","",IF(COUNTIFS($A$6:$A$205,A19)&gt;1,"Duplicate ID",IF(NOT(ISNUMBER(B19)),"Add payment date",IF(C19="","Set expense category",IF(NOT(ISNUMBER(G19)),"Add amount paid",IF(AND(F19&lt;&gt;"",COUNTIFS('Properties'!$A$6:$A$205,F19)&lt;&gt;1),"Check Property ID",""))))))</x:f>
      </x:c>
    </x:row>
    <x:row r="20" ht="26" customHeight="1">
      <x:c r="A20" s="317"/>
      <x:c r="B20" s="358"/>
      <x:c r="C20" s="235"/>
      <x:c r="D20" s="235"/>
      <x:c r="E20" s="235"/>
      <x:c r="F20" s="235"/>
      <x:c r="G20" s="236"/>
      <x:c r="H20" s="235"/>
      <x:c r="I20" s="239"/>
      <x:c r="J20" s="315" t="str">
        <x:f>IF(A20="","",IF(COUNTIFS($A$6:$A$205,A20)&gt;1,"Duplicate ID",IF(NOT(ISNUMBER(B20)),"Add payment date",IF(C20="","Set expense category",IF(NOT(ISNUMBER(G20)),"Add amount paid",IF(AND(F20&lt;&gt;"",COUNTIFS('Properties'!$A$6:$A$205,F20)&lt;&gt;1),"Check Property ID",""))))))</x:f>
      </x:c>
    </x:row>
    <x:row r="21" ht="26" customHeight="1">
      <x:c r="A21" s="319"/>
      <x:c r="B21" s="359"/>
      <x:c r="C21" s="274"/>
      <x:c r="D21" s="274"/>
      <x:c r="E21" s="274"/>
      <x:c r="F21" s="274"/>
      <x:c r="G21" s="302"/>
      <x:c r="H21" s="274"/>
      <x:c r="I21" s="280"/>
      <x:c r="J21" s="315" t="str">
        <x:f>IF(A21="","",IF(COUNTIFS($A$6:$A$205,A21)&gt;1,"Duplicate ID",IF(NOT(ISNUMBER(B21)),"Add payment date",IF(C21="","Set expense category",IF(NOT(ISNUMBER(G21)),"Add amount paid",IF(AND(F21&lt;&gt;"",COUNTIFS('Properties'!$A$6:$A$205,F21)&lt;&gt;1),"Check Property ID",""))))))</x:f>
      </x:c>
    </x:row>
    <x:row r="22" ht="26" customHeight="1">
      <x:c r="A22" s="317"/>
      <x:c r="B22" s="358"/>
      <x:c r="C22" s="235"/>
      <x:c r="D22" s="235"/>
      <x:c r="E22" s="235"/>
      <x:c r="F22" s="235"/>
      <x:c r="G22" s="236"/>
      <x:c r="H22" s="235"/>
      <x:c r="I22" s="239"/>
      <x:c r="J22" s="315" t="str">
        <x:f>IF(A22="","",IF(COUNTIFS($A$6:$A$205,A22)&gt;1,"Duplicate ID",IF(NOT(ISNUMBER(B22)),"Add payment date",IF(C22="","Set expense category",IF(NOT(ISNUMBER(G22)),"Add amount paid",IF(AND(F22&lt;&gt;"",COUNTIFS('Properties'!$A$6:$A$205,F22)&lt;&gt;1),"Check Property ID",""))))))</x:f>
      </x:c>
    </x:row>
    <x:row r="23" ht="26" customHeight="1">
      <x:c r="A23" s="319"/>
      <x:c r="B23" s="359"/>
      <x:c r="C23" s="274"/>
      <x:c r="D23" s="274"/>
      <x:c r="E23" s="274"/>
      <x:c r="F23" s="274"/>
      <x:c r="G23" s="302"/>
      <x:c r="H23" s="274"/>
      <x:c r="I23" s="280"/>
      <x:c r="J23" s="315" t="str">
        <x:f>IF(A23="","",IF(COUNTIFS($A$6:$A$205,A23)&gt;1,"Duplicate ID",IF(NOT(ISNUMBER(B23)),"Add payment date",IF(C23="","Set expense category",IF(NOT(ISNUMBER(G23)),"Add amount paid",IF(AND(F23&lt;&gt;"",COUNTIFS('Properties'!$A$6:$A$205,F23)&lt;&gt;1),"Check Property ID",""))))))</x:f>
      </x:c>
    </x:row>
    <x:row r="24" ht="26" customHeight="1">
      <x:c r="A24" s="317"/>
      <x:c r="B24" s="358"/>
      <x:c r="C24" s="235"/>
      <x:c r="D24" s="235"/>
      <x:c r="E24" s="235"/>
      <x:c r="F24" s="235"/>
      <x:c r="G24" s="236"/>
      <x:c r="H24" s="235"/>
      <x:c r="I24" s="239"/>
      <x:c r="J24" s="315" t="str">
        <x:f>IF(A24="","",IF(COUNTIFS($A$6:$A$205,A24)&gt;1,"Duplicate ID",IF(NOT(ISNUMBER(B24)),"Add payment date",IF(C24="","Set expense category",IF(NOT(ISNUMBER(G24)),"Add amount paid",IF(AND(F24&lt;&gt;"",COUNTIFS('Properties'!$A$6:$A$205,F24)&lt;&gt;1),"Check Property ID",""))))))</x:f>
      </x:c>
    </x:row>
    <x:row r="25" ht="26" customHeight="1">
      <x:c r="A25" s="319"/>
      <x:c r="B25" s="359"/>
      <x:c r="C25" s="274"/>
      <x:c r="D25" s="274"/>
      <x:c r="E25" s="274"/>
      <x:c r="F25" s="274"/>
      <x:c r="G25" s="302"/>
      <x:c r="H25" s="274"/>
      <x:c r="I25" s="280"/>
      <x:c r="J25" s="315" t="str">
        <x:f>IF(A25="","",IF(COUNTIFS($A$6:$A$205,A25)&gt;1,"Duplicate ID",IF(NOT(ISNUMBER(B25)),"Add payment date",IF(C25="","Set expense category",IF(NOT(ISNUMBER(G25)),"Add amount paid",IF(AND(F25&lt;&gt;"",COUNTIFS('Properties'!$A$6:$A$205,F25)&lt;&gt;1),"Check Property ID",""))))))</x:f>
      </x:c>
    </x:row>
    <x:row r="26" ht="26" customHeight="1">
      <x:c r="A26" s="317"/>
      <x:c r="B26" s="358"/>
      <x:c r="C26" s="235"/>
      <x:c r="D26" s="235"/>
      <x:c r="E26" s="235"/>
      <x:c r="F26" s="235"/>
      <x:c r="G26" s="236"/>
      <x:c r="H26" s="235"/>
      <x:c r="I26" s="239"/>
      <x:c r="J26" s="315" t="str">
        <x:f>IF(A26="","",IF(COUNTIFS($A$6:$A$205,A26)&gt;1,"Duplicate ID",IF(NOT(ISNUMBER(B26)),"Add payment date",IF(C26="","Set expense category",IF(NOT(ISNUMBER(G26)),"Add amount paid",IF(AND(F26&lt;&gt;"",COUNTIFS('Properties'!$A$6:$A$205,F26)&lt;&gt;1),"Check Property ID",""))))))</x:f>
      </x:c>
    </x:row>
    <x:row r="27" ht="26" customHeight="1">
      <x:c r="A27" s="319"/>
      <x:c r="B27" s="359"/>
      <x:c r="C27" s="274"/>
      <x:c r="D27" s="274"/>
      <x:c r="E27" s="274"/>
      <x:c r="F27" s="274"/>
      <x:c r="G27" s="302"/>
      <x:c r="H27" s="274"/>
      <x:c r="I27" s="280"/>
      <x:c r="J27" s="315" t="str">
        <x:f>IF(A27="","",IF(COUNTIFS($A$6:$A$205,A27)&gt;1,"Duplicate ID",IF(NOT(ISNUMBER(B27)),"Add payment date",IF(C27="","Set expense category",IF(NOT(ISNUMBER(G27)),"Add amount paid",IF(AND(F27&lt;&gt;"",COUNTIFS('Properties'!$A$6:$A$205,F27)&lt;&gt;1),"Check Property ID",""))))))</x:f>
      </x:c>
    </x:row>
    <x:row r="28" ht="26" customHeight="1">
      <x:c r="A28" s="317"/>
      <x:c r="B28" s="358"/>
      <x:c r="C28" s="235"/>
      <x:c r="D28" s="235"/>
      <x:c r="E28" s="235"/>
      <x:c r="F28" s="235"/>
      <x:c r="G28" s="236"/>
      <x:c r="H28" s="235"/>
      <x:c r="I28" s="239"/>
      <x:c r="J28" s="315" t="str">
        <x:f>IF(A28="","",IF(COUNTIFS($A$6:$A$205,A28)&gt;1,"Duplicate ID",IF(NOT(ISNUMBER(B28)),"Add payment date",IF(C28="","Set expense category",IF(NOT(ISNUMBER(G28)),"Add amount paid",IF(AND(F28&lt;&gt;"",COUNTIFS('Properties'!$A$6:$A$205,F28)&lt;&gt;1),"Check Property ID",""))))))</x:f>
      </x:c>
    </x:row>
    <x:row r="29" ht="26" customHeight="1">
      <x:c r="A29" s="319"/>
      <x:c r="B29" s="359"/>
      <x:c r="C29" s="274"/>
      <x:c r="D29" s="274"/>
      <x:c r="E29" s="274"/>
      <x:c r="F29" s="274"/>
      <x:c r="G29" s="302"/>
      <x:c r="H29" s="274"/>
      <x:c r="I29" s="280"/>
      <x:c r="J29" s="315" t="str">
        <x:f>IF(A29="","",IF(COUNTIFS($A$6:$A$205,A29)&gt;1,"Duplicate ID",IF(NOT(ISNUMBER(B29)),"Add payment date",IF(C29="","Set expense category",IF(NOT(ISNUMBER(G29)),"Add amount paid",IF(AND(F29&lt;&gt;"",COUNTIFS('Properties'!$A$6:$A$205,F29)&lt;&gt;1),"Check Property ID",""))))))</x:f>
      </x:c>
    </x:row>
    <x:row r="30" ht="26" customHeight="1">
      <x:c r="A30" s="317"/>
      <x:c r="B30" s="358"/>
      <x:c r="C30" s="235"/>
      <x:c r="D30" s="235"/>
      <x:c r="E30" s="235"/>
      <x:c r="F30" s="235"/>
      <x:c r="G30" s="236"/>
      <x:c r="H30" s="235"/>
      <x:c r="I30" s="239"/>
      <x:c r="J30" s="315" t="str">
        <x:f>IF(A30="","",IF(COUNTIFS($A$6:$A$205,A30)&gt;1,"Duplicate ID",IF(NOT(ISNUMBER(B30)),"Add payment date",IF(C30="","Set expense category",IF(NOT(ISNUMBER(G30)),"Add amount paid",IF(AND(F30&lt;&gt;"",COUNTIFS('Properties'!$A$6:$A$205,F30)&lt;&gt;1),"Check Property ID",""))))))</x:f>
      </x:c>
    </x:row>
    <x:row r="31" ht="26" customHeight="1">
      <x:c r="A31" s="319"/>
      <x:c r="B31" s="359"/>
      <x:c r="C31" s="274"/>
      <x:c r="D31" s="274"/>
      <x:c r="E31" s="274"/>
      <x:c r="F31" s="274"/>
      <x:c r="G31" s="302"/>
      <x:c r="H31" s="274"/>
      <x:c r="I31" s="280"/>
      <x:c r="J31" s="315" t="str">
        <x:f>IF(A31="","",IF(COUNTIFS($A$6:$A$205,A31)&gt;1,"Duplicate ID",IF(NOT(ISNUMBER(B31)),"Add payment date",IF(C31="","Set expense category",IF(NOT(ISNUMBER(G31)),"Add amount paid",IF(AND(F31&lt;&gt;"",COUNTIFS('Properties'!$A$6:$A$205,F31)&lt;&gt;1),"Check Property ID",""))))))</x:f>
      </x:c>
    </x:row>
    <x:row r="32" ht="26" customHeight="1">
      <x:c r="A32" s="317"/>
      <x:c r="B32" s="358"/>
      <x:c r="C32" s="235"/>
      <x:c r="D32" s="235"/>
      <x:c r="E32" s="235"/>
      <x:c r="F32" s="235"/>
      <x:c r="G32" s="236"/>
      <x:c r="H32" s="235"/>
      <x:c r="I32" s="239"/>
      <x:c r="J32" s="315" t="str">
        <x:f>IF(A32="","",IF(COUNTIFS($A$6:$A$205,A32)&gt;1,"Duplicate ID",IF(NOT(ISNUMBER(B32)),"Add payment date",IF(C32="","Set expense category",IF(NOT(ISNUMBER(G32)),"Add amount paid",IF(AND(F32&lt;&gt;"",COUNTIFS('Properties'!$A$6:$A$205,F32)&lt;&gt;1),"Check Property ID",""))))))</x:f>
      </x:c>
    </x:row>
    <x:row r="33" ht="26" customHeight="1">
      <x:c r="A33" s="319"/>
      <x:c r="B33" s="359"/>
      <x:c r="C33" s="274"/>
      <x:c r="D33" s="274"/>
      <x:c r="E33" s="274"/>
      <x:c r="F33" s="274"/>
      <x:c r="G33" s="302"/>
      <x:c r="H33" s="274"/>
      <x:c r="I33" s="280"/>
      <x:c r="J33" s="315" t="str">
        <x:f>IF(A33="","",IF(COUNTIFS($A$6:$A$205,A33)&gt;1,"Duplicate ID",IF(NOT(ISNUMBER(B33)),"Add payment date",IF(C33="","Set expense category",IF(NOT(ISNUMBER(G33)),"Add amount paid",IF(AND(F33&lt;&gt;"",COUNTIFS('Properties'!$A$6:$A$205,F33)&lt;&gt;1),"Check Property ID",""))))))</x:f>
      </x:c>
    </x:row>
    <x:row r="34" ht="26" customHeight="1">
      <x:c r="A34" s="317"/>
      <x:c r="B34" s="358"/>
      <x:c r="C34" s="235"/>
      <x:c r="D34" s="235"/>
      <x:c r="E34" s="235"/>
      <x:c r="F34" s="235"/>
      <x:c r="G34" s="236"/>
      <x:c r="H34" s="235"/>
      <x:c r="I34" s="239"/>
      <x:c r="J34" s="315" t="str">
        <x:f>IF(A34="","",IF(COUNTIFS($A$6:$A$205,A34)&gt;1,"Duplicate ID",IF(NOT(ISNUMBER(B34)),"Add payment date",IF(C34="","Set expense category",IF(NOT(ISNUMBER(G34)),"Add amount paid",IF(AND(F34&lt;&gt;"",COUNTIFS('Properties'!$A$6:$A$205,F34)&lt;&gt;1),"Check Property ID",""))))))</x:f>
      </x:c>
    </x:row>
    <x:row r="35" ht="26" customHeight="1">
      <x:c r="A35" s="319"/>
      <x:c r="B35" s="359"/>
      <x:c r="C35" s="274"/>
      <x:c r="D35" s="274"/>
      <x:c r="E35" s="274"/>
      <x:c r="F35" s="274"/>
      <x:c r="G35" s="302"/>
      <x:c r="H35" s="274"/>
      <x:c r="I35" s="280"/>
      <x:c r="J35" s="315" t="str">
        <x:f>IF(A35="","",IF(COUNTIFS($A$6:$A$205,A35)&gt;1,"Duplicate ID",IF(NOT(ISNUMBER(B35)),"Add payment date",IF(C35="","Set expense category",IF(NOT(ISNUMBER(G35)),"Add amount paid",IF(AND(F35&lt;&gt;"",COUNTIFS('Properties'!$A$6:$A$205,F35)&lt;&gt;1),"Check Property ID",""))))))</x:f>
      </x:c>
    </x:row>
    <x:row r="36" ht="26" customHeight="1">
      <x:c r="A36" s="317"/>
      <x:c r="B36" s="358"/>
      <x:c r="C36" s="235"/>
      <x:c r="D36" s="235"/>
      <x:c r="E36" s="235"/>
      <x:c r="F36" s="235"/>
      <x:c r="G36" s="236"/>
      <x:c r="H36" s="235"/>
      <x:c r="I36" s="239"/>
      <x:c r="J36" s="315" t="str">
        <x:f>IF(A36="","",IF(COUNTIFS($A$6:$A$205,A36)&gt;1,"Duplicate ID",IF(NOT(ISNUMBER(B36)),"Add payment date",IF(C36="","Set expense category",IF(NOT(ISNUMBER(G36)),"Add amount paid",IF(AND(F36&lt;&gt;"",COUNTIFS('Properties'!$A$6:$A$205,F36)&lt;&gt;1),"Check Property ID",""))))))</x:f>
      </x:c>
    </x:row>
    <x:row r="37" ht="26" customHeight="1">
      <x:c r="A37" s="319"/>
      <x:c r="B37" s="359"/>
      <x:c r="C37" s="274"/>
      <x:c r="D37" s="274"/>
      <x:c r="E37" s="274"/>
      <x:c r="F37" s="274"/>
      <x:c r="G37" s="302"/>
      <x:c r="H37" s="274"/>
      <x:c r="I37" s="280"/>
      <x:c r="J37" s="315" t="str">
        <x:f>IF(A37="","",IF(COUNTIFS($A$6:$A$205,A37)&gt;1,"Duplicate ID",IF(NOT(ISNUMBER(B37)),"Add payment date",IF(C37="","Set expense category",IF(NOT(ISNUMBER(G37)),"Add amount paid",IF(AND(F37&lt;&gt;"",COUNTIFS('Properties'!$A$6:$A$205,F37)&lt;&gt;1),"Check Property ID",""))))))</x:f>
      </x:c>
    </x:row>
    <x:row r="38" ht="26" customHeight="1">
      <x:c r="A38" s="317"/>
      <x:c r="B38" s="358"/>
      <x:c r="C38" s="235"/>
      <x:c r="D38" s="235"/>
      <x:c r="E38" s="235"/>
      <x:c r="F38" s="235"/>
      <x:c r="G38" s="236"/>
      <x:c r="H38" s="235"/>
      <x:c r="I38" s="239"/>
      <x:c r="J38" s="315" t="str">
        <x:f>IF(A38="","",IF(COUNTIFS($A$6:$A$205,A38)&gt;1,"Duplicate ID",IF(NOT(ISNUMBER(B38)),"Add payment date",IF(C38="","Set expense category",IF(NOT(ISNUMBER(G38)),"Add amount paid",IF(AND(F38&lt;&gt;"",COUNTIFS('Properties'!$A$6:$A$205,F38)&lt;&gt;1),"Check Property ID",""))))))</x:f>
      </x:c>
    </x:row>
    <x:row r="39" ht="26" customHeight="1">
      <x:c r="A39" s="319"/>
      <x:c r="B39" s="359"/>
      <x:c r="C39" s="274"/>
      <x:c r="D39" s="274"/>
      <x:c r="E39" s="274"/>
      <x:c r="F39" s="274"/>
      <x:c r="G39" s="302"/>
      <x:c r="H39" s="274"/>
      <x:c r="I39" s="280"/>
      <x:c r="J39" s="315" t="str">
        <x:f>IF(A39="","",IF(COUNTIFS($A$6:$A$205,A39)&gt;1,"Duplicate ID",IF(NOT(ISNUMBER(B39)),"Add payment date",IF(C39="","Set expense category",IF(NOT(ISNUMBER(G39)),"Add amount paid",IF(AND(F39&lt;&gt;"",COUNTIFS('Properties'!$A$6:$A$205,F39)&lt;&gt;1),"Check Property ID",""))))))</x:f>
      </x:c>
    </x:row>
    <x:row r="40" ht="26" customHeight="1">
      <x:c r="A40" s="317"/>
      <x:c r="B40" s="358"/>
      <x:c r="C40" s="235"/>
      <x:c r="D40" s="235"/>
      <x:c r="E40" s="235"/>
      <x:c r="F40" s="235"/>
      <x:c r="G40" s="236"/>
      <x:c r="H40" s="235"/>
      <x:c r="I40" s="239"/>
      <x:c r="J40" s="315" t="str">
        <x:f>IF(A40="","",IF(COUNTIFS($A$6:$A$205,A40)&gt;1,"Duplicate ID",IF(NOT(ISNUMBER(B40)),"Add payment date",IF(C40="","Set expense category",IF(NOT(ISNUMBER(G40)),"Add amount paid",IF(AND(F40&lt;&gt;"",COUNTIFS('Properties'!$A$6:$A$205,F40)&lt;&gt;1),"Check Property ID",""))))))</x:f>
      </x:c>
    </x:row>
    <x:row r="41" ht="26" customHeight="1">
      <x:c r="A41" s="319"/>
      <x:c r="B41" s="359"/>
      <x:c r="C41" s="274"/>
      <x:c r="D41" s="274"/>
      <x:c r="E41" s="274"/>
      <x:c r="F41" s="274"/>
      <x:c r="G41" s="302"/>
      <x:c r="H41" s="274"/>
      <x:c r="I41" s="280"/>
      <x:c r="J41" s="315" t="str">
        <x:f>IF(A41="","",IF(COUNTIFS($A$6:$A$205,A41)&gt;1,"Duplicate ID",IF(NOT(ISNUMBER(B41)),"Add payment date",IF(C41="","Set expense category",IF(NOT(ISNUMBER(G41)),"Add amount paid",IF(AND(F41&lt;&gt;"",COUNTIFS('Properties'!$A$6:$A$205,F41)&lt;&gt;1),"Check Property ID",""))))))</x:f>
      </x:c>
    </x:row>
    <x:row r="42" ht="26" customHeight="1">
      <x:c r="A42" s="317"/>
      <x:c r="B42" s="358"/>
      <x:c r="C42" s="235"/>
      <x:c r="D42" s="235"/>
      <x:c r="E42" s="235"/>
      <x:c r="F42" s="235"/>
      <x:c r="G42" s="236"/>
      <x:c r="H42" s="235"/>
      <x:c r="I42" s="239"/>
      <x:c r="J42" s="315" t="str">
        <x:f>IF(A42="","",IF(COUNTIFS($A$6:$A$205,A42)&gt;1,"Duplicate ID",IF(NOT(ISNUMBER(B42)),"Add payment date",IF(C42="","Set expense category",IF(NOT(ISNUMBER(G42)),"Add amount paid",IF(AND(F42&lt;&gt;"",COUNTIFS('Properties'!$A$6:$A$205,F42)&lt;&gt;1),"Check Property ID",""))))))</x:f>
      </x:c>
    </x:row>
    <x:row r="43" ht="26" customHeight="1">
      <x:c r="A43" s="319"/>
      <x:c r="B43" s="359"/>
      <x:c r="C43" s="274"/>
      <x:c r="D43" s="274"/>
      <x:c r="E43" s="274"/>
      <x:c r="F43" s="274"/>
      <x:c r="G43" s="302"/>
      <x:c r="H43" s="274"/>
      <x:c r="I43" s="280"/>
      <x:c r="J43" s="315" t="str">
        <x:f>IF(A43="","",IF(COUNTIFS($A$6:$A$205,A43)&gt;1,"Duplicate ID",IF(NOT(ISNUMBER(B43)),"Add payment date",IF(C43="","Set expense category",IF(NOT(ISNUMBER(G43)),"Add amount paid",IF(AND(F43&lt;&gt;"",COUNTIFS('Properties'!$A$6:$A$205,F43)&lt;&gt;1),"Check Property ID",""))))))</x:f>
      </x:c>
    </x:row>
    <x:row r="44" ht="26" customHeight="1">
      <x:c r="A44" s="317"/>
      <x:c r="B44" s="358"/>
      <x:c r="C44" s="235"/>
      <x:c r="D44" s="235"/>
      <x:c r="E44" s="235"/>
      <x:c r="F44" s="235"/>
      <x:c r="G44" s="236"/>
      <x:c r="H44" s="235"/>
      <x:c r="I44" s="239"/>
      <x:c r="J44" s="315" t="str">
        <x:f>IF(A44="","",IF(COUNTIFS($A$6:$A$205,A44)&gt;1,"Duplicate ID",IF(NOT(ISNUMBER(B44)),"Add payment date",IF(C44="","Set expense category",IF(NOT(ISNUMBER(G44)),"Add amount paid",IF(AND(F44&lt;&gt;"",COUNTIFS('Properties'!$A$6:$A$205,F44)&lt;&gt;1),"Check Property ID",""))))))</x:f>
      </x:c>
    </x:row>
    <x:row r="45" ht="26" customHeight="1">
      <x:c r="A45" s="319"/>
      <x:c r="B45" s="359"/>
      <x:c r="C45" s="274"/>
      <x:c r="D45" s="274"/>
      <x:c r="E45" s="274"/>
      <x:c r="F45" s="274"/>
      <x:c r="G45" s="302"/>
      <x:c r="H45" s="274"/>
      <x:c r="I45" s="280"/>
      <x:c r="J45" s="315" t="str">
        <x:f>IF(A45="","",IF(COUNTIFS($A$6:$A$205,A45)&gt;1,"Duplicate ID",IF(NOT(ISNUMBER(B45)),"Add payment date",IF(C45="","Set expense category",IF(NOT(ISNUMBER(G45)),"Add amount paid",IF(AND(F45&lt;&gt;"",COUNTIFS('Properties'!$A$6:$A$205,F45)&lt;&gt;1),"Check Property ID",""))))))</x:f>
      </x:c>
    </x:row>
    <x:row r="46" ht="26" customHeight="1">
      <x:c r="A46" s="317"/>
      <x:c r="B46" s="358"/>
      <x:c r="C46" s="235"/>
      <x:c r="D46" s="235"/>
      <x:c r="E46" s="235"/>
      <x:c r="F46" s="235"/>
      <x:c r="G46" s="236"/>
      <x:c r="H46" s="235"/>
      <x:c r="I46" s="239"/>
      <x:c r="J46" s="315" t="str">
        <x:f>IF(A46="","",IF(COUNTIFS($A$6:$A$205,A46)&gt;1,"Duplicate ID",IF(NOT(ISNUMBER(B46)),"Add payment date",IF(C46="","Set expense category",IF(NOT(ISNUMBER(G46)),"Add amount paid",IF(AND(F46&lt;&gt;"",COUNTIFS('Properties'!$A$6:$A$205,F46)&lt;&gt;1),"Check Property ID",""))))))</x:f>
      </x:c>
    </x:row>
    <x:row r="47" ht="26" customHeight="1">
      <x:c r="A47" s="319"/>
      <x:c r="B47" s="359"/>
      <x:c r="C47" s="274"/>
      <x:c r="D47" s="274"/>
      <x:c r="E47" s="274"/>
      <x:c r="F47" s="274"/>
      <x:c r="G47" s="302"/>
      <x:c r="H47" s="274"/>
      <x:c r="I47" s="280"/>
      <x:c r="J47" s="315" t="str">
        <x:f>IF(A47="","",IF(COUNTIFS($A$6:$A$205,A47)&gt;1,"Duplicate ID",IF(NOT(ISNUMBER(B47)),"Add payment date",IF(C47="","Set expense category",IF(NOT(ISNUMBER(G47)),"Add amount paid",IF(AND(F47&lt;&gt;"",COUNTIFS('Properties'!$A$6:$A$205,F47)&lt;&gt;1),"Check Property ID",""))))))</x:f>
      </x:c>
    </x:row>
    <x:row r="48" ht="26" customHeight="1">
      <x:c r="A48" s="317"/>
      <x:c r="B48" s="358"/>
      <x:c r="C48" s="235"/>
      <x:c r="D48" s="235"/>
      <x:c r="E48" s="235"/>
      <x:c r="F48" s="235"/>
      <x:c r="G48" s="236"/>
      <x:c r="H48" s="235"/>
      <x:c r="I48" s="239"/>
      <x:c r="J48" s="315" t="str">
        <x:f>IF(A48="","",IF(COUNTIFS($A$6:$A$205,A48)&gt;1,"Duplicate ID",IF(NOT(ISNUMBER(B48)),"Add payment date",IF(C48="","Set expense category",IF(NOT(ISNUMBER(G48)),"Add amount paid",IF(AND(F48&lt;&gt;"",COUNTIFS('Properties'!$A$6:$A$205,F48)&lt;&gt;1),"Check Property ID",""))))))</x:f>
      </x:c>
    </x:row>
    <x:row r="49" ht="26" customHeight="1">
      <x:c r="A49" s="319"/>
      <x:c r="B49" s="359"/>
      <x:c r="C49" s="274"/>
      <x:c r="D49" s="274"/>
      <x:c r="E49" s="274"/>
      <x:c r="F49" s="274"/>
      <x:c r="G49" s="302"/>
      <x:c r="H49" s="274"/>
      <x:c r="I49" s="280"/>
      <x:c r="J49" s="315" t="str">
        <x:f>IF(A49="","",IF(COUNTIFS($A$6:$A$205,A49)&gt;1,"Duplicate ID",IF(NOT(ISNUMBER(B49)),"Add payment date",IF(C49="","Set expense category",IF(NOT(ISNUMBER(G49)),"Add amount paid",IF(AND(F49&lt;&gt;"",COUNTIFS('Properties'!$A$6:$A$205,F49)&lt;&gt;1),"Check Property ID",""))))))</x:f>
      </x:c>
    </x:row>
    <x:row r="50" ht="26" customHeight="1">
      <x:c r="A50" s="317"/>
      <x:c r="B50" s="358"/>
      <x:c r="C50" s="235"/>
      <x:c r="D50" s="235"/>
      <x:c r="E50" s="235"/>
      <x:c r="F50" s="235"/>
      <x:c r="G50" s="236"/>
      <x:c r="H50" s="235"/>
      <x:c r="I50" s="239"/>
      <x:c r="J50" s="315" t="str">
        <x:f>IF(A50="","",IF(COUNTIFS($A$6:$A$205,A50)&gt;1,"Duplicate ID",IF(NOT(ISNUMBER(B50)),"Add payment date",IF(C50="","Set expense category",IF(NOT(ISNUMBER(G50)),"Add amount paid",IF(AND(F50&lt;&gt;"",COUNTIFS('Properties'!$A$6:$A$205,F50)&lt;&gt;1),"Check Property ID",""))))))</x:f>
      </x:c>
    </x:row>
    <x:row r="51" ht="26" customHeight="1">
      <x:c r="A51" s="319"/>
      <x:c r="B51" s="359"/>
      <x:c r="C51" s="274"/>
      <x:c r="D51" s="274"/>
      <x:c r="E51" s="274"/>
      <x:c r="F51" s="274"/>
      <x:c r="G51" s="302"/>
      <x:c r="H51" s="274"/>
      <x:c r="I51" s="280"/>
      <x:c r="J51" s="315" t="str">
        <x:f>IF(A51="","",IF(COUNTIFS($A$6:$A$205,A51)&gt;1,"Duplicate ID",IF(NOT(ISNUMBER(B51)),"Add payment date",IF(C51="","Set expense category",IF(NOT(ISNUMBER(G51)),"Add amount paid",IF(AND(F51&lt;&gt;"",COUNTIFS('Properties'!$A$6:$A$205,F51)&lt;&gt;1),"Check Property ID",""))))))</x:f>
      </x:c>
    </x:row>
    <x:row r="52" ht="26" customHeight="1">
      <x:c r="A52" s="317"/>
      <x:c r="B52" s="358"/>
      <x:c r="C52" s="235"/>
      <x:c r="D52" s="235"/>
      <x:c r="E52" s="235"/>
      <x:c r="F52" s="235"/>
      <x:c r="G52" s="236"/>
      <x:c r="H52" s="235"/>
      <x:c r="I52" s="239"/>
      <x:c r="J52" s="315" t="str">
        <x:f>IF(A52="","",IF(COUNTIFS($A$6:$A$205,A52)&gt;1,"Duplicate ID",IF(NOT(ISNUMBER(B52)),"Add payment date",IF(C52="","Set expense category",IF(NOT(ISNUMBER(G52)),"Add amount paid",IF(AND(F52&lt;&gt;"",COUNTIFS('Properties'!$A$6:$A$205,F52)&lt;&gt;1),"Check Property ID",""))))))</x:f>
      </x:c>
    </x:row>
    <x:row r="53" ht="26" customHeight="1">
      <x:c r="A53" s="319"/>
      <x:c r="B53" s="359"/>
      <x:c r="C53" s="274"/>
      <x:c r="D53" s="274"/>
      <x:c r="E53" s="274"/>
      <x:c r="F53" s="274"/>
      <x:c r="G53" s="302"/>
      <x:c r="H53" s="274"/>
      <x:c r="I53" s="280"/>
      <x:c r="J53" s="315" t="str">
        <x:f>IF(A53="","",IF(COUNTIFS($A$6:$A$205,A53)&gt;1,"Duplicate ID",IF(NOT(ISNUMBER(B53)),"Add payment date",IF(C53="","Set expense category",IF(NOT(ISNUMBER(G53)),"Add amount paid",IF(AND(F53&lt;&gt;"",COUNTIFS('Properties'!$A$6:$A$205,F53)&lt;&gt;1),"Check Property ID",""))))))</x:f>
      </x:c>
    </x:row>
    <x:row r="54" ht="26" customHeight="1">
      <x:c r="A54" s="317"/>
      <x:c r="B54" s="358"/>
      <x:c r="C54" s="235"/>
      <x:c r="D54" s="235"/>
      <x:c r="E54" s="235"/>
      <x:c r="F54" s="235"/>
      <x:c r="G54" s="236"/>
      <x:c r="H54" s="235"/>
      <x:c r="I54" s="239"/>
      <x:c r="J54" s="315" t="str">
        <x:f>IF(A54="","",IF(COUNTIFS($A$6:$A$205,A54)&gt;1,"Duplicate ID",IF(NOT(ISNUMBER(B54)),"Add payment date",IF(C54="","Set expense category",IF(NOT(ISNUMBER(G54)),"Add amount paid",IF(AND(F54&lt;&gt;"",COUNTIFS('Properties'!$A$6:$A$205,F54)&lt;&gt;1),"Check Property ID",""))))))</x:f>
      </x:c>
    </x:row>
    <x:row r="55" ht="26" customHeight="1">
      <x:c r="A55" s="319"/>
      <x:c r="B55" s="359"/>
      <x:c r="C55" s="274"/>
      <x:c r="D55" s="274"/>
      <x:c r="E55" s="274"/>
      <x:c r="F55" s="274"/>
      <x:c r="G55" s="302"/>
      <x:c r="H55" s="274"/>
      <x:c r="I55" s="280"/>
      <x:c r="J55" s="315" t="str">
        <x:f>IF(A55="","",IF(COUNTIFS($A$6:$A$205,A55)&gt;1,"Duplicate ID",IF(NOT(ISNUMBER(B55)),"Add payment date",IF(C55="","Set expense category",IF(NOT(ISNUMBER(G55)),"Add amount paid",IF(AND(F55&lt;&gt;"",COUNTIFS('Properties'!$A$6:$A$205,F55)&lt;&gt;1),"Check Property ID",""))))))</x:f>
      </x:c>
    </x:row>
    <x:row r="56" ht="26" customHeight="1">
      <x:c r="A56" s="317"/>
      <x:c r="B56" s="358"/>
      <x:c r="C56" s="235"/>
      <x:c r="D56" s="235"/>
      <x:c r="E56" s="235"/>
      <x:c r="F56" s="235"/>
      <x:c r="G56" s="236"/>
      <x:c r="H56" s="235"/>
      <x:c r="I56" s="239"/>
      <x:c r="J56" s="315" t="str">
        <x:f>IF(A56="","",IF(COUNTIFS($A$6:$A$205,A56)&gt;1,"Duplicate ID",IF(NOT(ISNUMBER(B56)),"Add payment date",IF(C56="","Set expense category",IF(NOT(ISNUMBER(G56)),"Add amount paid",IF(AND(F56&lt;&gt;"",COUNTIFS('Properties'!$A$6:$A$205,F56)&lt;&gt;1),"Check Property ID",""))))))</x:f>
      </x:c>
    </x:row>
    <x:row r="57" ht="26" customHeight="1">
      <x:c r="A57" s="319"/>
      <x:c r="B57" s="359"/>
      <x:c r="C57" s="274"/>
      <x:c r="D57" s="274"/>
      <x:c r="E57" s="274"/>
      <x:c r="F57" s="274"/>
      <x:c r="G57" s="302"/>
      <x:c r="H57" s="274"/>
      <x:c r="I57" s="280"/>
      <x:c r="J57" s="315" t="str">
        <x:f>IF(A57="","",IF(COUNTIFS($A$6:$A$205,A57)&gt;1,"Duplicate ID",IF(NOT(ISNUMBER(B57)),"Add payment date",IF(C57="","Set expense category",IF(NOT(ISNUMBER(G57)),"Add amount paid",IF(AND(F57&lt;&gt;"",COUNTIFS('Properties'!$A$6:$A$205,F57)&lt;&gt;1),"Check Property ID",""))))))</x:f>
      </x:c>
    </x:row>
    <x:row r="58" ht="26" customHeight="1">
      <x:c r="A58" s="317"/>
      <x:c r="B58" s="358"/>
      <x:c r="C58" s="235"/>
      <x:c r="D58" s="235"/>
      <x:c r="E58" s="235"/>
      <x:c r="F58" s="235"/>
      <x:c r="G58" s="236"/>
      <x:c r="H58" s="235"/>
      <x:c r="I58" s="239"/>
      <x:c r="J58" s="315" t="str">
        <x:f>IF(A58="","",IF(COUNTIFS($A$6:$A$205,A58)&gt;1,"Duplicate ID",IF(NOT(ISNUMBER(B58)),"Add payment date",IF(C58="","Set expense category",IF(NOT(ISNUMBER(G58)),"Add amount paid",IF(AND(F58&lt;&gt;"",COUNTIFS('Properties'!$A$6:$A$205,F58)&lt;&gt;1),"Check Property ID",""))))))</x:f>
      </x:c>
    </x:row>
    <x:row r="59" ht="26" customHeight="1">
      <x:c r="A59" s="319"/>
      <x:c r="B59" s="359"/>
      <x:c r="C59" s="274"/>
      <x:c r="D59" s="274"/>
      <x:c r="E59" s="274"/>
      <x:c r="F59" s="274"/>
      <x:c r="G59" s="302"/>
      <x:c r="H59" s="274"/>
      <x:c r="I59" s="280"/>
      <x:c r="J59" s="315" t="str">
        <x:f>IF(A59="","",IF(COUNTIFS($A$6:$A$205,A59)&gt;1,"Duplicate ID",IF(NOT(ISNUMBER(B59)),"Add payment date",IF(C59="","Set expense category",IF(NOT(ISNUMBER(G59)),"Add amount paid",IF(AND(F59&lt;&gt;"",COUNTIFS('Properties'!$A$6:$A$205,F59)&lt;&gt;1),"Check Property ID",""))))))</x:f>
      </x:c>
    </x:row>
    <x:row r="60" ht="26" customHeight="1">
      <x:c r="A60" s="317"/>
      <x:c r="B60" s="358"/>
      <x:c r="C60" s="235"/>
      <x:c r="D60" s="235"/>
      <x:c r="E60" s="235"/>
      <x:c r="F60" s="235"/>
      <x:c r="G60" s="236"/>
      <x:c r="H60" s="235"/>
      <x:c r="I60" s="239"/>
      <x:c r="J60" s="315" t="str">
        <x:f>IF(A60="","",IF(COUNTIFS($A$6:$A$205,A60)&gt;1,"Duplicate ID",IF(NOT(ISNUMBER(B60)),"Add payment date",IF(C60="","Set expense category",IF(NOT(ISNUMBER(G60)),"Add amount paid",IF(AND(F60&lt;&gt;"",COUNTIFS('Properties'!$A$6:$A$205,F60)&lt;&gt;1),"Check Property ID",""))))))</x:f>
      </x:c>
    </x:row>
    <x:row r="61" ht="26" customHeight="1">
      <x:c r="A61" s="319"/>
      <x:c r="B61" s="359"/>
      <x:c r="C61" s="274"/>
      <x:c r="D61" s="274"/>
      <x:c r="E61" s="274"/>
      <x:c r="F61" s="274"/>
      <x:c r="G61" s="302"/>
      <x:c r="H61" s="274"/>
      <x:c r="I61" s="280"/>
      <x:c r="J61" s="315" t="str">
        <x:f>IF(A61="","",IF(COUNTIFS($A$6:$A$205,A61)&gt;1,"Duplicate ID",IF(NOT(ISNUMBER(B61)),"Add payment date",IF(C61="","Set expense category",IF(NOT(ISNUMBER(G61)),"Add amount paid",IF(AND(F61&lt;&gt;"",COUNTIFS('Properties'!$A$6:$A$205,F61)&lt;&gt;1),"Check Property ID",""))))))</x:f>
      </x:c>
    </x:row>
    <x:row r="62" ht="26" customHeight="1">
      <x:c r="A62" s="317"/>
      <x:c r="B62" s="358"/>
      <x:c r="C62" s="235"/>
      <x:c r="D62" s="235"/>
      <x:c r="E62" s="235"/>
      <x:c r="F62" s="235"/>
      <x:c r="G62" s="236"/>
      <x:c r="H62" s="235"/>
      <x:c r="I62" s="239"/>
      <x:c r="J62" s="315" t="str">
        <x:f>IF(A62="","",IF(COUNTIFS($A$6:$A$205,A62)&gt;1,"Duplicate ID",IF(NOT(ISNUMBER(B62)),"Add payment date",IF(C62="","Set expense category",IF(NOT(ISNUMBER(G62)),"Add amount paid",IF(AND(F62&lt;&gt;"",COUNTIFS('Properties'!$A$6:$A$205,F62)&lt;&gt;1),"Check Property ID",""))))))</x:f>
      </x:c>
    </x:row>
    <x:row r="63" ht="26" customHeight="1">
      <x:c r="A63" s="319"/>
      <x:c r="B63" s="359"/>
      <x:c r="C63" s="274"/>
      <x:c r="D63" s="274"/>
      <x:c r="E63" s="274"/>
      <x:c r="F63" s="274"/>
      <x:c r="G63" s="302"/>
      <x:c r="H63" s="274"/>
      <x:c r="I63" s="280"/>
      <x:c r="J63" s="315" t="str">
        <x:f>IF(A63="","",IF(COUNTIFS($A$6:$A$205,A63)&gt;1,"Duplicate ID",IF(NOT(ISNUMBER(B63)),"Add payment date",IF(C63="","Set expense category",IF(NOT(ISNUMBER(G63)),"Add amount paid",IF(AND(F63&lt;&gt;"",COUNTIFS('Properties'!$A$6:$A$205,F63)&lt;&gt;1),"Check Property ID",""))))))</x:f>
      </x:c>
    </x:row>
    <x:row r="64" ht="26" customHeight="1">
      <x:c r="A64" s="317"/>
      <x:c r="B64" s="358"/>
      <x:c r="C64" s="235"/>
      <x:c r="D64" s="235"/>
      <x:c r="E64" s="235"/>
      <x:c r="F64" s="235"/>
      <x:c r="G64" s="236"/>
      <x:c r="H64" s="235"/>
      <x:c r="I64" s="239"/>
      <x:c r="J64" s="315" t="str">
        <x:f>IF(A64="","",IF(COUNTIFS($A$6:$A$205,A64)&gt;1,"Duplicate ID",IF(NOT(ISNUMBER(B64)),"Add payment date",IF(C64="","Set expense category",IF(NOT(ISNUMBER(G64)),"Add amount paid",IF(AND(F64&lt;&gt;"",COUNTIFS('Properties'!$A$6:$A$205,F64)&lt;&gt;1),"Check Property ID",""))))))</x:f>
      </x:c>
    </x:row>
    <x:row r="65" ht="26" customHeight="1">
      <x:c r="A65" s="319"/>
      <x:c r="B65" s="359"/>
      <x:c r="C65" s="274"/>
      <x:c r="D65" s="274"/>
      <x:c r="E65" s="274"/>
      <x:c r="F65" s="274"/>
      <x:c r="G65" s="302"/>
      <x:c r="H65" s="274"/>
      <x:c r="I65" s="280"/>
      <x:c r="J65" s="315" t="str">
        <x:f>IF(A65="","",IF(COUNTIFS($A$6:$A$205,A65)&gt;1,"Duplicate ID",IF(NOT(ISNUMBER(B65)),"Add payment date",IF(C65="","Set expense category",IF(NOT(ISNUMBER(G65)),"Add amount paid",IF(AND(F65&lt;&gt;"",COUNTIFS('Properties'!$A$6:$A$205,F65)&lt;&gt;1),"Check Property ID",""))))))</x:f>
      </x:c>
    </x:row>
    <x:row r="66" ht="26" customHeight="1">
      <x:c r="A66" s="317"/>
      <x:c r="B66" s="358"/>
      <x:c r="C66" s="235"/>
      <x:c r="D66" s="235"/>
      <x:c r="E66" s="235"/>
      <x:c r="F66" s="235"/>
      <x:c r="G66" s="236"/>
      <x:c r="H66" s="235"/>
      <x:c r="I66" s="239"/>
      <x:c r="J66" s="315" t="str">
        <x:f>IF(A66="","",IF(COUNTIFS($A$6:$A$205,A66)&gt;1,"Duplicate ID",IF(NOT(ISNUMBER(B66)),"Add payment date",IF(C66="","Set expense category",IF(NOT(ISNUMBER(G66)),"Add amount paid",IF(AND(F66&lt;&gt;"",COUNTIFS('Properties'!$A$6:$A$205,F66)&lt;&gt;1),"Check Property ID",""))))))</x:f>
      </x:c>
    </x:row>
    <x:row r="67" ht="26" customHeight="1">
      <x:c r="A67" s="319"/>
      <x:c r="B67" s="359"/>
      <x:c r="C67" s="274"/>
      <x:c r="D67" s="274"/>
      <x:c r="E67" s="274"/>
      <x:c r="F67" s="274"/>
      <x:c r="G67" s="302"/>
      <x:c r="H67" s="274"/>
      <x:c r="I67" s="280"/>
      <x:c r="J67" s="315" t="str">
        <x:f>IF(A67="","",IF(COUNTIFS($A$6:$A$205,A67)&gt;1,"Duplicate ID",IF(NOT(ISNUMBER(B67)),"Add payment date",IF(C67="","Set expense category",IF(NOT(ISNUMBER(G67)),"Add amount paid",IF(AND(F67&lt;&gt;"",COUNTIFS('Properties'!$A$6:$A$205,F67)&lt;&gt;1),"Check Property ID",""))))))</x:f>
      </x:c>
    </x:row>
    <x:row r="68" ht="26" customHeight="1">
      <x:c r="A68" s="317"/>
      <x:c r="B68" s="358"/>
      <x:c r="C68" s="235"/>
      <x:c r="D68" s="235"/>
      <x:c r="E68" s="235"/>
      <x:c r="F68" s="235"/>
      <x:c r="G68" s="236"/>
      <x:c r="H68" s="235"/>
      <x:c r="I68" s="239"/>
      <x:c r="J68" s="315" t="str">
        <x:f>IF(A68="","",IF(COUNTIFS($A$6:$A$205,A68)&gt;1,"Duplicate ID",IF(NOT(ISNUMBER(B68)),"Add payment date",IF(C68="","Set expense category",IF(NOT(ISNUMBER(G68)),"Add amount paid",IF(AND(F68&lt;&gt;"",COUNTIFS('Properties'!$A$6:$A$205,F68)&lt;&gt;1),"Check Property ID",""))))))</x:f>
      </x:c>
    </x:row>
    <x:row r="69" ht="26" customHeight="1">
      <x:c r="A69" s="319"/>
      <x:c r="B69" s="359"/>
      <x:c r="C69" s="274"/>
      <x:c r="D69" s="274"/>
      <x:c r="E69" s="274"/>
      <x:c r="F69" s="274"/>
      <x:c r="G69" s="302"/>
      <x:c r="H69" s="274"/>
      <x:c r="I69" s="280"/>
      <x:c r="J69" s="315" t="str">
        <x:f>IF(A69="","",IF(COUNTIFS($A$6:$A$205,A69)&gt;1,"Duplicate ID",IF(NOT(ISNUMBER(B69)),"Add payment date",IF(C69="","Set expense category",IF(NOT(ISNUMBER(G69)),"Add amount paid",IF(AND(F69&lt;&gt;"",COUNTIFS('Properties'!$A$6:$A$205,F69)&lt;&gt;1),"Check Property ID",""))))))</x:f>
      </x:c>
    </x:row>
    <x:row r="70" ht="26" customHeight="1">
      <x:c r="A70" s="317"/>
      <x:c r="B70" s="358"/>
      <x:c r="C70" s="235"/>
      <x:c r="D70" s="235"/>
      <x:c r="E70" s="235"/>
      <x:c r="F70" s="235"/>
      <x:c r="G70" s="236"/>
      <x:c r="H70" s="235"/>
      <x:c r="I70" s="239"/>
      <x:c r="J70" s="315" t="str">
        <x:f>IF(A70="","",IF(COUNTIFS($A$6:$A$205,A70)&gt;1,"Duplicate ID",IF(NOT(ISNUMBER(B70)),"Add payment date",IF(C70="","Set expense category",IF(NOT(ISNUMBER(G70)),"Add amount paid",IF(AND(F70&lt;&gt;"",COUNTIFS('Properties'!$A$6:$A$205,F70)&lt;&gt;1),"Check Property ID",""))))))</x:f>
      </x:c>
    </x:row>
    <x:row r="71" ht="26" customHeight="1">
      <x:c r="A71" s="319"/>
      <x:c r="B71" s="359"/>
      <x:c r="C71" s="274"/>
      <x:c r="D71" s="274"/>
      <x:c r="E71" s="274"/>
      <x:c r="F71" s="274"/>
      <x:c r="G71" s="302"/>
      <x:c r="H71" s="274"/>
      <x:c r="I71" s="280"/>
      <x:c r="J71" s="315" t="str">
        <x:f>IF(A71="","",IF(COUNTIFS($A$6:$A$205,A71)&gt;1,"Duplicate ID",IF(NOT(ISNUMBER(B71)),"Add payment date",IF(C71="","Set expense category",IF(NOT(ISNUMBER(G71)),"Add amount paid",IF(AND(F71&lt;&gt;"",COUNTIFS('Properties'!$A$6:$A$205,F71)&lt;&gt;1),"Check Property ID",""))))))</x:f>
      </x:c>
    </x:row>
    <x:row r="72" ht="26" customHeight="1">
      <x:c r="A72" s="317"/>
      <x:c r="B72" s="358"/>
      <x:c r="C72" s="235"/>
      <x:c r="D72" s="235"/>
      <x:c r="E72" s="235"/>
      <x:c r="F72" s="235"/>
      <x:c r="G72" s="236"/>
      <x:c r="H72" s="235"/>
      <x:c r="I72" s="239"/>
      <x:c r="J72" s="315" t="str">
        <x:f>IF(A72="","",IF(COUNTIFS($A$6:$A$205,A72)&gt;1,"Duplicate ID",IF(NOT(ISNUMBER(B72)),"Add payment date",IF(C72="","Set expense category",IF(NOT(ISNUMBER(G72)),"Add amount paid",IF(AND(F72&lt;&gt;"",COUNTIFS('Properties'!$A$6:$A$205,F72)&lt;&gt;1),"Check Property ID",""))))))</x:f>
      </x:c>
    </x:row>
    <x:row r="73" ht="26" customHeight="1">
      <x:c r="A73" s="319"/>
      <x:c r="B73" s="359"/>
      <x:c r="C73" s="274"/>
      <x:c r="D73" s="274"/>
      <x:c r="E73" s="274"/>
      <x:c r="F73" s="274"/>
      <x:c r="G73" s="302"/>
      <x:c r="H73" s="274"/>
      <x:c r="I73" s="280"/>
      <x:c r="J73" s="315" t="str">
        <x:f>IF(A73="","",IF(COUNTIFS($A$6:$A$205,A73)&gt;1,"Duplicate ID",IF(NOT(ISNUMBER(B73)),"Add payment date",IF(C73="","Set expense category",IF(NOT(ISNUMBER(G73)),"Add amount paid",IF(AND(F73&lt;&gt;"",COUNTIFS('Properties'!$A$6:$A$205,F73)&lt;&gt;1),"Check Property ID",""))))))</x:f>
      </x:c>
    </x:row>
    <x:row r="74" ht="26" customHeight="1">
      <x:c r="A74" s="317"/>
      <x:c r="B74" s="358"/>
      <x:c r="C74" s="235"/>
      <x:c r="D74" s="235"/>
      <x:c r="E74" s="235"/>
      <x:c r="F74" s="235"/>
      <x:c r="G74" s="236"/>
      <x:c r="H74" s="235"/>
      <x:c r="I74" s="239"/>
      <x:c r="J74" s="315" t="str">
        <x:f>IF(A74="","",IF(COUNTIFS($A$6:$A$205,A74)&gt;1,"Duplicate ID",IF(NOT(ISNUMBER(B74)),"Add payment date",IF(C74="","Set expense category",IF(NOT(ISNUMBER(G74)),"Add amount paid",IF(AND(F74&lt;&gt;"",COUNTIFS('Properties'!$A$6:$A$205,F74)&lt;&gt;1),"Check Property ID",""))))))</x:f>
      </x:c>
    </x:row>
    <x:row r="75" ht="26" customHeight="1">
      <x:c r="A75" s="319"/>
      <x:c r="B75" s="359"/>
      <x:c r="C75" s="274"/>
      <x:c r="D75" s="274"/>
      <x:c r="E75" s="274"/>
      <x:c r="F75" s="274"/>
      <x:c r="G75" s="302"/>
      <x:c r="H75" s="274"/>
      <x:c r="I75" s="280"/>
      <x:c r="J75" s="315" t="str">
        <x:f>IF(A75="","",IF(COUNTIFS($A$6:$A$205,A75)&gt;1,"Duplicate ID",IF(NOT(ISNUMBER(B75)),"Add payment date",IF(C75="","Set expense category",IF(NOT(ISNUMBER(G75)),"Add amount paid",IF(AND(F75&lt;&gt;"",COUNTIFS('Properties'!$A$6:$A$205,F75)&lt;&gt;1),"Check Property ID",""))))))</x:f>
      </x:c>
    </x:row>
    <x:row r="76" ht="26" customHeight="1">
      <x:c r="A76" s="317"/>
      <x:c r="B76" s="358"/>
      <x:c r="C76" s="235"/>
      <x:c r="D76" s="235"/>
      <x:c r="E76" s="235"/>
      <x:c r="F76" s="235"/>
      <x:c r="G76" s="236"/>
      <x:c r="H76" s="235"/>
      <x:c r="I76" s="239"/>
      <x:c r="J76" s="315" t="str">
        <x:f>IF(A76="","",IF(COUNTIFS($A$6:$A$205,A76)&gt;1,"Duplicate ID",IF(NOT(ISNUMBER(B76)),"Add payment date",IF(C76="","Set expense category",IF(NOT(ISNUMBER(G76)),"Add amount paid",IF(AND(F76&lt;&gt;"",COUNTIFS('Properties'!$A$6:$A$205,F76)&lt;&gt;1),"Check Property ID",""))))))</x:f>
      </x:c>
    </x:row>
    <x:row r="77" ht="26" customHeight="1">
      <x:c r="A77" s="319"/>
      <x:c r="B77" s="359"/>
      <x:c r="C77" s="274"/>
      <x:c r="D77" s="274"/>
      <x:c r="E77" s="274"/>
      <x:c r="F77" s="274"/>
      <x:c r="G77" s="302"/>
      <x:c r="H77" s="274"/>
      <x:c r="I77" s="280"/>
      <x:c r="J77" s="315" t="str">
        <x:f>IF(A77="","",IF(COUNTIFS($A$6:$A$205,A77)&gt;1,"Duplicate ID",IF(NOT(ISNUMBER(B77)),"Add payment date",IF(C77="","Set expense category",IF(NOT(ISNUMBER(G77)),"Add amount paid",IF(AND(F77&lt;&gt;"",COUNTIFS('Properties'!$A$6:$A$205,F77)&lt;&gt;1),"Check Property ID",""))))))</x:f>
      </x:c>
    </x:row>
    <x:row r="78" ht="26" customHeight="1">
      <x:c r="A78" s="317"/>
      <x:c r="B78" s="358"/>
      <x:c r="C78" s="235"/>
      <x:c r="D78" s="235"/>
      <x:c r="E78" s="235"/>
      <x:c r="F78" s="235"/>
      <x:c r="G78" s="236"/>
      <x:c r="H78" s="235"/>
      <x:c r="I78" s="239"/>
      <x:c r="J78" s="315" t="str">
        <x:f>IF(A78="","",IF(COUNTIFS($A$6:$A$205,A78)&gt;1,"Duplicate ID",IF(NOT(ISNUMBER(B78)),"Add payment date",IF(C78="","Set expense category",IF(NOT(ISNUMBER(G78)),"Add amount paid",IF(AND(F78&lt;&gt;"",COUNTIFS('Properties'!$A$6:$A$205,F78)&lt;&gt;1),"Check Property ID",""))))))</x:f>
      </x:c>
    </x:row>
    <x:row r="79" ht="26" customHeight="1">
      <x:c r="A79" s="319"/>
      <x:c r="B79" s="359"/>
      <x:c r="C79" s="274"/>
      <x:c r="D79" s="274"/>
      <x:c r="E79" s="274"/>
      <x:c r="F79" s="274"/>
      <x:c r="G79" s="302"/>
      <x:c r="H79" s="274"/>
      <x:c r="I79" s="280"/>
      <x:c r="J79" s="315" t="str">
        <x:f>IF(A79="","",IF(COUNTIFS($A$6:$A$205,A79)&gt;1,"Duplicate ID",IF(NOT(ISNUMBER(B79)),"Add payment date",IF(C79="","Set expense category",IF(NOT(ISNUMBER(G79)),"Add amount paid",IF(AND(F79&lt;&gt;"",COUNTIFS('Properties'!$A$6:$A$205,F79)&lt;&gt;1),"Check Property ID",""))))))</x:f>
      </x:c>
    </x:row>
    <x:row r="80" ht="26" customHeight="1">
      <x:c r="A80" s="317"/>
      <x:c r="B80" s="358"/>
      <x:c r="C80" s="235"/>
      <x:c r="D80" s="235"/>
      <x:c r="E80" s="235"/>
      <x:c r="F80" s="235"/>
      <x:c r="G80" s="236"/>
      <x:c r="H80" s="235"/>
      <x:c r="I80" s="239"/>
      <x:c r="J80" s="315" t="str">
        <x:f>IF(A80="","",IF(COUNTIFS($A$6:$A$205,A80)&gt;1,"Duplicate ID",IF(NOT(ISNUMBER(B80)),"Add payment date",IF(C80="","Set expense category",IF(NOT(ISNUMBER(G80)),"Add amount paid",IF(AND(F80&lt;&gt;"",COUNTIFS('Properties'!$A$6:$A$205,F80)&lt;&gt;1),"Check Property ID",""))))))</x:f>
      </x:c>
    </x:row>
    <x:row r="81" ht="26" customHeight="1">
      <x:c r="A81" s="319"/>
      <x:c r="B81" s="359"/>
      <x:c r="C81" s="274"/>
      <x:c r="D81" s="274"/>
      <x:c r="E81" s="274"/>
      <x:c r="F81" s="274"/>
      <x:c r="G81" s="302"/>
      <x:c r="H81" s="274"/>
      <x:c r="I81" s="280"/>
      <x:c r="J81" s="315" t="str">
        <x:f>IF(A81="","",IF(COUNTIFS($A$6:$A$205,A81)&gt;1,"Duplicate ID",IF(NOT(ISNUMBER(B81)),"Add payment date",IF(C81="","Set expense category",IF(NOT(ISNUMBER(G81)),"Add amount paid",IF(AND(F81&lt;&gt;"",COUNTIFS('Properties'!$A$6:$A$205,F81)&lt;&gt;1),"Check Property ID",""))))))</x:f>
      </x:c>
    </x:row>
    <x:row r="82" ht="26" customHeight="1">
      <x:c r="A82" s="317"/>
      <x:c r="B82" s="358"/>
      <x:c r="C82" s="235"/>
      <x:c r="D82" s="235"/>
      <x:c r="E82" s="235"/>
      <x:c r="F82" s="235"/>
      <x:c r="G82" s="236"/>
      <x:c r="H82" s="235"/>
      <x:c r="I82" s="239"/>
      <x:c r="J82" s="315" t="str">
        <x:f>IF(A82="","",IF(COUNTIFS($A$6:$A$205,A82)&gt;1,"Duplicate ID",IF(NOT(ISNUMBER(B82)),"Add payment date",IF(C82="","Set expense category",IF(NOT(ISNUMBER(G82)),"Add amount paid",IF(AND(F82&lt;&gt;"",COUNTIFS('Properties'!$A$6:$A$205,F82)&lt;&gt;1),"Check Property ID",""))))))</x:f>
      </x:c>
    </x:row>
    <x:row r="83" ht="26" customHeight="1">
      <x:c r="A83" s="319"/>
      <x:c r="B83" s="359"/>
      <x:c r="C83" s="274"/>
      <x:c r="D83" s="274"/>
      <x:c r="E83" s="274"/>
      <x:c r="F83" s="274"/>
      <x:c r="G83" s="302"/>
      <x:c r="H83" s="274"/>
      <x:c r="I83" s="280"/>
      <x:c r="J83" s="315" t="str">
        <x:f>IF(A83="","",IF(COUNTIFS($A$6:$A$205,A83)&gt;1,"Duplicate ID",IF(NOT(ISNUMBER(B83)),"Add payment date",IF(C83="","Set expense category",IF(NOT(ISNUMBER(G83)),"Add amount paid",IF(AND(F83&lt;&gt;"",COUNTIFS('Properties'!$A$6:$A$205,F83)&lt;&gt;1),"Check Property ID",""))))))</x:f>
      </x:c>
    </x:row>
    <x:row r="84" ht="26" customHeight="1">
      <x:c r="A84" s="317"/>
      <x:c r="B84" s="358"/>
      <x:c r="C84" s="235"/>
      <x:c r="D84" s="235"/>
      <x:c r="E84" s="235"/>
      <x:c r="F84" s="235"/>
      <x:c r="G84" s="236"/>
      <x:c r="H84" s="235"/>
      <x:c r="I84" s="239"/>
      <x:c r="J84" s="315" t="str">
        <x:f>IF(A84="","",IF(COUNTIFS($A$6:$A$205,A84)&gt;1,"Duplicate ID",IF(NOT(ISNUMBER(B84)),"Add payment date",IF(C84="","Set expense category",IF(NOT(ISNUMBER(G84)),"Add amount paid",IF(AND(F84&lt;&gt;"",COUNTIFS('Properties'!$A$6:$A$205,F84)&lt;&gt;1),"Check Property ID",""))))))</x:f>
      </x:c>
    </x:row>
    <x:row r="85" ht="26" customHeight="1">
      <x:c r="A85" s="319"/>
      <x:c r="B85" s="359"/>
      <x:c r="C85" s="274"/>
      <x:c r="D85" s="274"/>
      <x:c r="E85" s="274"/>
      <x:c r="F85" s="274"/>
      <x:c r="G85" s="302"/>
      <x:c r="H85" s="274"/>
      <x:c r="I85" s="280"/>
      <x:c r="J85" s="315" t="str">
        <x:f>IF(A85="","",IF(COUNTIFS($A$6:$A$205,A85)&gt;1,"Duplicate ID",IF(NOT(ISNUMBER(B85)),"Add payment date",IF(C85="","Set expense category",IF(NOT(ISNUMBER(G85)),"Add amount paid",IF(AND(F85&lt;&gt;"",COUNTIFS('Properties'!$A$6:$A$205,F85)&lt;&gt;1),"Check Property ID",""))))))</x:f>
      </x:c>
    </x:row>
    <x:row r="86" ht="26" customHeight="1">
      <x:c r="A86" s="317"/>
      <x:c r="B86" s="358"/>
      <x:c r="C86" s="235"/>
      <x:c r="D86" s="235"/>
      <x:c r="E86" s="235"/>
      <x:c r="F86" s="235"/>
      <x:c r="G86" s="236"/>
      <x:c r="H86" s="235"/>
      <x:c r="I86" s="239"/>
      <x:c r="J86" s="315" t="str">
        <x:f>IF(A86="","",IF(COUNTIFS($A$6:$A$205,A86)&gt;1,"Duplicate ID",IF(NOT(ISNUMBER(B86)),"Add payment date",IF(C86="","Set expense category",IF(NOT(ISNUMBER(G86)),"Add amount paid",IF(AND(F86&lt;&gt;"",COUNTIFS('Properties'!$A$6:$A$205,F86)&lt;&gt;1),"Check Property ID",""))))))</x:f>
      </x:c>
    </x:row>
    <x:row r="87" ht="26" customHeight="1">
      <x:c r="A87" s="319"/>
      <x:c r="B87" s="359"/>
      <x:c r="C87" s="274"/>
      <x:c r="D87" s="274"/>
      <x:c r="E87" s="274"/>
      <x:c r="F87" s="274"/>
      <x:c r="G87" s="302"/>
      <x:c r="H87" s="274"/>
      <x:c r="I87" s="280"/>
      <x:c r="J87" s="315" t="str">
        <x:f>IF(A87="","",IF(COUNTIFS($A$6:$A$205,A87)&gt;1,"Duplicate ID",IF(NOT(ISNUMBER(B87)),"Add payment date",IF(C87="","Set expense category",IF(NOT(ISNUMBER(G87)),"Add amount paid",IF(AND(F87&lt;&gt;"",COUNTIFS('Properties'!$A$6:$A$205,F87)&lt;&gt;1),"Check Property ID",""))))))</x:f>
      </x:c>
    </x:row>
    <x:row r="88" ht="26" customHeight="1">
      <x:c r="A88" s="317"/>
      <x:c r="B88" s="358"/>
      <x:c r="C88" s="235"/>
      <x:c r="D88" s="235"/>
      <x:c r="E88" s="235"/>
      <x:c r="F88" s="235"/>
      <x:c r="G88" s="236"/>
      <x:c r="H88" s="235"/>
      <x:c r="I88" s="239"/>
      <x:c r="J88" s="315" t="str">
        <x:f>IF(A88="","",IF(COUNTIFS($A$6:$A$205,A88)&gt;1,"Duplicate ID",IF(NOT(ISNUMBER(B88)),"Add payment date",IF(C88="","Set expense category",IF(NOT(ISNUMBER(G88)),"Add amount paid",IF(AND(F88&lt;&gt;"",COUNTIFS('Properties'!$A$6:$A$205,F88)&lt;&gt;1),"Check Property ID",""))))))</x:f>
      </x:c>
    </x:row>
    <x:row r="89" ht="26" customHeight="1">
      <x:c r="A89" s="319"/>
      <x:c r="B89" s="359"/>
      <x:c r="C89" s="274"/>
      <x:c r="D89" s="274"/>
      <x:c r="E89" s="274"/>
      <x:c r="F89" s="274"/>
      <x:c r="G89" s="302"/>
      <x:c r="H89" s="274"/>
      <x:c r="I89" s="280"/>
      <x:c r="J89" s="315" t="str">
        <x:f>IF(A89="","",IF(COUNTIFS($A$6:$A$205,A89)&gt;1,"Duplicate ID",IF(NOT(ISNUMBER(B89)),"Add payment date",IF(C89="","Set expense category",IF(NOT(ISNUMBER(G89)),"Add amount paid",IF(AND(F89&lt;&gt;"",COUNTIFS('Properties'!$A$6:$A$205,F89)&lt;&gt;1),"Check Property ID",""))))))</x:f>
      </x:c>
    </x:row>
    <x:row r="90" ht="26" customHeight="1">
      <x:c r="A90" s="317"/>
      <x:c r="B90" s="358"/>
      <x:c r="C90" s="235"/>
      <x:c r="D90" s="235"/>
      <x:c r="E90" s="235"/>
      <x:c r="F90" s="235"/>
      <x:c r="G90" s="236"/>
      <x:c r="H90" s="235"/>
      <x:c r="I90" s="239"/>
      <x:c r="J90" s="315" t="str">
        <x:f>IF(A90="","",IF(COUNTIFS($A$6:$A$205,A90)&gt;1,"Duplicate ID",IF(NOT(ISNUMBER(B90)),"Add payment date",IF(C90="","Set expense category",IF(NOT(ISNUMBER(G90)),"Add amount paid",IF(AND(F90&lt;&gt;"",COUNTIFS('Properties'!$A$6:$A$205,F90)&lt;&gt;1),"Check Property ID",""))))))</x:f>
      </x:c>
    </x:row>
    <x:row r="91" ht="26" customHeight="1">
      <x:c r="A91" s="319"/>
      <x:c r="B91" s="359"/>
      <x:c r="C91" s="274"/>
      <x:c r="D91" s="274"/>
      <x:c r="E91" s="274"/>
      <x:c r="F91" s="274"/>
      <x:c r="G91" s="302"/>
      <x:c r="H91" s="274"/>
      <x:c r="I91" s="280"/>
      <x:c r="J91" s="315" t="str">
        <x:f>IF(A91="","",IF(COUNTIFS($A$6:$A$205,A91)&gt;1,"Duplicate ID",IF(NOT(ISNUMBER(B91)),"Add payment date",IF(C91="","Set expense category",IF(NOT(ISNUMBER(G91)),"Add amount paid",IF(AND(F91&lt;&gt;"",COUNTIFS('Properties'!$A$6:$A$205,F91)&lt;&gt;1),"Check Property ID",""))))))</x:f>
      </x:c>
    </x:row>
    <x:row r="92" ht="26" customHeight="1">
      <x:c r="A92" s="317"/>
      <x:c r="B92" s="358"/>
      <x:c r="C92" s="235"/>
      <x:c r="D92" s="235"/>
      <x:c r="E92" s="235"/>
      <x:c r="F92" s="235"/>
      <x:c r="G92" s="236"/>
      <x:c r="H92" s="235"/>
      <x:c r="I92" s="239"/>
      <x:c r="J92" s="315" t="str">
        <x:f>IF(A92="","",IF(COUNTIFS($A$6:$A$205,A92)&gt;1,"Duplicate ID",IF(NOT(ISNUMBER(B92)),"Add payment date",IF(C92="","Set expense category",IF(NOT(ISNUMBER(G92)),"Add amount paid",IF(AND(F92&lt;&gt;"",COUNTIFS('Properties'!$A$6:$A$205,F92)&lt;&gt;1),"Check Property ID",""))))))</x:f>
      </x:c>
    </x:row>
    <x:row r="93" ht="26" customHeight="1">
      <x:c r="A93" s="319"/>
      <x:c r="B93" s="359"/>
      <x:c r="C93" s="274"/>
      <x:c r="D93" s="274"/>
      <x:c r="E93" s="274"/>
      <x:c r="F93" s="274"/>
      <x:c r="G93" s="302"/>
      <x:c r="H93" s="274"/>
      <x:c r="I93" s="280"/>
      <x:c r="J93" s="315" t="str">
        <x:f>IF(A93="","",IF(COUNTIFS($A$6:$A$205,A93)&gt;1,"Duplicate ID",IF(NOT(ISNUMBER(B93)),"Add payment date",IF(C93="","Set expense category",IF(NOT(ISNUMBER(G93)),"Add amount paid",IF(AND(F93&lt;&gt;"",COUNTIFS('Properties'!$A$6:$A$205,F93)&lt;&gt;1),"Check Property ID",""))))))</x:f>
      </x:c>
    </x:row>
    <x:row r="94" ht="26" customHeight="1">
      <x:c r="A94" s="317"/>
      <x:c r="B94" s="358"/>
      <x:c r="C94" s="235"/>
      <x:c r="D94" s="235"/>
      <x:c r="E94" s="235"/>
      <x:c r="F94" s="235"/>
      <x:c r="G94" s="236"/>
      <x:c r="H94" s="235"/>
      <x:c r="I94" s="239"/>
      <x:c r="J94" s="315" t="str">
        <x:f>IF(A94="","",IF(COUNTIFS($A$6:$A$205,A94)&gt;1,"Duplicate ID",IF(NOT(ISNUMBER(B94)),"Add payment date",IF(C94="","Set expense category",IF(NOT(ISNUMBER(G94)),"Add amount paid",IF(AND(F94&lt;&gt;"",COUNTIFS('Properties'!$A$6:$A$205,F94)&lt;&gt;1),"Check Property ID",""))))))</x:f>
      </x:c>
    </x:row>
    <x:row r="95" ht="26" customHeight="1">
      <x:c r="A95" s="319"/>
      <x:c r="B95" s="359"/>
      <x:c r="C95" s="274"/>
      <x:c r="D95" s="274"/>
      <x:c r="E95" s="274"/>
      <x:c r="F95" s="274"/>
      <x:c r="G95" s="302"/>
      <x:c r="H95" s="274"/>
      <x:c r="I95" s="280"/>
      <x:c r="J95" s="315" t="str">
        <x:f>IF(A95="","",IF(COUNTIFS($A$6:$A$205,A95)&gt;1,"Duplicate ID",IF(NOT(ISNUMBER(B95)),"Add payment date",IF(C95="","Set expense category",IF(NOT(ISNUMBER(G95)),"Add amount paid",IF(AND(F95&lt;&gt;"",COUNTIFS('Properties'!$A$6:$A$205,F95)&lt;&gt;1),"Check Property ID",""))))))</x:f>
      </x:c>
    </x:row>
    <x:row r="96" ht="26" customHeight="1">
      <x:c r="A96" s="317"/>
      <x:c r="B96" s="358"/>
      <x:c r="C96" s="235"/>
      <x:c r="D96" s="235"/>
      <x:c r="E96" s="235"/>
      <x:c r="F96" s="235"/>
      <x:c r="G96" s="236"/>
      <x:c r="H96" s="235"/>
      <x:c r="I96" s="239"/>
      <x:c r="J96" s="315" t="str">
        <x:f>IF(A96="","",IF(COUNTIFS($A$6:$A$205,A96)&gt;1,"Duplicate ID",IF(NOT(ISNUMBER(B96)),"Add payment date",IF(C96="","Set expense category",IF(NOT(ISNUMBER(G96)),"Add amount paid",IF(AND(F96&lt;&gt;"",COUNTIFS('Properties'!$A$6:$A$205,F96)&lt;&gt;1),"Check Property ID",""))))))</x:f>
      </x:c>
    </x:row>
    <x:row r="97" ht="26" customHeight="1">
      <x:c r="A97" s="319"/>
      <x:c r="B97" s="359"/>
      <x:c r="C97" s="274"/>
      <x:c r="D97" s="274"/>
      <x:c r="E97" s="274"/>
      <x:c r="F97" s="274"/>
      <x:c r="G97" s="302"/>
      <x:c r="H97" s="274"/>
      <x:c r="I97" s="280"/>
      <x:c r="J97" s="315" t="str">
        <x:f>IF(A97="","",IF(COUNTIFS($A$6:$A$205,A97)&gt;1,"Duplicate ID",IF(NOT(ISNUMBER(B97)),"Add payment date",IF(C97="","Set expense category",IF(NOT(ISNUMBER(G97)),"Add amount paid",IF(AND(F97&lt;&gt;"",COUNTIFS('Properties'!$A$6:$A$205,F97)&lt;&gt;1),"Check Property ID",""))))))</x:f>
      </x:c>
    </x:row>
    <x:row r="98" ht="26" customHeight="1">
      <x:c r="A98" s="317"/>
      <x:c r="B98" s="358"/>
      <x:c r="C98" s="235"/>
      <x:c r="D98" s="235"/>
      <x:c r="E98" s="235"/>
      <x:c r="F98" s="235"/>
      <x:c r="G98" s="236"/>
      <x:c r="H98" s="235"/>
      <x:c r="I98" s="239"/>
      <x:c r="J98" s="315" t="str">
        <x:f>IF(A98="","",IF(COUNTIFS($A$6:$A$205,A98)&gt;1,"Duplicate ID",IF(NOT(ISNUMBER(B98)),"Add payment date",IF(C98="","Set expense category",IF(NOT(ISNUMBER(G98)),"Add amount paid",IF(AND(F98&lt;&gt;"",COUNTIFS('Properties'!$A$6:$A$205,F98)&lt;&gt;1),"Check Property ID",""))))))</x:f>
      </x:c>
    </x:row>
    <x:row r="99" ht="26" customHeight="1">
      <x:c r="A99" s="319"/>
      <x:c r="B99" s="359"/>
      <x:c r="C99" s="274"/>
      <x:c r="D99" s="274"/>
      <x:c r="E99" s="274"/>
      <x:c r="F99" s="274"/>
      <x:c r="G99" s="302"/>
      <x:c r="H99" s="274"/>
      <x:c r="I99" s="280"/>
      <x:c r="J99" s="315" t="str">
        <x:f>IF(A99="","",IF(COUNTIFS($A$6:$A$205,A99)&gt;1,"Duplicate ID",IF(NOT(ISNUMBER(B99)),"Add payment date",IF(C99="","Set expense category",IF(NOT(ISNUMBER(G99)),"Add amount paid",IF(AND(F99&lt;&gt;"",COUNTIFS('Properties'!$A$6:$A$205,F99)&lt;&gt;1),"Check Property ID",""))))))</x:f>
      </x:c>
    </x:row>
    <x:row r="100" ht="26" customHeight="1">
      <x:c r="A100" s="317"/>
      <x:c r="B100" s="358"/>
      <x:c r="C100" s="235"/>
      <x:c r="D100" s="235"/>
      <x:c r="E100" s="235"/>
      <x:c r="F100" s="235"/>
      <x:c r="G100" s="236"/>
      <x:c r="H100" s="235"/>
      <x:c r="I100" s="239"/>
      <x:c r="J100" s="315" t="str">
        <x:f>IF(A100="","",IF(COUNTIFS($A$6:$A$205,A100)&gt;1,"Duplicate ID",IF(NOT(ISNUMBER(B100)),"Add payment date",IF(C100="","Set expense category",IF(NOT(ISNUMBER(G100)),"Add amount paid",IF(AND(F100&lt;&gt;"",COUNTIFS('Properties'!$A$6:$A$205,F100)&lt;&gt;1),"Check Property ID",""))))))</x:f>
      </x:c>
    </x:row>
    <x:row r="101" ht="26" customHeight="1">
      <x:c r="A101" s="319"/>
      <x:c r="B101" s="359"/>
      <x:c r="C101" s="274"/>
      <x:c r="D101" s="274"/>
      <x:c r="E101" s="274"/>
      <x:c r="F101" s="274"/>
      <x:c r="G101" s="302"/>
      <x:c r="H101" s="274"/>
      <x:c r="I101" s="280"/>
      <x:c r="J101" s="315" t="str">
        <x:f>IF(A101="","",IF(COUNTIFS($A$6:$A$205,A101)&gt;1,"Duplicate ID",IF(NOT(ISNUMBER(B101)),"Add payment date",IF(C101="","Set expense category",IF(NOT(ISNUMBER(G101)),"Add amount paid",IF(AND(F101&lt;&gt;"",COUNTIFS('Properties'!$A$6:$A$205,F101)&lt;&gt;1),"Check Property ID",""))))))</x:f>
      </x:c>
    </x:row>
    <x:row r="102" ht="26" customHeight="1">
      <x:c r="A102" s="317"/>
      <x:c r="B102" s="358"/>
      <x:c r="C102" s="235"/>
      <x:c r="D102" s="235"/>
      <x:c r="E102" s="235"/>
      <x:c r="F102" s="235"/>
      <x:c r="G102" s="236"/>
      <x:c r="H102" s="235"/>
      <x:c r="I102" s="239"/>
      <x:c r="J102" s="315" t="str">
        <x:f>IF(A102="","",IF(COUNTIFS($A$6:$A$205,A102)&gt;1,"Duplicate ID",IF(NOT(ISNUMBER(B102)),"Add payment date",IF(C102="","Set expense category",IF(NOT(ISNUMBER(G102)),"Add amount paid",IF(AND(F102&lt;&gt;"",COUNTIFS('Properties'!$A$6:$A$205,F102)&lt;&gt;1),"Check Property ID",""))))))</x:f>
      </x:c>
    </x:row>
    <x:row r="103" ht="26" customHeight="1">
      <x:c r="A103" s="319"/>
      <x:c r="B103" s="359"/>
      <x:c r="C103" s="274"/>
      <x:c r="D103" s="274"/>
      <x:c r="E103" s="274"/>
      <x:c r="F103" s="274"/>
      <x:c r="G103" s="302"/>
      <x:c r="H103" s="274"/>
      <x:c r="I103" s="280"/>
      <x:c r="J103" s="315" t="str">
        <x:f>IF(A103="","",IF(COUNTIFS($A$6:$A$205,A103)&gt;1,"Duplicate ID",IF(NOT(ISNUMBER(B103)),"Add payment date",IF(C103="","Set expense category",IF(NOT(ISNUMBER(G103)),"Add amount paid",IF(AND(F103&lt;&gt;"",COUNTIFS('Properties'!$A$6:$A$205,F103)&lt;&gt;1),"Check Property ID",""))))))</x:f>
      </x:c>
    </x:row>
    <x:row r="104" ht="26" customHeight="1">
      <x:c r="A104" s="317"/>
      <x:c r="B104" s="358"/>
      <x:c r="C104" s="235"/>
      <x:c r="D104" s="235"/>
      <x:c r="E104" s="235"/>
      <x:c r="F104" s="235"/>
      <x:c r="G104" s="236"/>
      <x:c r="H104" s="235"/>
      <x:c r="I104" s="239"/>
      <x:c r="J104" s="315" t="str">
        <x:f>IF(A104="","",IF(COUNTIFS($A$6:$A$205,A104)&gt;1,"Duplicate ID",IF(NOT(ISNUMBER(B104)),"Add payment date",IF(C104="","Set expense category",IF(NOT(ISNUMBER(G104)),"Add amount paid",IF(AND(F104&lt;&gt;"",COUNTIFS('Properties'!$A$6:$A$205,F104)&lt;&gt;1),"Check Property ID",""))))))</x:f>
      </x:c>
    </x:row>
    <x:row r="105" ht="26" customHeight="1">
      <x:c r="A105" s="319"/>
      <x:c r="B105" s="359"/>
      <x:c r="C105" s="274"/>
      <x:c r="D105" s="274"/>
      <x:c r="E105" s="274"/>
      <x:c r="F105" s="274"/>
      <x:c r="G105" s="302"/>
      <x:c r="H105" s="274"/>
      <x:c r="I105" s="280"/>
      <x:c r="J105" s="315" t="str">
        <x:f>IF(A105="","",IF(COUNTIFS($A$6:$A$205,A105)&gt;1,"Duplicate ID",IF(NOT(ISNUMBER(B105)),"Add payment date",IF(C105="","Set expense category",IF(NOT(ISNUMBER(G105)),"Add amount paid",IF(AND(F105&lt;&gt;"",COUNTIFS('Properties'!$A$6:$A$205,F105)&lt;&gt;1),"Check Property ID",""))))))</x:f>
      </x:c>
    </x:row>
    <x:row r="106" ht="26" customHeight="1">
      <x:c r="A106" s="317"/>
      <x:c r="B106" s="358"/>
      <x:c r="C106" s="235"/>
      <x:c r="D106" s="235"/>
      <x:c r="E106" s="235"/>
      <x:c r="F106" s="235"/>
      <x:c r="G106" s="236"/>
      <x:c r="H106" s="235"/>
      <x:c r="I106" s="239"/>
      <x:c r="J106" s="315" t="str">
        <x:f>IF(A106="","",IF(COUNTIFS($A$6:$A$205,A106)&gt;1,"Duplicate ID",IF(NOT(ISNUMBER(B106)),"Add payment date",IF(C106="","Set expense category",IF(NOT(ISNUMBER(G106)),"Add amount paid",IF(AND(F106&lt;&gt;"",COUNTIFS('Properties'!$A$6:$A$205,F106)&lt;&gt;1),"Check Property ID",""))))))</x:f>
      </x:c>
    </x:row>
    <x:row r="107" ht="26" customHeight="1">
      <x:c r="A107" s="319"/>
      <x:c r="B107" s="359"/>
      <x:c r="C107" s="274"/>
      <x:c r="D107" s="274"/>
      <x:c r="E107" s="274"/>
      <x:c r="F107" s="274"/>
      <x:c r="G107" s="302"/>
      <x:c r="H107" s="274"/>
      <x:c r="I107" s="280"/>
      <x:c r="J107" s="315" t="str">
        <x:f>IF(A107="","",IF(COUNTIFS($A$6:$A$205,A107)&gt;1,"Duplicate ID",IF(NOT(ISNUMBER(B107)),"Add payment date",IF(C107="","Set expense category",IF(NOT(ISNUMBER(G107)),"Add amount paid",IF(AND(F107&lt;&gt;"",COUNTIFS('Properties'!$A$6:$A$205,F107)&lt;&gt;1),"Check Property ID",""))))))</x:f>
      </x:c>
    </x:row>
    <x:row r="108" ht="26" customHeight="1">
      <x:c r="A108" s="317"/>
      <x:c r="B108" s="358"/>
      <x:c r="C108" s="235"/>
      <x:c r="D108" s="235"/>
      <x:c r="E108" s="235"/>
      <x:c r="F108" s="235"/>
      <x:c r="G108" s="236"/>
      <x:c r="H108" s="235"/>
      <x:c r="I108" s="239"/>
      <x:c r="J108" s="315" t="str">
        <x:f>IF(A108="","",IF(COUNTIFS($A$6:$A$205,A108)&gt;1,"Duplicate ID",IF(NOT(ISNUMBER(B108)),"Add payment date",IF(C108="","Set expense category",IF(NOT(ISNUMBER(G108)),"Add amount paid",IF(AND(F108&lt;&gt;"",COUNTIFS('Properties'!$A$6:$A$205,F108)&lt;&gt;1),"Check Property ID",""))))))</x:f>
      </x:c>
    </x:row>
    <x:row r="109" ht="26" customHeight="1">
      <x:c r="A109" s="319"/>
      <x:c r="B109" s="359"/>
      <x:c r="C109" s="274"/>
      <x:c r="D109" s="274"/>
      <x:c r="E109" s="274"/>
      <x:c r="F109" s="274"/>
      <x:c r="G109" s="302"/>
      <x:c r="H109" s="274"/>
      <x:c r="I109" s="280"/>
      <x:c r="J109" s="315" t="str">
        <x:f>IF(A109="","",IF(COUNTIFS($A$6:$A$205,A109)&gt;1,"Duplicate ID",IF(NOT(ISNUMBER(B109)),"Add payment date",IF(C109="","Set expense category",IF(NOT(ISNUMBER(G109)),"Add amount paid",IF(AND(F109&lt;&gt;"",COUNTIFS('Properties'!$A$6:$A$205,F109)&lt;&gt;1),"Check Property ID",""))))))</x:f>
      </x:c>
    </x:row>
    <x:row r="110" ht="26" customHeight="1">
      <x:c r="A110" s="317"/>
      <x:c r="B110" s="358"/>
      <x:c r="C110" s="235"/>
      <x:c r="D110" s="235"/>
      <x:c r="E110" s="235"/>
      <x:c r="F110" s="235"/>
      <x:c r="G110" s="236"/>
      <x:c r="H110" s="235"/>
      <x:c r="I110" s="239"/>
      <x:c r="J110" s="315" t="str">
        <x:f>IF(A110="","",IF(COUNTIFS($A$6:$A$205,A110)&gt;1,"Duplicate ID",IF(NOT(ISNUMBER(B110)),"Add payment date",IF(C110="","Set expense category",IF(NOT(ISNUMBER(G110)),"Add amount paid",IF(AND(F110&lt;&gt;"",COUNTIFS('Properties'!$A$6:$A$205,F110)&lt;&gt;1),"Check Property ID",""))))))</x:f>
      </x:c>
    </x:row>
    <x:row r="111" ht="26" customHeight="1">
      <x:c r="A111" s="319"/>
      <x:c r="B111" s="359"/>
      <x:c r="C111" s="274"/>
      <x:c r="D111" s="274"/>
      <x:c r="E111" s="274"/>
      <x:c r="F111" s="274"/>
      <x:c r="G111" s="302"/>
      <x:c r="H111" s="274"/>
      <x:c r="I111" s="280"/>
      <x:c r="J111" s="315" t="str">
        <x:f>IF(A111="","",IF(COUNTIFS($A$6:$A$205,A111)&gt;1,"Duplicate ID",IF(NOT(ISNUMBER(B111)),"Add payment date",IF(C111="","Set expense category",IF(NOT(ISNUMBER(G111)),"Add amount paid",IF(AND(F111&lt;&gt;"",COUNTIFS('Properties'!$A$6:$A$205,F111)&lt;&gt;1),"Check Property ID",""))))))</x:f>
      </x:c>
    </x:row>
    <x:row r="112" ht="26" customHeight="1">
      <x:c r="A112" s="317"/>
      <x:c r="B112" s="358"/>
      <x:c r="C112" s="235"/>
      <x:c r="D112" s="235"/>
      <x:c r="E112" s="235"/>
      <x:c r="F112" s="235"/>
      <x:c r="G112" s="236"/>
      <x:c r="H112" s="235"/>
      <x:c r="I112" s="239"/>
      <x:c r="J112" s="315" t="str">
        <x:f>IF(A112="","",IF(COUNTIFS($A$6:$A$205,A112)&gt;1,"Duplicate ID",IF(NOT(ISNUMBER(B112)),"Add payment date",IF(C112="","Set expense category",IF(NOT(ISNUMBER(G112)),"Add amount paid",IF(AND(F112&lt;&gt;"",COUNTIFS('Properties'!$A$6:$A$205,F112)&lt;&gt;1),"Check Property ID",""))))))</x:f>
      </x:c>
    </x:row>
    <x:row r="113" ht="26" customHeight="1">
      <x:c r="A113" s="319"/>
      <x:c r="B113" s="359"/>
      <x:c r="C113" s="274"/>
      <x:c r="D113" s="274"/>
      <x:c r="E113" s="274"/>
      <x:c r="F113" s="274"/>
      <x:c r="G113" s="302"/>
      <x:c r="H113" s="274"/>
      <x:c r="I113" s="280"/>
      <x:c r="J113" s="315" t="str">
        <x:f>IF(A113="","",IF(COUNTIFS($A$6:$A$205,A113)&gt;1,"Duplicate ID",IF(NOT(ISNUMBER(B113)),"Add payment date",IF(C113="","Set expense category",IF(NOT(ISNUMBER(G113)),"Add amount paid",IF(AND(F113&lt;&gt;"",COUNTIFS('Properties'!$A$6:$A$205,F113)&lt;&gt;1),"Check Property ID",""))))))</x:f>
      </x:c>
    </x:row>
    <x:row r="114" ht="26" customHeight="1">
      <x:c r="A114" s="317"/>
      <x:c r="B114" s="358"/>
      <x:c r="C114" s="235"/>
      <x:c r="D114" s="235"/>
      <x:c r="E114" s="235"/>
      <x:c r="F114" s="235"/>
      <x:c r="G114" s="236"/>
      <x:c r="H114" s="235"/>
      <x:c r="I114" s="239"/>
      <x:c r="J114" s="315" t="str">
        <x:f>IF(A114="","",IF(COUNTIFS($A$6:$A$205,A114)&gt;1,"Duplicate ID",IF(NOT(ISNUMBER(B114)),"Add payment date",IF(C114="","Set expense category",IF(NOT(ISNUMBER(G114)),"Add amount paid",IF(AND(F114&lt;&gt;"",COUNTIFS('Properties'!$A$6:$A$205,F114)&lt;&gt;1),"Check Property ID",""))))))</x:f>
      </x:c>
    </x:row>
    <x:row r="115" ht="26" customHeight="1">
      <x:c r="A115" s="319"/>
      <x:c r="B115" s="359"/>
      <x:c r="C115" s="274"/>
      <x:c r="D115" s="274"/>
      <x:c r="E115" s="274"/>
      <x:c r="F115" s="274"/>
      <x:c r="G115" s="302"/>
      <x:c r="H115" s="274"/>
      <x:c r="I115" s="280"/>
      <x:c r="J115" s="315" t="str">
        <x:f>IF(A115="","",IF(COUNTIFS($A$6:$A$205,A115)&gt;1,"Duplicate ID",IF(NOT(ISNUMBER(B115)),"Add payment date",IF(C115="","Set expense category",IF(NOT(ISNUMBER(G115)),"Add amount paid",IF(AND(F115&lt;&gt;"",COUNTIFS('Properties'!$A$6:$A$205,F115)&lt;&gt;1),"Check Property ID",""))))))</x:f>
      </x:c>
    </x:row>
    <x:row r="116" ht="26" customHeight="1">
      <x:c r="A116" s="317"/>
      <x:c r="B116" s="358"/>
      <x:c r="C116" s="235"/>
      <x:c r="D116" s="235"/>
      <x:c r="E116" s="235"/>
      <x:c r="F116" s="235"/>
      <x:c r="G116" s="236"/>
      <x:c r="H116" s="235"/>
      <x:c r="I116" s="239"/>
      <x:c r="J116" s="315" t="str">
        <x:f>IF(A116="","",IF(COUNTIFS($A$6:$A$205,A116)&gt;1,"Duplicate ID",IF(NOT(ISNUMBER(B116)),"Add payment date",IF(C116="","Set expense category",IF(NOT(ISNUMBER(G116)),"Add amount paid",IF(AND(F116&lt;&gt;"",COUNTIFS('Properties'!$A$6:$A$205,F116)&lt;&gt;1),"Check Property ID",""))))))</x:f>
      </x:c>
    </x:row>
    <x:row r="117" ht="26" customHeight="1">
      <x:c r="A117" s="319"/>
      <x:c r="B117" s="359"/>
      <x:c r="C117" s="274"/>
      <x:c r="D117" s="274"/>
      <x:c r="E117" s="274"/>
      <x:c r="F117" s="274"/>
      <x:c r="G117" s="302"/>
      <x:c r="H117" s="274"/>
      <x:c r="I117" s="280"/>
      <x:c r="J117" s="315" t="str">
        <x:f>IF(A117="","",IF(COUNTIFS($A$6:$A$205,A117)&gt;1,"Duplicate ID",IF(NOT(ISNUMBER(B117)),"Add payment date",IF(C117="","Set expense category",IF(NOT(ISNUMBER(G117)),"Add amount paid",IF(AND(F117&lt;&gt;"",COUNTIFS('Properties'!$A$6:$A$205,F117)&lt;&gt;1),"Check Property ID",""))))))</x:f>
      </x:c>
    </x:row>
    <x:row r="118" ht="26" customHeight="1">
      <x:c r="A118" s="317"/>
      <x:c r="B118" s="358"/>
      <x:c r="C118" s="235"/>
      <x:c r="D118" s="235"/>
      <x:c r="E118" s="235"/>
      <x:c r="F118" s="235"/>
      <x:c r="G118" s="236"/>
      <x:c r="H118" s="235"/>
      <x:c r="I118" s="239"/>
      <x:c r="J118" s="315" t="str">
        <x:f>IF(A118="","",IF(COUNTIFS($A$6:$A$205,A118)&gt;1,"Duplicate ID",IF(NOT(ISNUMBER(B118)),"Add payment date",IF(C118="","Set expense category",IF(NOT(ISNUMBER(G118)),"Add amount paid",IF(AND(F118&lt;&gt;"",COUNTIFS('Properties'!$A$6:$A$205,F118)&lt;&gt;1),"Check Property ID",""))))))</x:f>
      </x:c>
    </x:row>
    <x:row r="119" ht="26" customHeight="1">
      <x:c r="A119" s="319"/>
      <x:c r="B119" s="359"/>
      <x:c r="C119" s="274"/>
      <x:c r="D119" s="274"/>
      <x:c r="E119" s="274"/>
      <x:c r="F119" s="274"/>
      <x:c r="G119" s="302"/>
      <x:c r="H119" s="274"/>
      <x:c r="I119" s="280"/>
      <x:c r="J119" s="315" t="str">
        <x:f>IF(A119="","",IF(COUNTIFS($A$6:$A$205,A119)&gt;1,"Duplicate ID",IF(NOT(ISNUMBER(B119)),"Add payment date",IF(C119="","Set expense category",IF(NOT(ISNUMBER(G119)),"Add amount paid",IF(AND(F119&lt;&gt;"",COUNTIFS('Properties'!$A$6:$A$205,F119)&lt;&gt;1),"Check Property ID",""))))))</x:f>
      </x:c>
    </x:row>
    <x:row r="120" ht="26" customHeight="1">
      <x:c r="A120" s="317"/>
      <x:c r="B120" s="358"/>
      <x:c r="C120" s="235"/>
      <x:c r="D120" s="235"/>
      <x:c r="E120" s="235"/>
      <x:c r="F120" s="235"/>
      <x:c r="G120" s="236"/>
      <x:c r="H120" s="235"/>
      <x:c r="I120" s="239"/>
      <x:c r="J120" s="315" t="str">
        <x:f>IF(A120="","",IF(COUNTIFS($A$6:$A$205,A120)&gt;1,"Duplicate ID",IF(NOT(ISNUMBER(B120)),"Add payment date",IF(C120="","Set expense category",IF(NOT(ISNUMBER(G120)),"Add amount paid",IF(AND(F120&lt;&gt;"",COUNTIFS('Properties'!$A$6:$A$205,F120)&lt;&gt;1),"Check Property ID",""))))))</x:f>
      </x:c>
    </x:row>
    <x:row r="121" ht="26" customHeight="1">
      <x:c r="A121" s="319"/>
      <x:c r="B121" s="359"/>
      <x:c r="C121" s="274"/>
      <x:c r="D121" s="274"/>
      <x:c r="E121" s="274"/>
      <x:c r="F121" s="274"/>
      <x:c r="G121" s="302"/>
      <x:c r="H121" s="274"/>
      <x:c r="I121" s="280"/>
      <x:c r="J121" s="315" t="str">
        <x:f>IF(A121="","",IF(COUNTIFS($A$6:$A$205,A121)&gt;1,"Duplicate ID",IF(NOT(ISNUMBER(B121)),"Add payment date",IF(C121="","Set expense category",IF(NOT(ISNUMBER(G121)),"Add amount paid",IF(AND(F121&lt;&gt;"",COUNTIFS('Properties'!$A$6:$A$205,F121)&lt;&gt;1),"Check Property ID",""))))))</x:f>
      </x:c>
    </x:row>
    <x:row r="122" ht="26" customHeight="1">
      <x:c r="A122" s="317"/>
      <x:c r="B122" s="358"/>
      <x:c r="C122" s="235"/>
      <x:c r="D122" s="235"/>
      <x:c r="E122" s="235"/>
      <x:c r="F122" s="235"/>
      <x:c r="G122" s="236"/>
      <x:c r="H122" s="235"/>
      <x:c r="I122" s="239"/>
      <x:c r="J122" s="315" t="str">
        <x:f>IF(A122="","",IF(COUNTIFS($A$6:$A$205,A122)&gt;1,"Duplicate ID",IF(NOT(ISNUMBER(B122)),"Add payment date",IF(C122="","Set expense category",IF(NOT(ISNUMBER(G122)),"Add amount paid",IF(AND(F122&lt;&gt;"",COUNTIFS('Properties'!$A$6:$A$205,F122)&lt;&gt;1),"Check Property ID",""))))))</x:f>
      </x:c>
    </x:row>
    <x:row r="123" ht="26" customHeight="1">
      <x:c r="A123" s="319"/>
      <x:c r="B123" s="359"/>
      <x:c r="C123" s="274"/>
      <x:c r="D123" s="274"/>
      <x:c r="E123" s="274"/>
      <x:c r="F123" s="274"/>
      <x:c r="G123" s="302"/>
      <x:c r="H123" s="274"/>
      <x:c r="I123" s="280"/>
      <x:c r="J123" s="315" t="str">
        <x:f>IF(A123="","",IF(COUNTIFS($A$6:$A$205,A123)&gt;1,"Duplicate ID",IF(NOT(ISNUMBER(B123)),"Add payment date",IF(C123="","Set expense category",IF(NOT(ISNUMBER(G123)),"Add amount paid",IF(AND(F123&lt;&gt;"",COUNTIFS('Properties'!$A$6:$A$205,F123)&lt;&gt;1),"Check Property ID",""))))))</x:f>
      </x:c>
    </x:row>
    <x:row r="124" ht="26" customHeight="1">
      <x:c r="A124" s="317"/>
      <x:c r="B124" s="358"/>
      <x:c r="C124" s="235"/>
      <x:c r="D124" s="235"/>
      <x:c r="E124" s="235"/>
      <x:c r="F124" s="235"/>
      <x:c r="G124" s="236"/>
      <x:c r="H124" s="235"/>
      <x:c r="I124" s="239"/>
      <x:c r="J124" s="315" t="str">
        <x:f>IF(A124="","",IF(COUNTIFS($A$6:$A$205,A124)&gt;1,"Duplicate ID",IF(NOT(ISNUMBER(B124)),"Add payment date",IF(C124="","Set expense category",IF(NOT(ISNUMBER(G124)),"Add amount paid",IF(AND(F124&lt;&gt;"",COUNTIFS('Properties'!$A$6:$A$205,F124)&lt;&gt;1),"Check Property ID",""))))))</x:f>
      </x:c>
    </x:row>
    <x:row r="125" ht="26" customHeight="1">
      <x:c r="A125" s="319"/>
      <x:c r="B125" s="359"/>
      <x:c r="C125" s="274"/>
      <x:c r="D125" s="274"/>
      <x:c r="E125" s="274"/>
      <x:c r="F125" s="274"/>
      <x:c r="G125" s="302"/>
      <x:c r="H125" s="274"/>
      <x:c r="I125" s="280"/>
      <x:c r="J125" s="315" t="str">
        <x:f>IF(A125="","",IF(COUNTIFS($A$6:$A$205,A125)&gt;1,"Duplicate ID",IF(NOT(ISNUMBER(B125)),"Add payment date",IF(C125="","Set expense category",IF(NOT(ISNUMBER(G125)),"Add amount paid",IF(AND(F125&lt;&gt;"",COUNTIFS('Properties'!$A$6:$A$205,F125)&lt;&gt;1),"Check Property ID",""))))))</x:f>
      </x:c>
    </x:row>
    <x:row r="126" ht="26" customHeight="1">
      <x:c r="A126" s="317"/>
      <x:c r="B126" s="358"/>
      <x:c r="C126" s="235"/>
      <x:c r="D126" s="235"/>
      <x:c r="E126" s="235"/>
      <x:c r="F126" s="235"/>
      <x:c r="G126" s="236"/>
      <x:c r="H126" s="235"/>
      <x:c r="I126" s="239"/>
      <x:c r="J126" s="315" t="str">
        <x:f>IF(A126="","",IF(COUNTIFS($A$6:$A$205,A126)&gt;1,"Duplicate ID",IF(NOT(ISNUMBER(B126)),"Add payment date",IF(C126="","Set expense category",IF(NOT(ISNUMBER(G126)),"Add amount paid",IF(AND(F126&lt;&gt;"",COUNTIFS('Properties'!$A$6:$A$205,F126)&lt;&gt;1),"Check Property ID",""))))))</x:f>
      </x:c>
    </x:row>
    <x:row r="127" ht="26" customHeight="1">
      <x:c r="A127" s="319"/>
      <x:c r="B127" s="359"/>
      <x:c r="C127" s="274"/>
      <x:c r="D127" s="274"/>
      <x:c r="E127" s="274"/>
      <x:c r="F127" s="274"/>
      <x:c r="G127" s="302"/>
      <x:c r="H127" s="274"/>
      <x:c r="I127" s="280"/>
      <x:c r="J127" s="315" t="str">
        <x:f>IF(A127="","",IF(COUNTIFS($A$6:$A$205,A127)&gt;1,"Duplicate ID",IF(NOT(ISNUMBER(B127)),"Add payment date",IF(C127="","Set expense category",IF(NOT(ISNUMBER(G127)),"Add amount paid",IF(AND(F127&lt;&gt;"",COUNTIFS('Properties'!$A$6:$A$205,F127)&lt;&gt;1),"Check Property ID",""))))))</x:f>
      </x:c>
    </x:row>
    <x:row r="128" ht="26" customHeight="1">
      <x:c r="A128" s="317"/>
      <x:c r="B128" s="358"/>
      <x:c r="C128" s="235"/>
      <x:c r="D128" s="235"/>
      <x:c r="E128" s="235"/>
      <x:c r="F128" s="235"/>
      <x:c r="G128" s="236"/>
      <x:c r="H128" s="235"/>
      <x:c r="I128" s="239"/>
      <x:c r="J128" s="315" t="str">
        <x:f>IF(A128="","",IF(COUNTIFS($A$6:$A$205,A128)&gt;1,"Duplicate ID",IF(NOT(ISNUMBER(B128)),"Add payment date",IF(C128="","Set expense category",IF(NOT(ISNUMBER(G128)),"Add amount paid",IF(AND(F128&lt;&gt;"",COUNTIFS('Properties'!$A$6:$A$205,F128)&lt;&gt;1),"Check Property ID",""))))))</x:f>
      </x:c>
    </x:row>
    <x:row r="129" ht="26" customHeight="1">
      <x:c r="A129" s="319"/>
      <x:c r="B129" s="359"/>
      <x:c r="C129" s="274"/>
      <x:c r="D129" s="274"/>
      <x:c r="E129" s="274"/>
      <x:c r="F129" s="274"/>
      <x:c r="G129" s="302"/>
      <x:c r="H129" s="274"/>
      <x:c r="I129" s="280"/>
      <x:c r="J129" s="315" t="str">
        <x:f>IF(A129="","",IF(COUNTIFS($A$6:$A$205,A129)&gt;1,"Duplicate ID",IF(NOT(ISNUMBER(B129)),"Add payment date",IF(C129="","Set expense category",IF(NOT(ISNUMBER(G129)),"Add amount paid",IF(AND(F129&lt;&gt;"",COUNTIFS('Properties'!$A$6:$A$205,F129)&lt;&gt;1),"Check Property ID",""))))))</x:f>
      </x:c>
    </x:row>
    <x:row r="130" ht="26" customHeight="1">
      <x:c r="A130" s="317"/>
      <x:c r="B130" s="358"/>
      <x:c r="C130" s="235"/>
      <x:c r="D130" s="235"/>
      <x:c r="E130" s="235"/>
      <x:c r="F130" s="235"/>
      <x:c r="G130" s="236"/>
      <x:c r="H130" s="235"/>
      <x:c r="I130" s="239"/>
      <x:c r="J130" s="315" t="str">
        <x:f>IF(A130="","",IF(COUNTIFS($A$6:$A$205,A130)&gt;1,"Duplicate ID",IF(NOT(ISNUMBER(B130)),"Add payment date",IF(C130="","Set expense category",IF(NOT(ISNUMBER(G130)),"Add amount paid",IF(AND(F130&lt;&gt;"",COUNTIFS('Properties'!$A$6:$A$205,F130)&lt;&gt;1),"Check Property ID",""))))))</x:f>
      </x:c>
    </x:row>
    <x:row r="131" ht="26" customHeight="1">
      <x:c r="A131" s="319"/>
      <x:c r="B131" s="359"/>
      <x:c r="C131" s="274"/>
      <x:c r="D131" s="274"/>
      <x:c r="E131" s="274"/>
      <x:c r="F131" s="274"/>
      <x:c r="G131" s="302"/>
      <x:c r="H131" s="274"/>
      <x:c r="I131" s="280"/>
      <x:c r="J131" s="315" t="str">
        <x:f>IF(A131="","",IF(COUNTIFS($A$6:$A$205,A131)&gt;1,"Duplicate ID",IF(NOT(ISNUMBER(B131)),"Add payment date",IF(C131="","Set expense category",IF(NOT(ISNUMBER(G131)),"Add amount paid",IF(AND(F131&lt;&gt;"",COUNTIFS('Properties'!$A$6:$A$205,F131)&lt;&gt;1),"Check Property ID",""))))))</x:f>
      </x:c>
    </x:row>
    <x:row r="132" ht="26" customHeight="1">
      <x:c r="A132" s="317"/>
      <x:c r="B132" s="358"/>
      <x:c r="C132" s="235"/>
      <x:c r="D132" s="235"/>
      <x:c r="E132" s="235"/>
      <x:c r="F132" s="235"/>
      <x:c r="G132" s="236"/>
      <x:c r="H132" s="235"/>
      <x:c r="I132" s="239"/>
      <x:c r="J132" s="315" t="str">
        <x:f>IF(A132="","",IF(COUNTIFS($A$6:$A$205,A132)&gt;1,"Duplicate ID",IF(NOT(ISNUMBER(B132)),"Add payment date",IF(C132="","Set expense category",IF(NOT(ISNUMBER(G132)),"Add amount paid",IF(AND(F132&lt;&gt;"",COUNTIFS('Properties'!$A$6:$A$205,F132)&lt;&gt;1),"Check Property ID",""))))))</x:f>
      </x:c>
    </x:row>
    <x:row r="133" ht="26" customHeight="1">
      <x:c r="A133" s="319"/>
      <x:c r="B133" s="359"/>
      <x:c r="C133" s="274"/>
      <x:c r="D133" s="274"/>
      <x:c r="E133" s="274"/>
      <x:c r="F133" s="274"/>
      <x:c r="G133" s="302"/>
      <x:c r="H133" s="274"/>
      <x:c r="I133" s="280"/>
      <x:c r="J133" s="315" t="str">
        <x:f>IF(A133="","",IF(COUNTIFS($A$6:$A$205,A133)&gt;1,"Duplicate ID",IF(NOT(ISNUMBER(B133)),"Add payment date",IF(C133="","Set expense category",IF(NOT(ISNUMBER(G133)),"Add amount paid",IF(AND(F133&lt;&gt;"",COUNTIFS('Properties'!$A$6:$A$205,F133)&lt;&gt;1),"Check Property ID",""))))))</x:f>
      </x:c>
    </x:row>
    <x:row r="134" ht="26" customHeight="1">
      <x:c r="A134" s="317"/>
      <x:c r="B134" s="358"/>
      <x:c r="C134" s="235"/>
      <x:c r="D134" s="235"/>
      <x:c r="E134" s="235"/>
      <x:c r="F134" s="235"/>
      <x:c r="G134" s="236"/>
      <x:c r="H134" s="235"/>
      <x:c r="I134" s="239"/>
      <x:c r="J134" s="315" t="str">
        <x:f>IF(A134="","",IF(COUNTIFS($A$6:$A$205,A134)&gt;1,"Duplicate ID",IF(NOT(ISNUMBER(B134)),"Add payment date",IF(C134="","Set expense category",IF(NOT(ISNUMBER(G134)),"Add amount paid",IF(AND(F134&lt;&gt;"",COUNTIFS('Properties'!$A$6:$A$205,F134)&lt;&gt;1),"Check Property ID",""))))))</x:f>
      </x:c>
    </x:row>
    <x:row r="135" ht="26" customHeight="1">
      <x:c r="A135" s="319"/>
      <x:c r="B135" s="359"/>
      <x:c r="C135" s="274"/>
      <x:c r="D135" s="274"/>
      <x:c r="E135" s="274"/>
      <x:c r="F135" s="274"/>
      <x:c r="G135" s="302"/>
      <x:c r="H135" s="274"/>
      <x:c r="I135" s="280"/>
      <x:c r="J135" s="315" t="str">
        <x:f>IF(A135="","",IF(COUNTIFS($A$6:$A$205,A135)&gt;1,"Duplicate ID",IF(NOT(ISNUMBER(B135)),"Add payment date",IF(C135="","Set expense category",IF(NOT(ISNUMBER(G135)),"Add amount paid",IF(AND(F135&lt;&gt;"",COUNTIFS('Properties'!$A$6:$A$205,F135)&lt;&gt;1),"Check Property ID",""))))))</x:f>
      </x:c>
    </x:row>
    <x:row r="136" ht="26" customHeight="1">
      <x:c r="A136" s="317"/>
      <x:c r="B136" s="358"/>
      <x:c r="C136" s="235"/>
      <x:c r="D136" s="235"/>
      <x:c r="E136" s="235"/>
      <x:c r="F136" s="235"/>
      <x:c r="G136" s="236"/>
      <x:c r="H136" s="235"/>
      <x:c r="I136" s="239"/>
      <x:c r="J136" s="315" t="str">
        <x:f>IF(A136="","",IF(COUNTIFS($A$6:$A$205,A136)&gt;1,"Duplicate ID",IF(NOT(ISNUMBER(B136)),"Add payment date",IF(C136="","Set expense category",IF(NOT(ISNUMBER(G136)),"Add amount paid",IF(AND(F136&lt;&gt;"",COUNTIFS('Properties'!$A$6:$A$205,F136)&lt;&gt;1),"Check Property ID",""))))))</x:f>
      </x:c>
    </x:row>
    <x:row r="137" ht="26" customHeight="1">
      <x:c r="A137" s="319"/>
      <x:c r="B137" s="359"/>
      <x:c r="C137" s="274"/>
      <x:c r="D137" s="274"/>
      <x:c r="E137" s="274"/>
      <x:c r="F137" s="274"/>
      <x:c r="G137" s="302"/>
      <x:c r="H137" s="274"/>
      <x:c r="I137" s="280"/>
      <x:c r="J137" s="315" t="str">
        <x:f>IF(A137="","",IF(COUNTIFS($A$6:$A$205,A137)&gt;1,"Duplicate ID",IF(NOT(ISNUMBER(B137)),"Add payment date",IF(C137="","Set expense category",IF(NOT(ISNUMBER(G137)),"Add amount paid",IF(AND(F137&lt;&gt;"",COUNTIFS('Properties'!$A$6:$A$205,F137)&lt;&gt;1),"Check Property ID",""))))))</x:f>
      </x:c>
    </x:row>
    <x:row r="138" ht="26" customHeight="1">
      <x:c r="A138" s="317"/>
      <x:c r="B138" s="358"/>
      <x:c r="C138" s="235"/>
      <x:c r="D138" s="235"/>
      <x:c r="E138" s="235"/>
      <x:c r="F138" s="235"/>
      <x:c r="G138" s="236"/>
      <x:c r="H138" s="235"/>
      <x:c r="I138" s="239"/>
      <x:c r="J138" s="315" t="str">
        <x:f>IF(A138="","",IF(COUNTIFS($A$6:$A$205,A138)&gt;1,"Duplicate ID",IF(NOT(ISNUMBER(B138)),"Add payment date",IF(C138="","Set expense category",IF(NOT(ISNUMBER(G138)),"Add amount paid",IF(AND(F138&lt;&gt;"",COUNTIFS('Properties'!$A$6:$A$205,F138)&lt;&gt;1),"Check Property ID",""))))))</x:f>
      </x:c>
    </x:row>
    <x:row r="139" ht="26" customHeight="1">
      <x:c r="A139" s="319"/>
      <x:c r="B139" s="359"/>
      <x:c r="C139" s="274"/>
      <x:c r="D139" s="274"/>
      <x:c r="E139" s="274"/>
      <x:c r="F139" s="274"/>
      <x:c r="G139" s="302"/>
      <x:c r="H139" s="274"/>
      <x:c r="I139" s="280"/>
      <x:c r="J139" s="315" t="str">
        <x:f>IF(A139="","",IF(COUNTIFS($A$6:$A$205,A139)&gt;1,"Duplicate ID",IF(NOT(ISNUMBER(B139)),"Add payment date",IF(C139="","Set expense category",IF(NOT(ISNUMBER(G139)),"Add amount paid",IF(AND(F139&lt;&gt;"",COUNTIFS('Properties'!$A$6:$A$205,F139)&lt;&gt;1),"Check Property ID",""))))))</x:f>
      </x:c>
    </x:row>
    <x:row r="140" ht="26" customHeight="1">
      <x:c r="A140" s="317"/>
      <x:c r="B140" s="358"/>
      <x:c r="C140" s="235"/>
      <x:c r="D140" s="235"/>
      <x:c r="E140" s="235"/>
      <x:c r="F140" s="235"/>
      <x:c r="G140" s="236"/>
      <x:c r="H140" s="235"/>
      <x:c r="I140" s="239"/>
      <x:c r="J140" s="315" t="str">
        <x:f>IF(A140="","",IF(COUNTIFS($A$6:$A$205,A140)&gt;1,"Duplicate ID",IF(NOT(ISNUMBER(B140)),"Add payment date",IF(C140="","Set expense category",IF(NOT(ISNUMBER(G140)),"Add amount paid",IF(AND(F140&lt;&gt;"",COUNTIFS('Properties'!$A$6:$A$205,F140)&lt;&gt;1),"Check Property ID",""))))))</x:f>
      </x:c>
    </x:row>
    <x:row r="141" ht="26" customHeight="1">
      <x:c r="A141" s="319"/>
      <x:c r="B141" s="359"/>
      <x:c r="C141" s="274"/>
      <x:c r="D141" s="274"/>
      <x:c r="E141" s="274"/>
      <x:c r="F141" s="274"/>
      <x:c r="G141" s="302"/>
      <x:c r="H141" s="274"/>
      <x:c r="I141" s="280"/>
      <x:c r="J141" s="315" t="str">
        <x:f>IF(A141="","",IF(COUNTIFS($A$6:$A$205,A141)&gt;1,"Duplicate ID",IF(NOT(ISNUMBER(B141)),"Add payment date",IF(C141="","Set expense category",IF(NOT(ISNUMBER(G141)),"Add amount paid",IF(AND(F141&lt;&gt;"",COUNTIFS('Properties'!$A$6:$A$205,F141)&lt;&gt;1),"Check Property ID",""))))))</x:f>
      </x:c>
    </x:row>
    <x:row r="142" ht="26" customHeight="1">
      <x:c r="A142" s="317"/>
      <x:c r="B142" s="358"/>
      <x:c r="C142" s="235"/>
      <x:c r="D142" s="235"/>
      <x:c r="E142" s="235"/>
      <x:c r="F142" s="235"/>
      <x:c r="G142" s="236"/>
      <x:c r="H142" s="235"/>
      <x:c r="I142" s="239"/>
      <x:c r="J142" s="315" t="str">
        <x:f>IF(A142="","",IF(COUNTIFS($A$6:$A$205,A142)&gt;1,"Duplicate ID",IF(NOT(ISNUMBER(B142)),"Add payment date",IF(C142="","Set expense category",IF(NOT(ISNUMBER(G142)),"Add amount paid",IF(AND(F142&lt;&gt;"",COUNTIFS('Properties'!$A$6:$A$205,F142)&lt;&gt;1),"Check Property ID",""))))))</x:f>
      </x:c>
    </x:row>
    <x:row r="143" ht="26" customHeight="1">
      <x:c r="A143" s="319"/>
      <x:c r="B143" s="359"/>
      <x:c r="C143" s="274"/>
      <x:c r="D143" s="274"/>
      <x:c r="E143" s="274"/>
      <x:c r="F143" s="274"/>
      <x:c r="G143" s="302"/>
      <x:c r="H143" s="274"/>
      <x:c r="I143" s="280"/>
      <x:c r="J143" s="315" t="str">
        <x:f>IF(A143="","",IF(COUNTIFS($A$6:$A$205,A143)&gt;1,"Duplicate ID",IF(NOT(ISNUMBER(B143)),"Add payment date",IF(C143="","Set expense category",IF(NOT(ISNUMBER(G143)),"Add amount paid",IF(AND(F143&lt;&gt;"",COUNTIFS('Properties'!$A$6:$A$205,F143)&lt;&gt;1),"Check Property ID",""))))))</x:f>
      </x:c>
    </x:row>
    <x:row r="144" ht="26" customHeight="1">
      <x:c r="A144" s="317"/>
      <x:c r="B144" s="358"/>
      <x:c r="C144" s="235"/>
      <x:c r="D144" s="235"/>
      <x:c r="E144" s="235"/>
      <x:c r="F144" s="235"/>
      <x:c r="G144" s="236"/>
      <x:c r="H144" s="235"/>
      <x:c r="I144" s="239"/>
      <x:c r="J144" s="315" t="str">
        <x:f>IF(A144="","",IF(COUNTIFS($A$6:$A$205,A144)&gt;1,"Duplicate ID",IF(NOT(ISNUMBER(B144)),"Add payment date",IF(C144="","Set expense category",IF(NOT(ISNUMBER(G144)),"Add amount paid",IF(AND(F144&lt;&gt;"",COUNTIFS('Properties'!$A$6:$A$205,F144)&lt;&gt;1),"Check Property ID",""))))))</x:f>
      </x:c>
    </x:row>
    <x:row r="145" ht="26" customHeight="1">
      <x:c r="A145" s="319"/>
      <x:c r="B145" s="359"/>
      <x:c r="C145" s="274"/>
      <x:c r="D145" s="274"/>
      <x:c r="E145" s="274"/>
      <x:c r="F145" s="274"/>
      <x:c r="G145" s="302"/>
      <x:c r="H145" s="274"/>
      <x:c r="I145" s="280"/>
      <x:c r="J145" s="315" t="str">
        <x:f>IF(A145="","",IF(COUNTIFS($A$6:$A$205,A145)&gt;1,"Duplicate ID",IF(NOT(ISNUMBER(B145)),"Add payment date",IF(C145="","Set expense category",IF(NOT(ISNUMBER(G145)),"Add amount paid",IF(AND(F145&lt;&gt;"",COUNTIFS('Properties'!$A$6:$A$205,F145)&lt;&gt;1),"Check Property ID",""))))))</x:f>
      </x:c>
    </x:row>
    <x:row r="146" ht="26" customHeight="1">
      <x:c r="A146" s="317"/>
      <x:c r="B146" s="358"/>
      <x:c r="C146" s="235"/>
      <x:c r="D146" s="235"/>
      <x:c r="E146" s="235"/>
      <x:c r="F146" s="235"/>
      <x:c r="G146" s="236"/>
      <x:c r="H146" s="235"/>
      <x:c r="I146" s="239"/>
      <x:c r="J146" s="315" t="str">
        <x:f>IF(A146="","",IF(COUNTIFS($A$6:$A$205,A146)&gt;1,"Duplicate ID",IF(NOT(ISNUMBER(B146)),"Add payment date",IF(C146="","Set expense category",IF(NOT(ISNUMBER(G146)),"Add amount paid",IF(AND(F146&lt;&gt;"",COUNTIFS('Properties'!$A$6:$A$205,F146)&lt;&gt;1),"Check Property ID",""))))))</x:f>
      </x:c>
    </x:row>
    <x:row r="147" ht="26" customHeight="1">
      <x:c r="A147" s="319"/>
      <x:c r="B147" s="359"/>
      <x:c r="C147" s="274"/>
      <x:c r="D147" s="274"/>
      <x:c r="E147" s="274"/>
      <x:c r="F147" s="274"/>
      <x:c r="G147" s="302"/>
      <x:c r="H147" s="274"/>
      <x:c r="I147" s="280"/>
      <x:c r="J147" s="315" t="str">
        <x:f>IF(A147="","",IF(COUNTIFS($A$6:$A$205,A147)&gt;1,"Duplicate ID",IF(NOT(ISNUMBER(B147)),"Add payment date",IF(C147="","Set expense category",IF(NOT(ISNUMBER(G147)),"Add amount paid",IF(AND(F147&lt;&gt;"",COUNTIFS('Properties'!$A$6:$A$205,F147)&lt;&gt;1),"Check Property ID",""))))))</x:f>
      </x:c>
    </x:row>
    <x:row r="148" ht="26" customHeight="1">
      <x:c r="A148" s="317"/>
      <x:c r="B148" s="358"/>
      <x:c r="C148" s="235"/>
      <x:c r="D148" s="235"/>
      <x:c r="E148" s="235"/>
      <x:c r="F148" s="235"/>
      <x:c r="G148" s="236"/>
      <x:c r="H148" s="235"/>
      <x:c r="I148" s="239"/>
      <x:c r="J148" s="315" t="str">
        <x:f>IF(A148="","",IF(COUNTIFS($A$6:$A$205,A148)&gt;1,"Duplicate ID",IF(NOT(ISNUMBER(B148)),"Add payment date",IF(C148="","Set expense category",IF(NOT(ISNUMBER(G148)),"Add amount paid",IF(AND(F148&lt;&gt;"",COUNTIFS('Properties'!$A$6:$A$205,F148)&lt;&gt;1),"Check Property ID",""))))))</x:f>
      </x:c>
    </x:row>
    <x:row r="149" ht="26" customHeight="1">
      <x:c r="A149" s="319"/>
      <x:c r="B149" s="359"/>
      <x:c r="C149" s="274"/>
      <x:c r="D149" s="274"/>
      <x:c r="E149" s="274"/>
      <x:c r="F149" s="274"/>
      <x:c r="G149" s="302"/>
      <x:c r="H149" s="274"/>
      <x:c r="I149" s="280"/>
      <x:c r="J149" s="315" t="str">
        <x:f>IF(A149="","",IF(COUNTIFS($A$6:$A$205,A149)&gt;1,"Duplicate ID",IF(NOT(ISNUMBER(B149)),"Add payment date",IF(C149="","Set expense category",IF(NOT(ISNUMBER(G149)),"Add amount paid",IF(AND(F149&lt;&gt;"",COUNTIFS('Properties'!$A$6:$A$205,F149)&lt;&gt;1),"Check Property ID",""))))))</x:f>
      </x:c>
    </x:row>
    <x:row r="150" ht="26" customHeight="1">
      <x:c r="A150" s="317"/>
      <x:c r="B150" s="358"/>
      <x:c r="C150" s="235"/>
      <x:c r="D150" s="235"/>
      <x:c r="E150" s="235"/>
      <x:c r="F150" s="235"/>
      <x:c r="G150" s="236"/>
      <x:c r="H150" s="235"/>
      <x:c r="I150" s="239"/>
      <x:c r="J150" s="315" t="str">
        <x:f>IF(A150="","",IF(COUNTIFS($A$6:$A$205,A150)&gt;1,"Duplicate ID",IF(NOT(ISNUMBER(B150)),"Add payment date",IF(C150="","Set expense category",IF(NOT(ISNUMBER(G150)),"Add amount paid",IF(AND(F150&lt;&gt;"",COUNTIFS('Properties'!$A$6:$A$205,F150)&lt;&gt;1),"Check Property ID",""))))))</x:f>
      </x:c>
    </x:row>
    <x:row r="151" ht="26" customHeight="1">
      <x:c r="A151" s="319"/>
      <x:c r="B151" s="359"/>
      <x:c r="C151" s="274"/>
      <x:c r="D151" s="274"/>
      <x:c r="E151" s="274"/>
      <x:c r="F151" s="274"/>
      <x:c r="G151" s="302"/>
      <x:c r="H151" s="274"/>
      <x:c r="I151" s="280"/>
      <x:c r="J151" s="315" t="str">
        <x:f>IF(A151="","",IF(COUNTIFS($A$6:$A$205,A151)&gt;1,"Duplicate ID",IF(NOT(ISNUMBER(B151)),"Add payment date",IF(C151="","Set expense category",IF(NOT(ISNUMBER(G151)),"Add amount paid",IF(AND(F151&lt;&gt;"",COUNTIFS('Properties'!$A$6:$A$205,F151)&lt;&gt;1),"Check Property ID",""))))))</x:f>
      </x:c>
    </x:row>
    <x:row r="152" ht="26" customHeight="1">
      <x:c r="A152" s="317"/>
      <x:c r="B152" s="358"/>
      <x:c r="C152" s="235"/>
      <x:c r="D152" s="235"/>
      <x:c r="E152" s="235"/>
      <x:c r="F152" s="235"/>
      <x:c r="G152" s="236"/>
      <x:c r="H152" s="235"/>
      <x:c r="I152" s="239"/>
      <x:c r="J152" s="315" t="str">
        <x:f>IF(A152="","",IF(COUNTIFS($A$6:$A$205,A152)&gt;1,"Duplicate ID",IF(NOT(ISNUMBER(B152)),"Add payment date",IF(C152="","Set expense category",IF(NOT(ISNUMBER(G152)),"Add amount paid",IF(AND(F152&lt;&gt;"",COUNTIFS('Properties'!$A$6:$A$205,F152)&lt;&gt;1),"Check Property ID",""))))))</x:f>
      </x:c>
    </x:row>
    <x:row r="153" ht="26" customHeight="1">
      <x:c r="A153" s="319"/>
      <x:c r="B153" s="359"/>
      <x:c r="C153" s="274"/>
      <x:c r="D153" s="274"/>
      <x:c r="E153" s="274"/>
      <x:c r="F153" s="274"/>
      <x:c r="G153" s="302"/>
      <x:c r="H153" s="274"/>
      <x:c r="I153" s="280"/>
      <x:c r="J153" s="315" t="str">
        <x:f>IF(A153="","",IF(COUNTIFS($A$6:$A$205,A153)&gt;1,"Duplicate ID",IF(NOT(ISNUMBER(B153)),"Add payment date",IF(C153="","Set expense category",IF(NOT(ISNUMBER(G153)),"Add amount paid",IF(AND(F153&lt;&gt;"",COUNTIFS('Properties'!$A$6:$A$205,F153)&lt;&gt;1),"Check Property ID",""))))))</x:f>
      </x:c>
    </x:row>
    <x:row r="154" ht="26" customHeight="1">
      <x:c r="A154" s="317"/>
      <x:c r="B154" s="358"/>
      <x:c r="C154" s="235"/>
      <x:c r="D154" s="235"/>
      <x:c r="E154" s="235"/>
      <x:c r="F154" s="235"/>
      <x:c r="G154" s="236"/>
      <x:c r="H154" s="235"/>
      <x:c r="I154" s="239"/>
      <x:c r="J154" s="315" t="str">
        <x:f>IF(A154="","",IF(COUNTIFS($A$6:$A$205,A154)&gt;1,"Duplicate ID",IF(NOT(ISNUMBER(B154)),"Add payment date",IF(C154="","Set expense category",IF(NOT(ISNUMBER(G154)),"Add amount paid",IF(AND(F154&lt;&gt;"",COUNTIFS('Properties'!$A$6:$A$205,F154)&lt;&gt;1),"Check Property ID",""))))))</x:f>
      </x:c>
    </x:row>
    <x:row r="155" ht="26" customHeight="1">
      <x:c r="A155" s="319"/>
      <x:c r="B155" s="359"/>
      <x:c r="C155" s="274"/>
      <x:c r="D155" s="274"/>
      <x:c r="E155" s="274"/>
      <x:c r="F155" s="274"/>
      <x:c r="G155" s="302"/>
      <x:c r="H155" s="274"/>
      <x:c r="I155" s="280"/>
      <x:c r="J155" s="315" t="str">
        <x:f>IF(A155="","",IF(COUNTIFS($A$6:$A$205,A155)&gt;1,"Duplicate ID",IF(NOT(ISNUMBER(B155)),"Add payment date",IF(C155="","Set expense category",IF(NOT(ISNUMBER(G155)),"Add amount paid",IF(AND(F155&lt;&gt;"",COUNTIFS('Properties'!$A$6:$A$205,F155)&lt;&gt;1),"Check Property ID",""))))))</x:f>
      </x:c>
    </x:row>
    <x:row r="156" ht="26" customHeight="1">
      <x:c r="A156" s="317"/>
      <x:c r="B156" s="358"/>
      <x:c r="C156" s="235"/>
      <x:c r="D156" s="235"/>
      <x:c r="E156" s="235"/>
      <x:c r="F156" s="235"/>
      <x:c r="G156" s="236"/>
      <x:c r="H156" s="235"/>
      <x:c r="I156" s="239"/>
      <x:c r="J156" s="315" t="str">
        <x:f>IF(A156="","",IF(COUNTIFS($A$6:$A$205,A156)&gt;1,"Duplicate ID",IF(NOT(ISNUMBER(B156)),"Add payment date",IF(C156="","Set expense category",IF(NOT(ISNUMBER(G156)),"Add amount paid",IF(AND(F156&lt;&gt;"",COUNTIFS('Properties'!$A$6:$A$205,F156)&lt;&gt;1),"Check Property ID",""))))))</x:f>
      </x:c>
    </x:row>
    <x:row r="157" ht="26" customHeight="1">
      <x:c r="A157" s="319"/>
      <x:c r="B157" s="359"/>
      <x:c r="C157" s="274"/>
      <x:c r="D157" s="274"/>
      <x:c r="E157" s="274"/>
      <x:c r="F157" s="274"/>
      <x:c r="G157" s="302"/>
      <x:c r="H157" s="274"/>
      <x:c r="I157" s="280"/>
      <x:c r="J157" s="315" t="str">
        <x:f>IF(A157="","",IF(COUNTIFS($A$6:$A$205,A157)&gt;1,"Duplicate ID",IF(NOT(ISNUMBER(B157)),"Add payment date",IF(C157="","Set expense category",IF(NOT(ISNUMBER(G157)),"Add amount paid",IF(AND(F157&lt;&gt;"",COUNTIFS('Properties'!$A$6:$A$205,F157)&lt;&gt;1),"Check Property ID",""))))))</x:f>
      </x:c>
    </x:row>
    <x:row r="158" ht="26" customHeight="1">
      <x:c r="A158" s="317"/>
      <x:c r="B158" s="358"/>
      <x:c r="C158" s="235"/>
      <x:c r="D158" s="235"/>
      <x:c r="E158" s="235"/>
      <x:c r="F158" s="235"/>
      <x:c r="G158" s="236"/>
      <x:c r="H158" s="235"/>
      <x:c r="I158" s="239"/>
      <x:c r="J158" s="315" t="str">
        <x:f>IF(A158="","",IF(COUNTIFS($A$6:$A$205,A158)&gt;1,"Duplicate ID",IF(NOT(ISNUMBER(B158)),"Add payment date",IF(C158="","Set expense category",IF(NOT(ISNUMBER(G158)),"Add amount paid",IF(AND(F158&lt;&gt;"",COUNTIFS('Properties'!$A$6:$A$205,F158)&lt;&gt;1),"Check Property ID",""))))))</x:f>
      </x:c>
    </x:row>
    <x:row r="159" ht="26" customHeight="1">
      <x:c r="A159" s="319"/>
      <x:c r="B159" s="359"/>
      <x:c r="C159" s="274"/>
      <x:c r="D159" s="274"/>
      <x:c r="E159" s="274"/>
      <x:c r="F159" s="274"/>
      <x:c r="G159" s="302"/>
      <x:c r="H159" s="274"/>
      <x:c r="I159" s="280"/>
      <x:c r="J159" s="315" t="str">
        <x:f>IF(A159="","",IF(COUNTIFS($A$6:$A$205,A159)&gt;1,"Duplicate ID",IF(NOT(ISNUMBER(B159)),"Add payment date",IF(C159="","Set expense category",IF(NOT(ISNUMBER(G159)),"Add amount paid",IF(AND(F159&lt;&gt;"",COUNTIFS('Properties'!$A$6:$A$205,F159)&lt;&gt;1),"Check Property ID",""))))))</x:f>
      </x:c>
    </x:row>
    <x:row r="160" ht="26" customHeight="1">
      <x:c r="A160" s="317"/>
      <x:c r="B160" s="358"/>
      <x:c r="C160" s="235"/>
      <x:c r="D160" s="235"/>
      <x:c r="E160" s="235"/>
      <x:c r="F160" s="235"/>
      <x:c r="G160" s="236"/>
      <x:c r="H160" s="235"/>
      <x:c r="I160" s="239"/>
      <x:c r="J160" s="315" t="str">
        <x:f>IF(A160="","",IF(COUNTIFS($A$6:$A$205,A160)&gt;1,"Duplicate ID",IF(NOT(ISNUMBER(B160)),"Add payment date",IF(C160="","Set expense category",IF(NOT(ISNUMBER(G160)),"Add amount paid",IF(AND(F160&lt;&gt;"",COUNTIFS('Properties'!$A$6:$A$205,F160)&lt;&gt;1),"Check Property ID",""))))))</x:f>
      </x:c>
    </x:row>
    <x:row r="161" ht="26" customHeight="1">
      <x:c r="A161" s="319"/>
      <x:c r="B161" s="359"/>
      <x:c r="C161" s="274"/>
      <x:c r="D161" s="274"/>
      <x:c r="E161" s="274"/>
      <x:c r="F161" s="274"/>
      <x:c r="G161" s="302"/>
      <x:c r="H161" s="274"/>
      <x:c r="I161" s="280"/>
      <x:c r="J161" s="315" t="str">
        <x:f>IF(A161="","",IF(COUNTIFS($A$6:$A$205,A161)&gt;1,"Duplicate ID",IF(NOT(ISNUMBER(B161)),"Add payment date",IF(C161="","Set expense category",IF(NOT(ISNUMBER(G161)),"Add amount paid",IF(AND(F161&lt;&gt;"",COUNTIFS('Properties'!$A$6:$A$205,F161)&lt;&gt;1),"Check Property ID",""))))))</x:f>
      </x:c>
    </x:row>
    <x:row r="162" ht="26" customHeight="1">
      <x:c r="A162" s="317"/>
      <x:c r="B162" s="358"/>
      <x:c r="C162" s="235"/>
      <x:c r="D162" s="235"/>
      <x:c r="E162" s="235"/>
      <x:c r="F162" s="235"/>
      <x:c r="G162" s="236"/>
      <x:c r="H162" s="235"/>
      <x:c r="I162" s="239"/>
      <x:c r="J162" s="315" t="str">
        <x:f>IF(A162="","",IF(COUNTIFS($A$6:$A$205,A162)&gt;1,"Duplicate ID",IF(NOT(ISNUMBER(B162)),"Add payment date",IF(C162="","Set expense category",IF(NOT(ISNUMBER(G162)),"Add amount paid",IF(AND(F162&lt;&gt;"",COUNTIFS('Properties'!$A$6:$A$205,F162)&lt;&gt;1),"Check Property ID",""))))))</x:f>
      </x:c>
    </x:row>
    <x:row r="163" ht="26" customHeight="1">
      <x:c r="A163" s="319"/>
      <x:c r="B163" s="359"/>
      <x:c r="C163" s="274"/>
      <x:c r="D163" s="274"/>
      <x:c r="E163" s="274"/>
      <x:c r="F163" s="274"/>
      <x:c r="G163" s="302"/>
      <x:c r="H163" s="274"/>
      <x:c r="I163" s="280"/>
      <x:c r="J163" s="315" t="str">
        <x:f>IF(A163="","",IF(COUNTIFS($A$6:$A$205,A163)&gt;1,"Duplicate ID",IF(NOT(ISNUMBER(B163)),"Add payment date",IF(C163="","Set expense category",IF(NOT(ISNUMBER(G163)),"Add amount paid",IF(AND(F163&lt;&gt;"",COUNTIFS('Properties'!$A$6:$A$205,F163)&lt;&gt;1),"Check Property ID",""))))))</x:f>
      </x:c>
    </x:row>
    <x:row r="164" ht="26" customHeight="1">
      <x:c r="A164" s="317"/>
      <x:c r="B164" s="358"/>
      <x:c r="C164" s="235"/>
      <x:c r="D164" s="235"/>
      <x:c r="E164" s="235"/>
      <x:c r="F164" s="235"/>
      <x:c r="G164" s="236"/>
      <x:c r="H164" s="235"/>
      <x:c r="I164" s="239"/>
      <x:c r="J164" s="315" t="str">
        <x:f>IF(A164="","",IF(COUNTIFS($A$6:$A$205,A164)&gt;1,"Duplicate ID",IF(NOT(ISNUMBER(B164)),"Add payment date",IF(C164="","Set expense category",IF(NOT(ISNUMBER(G164)),"Add amount paid",IF(AND(F164&lt;&gt;"",COUNTIFS('Properties'!$A$6:$A$205,F164)&lt;&gt;1),"Check Property ID",""))))))</x:f>
      </x:c>
    </x:row>
    <x:row r="165" ht="26" customHeight="1">
      <x:c r="A165" s="319"/>
      <x:c r="B165" s="359"/>
      <x:c r="C165" s="274"/>
      <x:c r="D165" s="274"/>
      <x:c r="E165" s="274"/>
      <x:c r="F165" s="274"/>
      <x:c r="G165" s="302"/>
      <x:c r="H165" s="274"/>
      <x:c r="I165" s="280"/>
      <x:c r="J165" s="315" t="str">
        <x:f>IF(A165="","",IF(COUNTIFS($A$6:$A$205,A165)&gt;1,"Duplicate ID",IF(NOT(ISNUMBER(B165)),"Add payment date",IF(C165="","Set expense category",IF(NOT(ISNUMBER(G165)),"Add amount paid",IF(AND(F165&lt;&gt;"",COUNTIFS('Properties'!$A$6:$A$205,F165)&lt;&gt;1),"Check Property ID",""))))))</x:f>
      </x:c>
    </x:row>
    <x:row r="166" ht="26" customHeight="1">
      <x:c r="A166" s="317"/>
      <x:c r="B166" s="358"/>
      <x:c r="C166" s="235"/>
      <x:c r="D166" s="235"/>
      <x:c r="E166" s="235"/>
      <x:c r="F166" s="235"/>
      <x:c r="G166" s="236"/>
      <x:c r="H166" s="235"/>
      <x:c r="I166" s="239"/>
      <x:c r="J166" s="315" t="str">
        <x:f>IF(A166="","",IF(COUNTIFS($A$6:$A$205,A166)&gt;1,"Duplicate ID",IF(NOT(ISNUMBER(B166)),"Add payment date",IF(C166="","Set expense category",IF(NOT(ISNUMBER(G166)),"Add amount paid",IF(AND(F166&lt;&gt;"",COUNTIFS('Properties'!$A$6:$A$205,F166)&lt;&gt;1),"Check Property ID",""))))))</x:f>
      </x:c>
    </x:row>
    <x:row r="167" ht="26" customHeight="1">
      <x:c r="A167" s="319"/>
      <x:c r="B167" s="359"/>
      <x:c r="C167" s="274"/>
      <x:c r="D167" s="274"/>
      <x:c r="E167" s="274"/>
      <x:c r="F167" s="274"/>
      <x:c r="G167" s="302"/>
      <x:c r="H167" s="274"/>
      <x:c r="I167" s="280"/>
      <x:c r="J167" s="315" t="str">
        <x:f>IF(A167="","",IF(COUNTIFS($A$6:$A$205,A167)&gt;1,"Duplicate ID",IF(NOT(ISNUMBER(B167)),"Add payment date",IF(C167="","Set expense category",IF(NOT(ISNUMBER(G167)),"Add amount paid",IF(AND(F167&lt;&gt;"",COUNTIFS('Properties'!$A$6:$A$205,F167)&lt;&gt;1),"Check Property ID",""))))))</x:f>
      </x:c>
    </x:row>
    <x:row r="168" ht="26" customHeight="1">
      <x:c r="A168" s="317"/>
      <x:c r="B168" s="358"/>
      <x:c r="C168" s="235"/>
      <x:c r="D168" s="235"/>
      <x:c r="E168" s="235"/>
      <x:c r="F168" s="235"/>
      <x:c r="G168" s="236"/>
      <x:c r="H168" s="235"/>
      <x:c r="I168" s="239"/>
      <x:c r="J168" s="315" t="str">
        <x:f>IF(A168="","",IF(COUNTIFS($A$6:$A$205,A168)&gt;1,"Duplicate ID",IF(NOT(ISNUMBER(B168)),"Add payment date",IF(C168="","Set expense category",IF(NOT(ISNUMBER(G168)),"Add amount paid",IF(AND(F168&lt;&gt;"",COUNTIFS('Properties'!$A$6:$A$205,F168)&lt;&gt;1),"Check Property ID",""))))))</x:f>
      </x:c>
    </x:row>
    <x:row r="169" ht="26" customHeight="1">
      <x:c r="A169" s="319"/>
      <x:c r="B169" s="359"/>
      <x:c r="C169" s="274"/>
      <x:c r="D169" s="274"/>
      <x:c r="E169" s="274"/>
      <x:c r="F169" s="274"/>
      <x:c r="G169" s="302"/>
      <x:c r="H169" s="274"/>
      <x:c r="I169" s="280"/>
      <x:c r="J169" s="315" t="str">
        <x:f>IF(A169="","",IF(COUNTIFS($A$6:$A$205,A169)&gt;1,"Duplicate ID",IF(NOT(ISNUMBER(B169)),"Add payment date",IF(C169="","Set expense category",IF(NOT(ISNUMBER(G169)),"Add amount paid",IF(AND(F169&lt;&gt;"",COUNTIFS('Properties'!$A$6:$A$205,F169)&lt;&gt;1),"Check Property ID",""))))))</x:f>
      </x:c>
    </x:row>
    <x:row r="170" ht="26" customHeight="1">
      <x:c r="A170" s="317"/>
      <x:c r="B170" s="358"/>
      <x:c r="C170" s="235"/>
      <x:c r="D170" s="235"/>
      <x:c r="E170" s="235"/>
      <x:c r="F170" s="235"/>
      <x:c r="G170" s="236"/>
      <x:c r="H170" s="235"/>
      <x:c r="I170" s="239"/>
      <x:c r="J170" s="315" t="str">
        <x:f>IF(A170="","",IF(COUNTIFS($A$6:$A$205,A170)&gt;1,"Duplicate ID",IF(NOT(ISNUMBER(B170)),"Add payment date",IF(C170="","Set expense category",IF(NOT(ISNUMBER(G170)),"Add amount paid",IF(AND(F170&lt;&gt;"",COUNTIFS('Properties'!$A$6:$A$205,F170)&lt;&gt;1),"Check Property ID",""))))))</x:f>
      </x:c>
    </x:row>
    <x:row r="171" ht="26" customHeight="1">
      <x:c r="A171" s="319"/>
      <x:c r="B171" s="359"/>
      <x:c r="C171" s="274"/>
      <x:c r="D171" s="274"/>
      <x:c r="E171" s="274"/>
      <x:c r="F171" s="274"/>
      <x:c r="G171" s="302"/>
      <x:c r="H171" s="274"/>
      <x:c r="I171" s="280"/>
      <x:c r="J171" s="315" t="str">
        <x:f>IF(A171="","",IF(COUNTIFS($A$6:$A$205,A171)&gt;1,"Duplicate ID",IF(NOT(ISNUMBER(B171)),"Add payment date",IF(C171="","Set expense category",IF(NOT(ISNUMBER(G171)),"Add amount paid",IF(AND(F171&lt;&gt;"",COUNTIFS('Properties'!$A$6:$A$205,F171)&lt;&gt;1),"Check Property ID",""))))))</x:f>
      </x:c>
    </x:row>
    <x:row r="172" ht="26" customHeight="1">
      <x:c r="A172" s="317"/>
      <x:c r="B172" s="358"/>
      <x:c r="C172" s="235"/>
      <x:c r="D172" s="235"/>
      <x:c r="E172" s="235"/>
      <x:c r="F172" s="235"/>
      <x:c r="G172" s="236"/>
      <x:c r="H172" s="235"/>
      <x:c r="I172" s="239"/>
      <x:c r="J172" s="315" t="str">
        <x:f>IF(A172="","",IF(COUNTIFS($A$6:$A$205,A172)&gt;1,"Duplicate ID",IF(NOT(ISNUMBER(B172)),"Add payment date",IF(C172="","Set expense category",IF(NOT(ISNUMBER(G172)),"Add amount paid",IF(AND(F172&lt;&gt;"",COUNTIFS('Properties'!$A$6:$A$205,F172)&lt;&gt;1),"Check Property ID",""))))))</x:f>
      </x:c>
    </x:row>
    <x:row r="173" ht="26" customHeight="1">
      <x:c r="A173" s="319"/>
      <x:c r="B173" s="359"/>
      <x:c r="C173" s="274"/>
      <x:c r="D173" s="274"/>
      <x:c r="E173" s="274"/>
      <x:c r="F173" s="274"/>
      <x:c r="G173" s="302"/>
      <x:c r="H173" s="274"/>
      <x:c r="I173" s="280"/>
      <x:c r="J173" s="315" t="str">
        <x:f>IF(A173="","",IF(COUNTIFS($A$6:$A$205,A173)&gt;1,"Duplicate ID",IF(NOT(ISNUMBER(B173)),"Add payment date",IF(C173="","Set expense category",IF(NOT(ISNUMBER(G173)),"Add amount paid",IF(AND(F173&lt;&gt;"",COUNTIFS('Properties'!$A$6:$A$205,F173)&lt;&gt;1),"Check Property ID",""))))))</x:f>
      </x:c>
    </x:row>
    <x:row r="174" ht="26" customHeight="1">
      <x:c r="A174" s="317"/>
      <x:c r="B174" s="358"/>
      <x:c r="C174" s="235"/>
      <x:c r="D174" s="235"/>
      <x:c r="E174" s="235"/>
      <x:c r="F174" s="235"/>
      <x:c r="G174" s="236"/>
      <x:c r="H174" s="235"/>
      <x:c r="I174" s="239"/>
      <x:c r="J174" s="315" t="str">
        <x:f>IF(A174="","",IF(COUNTIFS($A$6:$A$205,A174)&gt;1,"Duplicate ID",IF(NOT(ISNUMBER(B174)),"Add payment date",IF(C174="","Set expense category",IF(NOT(ISNUMBER(G174)),"Add amount paid",IF(AND(F174&lt;&gt;"",COUNTIFS('Properties'!$A$6:$A$205,F174)&lt;&gt;1),"Check Property ID",""))))))</x:f>
      </x:c>
    </x:row>
    <x:row r="175" ht="26" customHeight="1">
      <x:c r="A175" s="319"/>
      <x:c r="B175" s="359"/>
      <x:c r="C175" s="274"/>
      <x:c r="D175" s="274"/>
      <x:c r="E175" s="274"/>
      <x:c r="F175" s="274"/>
      <x:c r="G175" s="302"/>
      <x:c r="H175" s="274"/>
      <x:c r="I175" s="280"/>
      <x:c r="J175" s="315" t="str">
        <x:f>IF(A175="","",IF(COUNTIFS($A$6:$A$205,A175)&gt;1,"Duplicate ID",IF(NOT(ISNUMBER(B175)),"Add payment date",IF(C175="","Set expense category",IF(NOT(ISNUMBER(G175)),"Add amount paid",IF(AND(F175&lt;&gt;"",COUNTIFS('Properties'!$A$6:$A$205,F175)&lt;&gt;1),"Check Property ID",""))))))</x:f>
      </x:c>
    </x:row>
    <x:row r="176" ht="26" customHeight="1">
      <x:c r="A176" s="317"/>
      <x:c r="B176" s="358"/>
      <x:c r="C176" s="235"/>
      <x:c r="D176" s="235"/>
      <x:c r="E176" s="235"/>
      <x:c r="F176" s="235"/>
      <x:c r="G176" s="236"/>
      <x:c r="H176" s="235"/>
      <x:c r="I176" s="239"/>
      <x:c r="J176" s="315" t="str">
        <x:f>IF(A176="","",IF(COUNTIFS($A$6:$A$205,A176)&gt;1,"Duplicate ID",IF(NOT(ISNUMBER(B176)),"Add payment date",IF(C176="","Set expense category",IF(NOT(ISNUMBER(G176)),"Add amount paid",IF(AND(F176&lt;&gt;"",COUNTIFS('Properties'!$A$6:$A$205,F176)&lt;&gt;1),"Check Property ID",""))))))</x:f>
      </x:c>
    </x:row>
    <x:row r="177" ht="26" customHeight="1">
      <x:c r="A177" s="319"/>
      <x:c r="B177" s="359"/>
      <x:c r="C177" s="274"/>
      <x:c r="D177" s="274"/>
      <x:c r="E177" s="274"/>
      <x:c r="F177" s="274"/>
      <x:c r="G177" s="302"/>
      <x:c r="H177" s="274"/>
      <x:c r="I177" s="280"/>
      <x:c r="J177" s="315" t="str">
        <x:f>IF(A177="","",IF(COUNTIFS($A$6:$A$205,A177)&gt;1,"Duplicate ID",IF(NOT(ISNUMBER(B177)),"Add payment date",IF(C177="","Set expense category",IF(NOT(ISNUMBER(G177)),"Add amount paid",IF(AND(F177&lt;&gt;"",COUNTIFS('Properties'!$A$6:$A$205,F177)&lt;&gt;1),"Check Property ID",""))))))</x:f>
      </x:c>
    </x:row>
    <x:row r="178" ht="26" customHeight="1">
      <x:c r="A178" s="317"/>
      <x:c r="B178" s="358"/>
      <x:c r="C178" s="235"/>
      <x:c r="D178" s="235"/>
      <x:c r="E178" s="235"/>
      <x:c r="F178" s="235"/>
      <x:c r="G178" s="236"/>
      <x:c r="H178" s="235"/>
      <x:c r="I178" s="239"/>
      <x:c r="J178" s="315" t="str">
        <x:f>IF(A178="","",IF(COUNTIFS($A$6:$A$205,A178)&gt;1,"Duplicate ID",IF(NOT(ISNUMBER(B178)),"Add payment date",IF(C178="","Set expense category",IF(NOT(ISNUMBER(G178)),"Add amount paid",IF(AND(F178&lt;&gt;"",COUNTIFS('Properties'!$A$6:$A$205,F178)&lt;&gt;1),"Check Property ID",""))))))</x:f>
      </x:c>
    </x:row>
    <x:row r="179" ht="26" customHeight="1">
      <x:c r="A179" s="319"/>
      <x:c r="B179" s="359"/>
      <x:c r="C179" s="274"/>
      <x:c r="D179" s="274"/>
      <x:c r="E179" s="274"/>
      <x:c r="F179" s="274"/>
      <x:c r="G179" s="302"/>
      <x:c r="H179" s="274"/>
      <x:c r="I179" s="280"/>
      <x:c r="J179" s="315" t="str">
        <x:f>IF(A179="","",IF(COUNTIFS($A$6:$A$205,A179)&gt;1,"Duplicate ID",IF(NOT(ISNUMBER(B179)),"Add payment date",IF(C179="","Set expense category",IF(NOT(ISNUMBER(G179)),"Add amount paid",IF(AND(F179&lt;&gt;"",COUNTIFS('Properties'!$A$6:$A$205,F179)&lt;&gt;1),"Check Property ID",""))))))</x:f>
      </x:c>
    </x:row>
    <x:row r="180" ht="26" customHeight="1">
      <x:c r="A180" s="317"/>
      <x:c r="B180" s="358"/>
      <x:c r="C180" s="235"/>
      <x:c r="D180" s="235"/>
      <x:c r="E180" s="235"/>
      <x:c r="F180" s="235"/>
      <x:c r="G180" s="236"/>
      <x:c r="H180" s="235"/>
      <x:c r="I180" s="239"/>
      <x:c r="J180" s="315" t="str">
        <x:f>IF(A180="","",IF(COUNTIFS($A$6:$A$205,A180)&gt;1,"Duplicate ID",IF(NOT(ISNUMBER(B180)),"Add payment date",IF(C180="","Set expense category",IF(NOT(ISNUMBER(G180)),"Add amount paid",IF(AND(F180&lt;&gt;"",COUNTIFS('Properties'!$A$6:$A$205,F180)&lt;&gt;1),"Check Property ID",""))))))</x:f>
      </x:c>
    </x:row>
    <x:row r="181" ht="26" customHeight="1">
      <x:c r="A181" s="319"/>
      <x:c r="B181" s="359"/>
      <x:c r="C181" s="274"/>
      <x:c r="D181" s="274"/>
      <x:c r="E181" s="274"/>
      <x:c r="F181" s="274"/>
      <x:c r="G181" s="302"/>
      <x:c r="H181" s="274"/>
      <x:c r="I181" s="280"/>
      <x:c r="J181" s="315" t="str">
        <x:f>IF(A181="","",IF(COUNTIFS($A$6:$A$205,A181)&gt;1,"Duplicate ID",IF(NOT(ISNUMBER(B181)),"Add payment date",IF(C181="","Set expense category",IF(NOT(ISNUMBER(G181)),"Add amount paid",IF(AND(F181&lt;&gt;"",COUNTIFS('Properties'!$A$6:$A$205,F181)&lt;&gt;1),"Check Property ID",""))))))</x:f>
      </x:c>
    </x:row>
    <x:row r="182" ht="26" customHeight="1">
      <x:c r="A182" s="317"/>
      <x:c r="B182" s="358"/>
      <x:c r="C182" s="235"/>
      <x:c r="D182" s="235"/>
      <x:c r="E182" s="235"/>
      <x:c r="F182" s="235"/>
      <x:c r="G182" s="236"/>
      <x:c r="H182" s="235"/>
      <x:c r="I182" s="239"/>
      <x:c r="J182" s="315" t="str">
        <x:f>IF(A182="","",IF(COUNTIFS($A$6:$A$205,A182)&gt;1,"Duplicate ID",IF(NOT(ISNUMBER(B182)),"Add payment date",IF(C182="","Set expense category",IF(NOT(ISNUMBER(G182)),"Add amount paid",IF(AND(F182&lt;&gt;"",COUNTIFS('Properties'!$A$6:$A$205,F182)&lt;&gt;1),"Check Property ID",""))))))</x:f>
      </x:c>
    </x:row>
    <x:row r="183" ht="26" customHeight="1">
      <x:c r="A183" s="319"/>
      <x:c r="B183" s="359"/>
      <x:c r="C183" s="274"/>
      <x:c r="D183" s="274"/>
      <x:c r="E183" s="274"/>
      <x:c r="F183" s="274"/>
      <x:c r="G183" s="302"/>
      <x:c r="H183" s="274"/>
      <x:c r="I183" s="280"/>
      <x:c r="J183" s="315" t="str">
        <x:f>IF(A183="","",IF(COUNTIFS($A$6:$A$205,A183)&gt;1,"Duplicate ID",IF(NOT(ISNUMBER(B183)),"Add payment date",IF(C183="","Set expense category",IF(NOT(ISNUMBER(G183)),"Add amount paid",IF(AND(F183&lt;&gt;"",COUNTIFS('Properties'!$A$6:$A$205,F183)&lt;&gt;1),"Check Property ID",""))))))</x:f>
      </x:c>
    </x:row>
    <x:row r="184" ht="26" customHeight="1">
      <x:c r="A184" s="317"/>
      <x:c r="B184" s="358"/>
      <x:c r="C184" s="235"/>
      <x:c r="D184" s="235"/>
      <x:c r="E184" s="235"/>
      <x:c r="F184" s="235"/>
      <x:c r="G184" s="236"/>
      <x:c r="H184" s="235"/>
      <x:c r="I184" s="239"/>
      <x:c r="J184" s="315" t="str">
        <x:f>IF(A184="","",IF(COUNTIFS($A$6:$A$205,A184)&gt;1,"Duplicate ID",IF(NOT(ISNUMBER(B184)),"Add payment date",IF(C184="","Set expense category",IF(NOT(ISNUMBER(G184)),"Add amount paid",IF(AND(F184&lt;&gt;"",COUNTIFS('Properties'!$A$6:$A$205,F184)&lt;&gt;1),"Check Property ID",""))))))</x:f>
      </x:c>
    </x:row>
    <x:row r="185" ht="26" customHeight="1">
      <x:c r="A185" s="319"/>
      <x:c r="B185" s="359"/>
      <x:c r="C185" s="274"/>
      <x:c r="D185" s="274"/>
      <x:c r="E185" s="274"/>
      <x:c r="F185" s="274"/>
      <x:c r="G185" s="302"/>
      <x:c r="H185" s="274"/>
      <x:c r="I185" s="280"/>
      <x:c r="J185" s="315" t="str">
        <x:f>IF(A185="","",IF(COUNTIFS($A$6:$A$205,A185)&gt;1,"Duplicate ID",IF(NOT(ISNUMBER(B185)),"Add payment date",IF(C185="","Set expense category",IF(NOT(ISNUMBER(G185)),"Add amount paid",IF(AND(F185&lt;&gt;"",COUNTIFS('Properties'!$A$6:$A$205,F185)&lt;&gt;1),"Check Property ID",""))))))</x:f>
      </x:c>
    </x:row>
    <x:row r="186" ht="26" customHeight="1">
      <x:c r="A186" s="317"/>
      <x:c r="B186" s="358"/>
      <x:c r="C186" s="235"/>
      <x:c r="D186" s="235"/>
      <x:c r="E186" s="235"/>
      <x:c r="F186" s="235"/>
      <x:c r="G186" s="236"/>
      <x:c r="H186" s="235"/>
      <x:c r="I186" s="239"/>
      <x:c r="J186" s="315" t="str">
        <x:f>IF(A186="","",IF(COUNTIFS($A$6:$A$205,A186)&gt;1,"Duplicate ID",IF(NOT(ISNUMBER(B186)),"Add payment date",IF(C186="","Set expense category",IF(NOT(ISNUMBER(G186)),"Add amount paid",IF(AND(F186&lt;&gt;"",COUNTIFS('Properties'!$A$6:$A$205,F186)&lt;&gt;1),"Check Property ID",""))))))</x:f>
      </x:c>
    </x:row>
    <x:row r="187" ht="26" customHeight="1">
      <x:c r="A187" s="319"/>
      <x:c r="B187" s="359"/>
      <x:c r="C187" s="274"/>
      <x:c r="D187" s="274"/>
      <x:c r="E187" s="274"/>
      <x:c r="F187" s="274"/>
      <x:c r="G187" s="302"/>
      <x:c r="H187" s="274"/>
      <x:c r="I187" s="280"/>
      <x:c r="J187" s="315" t="str">
        <x:f>IF(A187="","",IF(COUNTIFS($A$6:$A$205,A187)&gt;1,"Duplicate ID",IF(NOT(ISNUMBER(B187)),"Add payment date",IF(C187="","Set expense category",IF(NOT(ISNUMBER(G187)),"Add amount paid",IF(AND(F187&lt;&gt;"",COUNTIFS('Properties'!$A$6:$A$205,F187)&lt;&gt;1),"Check Property ID",""))))))</x:f>
      </x:c>
    </x:row>
    <x:row r="188" ht="26" customHeight="1">
      <x:c r="A188" s="317"/>
      <x:c r="B188" s="358"/>
      <x:c r="C188" s="235"/>
      <x:c r="D188" s="235"/>
      <x:c r="E188" s="235"/>
      <x:c r="F188" s="235"/>
      <x:c r="G188" s="236"/>
      <x:c r="H188" s="235"/>
      <x:c r="I188" s="239"/>
      <x:c r="J188" s="315" t="str">
        <x:f>IF(A188="","",IF(COUNTIFS($A$6:$A$205,A188)&gt;1,"Duplicate ID",IF(NOT(ISNUMBER(B188)),"Add payment date",IF(C188="","Set expense category",IF(NOT(ISNUMBER(G188)),"Add amount paid",IF(AND(F188&lt;&gt;"",COUNTIFS('Properties'!$A$6:$A$205,F188)&lt;&gt;1),"Check Property ID",""))))))</x:f>
      </x:c>
    </x:row>
    <x:row r="189" ht="26" customHeight="1">
      <x:c r="A189" s="319"/>
      <x:c r="B189" s="359"/>
      <x:c r="C189" s="274"/>
      <x:c r="D189" s="274"/>
      <x:c r="E189" s="274"/>
      <x:c r="F189" s="274"/>
      <x:c r="G189" s="302"/>
      <x:c r="H189" s="274"/>
      <x:c r="I189" s="280"/>
      <x:c r="J189" s="315" t="str">
        <x:f>IF(A189="","",IF(COUNTIFS($A$6:$A$205,A189)&gt;1,"Duplicate ID",IF(NOT(ISNUMBER(B189)),"Add payment date",IF(C189="","Set expense category",IF(NOT(ISNUMBER(G189)),"Add amount paid",IF(AND(F189&lt;&gt;"",COUNTIFS('Properties'!$A$6:$A$205,F189)&lt;&gt;1),"Check Property ID",""))))))</x:f>
      </x:c>
    </x:row>
    <x:row r="190" ht="26" customHeight="1">
      <x:c r="A190" s="317"/>
      <x:c r="B190" s="358"/>
      <x:c r="C190" s="235"/>
      <x:c r="D190" s="235"/>
      <x:c r="E190" s="235"/>
      <x:c r="F190" s="235"/>
      <x:c r="G190" s="236"/>
      <x:c r="H190" s="235"/>
      <x:c r="I190" s="239"/>
      <x:c r="J190" s="315" t="str">
        <x:f>IF(A190="","",IF(COUNTIFS($A$6:$A$205,A190)&gt;1,"Duplicate ID",IF(NOT(ISNUMBER(B190)),"Add payment date",IF(C190="","Set expense category",IF(NOT(ISNUMBER(G190)),"Add amount paid",IF(AND(F190&lt;&gt;"",COUNTIFS('Properties'!$A$6:$A$205,F190)&lt;&gt;1),"Check Property ID",""))))))</x:f>
      </x:c>
    </x:row>
    <x:row r="191" ht="26" customHeight="1">
      <x:c r="A191" s="319"/>
      <x:c r="B191" s="359"/>
      <x:c r="C191" s="274"/>
      <x:c r="D191" s="274"/>
      <x:c r="E191" s="274"/>
      <x:c r="F191" s="274"/>
      <x:c r="G191" s="302"/>
      <x:c r="H191" s="274"/>
      <x:c r="I191" s="280"/>
      <x:c r="J191" s="315" t="str">
        <x:f>IF(A191="","",IF(COUNTIFS($A$6:$A$205,A191)&gt;1,"Duplicate ID",IF(NOT(ISNUMBER(B191)),"Add payment date",IF(C191="","Set expense category",IF(NOT(ISNUMBER(G191)),"Add amount paid",IF(AND(F191&lt;&gt;"",COUNTIFS('Properties'!$A$6:$A$205,F191)&lt;&gt;1),"Check Property ID",""))))))</x:f>
      </x:c>
    </x:row>
    <x:row r="192" ht="26" customHeight="1">
      <x:c r="A192" s="317"/>
      <x:c r="B192" s="358"/>
      <x:c r="C192" s="235"/>
      <x:c r="D192" s="235"/>
      <x:c r="E192" s="235"/>
      <x:c r="F192" s="235"/>
      <x:c r="G192" s="236"/>
      <x:c r="H192" s="235"/>
      <x:c r="I192" s="239"/>
      <x:c r="J192" s="315" t="str">
        <x:f>IF(A192="","",IF(COUNTIFS($A$6:$A$205,A192)&gt;1,"Duplicate ID",IF(NOT(ISNUMBER(B192)),"Add payment date",IF(C192="","Set expense category",IF(NOT(ISNUMBER(G192)),"Add amount paid",IF(AND(F192&lt;&gt;"",COUNTIFS('Properties'!$A$6:$A$205,F192)&lt;&gt;1),"Check Property ID",""))))))</x:f>
      </x:c>
    </x:row>
    <x:row r="193" ht="26" customHeight="1">
      <x:c r="A193" s="319"/>
      <x:c r="B193" s="359"/>
      <x:c r="C193" s="274"/>
      <x:c r="D193" s="274"/>
      <x:c r="E193" s="274"/>
      <x:c r="F193" s="274"/>
      <x:c r="G193" s="302"/>
      <x:c r="H193" s="274"/>
      <x:c r="I193" s="280"/>
      <x:c r="J193" s="315" t="str">
        <x:f>IF(A193="","",IF(COUNTIFS($A$6:$A$205,A193)&gt;1,"Duplicate ID",IF(NOT(ISNUMBER(B193)),"Add payment date",IF(C193="","Set expense category",IF(NOT(ISNUMBER(G193)),"Add amount paid",IF(AND(F193&lt;&gt;"",COUNTIFS('Properties'!$A$6:$A$205,F193)&lt;&gt;1),"Check Property ID",""))))))</x:f>
      </x:c>
    </x:row>
    <x:row r="194" ht="26" customHeight="1">
      <x:c r="A194" s="317"/>
      <x:c r="B194" s="358"/>
      <x:c r="C194" s="235"/>
      <x:c r="D194" s="235"/>
      <x:c r="E194" s="235"/>
      <x:c r="F194" s="235"/>
      <x:c r="G194" s="236"/>
      <x:c r="H194" s="235"/>
      <x:c r="I194" s="239"/>
      <x:c r="J194" s="315" t="str">
        <x:f>IF(A194="","",IF(COUNTIFS($A$6:$A$205,A194)&gt;1,"Duplicate ID",IF(NOT(ISNUMBER(B194)),"Add payment date",IF(C194="","Set expense category",IF(NOT(ISNUMBER(G194)),"Add amount paid",IF(AND(F194&lt;&gt;"",COUNTIFS('Properties'!$A$6:$A$205,F194)&lt;&gt;1),"Check Property ID",""))))))</x:f>
      </x:c>
    </x:row>
    <x:row r="195" ht="26" customHeight="1">
      <x:c r="A195" s="319"/>
      <x:c r="B195" s="359"/>
      <x:c r="C195" s="274"/>
      <x:c r="D195" s="274"/>
      <x:c r="E195" s="274"/>
      <x:c r="F195" s="274"/>
      <x:c r="G195" s="302"/>
      <x:c r="H195" s="274"/>
      <x:c r="I195" s="280"/>
      <x:c r="J195" s="315" t="str">
        <x:f>IF(A195="","",IF(COUNTIFS($A$6:$A$205,A195)&gt;1,"Duplicate ID",IF(NOT(ISNUMBER(B195)),"Add payment date",IF(C195="","Set expense category",IF(NOT(ISNUMBER(G195)),"Add amount paid",IF(AND(F195&lt;&gt;"",COUNTIFS('Properties'!$A$6:$A$205,F195)&lt;&gt;1),"Check Property ID",""))))))</x:f>
      </x:c>
    </x:row>
    <x:row r="196" ht="26" customHeight="1">
      <x:c r="A196" s="317"/>
      <x:c r="B196" s="358"/>
      <x:c r="C196" s="235"/>
      <x:c r="D196" s="235"/>
      <x:c r="E196" s="235"/>
      <x:c r="F196" s="235"/>
      <x:c r="G196" s="236"/>
      <x:c r="H196" s="235"/>
      <x:c r="I196" s="239"/>
      <x:c r="J196" s="315" t="str">
        <x:f>IF(A196="","",IF(COUNTIFS($A$6:$A$205,A196)&gt;1,"Duplicate ID",IF(NOT(ISNUMBER(B196)),"Add payment date",IF(C196="","Set expense category",IF(NOT(ISNUMBER(G196)),"Add amount paid",IF(AND(F196&lt;&gt;"",COUNTIFS('Properties'!$A$6:$A$205,F196)&lt;&gt;1),"Check Property ID",""))))))</x:f>
      </x:c>
    </x:row>
    <x:row r="197" ht="26" customHeight="1">
      <x:c r="A197" s="319"/>
      <x:c r="B197" s="359"/>
      <x:c r="C197" s="274"/>
      <x:c r="D197" s="274"/>
      <x:c r="E197" s="274"/>
      <x:c r="F197" s="274"/>
      <x:c r="G197" s="302"/>
      <x:c r="H197" s="274"/>
      <x:c r="I197" s="280"/>
      <x:c r="J197" s="315" t="str">
        <x:f>IF(A197="","",IF(COUNTIFS($A$6:$A$205,A197)&gt;1,"Duplicate ID",IF(NOT(ISNUMBER(B197)),"Add payment date",IF(C197="","Set expense category",IF(NOT(ISNUMBER(G197)),"Add amount paid",IF(AND(F197&lt;&gt;"",COUNTIFS('Properties'!$A$6:$A$205,F197)&lt;&gt;1),"Check Property ID",""))))))</x:f>
      </x:c>
    </x:row>
    <x:row r="198" ht="26" customHeight="1">
      <x:c r="A198" s="317"/>
      <x:c r="B198" s="358"/>
      <x:c r="C198" s="235"/>
      <x:c r="D198" s="235"/>
      <x:c r="E198" s="235"/>
      <x:c r="F198" s="235"/>
      <x:c r="G198" s="236"/>
      <x:c r="H198" s="235"/>
      <x:c r="I198" s="239"/>
      <x:c r="J198" s="315" t="str">
        <x:f>IF(A198="","",IF(COUNTIFS($A$6:$A$205,A198)&gt;1,"Duplicate ID",IF(NOT(ISNUMBER(B198)),"Add payment date",IF(C198="","Set expense category",IF(NOT(ISNUMBER(G198)),"Add amount paid",IF(AND(F198&lt;&gt;"",COUNTIFS('Properties'!$A$6:$A$205,F198)&lt;&gt;1),"Check Property ID",""))))))</x:f>
      </x:c>
    </x:row>
    <x:row r="199" ht="26" customHeight="1">
      <x:c r="A199" s="319"/>
      <x:c r="B199" s="359"/>
      <x:c r="C199" s="274"/>
      <x:c r="D199" s="274"/>
      <x:c r="E199" s="274"/>
      <x:c r="F199" s="274"/>
      <x:c r="G199" s="302"/>
      <x:c r="H199" s="274"/>
      <x:c r="I199" s="280"/>
      <x:c r="J199" s="315" t="str">
        <x:f>IF(A199="","",IF(COUNTIFS($A$6:$A$205,A199)&gt;1,"Duplicate ID",IF(NOT(ISNUMBER(B199)),"Add payment date",IF(C199="","Set expense category",IF(NOT(ISNUMBER(G199)),"Add amount paid",IF(AND(F199&lt;&gt;"",COUNTIFS('Properties'!$A$6:$A$205,F199)&lt;&gt;1),"Check Property ID",""))))))</x:f>
      </x:c>
    </x:row>
    <x:row r="200" ht="26" customHeight="1">
      <x:c r="A200" s="317"/>
      <x:c r="B200" s="358"/>
      <x:c r="C200" s="235"/>
      <x:c r="D200" s="235"/>
      <x:c r="E200" s="235"/>
      <x:c r="F200" s="235"/>
      <x:c r="G200" s="236"/>
      <x:c r="H200" s="235"/>
      <x:c r="I200" s="239"/>
      <x:c r="J200" s="315" t="str">
        <x:f>IF(A200="","",IF(COUNTIFS($A$6:$A$205,A200)&gt;1,"Duplicate ID",IF(NOT(ISNUMBER(B200)),"Add payment date",IF(C200="","Set expense category",IF(NOT(ISNUMBER(G200)),"Add amount paid",IF(AND(F200&lt;&gt;"",COUNTIFS('Properties'!$A$6:$A$205,F200)&lt;&gt;1),"Check Property ID",""))))))</x:f>
      </x:c>
    </x:row>
    <x:row r="201" ht="26" customHeight="1">
      <x:c r="A201" s="319"/>
      <x:c r="B201" s="359"/>
      <x:c r="C201" s="274"/>
      <x:c r="D201" s="274"/>
      <x:c r="E201" s="274"/>
      <x:c r="F201" s="274"/>
      <x:c r="G201" s="302"/>
      <x:c r="H201" s="274"/>
      <x:c r="I201" s="280"/>
      <x:c r="J201" s="315" t="str">
        <x:f>IF(A201="","",IF(COUNTIFS($A$6:$A$205,A201)&gt;1,"Duplicate ID",IF(NOT(ISNUMBER(B201)),"Add payment date",IF(C201="","Set expense category",IF(NOT(ISNUMBER(G201)),"Add amount paid",IF(AND(F201&lt;&gt;"",COUNTIFS('Properties'!$A$6:$A$205,F201)&lt;&gt;1),"Check Property ID",""))))))</x:f>
      </x:c>
    </x:row>
    <x:row r="202" ht="26" customHeight="1">
      <x:c r="A202" s="317"/>
      <x:c r="B202" s="358"/>
      <x:c r="C202" s="235"/>
      <x:c r="D202" s="235"/>
      <x:c r="E202" s="235"/>
      <x:c r="F202" s="235"/>
      <x:c r="G202" s="236"/>
      <x:c r="H202" s="235"/>
      <x:c r="I202" s="239"/>
      <x:c r="J202" s="315" t="str">
        <x:f>IF(A202="","",IF(COUNTIFS($A$6:$A$205,A202)&gt;1,"Duplicate ID",IF(NOT(ISNUMBER(B202)),"Add payment date",IF(C202="","Set expense category",IF(NOT(ISNUMBER(G202)),"Add amount paid",IF(AND(F202&lt;&gt;"",COUNTIFS('Properties'!$A$6:$A$205,F202)&lt;&gt;1),"Check Property ID",""))))))</x:f>
      </x:c>
    </x:row>
    <x:row r="203" ht="26" customHeight="1">
      <x:c r="A203" s="319"/>
      <x:c r="B203" s="359"/>
      <x:c r="C203" s="274"/>
      <x:c r="D203" s="274"/>
      <x:c r="E203" s="274"/>
      <x:c r="F203" s="274"/>
      <x:c r="G203" s="302"/>
      <x:c r="H203" s="274"/>
      <x:c r="I203" s="280"/>
      <x:c r="J203" s="315" t="str">
        <x:f>IF(A203="","",IF(COUNTIFS($A$6:$A$205,A203)&gt;1,"Duplicate ID",IF(NOT(ISNUMBER(B203)),"Add payment date",IF(C203="","Set expense category",IF(NOT(ISNUMBER(G203)),"Add amount paid",IF(AND(F203&lt;&gt;"",COUNTIFS('Properties'!$A$6:$A$205,F203)&lt;&gt;1),"Check Property ID",""))))))</x:f>
      </x:c>
    </x:row>
    <x:row r="204" ht="26" customHeight="1">
      <x:c r="A204" s="317"/>
      <x:c r="B204" s="358"/>
      <x:c r="C204" s="235"/>
      <x:c r="D204" s="235"/>
      <x:c r="E204" s="235"/>
      <x:c r="F204" s="235"/>
      <x:c r="G204" s="236"/>
      <x:c r="H204" s="235"/>
      <x:c r="I204" s="239"/>
      <x:c r="J204" s="315" t="str">
        <x:f>IF(A204="","",IF(COUNTIFS($A$6:$A$205,A204)&gt;1,"Duplicate ID",IF(NOT(ISNUMBER(B204)),"Add payment date",IF(C204="","Set expense category",IF(NOT(ISNUMBER(G204)),"Add amount paid",IF(AND(F204&lt;&gt;"",COUNTIFS('Properties'!$A$6:$A$205,F204)&lt;&gt;1),"Check Property ID",""))))))</x:f>
      </x:c>
    </x:row>
    <x:row r="205" ht="26" customHeight="1">
      <x:c r="A205" s="321"/>
      <x:c r="B205" s="360"/>
      <x:c r="C205" s="307"/>
      <x:c r="D205" s="307"/>
      <x:c r="E205" s="307"/>
      <x:c r="F205" s="307"/>
      <x:c r="G205" s="308"/>
      <x:c r="H205" s="307"/>
      <x:c r="I205" s="311"/>
      <x:c r="J205" s="316" t="str">
        <x:f>IF(A205="","",IF(COUNTIFS($A$6:$A$205,A205)&gt;1,"Duplicate ID",IF(NOT(ISNUMBER(B205)),"Add payment date",IF(C205="","Set expense category",IF(NOT(ISNUMBER(G205)),"Add amount paid",IF(AND(F205&lt;&gt;"",COUNTIFS('Properties'!$A$6:$A$205,F205)&lt;&gt;1),"Check Property ID",""))))))</x:f>
      </x:c>
    </x:row>
  </x:sheetData>
  <x:mergeCells>
    <x:mergeCell ref="A1:D1"/>
    <x:mergeCell ref="A2:E2"/>
    <x:mergeCell ref="F2:H2"/>
    <x:mergeCell ref="A3:H3"/>
    <x:mergeCell ref="E1:G1"/>
  </x:mergeCells>
  <x:conditionalFormatting sqref="A6:A205">
    <x:cfRule type="expression" dxfId="7" priority="1">
      <x:formula>AND(A6&lt;&gt;"",COUNTIFS($A$6:$A$205,A6)&gt;1)</x:formula>
    </x:cfRule>
    <x:cfRule type="expression" dxfId="39" priority="3">
      <x:formula>AND(A6&lt;&gt;"",COUNTIFS($A$6:$A$205,A6)&gt;1)</x:formula>
    </x:cfRule>
  </x:conditionalFormatting>
  <x:conditionalFormatting sqref="J6:J205">
    <x:cfRule type="expression" dxfId="38" priority="2">
      <x:formula>J6&lt;&gt;""</x:formula>
    </x:cfRule>
  </x:conditionalFormatting>
  <x:dataValidations count="2">
    <x:dataValidation type="list" sqref="F6:F205">
      <x:formula1>'Properties'!$A$6:$A$205</x:formula1>
    </x:dataValidation>
    <x:dataValidation type="list" sqref="C6:C205">
      <x:formula1>"Advertising,Portal subscription,Transport,Photography,Phone,Software,Other"</x:formula1>
    </x:dataValidation>
  </x:dataValidations>
  <x:pageMargins left="0.7" right="0.7" top="0.75" bottom="0.75" header="0.3" footer="0.3"/>
  <x:tableParts count="1">
    <x:tablePart xmlns:r="http://schemas.openxmlformats.org/officeDocument/2006/relationships" r:id="R89196310afcc49ab"/>
  </x:tableParts>
</x:worksheet>
</file>

<file path=xl/worksheets/sheet10.xml><?xml version="1.0" encoding="utf-8"?>
<x:worksheet xmlns:x="http://schemas.openxmlformats.org/spreadsheetml/2006/main">
  <x:sheetPr>
    <x:tabColor rgb="FF9B998F"/>
  </x:sheetPr>
  <x:sheetViews>
    <x:sheetView showGridLines="0" workbookViewId="0"/>
  </x:sheetViews>
  <x:sheetFormatPr defaultRowHeight="15"/>
  <x:cols>
    <x:col min="1" max="1" width="3"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3" hidden="0" customWidth="1"/>
  </x:cols>
  <x:sheetData>
    <x:row r="1" ht="25" customHeight="1">
      <x:c r="A1" s="172"/>
      <x:c r="B1" s="172"/>
      <x:c r="C1" s="172"/>
      <x:c r="D1" s="172"/>
      <x:c r="E1" s="172"/>
      <x:c r="F1" s="172"/>
      <x:c r="G1" s="172"/>
      <x:c r="H1" s="172"/>
      <x:c r="I1" s="172"/>
      <x:c r="J1" s="172"/>
      <x:c r="K1" s="172"/>
      <x:c r="L1" s="172"/>
      <x:c r="M1" s="172"/>
      <x:c r="N1" s="172"/>
    </x:row>
    <x:row r="2" ht="25" customHeight="1">
      <x:c r="A2" s="172"/>
      <x:c r="B2" s="181" t="str">
        <x:v>Overview: Dashboard tab</x:v>
      </x:c>
      <x:c r="C2" s="181"/>
      <x:c r="D2" s="181"/>
      <x:c r="E2" s="172"/>
      <x:c r="F2" s="172"/>
      <x:c r="G2" s="172"/>
      <x:c r="H2" s="172"/>
      <x:c r="I2" s="172"/>
      <x:c r="J2" s="172"/>
      <x:c r="K2" s="172"/>
      <x:c r="L2" s="172"/>
      <x:c r="M2" s="172"/>
      <x:c r="N2" s="172"/>
    </x:row>
    <x:row r="3" ht="25" customHeight="1">
      <x:c r="A3" s="172"/>
      <x:c r="B3" s="172"/>
      <x:c r="C3" s="172"/>
      <x:c r="D3" s="172"/>
      <x:c r="E3" s="172"/>
      <x:c r="F3" s="172"/>
      <x:c r="G3" s="172"/>
      <x:c r="H3" s="172"/>
      <x:c r="I3" s="172"/>
      <x:c r="J3" s="172"/>
      <x:c r="K3" s="172"/>
      <x:c r="L3" s="172"/>
      <x:c r="M3" s="172"/>
      <x:c r="N3" s="172"/>
    </x:row>
    <x:row r="4" ht="38" customHeight="1">
      <x:c r="A4" s="172"/>
      <x:c r="B4" s="204" t="str">
        <x:v>Your daily workflow</x:v>
      </x:c>
      <x:c r="C4" s="204"/>
      <x:c r="D4" s="204"/>
      <x:c r="E4" s="204"/>
      <x:c r="F4" s="204"/>
      <x:c r="G4" s="204"/>
      <x:c r="H4" s="204"/>
      <x:c r="I4" s="204"/>
      <x:c r="J4" s="204"/>
      <x:c r="K4" s="204"/>
      <x:c r="L4" s="204"/>
      <x:c r="M4" s="204"/>
      <x:c r="N4" s="172"/>
    </x:row>
    <x:row r="5" ht="25" customHeight="1">
      <x:c r="A5" s="172"/>
      <x:c r="B5" s="175" t="str">
        <x:v>Select the worksheet tabs at the bottom of Excel. Enter your first records in row 6.</x:v>
      </x:c>
      <x:c r="C5" s="175"/>
      <x:c r="D5" s="175"/>
      <x:c r="E5" s="175"/>
      <x:c r="F5" s="175"/>
      <x:c r="G5" s="175"/>
      <x:c r="H5" s="175"/>
      <x:c r="I5" s="175"/>
      <x:c r="J5" s="175"/>
      <x:c r="K5" s="175"/>
      <x:c r="L5" s="175"/>
      <x:c r="M5" s="175"/>
      <x:c r="N5" s="172"/>
    </x:row>
    <x:row r="6" ht="25" customHeight="1">
      <x:c r="A6" s="172"/>
      <x:c r="B6" s="172"/>
      <x:c r="C6" s="172"/>
      <x:c r="D6" s="172"/>
      <x:c r="E6" s="172"/>
      <x:c r="F6" s="172"/>
      <x:c r="G6" s="172"/>
      <x:c r="H6" s="172"/>
      <x:c r="I6" s="172"/>
      <x:c r="J6" s="172"/>
      <x:c r="K6" s="172"/>
      <x:c r="L6" s="172"/>
      <x:c r="M6" s="172"/>
      <x:c r="N6" s="172"/>
    </x:row>
    <x:row r="7" ht="25" customHeight="1">
      <x:c r="A7" s="172"/>
      <x:c r="B7" s="172"/>
      <x:c r="C7" s="172"/>
      <x:c r="D7" s="172"/>
      <x:c r="E7" s="172"/>
      <x:c r="F7" s="172"/>
      <x:c r="G7" s="172"/>
      <x:c r="H7" s="172"/>
      <x:c r="I7" s="172"/>
      <x:c r="J7" s="172"/>
      <x:c r="K7" s="172"/>
      <x:c r="L7" s="172"/>
      <x:c r="M7" s="172"/>
      <x:c r="N7" s="172"/>
    </x:row>
    <x:row r="8" ht="25" customHeight="1">
      <x:c r="A8" s="172"/>
      <x:c r="B8" s="206" t="str">
        <x:v>01</x:v>
      </x:c>
      <x:c r="C8" s="207" t="str">
        <x:v>Build your network</x:v>
      </x:c>
      <x:c r="D8" s="207"/>
      <x:c r="E8" s="207"/>
      <x:c r="F8" s="207"/>
      <x:c r="G8" s="172"/>
      <x:c r="H8" s="172"/>
      <x:c r="I8" s="172"/>
      <x:c r="J8" s="172"/>
      <x:c r="K8" s="181" t="str">
        <x:v>Contacts tab</x:v>
      </x:c>
      <x:c r="L8" s="181"/>
      <x:c r="M8" s="181"/>
      <x:c r="N8" s="172"/>
    </x:row>
    <x:row r="9" ht="34" customHeight="1">
      <x:c r="A9" s="172"/>
      <x:c r="B9" s="206"/>
      <x:c r="C9" s="208" t="str">
        <x:v>Add owners, landlords, developers and partner brokers. Assign each a unique CT-001 style ID.</x:v>
      </x:c>
      <x:c r="D9" s="208"/>
      <x:c r="E9" s="208"/>
      <x:c r="F9" s="208"/>
      <x:c r="G9" s="208"/>
      <x:c r="H9" s="208"/>
      <x:c r="I9" s="208"/>
      <x:c r="J9" s="208"/>
      <x:c r="K9" s="208"/>
      <x:c r="L9" s="208"/>
      <x:c r="M9" s="208"/>
      <x:c r="N9" s="172"/>
    </x:row>
    <x:row r="10" ht="25" customHeight="1">
      <x:c r="A10" s="172"/>
      <x:c r="B10" s="172"/>
      <x:c r="C10" s="172"/>
      <x:c r="D10" s="172"/>
      <x:c r="E10" s="172"/>
      <x:c r="F10" s="172"/>
      <x:c r="G10" s="172"/>
      <x:c r="H10" s="172"/>
      <x:c r="I10" s="172"/>
      <x:c r="J10" s="172"/>
      <x:c r="K10" s="172"/>
      <x:c r="L10" s="172"/>
      <x:c r="M10" s="172"/>
      <x:c r="N10" s="172"/>
    </x:row>
    <x:row r="11" ht="25" customHeight="1">
      <x:c r="A11" s="172"/>
      <x:c r="B11" s="206" t="str">
        <x:v>02</x:v>
      </x:c>
      <x:c r="C11" s="207" t="str">
        <x:v>Add your listings</x:v>
      </x:c>
      <x:c r="D11" s="207"/>
      <x:c r="E11" s="207"/>
      <x:c r="F11" s="207"/>
      <x:c r="G11" s="172"/>
      <x:c r="H11" s="172"/>
      <x:c r="I11" s="172"/>
      <x:c r="J11" s="172"/>
      <x:c r="K11" s="181" t="str">
        <x:v>Properties tab</x:v>
      </x:c>
      <x:c r="L11" s="181"/>
      <x:c r="M11" s="181"/>
      <x:c r="N11" s="172"/>
    </x:row>
    <x:row r="12" ht="34" customHeight="1">
      <x:c r="A12" s="172"/>
      <x:c r="B12" s="206"/>
      <x:c r="C12" s="208" t="str">
        <x:v>Use PR-001 IDs and select the related contact. Enter the sale price or annual rent, availability and verification date.</x:v>
      </x:c>
      <x:c r="D12" s="208"/>
      <x:c r="E12" s="208"/>
      <x:c r="F12" s="208"/>
      <x:c r="G12" s="208"/>
      <x:c r="H12" s="208"/>
      <x:c r="I12" s="208"/>
      <x:c r="J12" s="208"/>
      <x:c r="K12" s="208"/>
      <x:c r="L12" s="208"/>
      <x:c r="M12" s="208"/>
      <x:c r="N12" s="172"/>
    </x:row>
    <x:row r="13" ht="25" customHeight="1">
      <x:c r="A13" s="172"/>
      <x:c r="B13" s="172"/>
      <x:c r="C13" s="172"/>
      <x:c r="D13" s="172"/>
      <x:c r="E13" s="172"/>
      <x:c r="F13" s="172"/>
      <x:c r="G13" s="172"/>
      <x:c r="H13" s="172"/>
      <x:c r="I13" s="172"/>
      <x:c r="J13" s="172"/>
      <x:c r="K13" s="172"/>
      <x:c r="L13" s="172"/>
      <x:c r="M13" s="172"/>
      <x:c r="N13" s="172"/>
    </x:row>
    <x:row r="14" ht="25" customHeight="1">
      <x:c r="A14" s="172"/>
      <x:c r="B14" s="206" t="str">
        <x:v>03</x:v>
      </x:c>
      <x:c r="C14" s="207" t="str">
        <x:v>Record an enquiry</x:v>
      </x:c>
      <x:c r="D14" s="207"/>
      <x:c r="E14" s="207"/>
      <x:c r="F14" s="207"/>
      <x:c r="G14" s="172"/>
      <x:c r="H14" s="172"/>
      <x:c r="I14" s="172"/>
      <x:c r="J14" s="172"/>
      <x:c r="K14" s="181" t="str">
        <x:v>Clients tab</x:v>
      </x:c>
      <x:c r="L14" s="181"/>
      <x:c r="M14" s="181"/>
      <x:c r="N14" s="172"/>
    </x:row>
    <x:row r="15" ht="34" customHeight="1">
      <x:c r="A15" s="172"/>
      <x:c r="B15" s="206"/>
      <x:c r="C15" s="208" t="str">
        <x:v>Use CL-001 IDs. Record contact details, budget and preferred areas. Add suitable properties to the Shortlist tab.</x:v>
      </x:c>
      <x:c r="D15" s="208"/>
      <x:c r="E15" s="208"/>
      <x:c r="F15" s="208"/>
      <x:c r="G15" s="208"/>
      <x:c r="H15" s="208"/>
      <x:c r="I15" s="208"/>
      <x:c r="J15" s="208"/>
      <x:c r="K15" s="208"/>
      <x:c r="L15" s="208"/>
      <x:c r="M15" s="208"/>
      <x:c r="N15" s="172"/>
    </x:row>
    <x:row r="16" ht="25" customHeight="1">
      <x:c r="A16" s="172"/>
      <x:c r="B16" s="172"/>
      <x:c r="C16" s="172"/>
      <x:c r="D16" s="172"/>
      <x:c r="E16" s="172"/>
      <x:c r="F16" s="172"/>
      <x:c r="G16" s="172"/>
      <x:c r="H16" s="172"/>
      <x:c r="I16" s="172"/>
      <x:c r="J16" s="172"/>
      <x:c r="K16" s="172"/>
      <x:c r="L16" s="172"/>
      <x:c r="M16" s="172"/>
      <x:c r="N16" s="172"/>
    </x:row>
    <x:row r="17" ht="25" customHeight="1">
      <x:c r="A17" s="172"/>
      <x:c r="B17" s="206" t="str">
        <x:v>04</x:v>
      </x:c>
      <x:c r="C17" s="207" t="str">
        <x:v>Plan the next action</x:v>
      </x:c>
      <x:c r="D17" s="207"/>
      <x:c r="E17" s="207"/>
      <x:c r="F17" s="207"/>
      <x:c r="G17" s="172"/>
      <x:c r="H17" s="172"/>
      <x:c r="I17" s="172"/>
      <x:c r="J17" s="172"/>
      <x:c r="K17" s="181" t="str">
        <x:v>Follow-ups tab</x:v>
      </x:c>
      <x:c r="L17" s="181"/>
      <x:c r="M17" s="181"/>
      <x:c r="N17" s="172"/>
    </x:row>
    <x:row r="18" ht="34" customHeight="1">
      <x:c r="A18" s="172"/>
      <x:c r="B18" s="206"/>
      <x:c r="C18" s="208" t="str">
        <x:v>Create an Open task with a clear action and due date. Log the outcome and mark Done after completion.</x:v>
      </x:c>
      <x:c r="D18" s="208"/>
      <x:c r="E18" s="208"/>
      <x:c r="F18" s="208"/>
      <x:c r="G18" s="208"/>
      <x:c r="H18" s="208"/>
      <x:c r="I18" s="208"/>
      <x:c r="J18" s="208"/>
      <x:c r="K18" s="208"/>
      <x:c r="L18" s="208"/>
      <x:c r="M18" s="208"/>
      <x:c r="N18" s="172"/>
    </x:row>
    <x:row r="19" ht="25" customHeight="1">
      <x:c r="A19" s="172"/>
      <x:c r="B19" s="172"/>
      <x:c r="C19" s="172"/>
      <x:c r="D19" s="172"/>
      <x:c r="E19" s="172"/>
      <x:c r="F19" s="172"/>
      <x:c r="G19" s="172"/>
      <x:c r="H19" s="172"/>
      <x:c r="I19" s="172"/>
      <x:c r="J19" s="172"/>
      <x:c r="K19" s="172"/>
      <x:c r="L19" s="172"/>
      <x:c r="M19" s="172"/>
      <x:c r="N19" s="172"/>
    </x:row>
    <x:row r="20" ht="25" customHeight="1">
      <x:c r="A20" s="172"/>
      <x:c r="B20" s="206" t="str">
        <x:v>05</x:v>
      </x:c>
      <x:c r="C20" s="207" t="str">
        <x:v>Arrange a viewing</x:v>
      </x:c>
      <x:c r="D20" s="207"/>
      <x:c r="E20" s="207"/>
      <x:c r="F20" s="207"/>
      <x:c r="G20" s="172"/>
      <x:c r="H20" s="172"/>
      <x:c r="I20" s="172"/>
      <x:c r="J20" s="172"/>
      <x:c r="K20" s="181" t="str">
        <x:v>Viewings tab</x:v>
      </x:c>
      <x:c r="L20" s="181"/>
      <x:c r="M20" s="181"/>
      <x:c r="N20" s="172"/>
    </x:row>
    <x:row r="21" ht="34" customHeight="1">
      <x:c r="A21" s="172"/>
      <x:c r="B21" s="206"/>
      <x:c r="C21" s="208" t="str">
        <x:v>Select the client and property IDs. Enter UAE local date/time, then record feedback and the next action.</x:v>
      </x:c>
      <x:c r="D21" s="208"/>
      <x:c r="E21" s="208"/>
      <x:c r="F21" s="208"/>
      <x:c r="G21" s="208"/>
      <x:c r="H21" s="208"/>
      <x:c r="I21" s="208"/>
      <x:c r="J21" s="208"/>
      <x:c r="K21" s="208"/>
      <x:c r="L21" s="208"/>
      <x:c r="M21" s="208"/>
      <x:c r="N21" s="172"/>
    </x:row>
    <x:row r="22" ht="25" customHeight="1">
      <x:c r="A22" s="172"/>
      <x:c r="B22" s="172"/>
      <x:c r="C22" s="172"/>
      <x:c r="D22" s="172"/>
      <x:c r="E22" s="172"/>
      <x:c r="F22" s="172"/>
      <x:c r="G22" s="172"/>
      <x:c r="H22" s="172"/>
      <x:c r="I22" s="172"/>
      <x:c r="J22" s="172"/>
      <x:c r="K22" s="172"/>
      <x:c r="L22" s="172"/>
      <x:c r="M22" s="172"/>
      <x:c r="N22" s="172"/>
    </x:row>
    <x:row r="23" ht="25" customHeight="1">
      <x:c r="A23" s="172"/>
      <x:c r="B23" s="206" t="str">
        <x:v>06</x:v>
      </x:c>
      <x:c r="C23" s="207" t="str">
        <x:v>Manage the transaction</x:v>
      </x:c>
      <x:c r="D23" s="207"/>
      <x:c r="E23" s="207"/>
      <x:c r="F23" s="207"/>
      <x:c r="G23" s="172"/>
      <x:c r="H23" s="172"/>
      <x:c r="I23" s="172"/>
      <x:c r="J23" s="172"/>
      <x:c r="K23" s="181" t="str">
        <x:v>Deals tab</x:v>
      </x:c>
      <x:c r="L23" s="181"/>
      <x:c r="M23" s="181"/>
      <x:c r="N23" s="172"/>
    </x:row>
    <x:row r="24" ht="34" customHeight="1">
      <x:c r="A24" s="172"/>
      <x:c r="B24" s="206"/>
      <x:c r="C24" s="208" t="str">
        <x:v>Enter agreed value, fee basis and both commission shares. Use Completed plus an earned date when the fee is earned.</x:v>
      </x:c>
      <x:c r="D24" s="208"/>
      <x:c r="E24" s="208"/>
      <x:c r="F24" s="208"/>
      <x:c r="G24" s="208"/>
      <x:c r="H24" s="208"/>
      <x:c r="I24" s="208"/>
      <x:c r="J24" s="208"/>
      <x:c r="K24" s="208"/>
      <x:c r="L24" s="208"/>
      <x:c r="M24" s="208"/>
      <x:c r="N24" s="172"/>
    </x:row>
    <x:row r="25" ht="25" customHeight="1">
      <x:c r="A25" s="172"/>
      <x:c r="B25" s="172"/>
      <x:c r="C25" s="172"/>
      <x:c r="D25" s="172"/>
      <x:c r="E25" s="172"/>
      <x:c r="F25" s="172"/>
      <x:c r="G25" s="172"/>
      <x:c r="H25" s="172"/>
      <x:c r="I25" s="172"/>
      <x:c r="J25" s="172"/>
      <x:c r="K25" s="172"/>
      <x:c r="L25" s="172"/>
      <x:c r="M25" s="172"/>
      <x:c r="N25" s="172"/>
    </x:row>
    <x:row r="26" ht="25" customHeight="1">
      <x:c r="A26" s="172"/>
      <x:c r="B26" s="206" t="str">
        <x:v>07</x:v>
      </x:c>
      <x:c r="C26" s="207" t="str">
        <x:v>Record your money</x:v>
      </x:c>
      <x:c r="D26" s="207"/>
      <x:c r="E26" s="207"/>
      <x:c r="F26" s="207"/>
      <x:c r="G26" s="172"/>
      <x:c r="H26" s="172"/>
      <x:c r="I26" s="172"/>
      <x:c r="J26" s="172"/>
      <x:c r="K26" s="181" t="str">
        <x:v>Payments tab</x:v>
      </x:c>
      <x:c r="L26" s="181"/>
      <x:c r="M26" s="181"/>
      <x:c r="N26" s="172"/>
    </x:row>
    <x:row r="27" ht="34" customHeight="1">
      <x:c r="A27" s="172"/>
      <x:c r="B27" s="206"/>
      <x:c r="C27" s="208" t="str">
        <x:v>Log each receipt once under its deal ID. Record your fee excluding VAT. Keep business spending in Expenses.</x:v>
      </x:c>
      <x:c r="D27" s="208"/>
      <x:c r="E27" s="208"/>
      <x:c r="F27" s="208"/>
      <x:c r="G27" s="208"/>
      <x:c r="H27" s="208"/>
      <x:c r="I27" s="208"/>
      <x:c r="J27" s="208"/>
      <x:c r="K27" s="208"/>
      <x:c r="L27" s="208"/>
      <x:c r="M27" s="208"/>
      <x:c r="N27" s="172"/>
    </x:row>
    <x:row r="28" ht="25" customHeight="1">
      <x:c r="A28" s="172"/>
      <x:c r="B28" s="172"/>
      <x:c r="C28" s="172"/>
      <x:c r="D28" s="172"/>
      <x:c r="E28" s="172"/>
      <x:c r="F28" s="172"/>
      <x:c r="G28" s="172"/>
      <x:c r="H28" s="172"/>
      <x:c r="I28" s="172"/>
      <x:c r="J28" s="172"/>
      <x:c r="K28" s="172"/>
      <x:c r="L28" s="172"/>
      <x:c r="M28" s="172"/>
      <x:c r="N28" s="172"/>
    </x:row>
    <x:row r="29" ht="25" customHeight="1">
      <x:c r="A29" s="172"/>
      <x:c r="B29" s="172"/>
      <x:c r="C29" s="172"/>
      <x:c r="D29" s="172"/>
      <x:c r="E29" s="172"/>
      <x:c r="F29" s="172"/>
      <x:c r="G29" s="172"/>
      <x:c r="H29" s="172"/>
      <x:c r="I29" s="172"/>
      <x:c r="J29" s="172"/>
      <x:c r="K29" s="172"/>
      <x:c r="L29" s="172"/>
      <x:c r="M29" s="172"/>
      <x:c r="N29" s="172"/>
    </x:row>
    <x:row r="30" ht="29" customHeight="1">
      <x:c r="A30" s="172"/>
      <x:c r="B30" s="190" t="str">
        <x:v>Reading and updating the workbook</x:v>
      </x:c>
      <x:c r="C30" s="190"/>
      <x:c r="D30" s="190"/>
      <x:c r="E30" s="190"/>
      <x:c r="F30" s="190"/>
      <x:c r="G30" s="190"/>
      <x:c r="H30" s="190"/>
      <x:c r="I30" s="190"/>
      <x:c r="J30" s="190"/>
      <x:c r="K30" s="190"/>
      <x:c r="L30" s="190"/>
      <x:c r="M30" s="190"/>
      <x:c r="N30" s="172"/>
    </x:row>
    <x:row r="31" ht="43" customHeight="1">
      <x:c r="A31" s="172"/>
      <x:c r="B31" s="209" t="str">
        <x:v>Inputs and calculations</x:v>
      </x:c>
      <x:c r="C31" s="209"/>
      <x:c r="D31" s="209"/>
      <x:c r="E31" s="209"/>
      <x:c r="F31" s="202" t="str">
        <x:v>White and ivory cells accept entries. Blue-grey columns calculate automatically. Formulas are not locked.</x:v>
      </x:c>
      <x:c r="G31" s="202"/>
      <x:c r="H31" s="202"/>
      <x:c r="I31" s="202"/>
      <x:c r="J31" s="202"/>
      <x:c r="K31" s="202"/>
      <x:c r="L31" s="202"/>
      <x:c r="M31" s="202"/>
      <x:c r="N31" s="172"/>
    </x:row>
    <x:row r="32" ht="43" customHeight="1">
      <x:c r="A32" s="172"/>
      <x:c r="B32" s="210" t="str">
        <x:v>Sorting and IDs</x:v>
      </x:c>
      <x:c r="C32" s="210"/>
      <x:c r="D32" s="210"/>
      <x:c r="E32" s="210"/>
      <x:c r="F32" s="208" t="str">
        <x:v>Use the table filter arrows to sort whole records. IDs are manually assigned, unique and permanent.</x:v>
      </x:c>
      <x:c r="G32" s="208"/>
      <x:c r="H32" s="208"/>
      <x:c r="I32" s="208"/>
      <x:c r="J32" s="208"/>
      <x:c r="K32" s="208"/>
      <x:c r="L32" s="208"/>
      <x:c r="M32" s="208"/>
      <x:c r="N32" s="172"/>
    </x:row>
    <x:row r="33" ht="43" customHeight="1">
      <x:c r="A33" s="172"/>
      <x:c r="B33" s="209" t="str">
        <x:v>Capacity</x:v>
      </x:c>
      <x:c r="C33" s="209"/>
      <x:c r="D33" s="209"/>
      <x:c r="E33" s="209"/>
      <x:c r="F33" s="202" t="str">
        <x:v>Each tracker covers 200 records, rows 6–205. Extend formulas, dropdowns and dashboard ranges before going beyond row 205.</x:v>
      </x:c>
      <x:c r="G33" s="202"/>
      <x:c r="H33" s="202"/>
      <x:c r="I33" s="202"/>
      <x:c r="J33" s="202"/>
      <x:c r="K33" s="202"/>
      <x:c r="L33" s="202"/>
      <x:c r="M33" s="202"/>
      <x:c r="N33" s="172"/>
    </x:row>
    <x:row r="34" ht="43" customHeight="1">
      <x:c r="A34" s="172"/>
      <x:c r="B34" s="210" t="str">
        <x:v>Fee calculation</x:v>
      </x:c>
      <x:c r="C34" s="210"/>
      <x:c r="D34" s="210"/>
      <x:c r="E34" s="210"/>
      <x:c r="F34" s="208" t="str">
        <x:v>Gross fee × (1 − partner share) × your share. Enter 0% partner and 100% yours when those are the agreed terms.</x:v>
      </x:c>
      <x:c r="G34" s="208"/>
      <x:c r="H34" s="208"/>
      <x:c r="I34" s="208"/>
      <x:c r="J34" s="208"/>
      <x:c r="K34" s="208"/>
      <x:c r="L34" s="208"/>
      <x:c r="M34" s="208"/>
      <x:c r="N34" s="172"/>
    </x:row>
    <x:row r="35" ht="43" customHeight="1">
      <x:c r="A35" s="172"/>
      <x:c r="B35" s="209" t="str">
        <x:v>Illustrative example</x:v>
      </x:c>
      <x:c r="C35" s="209"/>
      <x:c r="D35" s="209"/>
      <x:c r="E35" s="209"/>
      <x:c r="F35" s="202" t="str">
        <x:v>AED 1,000,000 × 2% = 20,000. After a 25% partner share: 15,000. Your 50% split: 7,500. These are example terms only.</x:v>
      </x:c>
      <x:c r="G35" s="202"/>
      <x:c r="H35" s="202"/>
      <x:c r="I35" s="202"/>
      <x:c r="J35" s="202"/>
      <x:c r="K35" s="202"/>
      <x:c r="L35" s="202"/>
      <x:c r="M35" s="202"/>
      <x:c r="N35" s="172"/>
    </x:row>
    <x:row r="36" ht="43" customHeight="1">
      <x:c r="A36" s="172"/>
      <x:c r="B36" s="210" t="str">
        <x:v>Receipts and refunds</x:v>
      </x:c>
      <x:c r="C36" s="210"/>
      <x:c r="D36" s="210"/>
      <x:c r="E36" s="210"/>
      <x:c r="F36" s="208" t="str">
        <x:v>Payments records only your portion, with VAT separate. Add a new row for each partial receipt or negative refund.</x:v>
      </x:c>
      <x:c r="G36" s="208"/>
      <x:c r="H36" s="208"/>
      <x:c r="I36" s="208"/>
      <x:c r="J36" s="208"/>
      <x:c r="K36" s="208"/>
      <x:c r="L36" s="208"/>
      <x:c r="M36" s="208"/>
      <x:c r="N36" s="172"/>
    </x:row>
    <x:row r="37" ht="43" customHeight="1">
      <x:c r="A37" s="172"/>
      <x:c r="B37" s="209" t="str">
        <x:v>Daily review</x:v>
      </x:c>
      <x:c r="C37" s="209"/>
      <x:c r="D37" s="209"/>
      <x:c r="E37" s="209"/>
      <x:c r="F37" s="202" t="str">
        <x:v>Check overdue tasks and payments first. Available properties are flagged for review after 14 days without verification.</x:v>
      </x:c>
      <x:c r="G37" s="202"/>
      <x:c r="H37" s="202"/>
      <x:c r="I37" s="202"/>
      <x:c r="J37" s="202"/>
      <x:c r="K37" s="202"/>
      <x:c r="L37" s="202"/>
      <x:c r="M37" s="202"/>
      <x:c r="N37" s="172"/>
    </x:row>
    <x:row r="38" ht="43" customHeight="1">
      <x:c r="A38" s="172"/>
      <x:c r="B38" s="210" t="str">
        <x:v>Documents and marketing</x:v>
      </x:c>
      <x:c r="C38" s="210"/>
      <x:c r="D38" s="210"/>
      <x:c r="E38" s="210"/>
      <x:c r="F38" s="208" t="str">
        <x:v>Store document links in the relevant tracker. Filter Clients by lead source and Expenses by platform or campaign.</x:v>
      </x:c>
      <x:c r="G38" s="208"/>
      <x:c r="H38" s="208"/>
      <x:c r="I38" s="208"/>
      <x:c r="J38" s="208"/>
      <x:c r="K38" s="208"/>
      <x:c r="L38" s="208"/>
      <x:c r="M38" s="208"/>
      <x:c r="N38" s="172"/>
    </x:row>
    <x:row r="39" ht="25" customHeight="1">
      <x:c r="A39" s="172"/>
      <x:c r="B39" s="432"/>
      <x:c r="C39" s="432"/>
      <x:c r="D39" s="432"/>
      <x:c r="E39" s="432"/>
      <x:c r="F39" s="432"/>
      <x:c r="G39" s="432"/>
      <x:c r="H39" s="432"/>
      <x:c r="I39" s="432"/>
      <x:c r="J39" s="432"/>
      <x:c r="K39" s="432"/>
      <x:c r="L39" s="432"/>
      <x:c r="M39" s="432"/>
      <x:c r="N39" s="172"/>
    </x:row>
    <x:row r="40" ht="28" customHeight="1">
      <x:c r="A40" s="172"/>
      <x:c r="B40" s="433" t="str">
        <x:v>New workflow features</x:v>
      </x:c>
      <x:c r="C40" s="433"/>
      <x:c r="D40" s="433"/>
      <x:c r="E40" s="433"/>
      <x:c r="F40" s="433"/>
      <x:c r="G40" s="433"/>
      <x:c r="H40" s="433"/>
      <x:c r="I40" s="433"/>
      <x:c r="J40" s="433"/>
      <x:c r="K40" s="433"/>
      <x:c r="L40" s="433"/>
      <x:c r="M40" s="433"/>
      <x:c r="N40" s="172"/>
    </x:row>
    <x:row r="41" ht="42" customHeight="1">
      <x:c r="A41" s="172"/>
      <x:c r="B41" s="404" t="str">
        <x:v>Property shortlist</x:v>
      </x:c>
      <x:c r="C41" s="404"/>
      <x:c r="D41" s="404"/>
      <x:c r="E41" s="404"/>
      <x:c r="F41" s="423" t="str">
        <x:v>Use Shortlist to send several properties to a client and record their response before a viewing.</x:v>
      </x:c>
      <x:c r="G41" s="423"/>
      <x:c r="H41" s="423"/>
      <x:c r="I41" s="423"/>
      <x:c r="J41" s="423"/>
      <x:c r="K41" s="423"/>
      <x:c r="L41" s="423"/>
      <x:c r="M41" s="423"/>
      <x:c r="N41" s="172"/>
    </x:row>
    <x:row r="42" ht="42" customHeight="1">
      <x:c r="A42" s="172"/>
      <x:c r="B42" s="396" t="str">
        <x:v>Client follow-up</x:v>
      </x:c>
      <x:c r="C42" s="396"/>
      <x:c r="D42" s="396"/>
      <x:c r="E42" s="396"/>
      <x:c r="F42" s="425" t="str">
        <x:v>Last contact and Next follow-up come from Follow-ups. Actual contact dates must be today or earlier.</x:v>
      </x:c>
      <x:c r="G42" s="425"/>
      <x:c r="H42" s="425"/>
      <x:c r="I42" s="425"/>
      <x:c r="J42" s="425"/>
      <x:c r="K42" s="425"/>
      <x:c r="L42" s="425"/>
      <x:c r="M42" s="425"/>
      <x:c r="N42" s="172"/>
    </x:row>
    <x:row r="43" ht="42" customHeight="1">
      <x:c r="A43" s="172"/>
      <x:c r="B43" s="404" t="str">
        <x:v>Next five tasks</x:v>
      </x:c>
      <x:c r="C43" s="404"/>
      <x:c r="D43" s="404"/>
      <x:c r="E43" s="404"/>
      <x:c r="F43" s="423" t="str">
        <x:v>The dashboard orders Open tasks by due date. It includes overdue tasks and breaks ties by their row order.</x:v>
      </x:c>
      <x:c r="G43" s="423"/>
      <x:c r="H43" s="423"/>
      <x:c r="I43" s="423"/>
      <x:c r="J43" s="423"/>
      <x:c r="K43" s="423"/>
      <x:c r="L43" s="423"/>
      <x:c r="M43" s="423"/>
      <x:c r="N43" s="172"/>
    </x:row>
    <x:row r="44" ht="42" customHeight="1">
      <x:c r="A44" s="172"/>
      <x:c r="B44" s="396" t="str">
        <x:v>Deal dates</x:v>
      </x:c>
      <x:c r="C44" s="396"/>
      <x:c r="D44" s="396"/>
      <x:c r="E44" s="396"/>
      <x:c r="F44" s="425" t="str">
        <x:v>Opened date starts the pipeline. Target close date is your estimate. Closed date records completion or cancellation.</x:v>
      </x:c>
      <x:c r="G44" s="425"/>
      <x:c r="H44" s="425"/>
      <x:c r="I44" s="425"/>
      <x:c r="J44" s="425"/>
      <x:c r="K44" s="425"/>
      <x:c r="L44" s="425"/>
      <x:c r="M44" s="425"/>
      <x:c r="N44" s="172"/>
    </x:row>
    <x:row r="45" ht="42" customHeight="1">
      <x:c r="A45" s="172"/>
      <x:c r="B45" s="404" t="str">
        <x:v>Monthly reporting</x:v>
      </x:c>
      <x:c r="C45" s="404"/>
      <x:c r="D45" s="404"/>
      <x:c r="E45" s="404"/>
      <x:c r="F45" s="423" t="str">
        <x:v>Completed deals use Closed date. Earned fees use Earned date. Receipts and expenses use their actual payment dates.</x:v>
      </x:c>
      <x:c r="G45" s="423"/>
      <x:c r="H45" s="423"/>
      <x:c r="I45" s="423"/>
      <x:c r="J45" s="423"/>
      <x:c r="K45" s="423"/>
      <x:c r="L45" s="423"/>
      <x:c r="M45" s="423"/>
      <x:c r="N45" s="172"/>
    </x:row>
    <x:row r="46" ht="42" customHeight="1">
      <x:c r="A46" s="172"/>
      <x:c r="B46" s="396" t="str">
        <x:v>Permit dates</x:v>
      </x:c>
      <x:c r="C46" s="396"/>
      <x:c r="D46" s="396"/>
      <x:c r="E46" s="396"/>
      <x:c r="F46" s="425" t="str">
        <x:v>Permit date alerts are date reminders only. Not recorded means the workbook has no permit reference or expiry.</x:v>
      </x:c>
      <x:c r="G46" s="425"/>
      <x:c r="H46" s="425"/>
      <x:c r="I46" s="425"/>
      <x:c r="J46" s="425"/>
      <x:c r="K46" s="425"/>
      <x:c r="L46" s="425"/>
      <x:c r="M46" s="425"/>
      <x:c r="N46" s="172"/>
    </x:row>
    <x:row r="47" ht="42" customHeight="1">
      <x:c r="A47" s="172"/>
      <x:c r="B47" s="404" t="str">
        <x:v>Data quality</x:v>
      </x:c>
      <x:c r="C47" s="404"/>
      <x:c r="D47" s="404"/>
      <x:c r="E47" s="404"/>
      <x:c r="F47" s="423" t="str">
        <x:v>Record check shows the first missing or invalid field per row. Fix it, then review again for any remaining issues.</x:v>
      </x:c>
      <x:c r="G47" s="423"/>
      <x:c r="H47" s="423"/>
      <x:c r="I47" s="423"/>
      <x:c r="J47" s="423"/>
      <x:c r="K47" s="423"/>
      <x:c r="L47" s="423"/>
      <x:c r="M47" s="423"/>
      <x:c r="N47" s="172"/>
    </x:row>
    <x:row r="48" ht="42" customHeight="1">
      <x:c r="A48" s="172"/>
      <x:c r="B48" s="396" t="str">
        <x:v>Lead status</x:v>
      </x:c>
      <x:c r="C48" s="396"/>
      <x:c r="D48" s="396"/>
      <x:c r="E48" s="396"/>
      <x:c r="F48" s="425" t="str">
        <x:v>Active leads exclude Converted, Lost and On Hold. Record a reason for Lost leads and Cancelled deals.</x:v>
      </x:c>
      <x:c r="G48" s="425"/>
      <x:c r="H48" s="425"/>
      <x:c r="I48" s="425"/>
      <x:c r="J48" s="425"/>
      <x:c r="K48" s="425"/>
      <x:c r="L48" s="425"/>
      <x:c r="M48" s="425"/>
      <x:c r="N48" s="172"/>
    </x:row>
    <x:row r="49" ht="42" customHeight="1">
      <x:c r="B49" s="404" t="str">
        <x:v>Input dates and capacity</x:v>
      </x:c>
      <x:c r="C49" s="404"/>
      <x:c r="D49" s="404"/>
      <x:c r="E49" s="404"/>
      <x:c r="F49" s="423" t="str">
        <x:v>Use real Excel dates and permanent IDs. Formulas remain unlocked. The dashboard covers rows 6–205 on each tracker.</x:v>
      </x:c>
      <x:c r="G49" s="423"/>
      <x:c r="H49" s="423"/>
      <x:c r="I49" s="423"/>
      <x:c r="J49" s="423"/>
      <x:c r="K49" s="423"/>
      <x:c r="L49" s="423"/>
      <x:c r="M49" s="423"/>
    </x:row>
    <x:row r="50">
      <x:c r="B50" s="432"/>
      <x:c r="C50" s="432"/>
      <x:c r="D50" s="432"/>
      <x:c r="E50" s="432"/>
      <x:c r="F50" s="432"/>
      <x:c r="G50" s="432"/>
      <x:c r="H50" s="432"/>
      <x:c r="I50" s="432"/>
      <x:c r="J50" s="432"/>
      <x:c r="K50" s="432"/>
      <x:c r="L50" s="432"/>
      <x:c r="M50" s="432"/>
    </x:row>
    <x:row r="51" ht="28" customHeight="1">
      <x:c r="B51" s="499" t="str">
        <x:v>Search, matching &amp; performance</x:v>
      </x:c>
      <x:c r="C51" s="499"/>
      <x:c r="D51" s="499"/>
      <x:c r="E51" s="499"/>
      <x:c r="F51" s="499"/>
      <x:c r="G51" s="499"/>
      <x:c r="H51" s="499"/>
      <x:c r="I51" s="499"/>
      <x:c r="J51" s="499"/>
      <x:c r="K51" s="499"/>
      <x:c r="L51" s="499"/>
      <x:c r="M51" s="499"/>
    </x:row>
    <x:row r="52" ht="26" customHeight="1">
      <x:c r="B52" s="496"/>
      <x:c r="C52" s="496"/>
      <x:c r="D52" s="496"/>
      <x:c r="E52" s="496"/>
      <x:c r="F52" s="496"/>
      <x:c r="G52" s="496"/>
      <x:c r="H52" s="496"/>
      <x:c r="I52" s="496"/>
      <x:c r="J52" s="496"/>
      <x:c r="K52" s="496"/>
      <x:c r="L52" s="496"/>
      <x:c r="M52" s="496"/>
    </x:row>
    <x:row r="53" ht="26" customHeight="1">
      <x:c r="B53" s="468" t="str">
        <x:v>Client desk: type a name, phone number, email or ID in B6. Leave it blank to browse all clients. Use the search page field for the next 10 results; choose a unique Client ID in J6.</x:v>
      </x:c>
      <x:c r="C53" s="468"/>
      <x:c r="D53" s="468"/>
      <x:c r="E53" s="468"/>
      <x:c r="F53" s="468"/>
      <x:c r="G53" s="468"/>
      <x:c r="H53" s="468"/>
      <x:c r="I53" s="468"/>
      <x:c r="J53" s="468"/>
      <x:c r="K53" s="468"/>
      <x:c r="L53" s="468"/>
      <x:c r="M53" s="468"/>
    </x:row>
    <x:row r="54" ht="26" customHeight="1">
      <x:c r="B54" s="468"/>
      <x:c r="C54" s="468"/>
      <x:c r="D54" s="468"/>
      <x:c r="E54" s="468"/>
      <x:c r="F54" s="468"/>
      <x:c r="G54" s="468"/>
      <x:c r="H54" s="468"/>
      <x:c r="I54" s="468"/>
      <x:c r="J54" s="468"/>
      <x:c r="K54" s="468"/>
      <x:c r="L54" s="468"/>
      <x:c r="M54" s="468"/>
    </x:row>
    <x:row r="55" ht="26" customHeight="1">
      <x:c r="B55" s="465" t="str">
        <x:v>Property matching: Buy / Rent and a positive maximum budget are required. Only Available properties within budget are suggested. Minimum budget, emirate, type and bedrooms apply when filled in; 0 bedrooms means a studio.</x:v>
      </x:c>
      <x:c r="C55" s="465"/>
      <x:c r="D55" s="465"/>
      <x:c r="E55" s="465"/>
      <x:c r="F55" s="465"/>
      <x:c r="G55" s="465"/>
      <x:c r="H55" s="465"/>
      <x:c r="I55" s="465"/>
      <x:c r="J55" s="465"/>
      <x:c r="K55" s="465"/>
      <x:c r="L55" s="465"/>
      <x:c r="M55" s="465"/>
    </x:row>
    <x:row r="56" ht="26" customHeight="1">
      <x:c r="B56" s="465"/>
      <x:c r="C56" s="465"/>
      <x:c r="D56" s="465"/>
      <x:c r="E56" s="465"/>
      <x:c r="F56" s="465"/>
      <x:c r="G56" s="465"/>
      <x:c r="H56" s="465"/>
      <x:c r="I56" s="465"/>
      <x:c r="J56" s="465"/>
      <x:c r="K56" s="465"/>
      <x:c r="L56" s="465"/>
      <x:c r="M56" s="465"/>
    </x:row>
    <x:row r="57" ht="26" customHeight="1">
      <x:c r="B57" s="468" t="str">
        <x:v>Communities: enter exact community names separated by commas, for example Dubai Marina, JVC. The match is not case-sensitive. Verify availability and details before recording the selection on Shortlist.</x:v>
      </x:c>
      <x:c r="C57" s="468"/>
      <x:c r="D57" s="468"/>
      <x:c r="E57" s="468"/>
      <x:c r="F57" s="468"/>
      <x:c r="G57" s="468"/>
      <x:c r="H57" s="468"/>
      <x:c r="I57" s="468"/>
      <x:c r="J57" s="468"/>
      <x:c r="K57" s="468"/>
      <x:c r="L57" s="468"/>
      <x:c r="M57" s="468"/>
    </x:row>
    <x:row r="58" ht="26" customHeight="1">
      <x:c r="B58" s="468"/>
      <x:c r="C58" s="468"/>
      <x:c r="D58" s="468"/>
      <x:c r="E58" s="468"/>
      <x:c r="F58" s="468"/>
      <x:c r="G58" s="468"/>
      <x:c r="H58" s="468"/>
      <x:c r="I58" s="468"/>
      <x:c r="J58" s="468"/>
      <x:c r="K58" s="468"/>
      <x:c r="L58" s="468"/>
      <x:c r="M58" s="468"/>
    </x:row>
    <x:row r="59" ht="26" customHeight="1">
      <x:c r="B59" s="465" t="str">
        <x:v>Date search: choose a date type, From and To. Both dates are inclusive, including late appointments on the To day. Results sort by date and time; use Page for the next 20 records and reset it to 1 when changing filters.</x:v>
      </x:c>
      <x:c r="C59" s="465"/>
      <x:c r="D59" s="465"/>
      <x:c r="E59" s="465"/>
      <x:c r="F59" s="465"/>
      <x:c r="G59" s="465"/>
      <x:c r="H59" s="465"/>
      <x:c r="I59" s="465"/>
      <x:c r="J59" s="465"/>
      <x:c r="K59" s="465"/>
      <x:c r="L59" s="465"/>
      <x:c r="M59" s="465"/>
    </x:row>
    <x:row r="60" ht="26" customHeight="1">
      <x:c r="B60" s="465"/>
      <x:c r="C60" s="465"/>
      <x:c r="D60" s="465"/>
      <x:c r="E60" s="465"/>
      <x:c r="F60" s="465"/>
      <x:c r="G60" s="465"/>
      <x:c r="H60" s="465"/>
      <x:c r="I60" s="465"/>
      <x:c r="J60" s="465"/>
      <x:c r="K60" s="465"/>
      <x:c r="L60" s="465"/>
      <x:c r="M60" s="465"/>
    </x:row>
    <x:row r="61" ht="26" customHeight="1">
      <x:c r="B61" s="468" t="str">
        <x:v>Date search amounts: Deals show agreed transaction value; Payments show your fee received excluding VAT; Expenses show the recorded expense amount. Other date types have no amount. Date field definitions appear below the results.</x:v>
      </x:c>
      <x:c r="C61" s="468"/>
      <x:c r="D61" s="468"/>
      <x:c r="E61" s="468"/>
      <x:c r="F61" s="468"/>
      <x:c r="G61" s="468"/>
      <x:c r="H61" s="468"/>
      <x:c r="I61" s="468"/>
      <x:c r="J61" s="468"/>
      <x:c r="K61" s="468"/>
      <x:c r="L61" s="468"/>
      <x:c r="M61" s="468"/>
    </x:row>
    <x:row r="62" ht="26" customHeight="1">
      <x:c r="B62" s="468"/>
      <x:c r="C62" s="468"/>
      <x:c r="D62" s="468"/>
      <x:c r="E62" s="468"/>
      <x:c r="F62" s="468"/>
      <x:c r="G62" s="468"/>
      <x:c r="H62" s="468"/>
      <x:c r="I62" s="468"/>
      <x:c r="J62" s="468"/>
      <x:c r="K62" s="468"/>
      <x:c r="L62" s="468"/>
      <x:c r="M62" s="468"/>
    </x:row>
    <x:row r="63" ht="26" customHeight="1">
      <x:c r="B63" s="465" t="str">
        <x:v>Performance: targets are optional and stored by month for 2026–2028. Select the reporting month on Dashboard. Source metrics distinguish new leads, their current Converted status, and completed deals in the selected month.</x:v>
      </x:c>
      <x:c r="C63" s="465"/>
      <x:c r="D63" s="465"/>
      <x:c r="E63" s="465"/>
      <x:c r="F63" s="465"/>
      <x:c r="G63" s="465"/>
      <x:c r="H63" s="465"/>
      <x:c r="I63" s="465"/>
      <x:c r="J63" s="465"/>
      <x:c r="K63" s="465"/>
      <x:c r="L63" s="465"/>
      <x:c r="M63" s="465"/>
    </x:row>
    <x:row r="64" ht="26" customHeight="1">
      <x:c r="B64" s="465"/>
      <x:c r="C64" s="465"/>
      <x:c r="D64" s="465"/>
      <x:c r="E64" s="465"/>
      <x:c r="F64" s="465"/>
      <x:c r="G64" s="465"/>
      <x:c r="H64" s="465"/>
      <x:c r="I64" s="465"/>
      <x:c r="J64" s="465"/>
      <x:c r="K64" s="465"/>
      <x:c r="L64" s="465"/>
      <x:c r="M64" s="465"/>
    </x:row>
    <x:row r="65" ht="26" customHeight="1">
      <x:c r="B65" s="468" t="str">
        <x:v>Capacity: each tracker supports 200 records in rows 6–205. Alerts begin at 180. IDs in rows 206–1005 are flagged as outside the reporting range. Search pages do not expand the underlying tracker capacity.</x:v>
      </x:c>
      <x:c r="C65" s="468"/>
      <x:c r="D65" s="468"/>
      <x:c r="E65" s="468"/>
      <x:c r="F65" s="468"/>
      <x:c r="G65" s="468"/>
      <x:c r="H65" s="468"/>
      <x:c r="I65" s="468"/>
      <x:c r="J65" s="468"/>
      <x:c r="K65" s="468"/>
      <x:c r="L65" s="468"/>
      <x:c r="M65" s="468"/>
    </x:row>
    <x:row r="66" ht="26" customHeight="1">
      <x:c r="B66" s="468"/>
      <x:c r="C66" s="468"/>
      <x:c r="D66" s="468"/>
      <x:c r="E66" s="468"/>
      <x:c r="F66" s="468"/>
      <x:c r="G66" s="468"/>
      <x:c r="H66" s="468"/>
      <x:c r="I66" s="468"/>
      <x:c r="J66" s="468"/>
      <x:c r="K66" s="468"/>
      <x:c r="L66" s="468"/>
      <x:c r="M66" s="468"/>
    </x:row>
    <x:row r="67" ht="26" customHeight="1">
      <x:c r="B67" s="497"/>
      <x:c r="C67" s="497"/>
      <x:c r="D67" s="497"/>
      <x:c r="E67" s="497"/>
      <x:c r="F67" s="497"/>
      <x:c r="G67" s="497"/>
      <x:c r="H67" s="497"/>
      <x:c r="I67" s="497"/>
      <x:c r="J67" s="497"/>
      <x:c r="K67" s="497"/>
      <x:c r="L67" s="497"/>
      <x:c r="M67" s="497"/>
    </x:row>
    <x:row r="68" ht="26" customHeight="1">
      <x:c r="B68" s="497"/>
      <x:c r="C68" s="497"/>
      <x:c r="D68" s="497"/>
      <x:c r="E68" s="497"/>
      <x:c r="F68" s="497"/>
      <x:c r="G68" s="497"/>
      <x:c r="H68" s="497"/>
      <x:c r="I68" s="497"/>
      <x:c r="J68" s="497"/>
      <x:c r="K68" s="497"/>
      <x:c r="L68" s="497"/>
      <x:c r="M68" s="497"/>
    </x:row>
    <x:row r="69" ht="28" customHeight="1">
      <x:c r="B69" s="499" t="str">
        <x:v>Formula protection — setup in Excel</x:v>
      </x:c>
      <x:c r="C69" s="499"/>
      <x:c r="D69" s="499"/>
      <x:c r="E69" s="499"/>
      <x:c r="F69" s="499"/>
      <x:c r="G69" s="499"/>
      <x:c r="H69" s="499"/>
      <x:c r="I69" s="499"/>
      <x:c r="J69" s="499"/>
      <x:c r="K69" s="499"/>
      <x:c r="L69" s="499"/>
      <x:c r="M69" s="499"/>
    </x:row>
    <x:row r="70" ht="26" customHeight="1">
      <x:c r="B70" s="496" t="str">
        <x:v>Native worksheet protection is not enabled in this file. In Excel for the web, use Review → Manage Protection → Protect sheet, then add the unlocked input ranges below. Keep calculated cells protected and allow AutoFilter. Protection may need pausing to sort locked ranges. A password is optional; store it safely if used.</x:v>
      </x:c>
      <x:c r="C70" s="496"/>
      <x:c r="D70" s="496"/>
      <x:c r="E70" s="496"/>
      <x:c r="F70" s="496"/>
      <x:c r="G70" s="496"/>
      <x:c r="H70" s="496"/>
      <x:c r="I70" s="496"/>
      <x:c r="J70" s="496"/>
      <x:c r="K70" s="496"/>
      <x:c r="L70" s="496"/>
      <x:c r="M70" s="496"/>
    </x:row>
    <x:row r="71" ht="26" customHeight="1">
      <x:c r="B71" s="496"/>
      <x:c r="C71" s="496"/>
      <x:c r="D71" s="496"/>
      <x:c r="E71" s="496"/>
      <x:c r="F71" s="496"/>
      <x:c r="G71" s="496"/>
      <x:c r="H71" s="496"/>
      <x:c r="I71" s="496"/>
      <x:c r="J71" s="496"/>
      <x:c r="K71" s="496"/>
      <x:c r="L71" s="496"/>
      <x:c r="M71" s="496"/>
    </x:row>
    <x:row r="72" ht="26" customHeight="1">
      <x:c r="B72" s="496"/>
      <x:c r="C72" s="496"/>
      <x:c r="D72" s="496"/>
      <x:c r="E72" s="496"/>
      <x:c r="F72" s="496"/>
      <x:c r="G72" s="496"/>
      <x:c r="H72" s="496"/>
      <x:c r="I72" s="496"/>
      <x:c r="J72" s="496"/>
      <x:c r="K72" s="496"/>
      <x:c r="L72" s="496"/>
      <x:c r="M72" s="496"/>
    </x:row>
    <x:row r="73" ht="26" customHeight="1">
      <x:c r="B73" s="497"/>
      <x:c r="C73" s="497"/>
      <x:c r="D73" s="497"/>
      <x:c r="E73" s="497"/>
      <x:c r="F73" s="497"/>
      <x:c r="G73" s="497"/>
      <x:c r="H73" s="497"/>
      <x:c r="I73" s="497"/>
      <x:c r="J73" s="497"/>
      <x:c r="K73" s="497"/>
      <x:c r="L73" s="497"/>
      <x:c r="M73" s="497"/>
    </x:row>
    <x:row r="74" ht="36" customHeight="1">
      <x:c r="B74" s="447" t="str">
        <x:v>Worksheet</x:v>
      </x:c>
      <x:c r="C74" s="447"/>
      <x:c r="D74" s="447"/>
      <x:c r="E74" s="447" t="str">
        <x:v>Keep these input ranges editable</x:v>
      </x:c>
      <x:c r="F74" s="447"/>
      <x:c r="G74" s="447"/>
      <x:c r="H74" s="447"/>
      <x:c r="I74" s="447"/>
      <x:c r="J74" s="447"/>
      <x:c r="K74" s="447"/>
      <x:c r="L74" s="447"/>
      <x:c r="M74" s="447"/>
    </x:row>
    <x:row r="75" ht="28" customHeight="1">
      <x:c r="B75" s="468" t="str">
        <x:v>Dashboard</x:v>
      </x:c>
      <x:c r="C75" s="468"/>
      <x:c r="D75" s="468"/>
      <x:c r="E75" s="468" t="str">
        <x:v>N4:P4</x:v>
      </x:c>
      <x:c r="F75" s="468"/>
      <x:c r="G75" s="468"/>
      <x:c r="H75" s="468"/>
      <x:c r="I75" s="468"/>
      <x:c r="J75" s="468"/>
      <x:c r="K75" s="468"/>
      <x:c r="L75" s="468"/>
      <x:c r="M75" s="468"/>
    </x:row>
    <x:row r="76" ht="28" customHeight="1">
      <x:c r="B76" s="465" t="str">
        <x:v>Clients</x:v>
      </x:c>
      <x:c r="C76" s="465"/>
      <x:c r="D76" s="465"/>
      <x:c r="E76" s="465" t="str">
        <x:v>A6:S205; X6:Z205; AB6:AK205; AN6:AS205</x:v>
      </x:c>
      <x:c r="F76" s="465"/>
      <x:c r="G76" s="465"/>
      <x:c r="H76" s="465"/>
      <x:c r="I76" s="465"/>
      <x:c r="J76" s="465"/>
      <x:c r="K76" s="465"/>
      <x:c r="L76" s="465"/>
      <x:c r="M76" s="465"/>
    </x:row>
    <x:row r="77" ht="28" customHeight="1">
      <x:c r="B77" s="468" t="str">
        <x:v>Contacts</x:v>
      </x:c>
      <x:c r="C77" s="468"/>
      <x:c r="D77" s="468"/>
      <x:c r="E77" s="468" t="str">
        <x:v>A6:G205</x:v>
      </x:c>
      <x:c r="F77" s="468"/>
      <x:c r="G77" s="468"/>
      <x:c r="H77" s="468"/>
      <x:c r="I77" s="468"/>
      <x:c r="J77" s="468"/>
      <x:c r="K77" s="468"/>
      <x:c r="L77" s="468"/>
      <x:c r="M77" s="468"/>
    </x:row>
    <x:row r="78" ht="28" customHeight="1">
      <x:c r="B78" s="465" t="str">
        <x:v>Properties</x:v>
      </x:c>
      <x:c r="C78" s="465"/>
      <x:c r="D78" s="465"/>
      <x:c r="E78" s="465" t="str">
        <x:v>A6:Y205</x:v>
      </x:c>
      <x:c r="F78" s="465"/>
      <x:c r="G78" s="465"/>
      <x:c r="H78" s="465"/>
      <x:c r="I78" s="465"/>
      <x:c r="J78" s="465"/>
      <x:c r="K78" s="465"/>
      <x:c r="L78" s="465"/>
      <x:c r="M78" s="465"/>
    </x:row>
    <x:row r="79" ht="28" customHeight="1">
      <x:c r="B79" s="468" t="str">
        <x:v>Deals</x:v>
      </x:c>
      <x:c r="C79" s="468"/>
      <x:c r="D79" s="468"/>
      <x:c r="E79" s="468" t="str">
        <x:v>A6:I205; K6:K205; M6:M205; O6:O205; Q6:Q205; U6:AA205; AC6:AH205</x:v>
      </x:c>
      <x:c r="F79" s="468"/>
      <x:c r="G79" s="468"/>
      <x:c r="H79" s="468"/>
      <x:c r="I79" s="468"/>
      <x:c r="J79" s="468"/>
      <x:c r="K79" s="468"/>
      <x:c r="L79" s="468"/>
      <x:c r="M79" s="468"/>
    </x:row>
    <x:row r="80" ht="28" customHeight="1">
      <x:c r="B80" s="465" t="str">
        <x:v>Follow-ups</x:v>
      </x:c>
      <x:c r="C80" s="465"/>
      <x:c r="D80" s="465"/>
      <x:c r="E80" s="465" t="str">
        <x:v>A6:I205</x:v>
      </x:c>
      <x:c r="F80" s="465"/>
      <x:c r="G80" s="465"/>
      <x:c r="H80" s="465"/>
      <x:c r="I80" s="465"/>
      <x:c r="J80" s="465"/>
      <x:c r="K80" s="465"/>
      <x:c r="L80" s="465"/>
      <x:c r="M80" s="465"/>
    </x:row>
    <x:row r="81" ht="28" customHeight="1">
      <x:c r="B81" s="468" t="str">
        <x:v>Viewings</x:v>
      </x:c>
      <x:c r="C81" s="468"/>
      <x:c r="D81" s="468"/>
      <x:c r="E81" s="468" t="str">
        <x:v>A6:G205</x:v>
      </x:c>
      <x:c r="F81" s="468"/>
      <x:c r="G81" s="468"/>
      <x:c r="H81" s="468"/>
      <x:c r="I81" s="468"/>
      <x:c r="J81" s="468"/>
      <x:c r="K81" s="468"/>
      <x:c r="L81" s="468"/>
      <x:c r="M81" s="468"/>
    </x:row>
    <x:row r="82" ht="28" customHeight="1">
      <x:c r="B82" s="465" t="str">
        <x:v>Payments</x:v>
      </x:c>
      <x:c r="C82" s="465"/>
      <x:c r="D82" s="465"/>
      <x:c r="E82" s="465" t="str">
        <x:v>A6:E205; G6:H205</x:v>
      </x:c>
      <x:c r="F82" s="465"/>
      <x:c r="G82" s="465"/>
      <x:c r="H82" s="465"/>
      <x:c r="I82" s="465"/>
      <x:c r="J82" s="465"/>
      <x:c r="K82" s="465"/>
      <x:c r="L82" s="465"/>
      <x:c r="M82" s="465"/>
    </x:row>
    <x:row r="83" ht="28" customHeight="1">
      <x:c r="B83" s="468" t="str">
        <x:v>Expenses</x:v>
      </x:c>
      <x:c r="C83" s="468"/>
      <x:c r="D83" s="468"/>
      <x:c r="E83" s="468" t="str">
        <x:v>A6:I205</x:v>
      </x:c>
      <x:c r="F83" s="468"/>
      <x:c r="G83" s="468"/>
      <x:c r="H83" s="468"/>
      <x:c r="I83" s="468"/>
      <x:c r="J83" s="468"/>
      <x:c r="K83" s="468"/>
      <x:c r="L83" s="468"/>
      <x:c r="M83" s="468"/>
    </x:row>
    <x:row r="84" ht="28" customHeight="1">
      <x:c r="B84" s="465" t="str">
        <x:v>Shortlist</x:v>
      </x:c>
      <x:c r="C84" s="465"/>
      <x:c r="D84" s="465"/>
      <x:c r="E84" s="465" t="str">
        <x:v>A6:G205</x:v>
      </x:c>
      <x:c r="F84" s="465"/>
      <x:c r="G84" s="465"/>
      <x:c r="H84" s="465"/>
      <x:c r="I84" s="465"/>
      <x:c r="J84" s="465"/>
      <x:c r="K84" s="465"/>
      <x:c r="L84" s="465"/>
      <x:c r="M84" s="465"/>
    </x:row>
    <x:row r="85" ht="28" customHeight="1">
      <x:c r="B85" s="468" t="str">
        <x:v>Client desk</x:v>
      </x:c>
      <x:c r="C85" s="468"/>
      <x:c r="D85" s="468"/>
      <x:c r="E85" s="468" t="str">
        <x:v>B6:H6; J6:L6; N6:P6</x:v>
      </x:c>
      <x:c r="F85" s="468"/>
      <x:c r="G85" s="468"/>
      <x:c r="H85" s="468"/>
      <x:c r="I85" s="468"/>
      <x:c r="J85" s="468"/>
      <x:c r="K85" s="468"/>
      <x:c r="L85" s="468"/>
      <x:c r="M85" s="468"/>
    </x:row>
    <x:row r="86" ht="28" customHeight="1">
      <x:c r="B86" s="465" t="str">
        <x:v>Date search</x:v>
      </x:c>
      <x:c r="C86" s="465"/>
      <x:c r="D86" s="465"/>
      <x:c r="E86" s="465" t="str">
        <x:v>B6:P6</x:v>
      </x:c>
      <x:c r="F86" s="465"/>
      <x:c r="G86" s="465"/>
      <x:c r="H86" s="465"/>
      <x:c r="I86" s="465"/>
      <x:c r="J86" s="465"/>
      <x:c r="K86" s="465"/>
      <x:c r="L86" s="465"/>
      <x:c r="M86" s="465"/>
    </x:row>
    <x:row r="87" ht="28" customHeight="1">
      <x:c r="B87" s="468" t="str">
        <x:v>Performance</x:v>
      </x:c>
      <x:c r="C87" s="468"/>
      <x:c r="D87" s="468"/>
      <x:c r="E87" s="468" t="str">
        <x:v>C8:F43</x:v>
      </x:c>
      <x:c r="F87" s="468"/>
      <x:c r="G87" s="468"/>
      <x:c r="H87" s="468"/>
      <x:c r="I87" s="468"/>
      <x:c r="J87" s="468"/>
      <x:c r="K87" s="468"/>
      <x:c r="L87" s="468"/>
      <x:c r="M87" s="468"/>
    </x:row>
    <x:row r="88" ht="26" customHeight="1">
      <x:c r="B88" s="497"/>
      <x:c r="C88" s="497"/>
      <x:c r="D88" s="497"/>
      <x:c r="E88" s="497"/>
      <x:c r="F88" s="497"/>
      <x:c r="G88" s="497"/>
      <x:c r="H88" s="497"/>
      <x:c r="I88" s="497"/>
      <x:c r="J88" s="497"/>
      <x:c r="K88" s="497"/>
      <x:c r="L88" s="497"/>
      <x:c r="M88" s="497"/>
    </x:row>
    <x:row r="89" ht="26" customHeight="1">
      <x:c r="B89" s="461" t="str">
        <x:v>Microsoft guidance: https://support.microsoft.com/en-us/excel/protect-a-worksheet</x:v>
      </x:c>
      <x:c r="C89" s="461"/>
      <x:c r="D89" s="461"/>
      <x:c r="E89" s="461"/>
      <x:c r="F89" s="461"/>
      <x:c r="G89" s="461"/>
      <x:c r="H89" s="461"/>
      <x:c r="I89" s="461"/>
      <x:c r="J89" s="461"/>
      <x:c r="K89" s="461"/>
      <x:c r="L89" s="461"/>
      <x:c r="M89" s="461"/>
    </x:row>
    <x:row r="90" ht="26" customHeight="1">
      <x:c r="B90" s="461"/>
      <x:c r="C90" s="461"/>
      <x:c r="D90" s="461"/>
      <x:c r="E90" s="461"/>
      <x:c r="F90" s="461"/>
      <x:c r="G90" s="461"/>
      <x:c r="H90" s="461"/>
      <x:c r="I90" s="461"/>
      <x:c r="J90" s="461"/>
      <x:c r="K90" s="461"/>
      <x:c r="L90" s="461"/>
      <x:c r="M90" s="461"/>
    </x:row>
    <x:row r="91" ht="26" customHeight="1">
      <x:c r="B91" s="497"/>
      <x:c r="C91" s="497"/>
      <x:c r="D91" s="497"/>
      <x:c r="E91" s="497"/>
      <x:c r="F91" s="497"/>
      <x:c r="G91" s="497"/>
      <x:c r="H91" s="497"/>
      <x:c r="I91" s="497"/>
      <x:c r="J91" s="497"/>
      <x:c r="K91" s="497"/>
      <x:c r="L91" s="497"/>
      <x:c r="M91" s="497"/>
    </x:row>
    <x:row r="92" ht="26" customHeight="1">
      <x:c r="B92" s="497"/>
      <x:c r="C92" s="497"/>
      <x:c r="D92" s="497"/>
      <x:c r="E92" s="497"/>
      <x:c r="F92" s="497"/>
      <x:c r="G92" s="497"/>
      <x:c r="H92" s="497"/>
      <x:c r="I92" s="497"/>
      <x:c r="J92" s="497"/>
      <x:c r="K92" s="497"/>
      <x:c r="L92" s="497"/>
      <x:c r="M92" s="497"/>
    </x:row>
    <x:row r="93" ht="26" customHeight="1">
      <x:c r="B93" s="497"/>
      <x:c r="C93" s="497"/>
      <x:c r="D93" s="497"/>
      <x:c r="E93" s="497"/>
      <x:c r="F93" s="497"/>
      <x:c r="G93" s="497"/>
      <x:c r="H93" s="497"/>
      <x:c r="I93" s="497"/>
      <x:c r="J93" s="497"/>
      <x:c r="K93" s="497"/>
      <x:c r="L93" s="497"/>
      <x:c r="M93" s="497"/>
    </x:row>
    <x:row r="94" ht="26" customHeight="1">
      <x:c r="B94" s="497"/>
      <x:c r="C94" s="497"/>
      <x:c r="D94" s="497"/>
      <x:c r="E94" s="497"/>
      <x:c r="F94" s="497"/>
      <x:c r="G94" s="497"/>
      <x:c r="H94" s="497"/>
      <x:c r="I94" s="497"/>
      <x:c r="J94" s="497"/>
      <x:c r="K94" s="497"/>
      <x:c r="L94" s="497"/>
      <x:c r="M94" s="497"/>
    </x:row>
    <x:row r="95" ht="26" customHeight="1">
      <x:c r="B95" s="497"/>
      <x:c r="C95" s="497"/>
      <x:c r="D95" s="497"/>
      <x:c r="E95" s="497"/>
      <x:c r="F95" s="497"/>
      <x:c r="G95" s="497"/>
      <x:c r="H95" s="497"/>
      <x:c r="I95" s="497"/>
      <x:c r="J95" s="497"/>
      <x:c r="K95" s="497"/>
      <x:c r="L95" s="497"/>
      <x:c r="M95" s="497"/>
    </x:row>
    <x:row r="96" ht="32" customHeight="1">
      <x:c r="B96" s="826" t="str">
        <x:v>CRM UPGRADE  •  QUALIFICATION, PIPELINES &amp; RELATIONSHIPS</x:v>
      </x:c>
      <x:c r="C96" s="826"/>
      <x:c r="D96" s="826"/>
      <x:c r="E96" s="826"/>
      <x:c r="F96" s="826"/>
      <x:c r="G96" s="826"/>
      <x:c r="H96" s="826"/>
      <x:c r="I96" s="826"/>
      <x:c r="J96" s="826"/>
      <x:c r="K96" s="826"/>
      <x:c r="L96" s="497"/>
      <x:c r="M96" s="497"/>
    </x:row>
    <x:row r="97" ht="26" customHeight="1">
      <x:c r="B97" s="497"/>
      <x:c r="C97" s="497"/>
      <x:c r="D97" s="497"/>
      <x:c r="E97" s="497"/>
      <x:c r="F97" s="497"/>
      <x:c r="G97" s="497"/>
      <x:c r="H97" s="497"/>
      <x:c r="I97" s="497"/>
      <x:c r="J97" s="497"/>
      <x:c r="K97" s="497"/>
      <x:c r="L97" s="497"/>
      <x:c r="M97" s="497"/>
    </x:row>
    <x:row r="98" ht="36" customHeight="1">
      <x:c r="B98" s="830" t="str">
        <x:v>Clients · new fields</x:v>
      </x:c>
      <x:c r="C98" s="829" t="str">
        <x:v>Fill AB:AK to qualify each enquiry, then enter qualification date in AN. AL:AM calculate a lead score/tier.</x:v>
      </x:c>
      <x:c r="D98" s="829"/>
      <x:c r="E98" s="829"/>
      <x:c r="F98" s="829"/>
      <x:c r="G98" s="829"/>
      <x:c r="H98" s="829"/>
      <x:c r="I98" s="829"/>
      <x:c r="J98" s="829"/>
      <x:c r="K98" s="829" t="str">
        <x:v>Clients</x:v>
      </x:c>
      <x:c r="L98" s="497"/>
      <x:c r="M98" s="497"/>
    </x:row>
    <x:row r="99" ht="26" customHeight="1">
      <x:c r="B99" s="497"/>
      <x:c r="C99" s="497"/>
      <x:c r="D99" s="497"/>
      <x:c r="E99" s="497"/>
      <x:c r="F99" s="497"/>
      <x:c r="G99" s="497"/>
      <x:c r="H99" s="497"/>
      <x:c r="I99" s="497"/>
      <x:c r="J99" s="497"/>
      <x:c r="K99" s="497"/>
      <x:c r="L99" s="497"/>
      <x:c r="M99" s="497"/>
    </x:row>
    <x:row r="100" ht="36" customHeight="1">
      <x:c r="B100" s="833" t="str">
        <x:v>Lead score</x:v>
      </x:c>
      <x:c r="C100" s="832" t="str">
        <x:v>Score is 0–100 based on contact, budget, verified funds, decision maker, urgency, readiness and a dated next task.</x:v>
      </x:c>
      <x:c r="D100" s="832"/>
      <x:c r="E100" s="832"/>
      <x:c r="F100" s="832"/>
      <x:c r="G100" s="832"/>
      <x:c r="H100" s="832"/>
      <x:c r="I100" s="832"/>
      <x:c r="J100" s="832"/>
      <x:c r="K100" s="832" t="str">
        <x:v>Clients</x:v>
      </x:c>
    </x:row>
    <x:row r="102" ht="36" customHeight="1">
      <x:c r="B102" s="830" t="str">
        <x:v>Pipeline milestones</x:v>
      </x:c>
      <x:c r="C102" s="829" t="str">
        <x:v>On Deals enter pipeline type (AC), milestone (AD), blocker (AE), action (AF) and action due (AG).</x:v>
      </x:c>
      <x:c r="D102" s="829"/>
      <x:c r="E102" s="829"/>
      <x:c r="F102" s="829"/>
      <x:c r="G102" s="829"/>
      <x:c r="H102" s="829"/>
      <x:c r="I102" s="829"/>
      <x:c r="J102" s="829"/>
      <x:c r="K102" s="829" t="str">
        <x:v>Deals</x:v>
      </x:c>
    </x:row>
    <x:row r="104" ht="36" customHeight="1">
      <x:c r="B104" s="833" t="str">
        <x:v>Conversation log</x:v>
      </x:c>
      <x:c r="C104" s="832" t="str">
        <x:v>Record commitments and objections after important conversations. Create separate tasks in Follow-ups for main dashboard alerts.</x:v>
      </x:c>
      <x:c r="D104" s="832"/>
      <x:c r="E104" s="832"/>
      <x:c r="F104" s="832"/>
      <x:c r="G104" s="832"/>
      <x:c r="H104" s="832"/>
      <x:c r="I104" s="832"/>
      <x:c r="J104" s="832"/>
      <x:c r="K104" s="832" t="str">
        <x:v>Interaction log</x:v>
      </x:c>
    </x:row>
    <x:row r="106" ht="36" customHeight="1">
      <x:c r="B106" s="830" t="str">
        <x:v>Lost enquiry reasons</x:v>
      </x:c>
      <x:c r="C106" s="829" t="str">
        <x:v>Set Clients stage H to Lost and choose category in Y. Recontact dates are AQ and eligibility is AS.</x:v>
      </x:c>
      <x:c r="D106" s="829"/>
      <x:c r="E106" s="829"/>
      <x:c r="F106" s="829"/>
      <x:c r="G106" s="829"/>
      <x:c r="H106" s="829"/>
      <x:c r="I106" s="829"/>
      <x:c r="J106" s="829"/>
      <x:c r="K106" s="829" t="str">
        <x:v>Clients</x:v>
      </x:c>
    </x:row>
    <x:row r="108" ht="36" customHeight="1">
      <x:c r="B108" s="833" t="str">
        <x:v>Client aftercare</x:v>
      </x:c>
      <x:c r="C108" s="832" t="str">
        <x:v>Use Client care for lease renewals, referrals and investor / customer check-ins.</x:v>
      </x:c>
      <x:c r="D108" s="832"/>
      <x:c r="E108" s="832"/>
      <x:c r="F108" s="832"/>
      <x:c r="G108" s="832"/>
      <x:c r="H108" s="832"/>
      <x:c r="I108" s="832"/>
      <x:c r="J108" s="832"/>
      <x:c r="K108" s="832" t="str">
        <x:v>Client care</x:v>
      </x:c>
    </x:row>
    <x:row r="110" ht="36" customHeight="1">
      <x:c r="B110" s="830" t="str">
        <x:v>CRM analytics</x:v>
      </x:c>
      <x:c r="C110" s="829" t="str">
        <x:v>CRM insights automatically summarizes hot/warm leads, active pipeline counts, losses and actions due.</x:v>
      </x:c>
      <x:c r="D110" s="829"/>
      <x:c r="E110" s="829"/>
      <x:c r="F110" s="829"/>
      <x:c r="G110" s="829"/>
      <x:c r="H110" s="829"/>
      <x:c r="I110" s="829"/>
      <x:c r="J110" s="829"/>
      <x:c r="K110" s="829" t="str">
        <x:v>CRM insights</x:v>
      </x:c>
    </x:row>
    <x:row r="112" ht="36" customHeight="1">
      <x:c r="B112" s="833" t="str">
        <x:v>Important limit</x:v>
      </x:c>
      <x:c r="C112" s="832" t="str">
        <x:v>This Excel workbook does not send WhatsApp messages, emails, calendar invites or push notifications automatically.</x:v>
      </x:c>
      <x:c r="D112" s="832"/>
      <x:c r="E112" s="832"/>
      <x:c r="F112" s="832"/>
      <x:c r="G112" s="832"/>
      <x:c r="H112" s="832"/>
      <x:c r="I112" s="832"/>
      <x:c r="J112" s="832"/>
      <x:c r="K112" s="832" t="str">
        <x:v>CRM insights</x:v>
      </x:c>
    </x:row>
    <x:row r="115">
      <x:c r="B115" t="str">
        <x:v>CRM input ranges</x:v>
      </x:c>
      <x:c r="E115" t="str">
        <x:v>Which cells to leave editable</x:v>
      </x:c>
    </x:row>
    <x:row r="116">
      <x:c r="B116" t="str">
        <x:v>Interaction log</x:v>
      </x:c>
      <x:c r="E116" t="str">
        <x:v>A6:C205; E6:P205</x:v>
      </x:c>
    </x:row>
    <x:row r="117">
      <x:c r="B117" t="str">
        <x:v>Client care</x:v>
      </x:c>
      <x:c r="E117" t="str">
        <x:v>A6:B205; D6:G205; I6:N205</x:v>
      </x:c>
    </x:row>
    <x:row r="118">
      <x:c r="B118" t="str">
        <x:v>CRM insights</x:v>
      </x:c>
      <x:c r="E118" t="str">
        <x:v>No input cells; calculations only</x:v>
      </x:c>
    </x:row>
  </x:sheetData>
  <x:mergeCells>
    <x:mergeCell ref="B2:D2"/>
    <x:mergeCell ref="B4:M4"/>
    <x:mergeCell ref="B5:M5"/>
    <x:mergeCell ref="B8:B9"/>
    <x:mergeCell ref="C8:F8"/>
    <x:mergeCell ref="K8:M8"/>
    <x:mergeCell ref="C9:M9"/>
    <x:mergeCell ref="B11:B12"/>
    <x:mergeCell ref="C11:F11"/>
    <x:mergeCell ref="K11:M11"/>
    <x:mergeCell ref="C12:M12"/>
    <x:mergeCell ref="B14:B15"/>
    <x:mergeCell ref="C14:F14"/>
    <x:mergeCell ref="K14:M14"/>
    <x:mergeCell ref="C15:M15"/>
    <x:mergeCell ref="B17:B18"/>
    <x:mergeCell ref="C17:F17"/>
    <x:mergeCell ref="K17:M17"/>
    <x:mergeCell ref="C18:M18"/>
    <x:mergeCell ref="B20:B21"/>
    <x:mergeCell ref="C20:F20"/>
    <x:mergeCell ref="K20:M20"/>
    <x:mergeCell ref="C21:M21"/>
    <x:mergeCell ref="B23:B24"/>
    <x:mergeCell ref="C23:F23"/>
    <x:mergeCell ref="K23:M23"/>
    <x:mergeCell ref="C24:M24"/>
    <x:mergeCell ref="B26:B27"/>
    <x:mergeCell ref="C26:F26"/>
    <x:mergeCell ref="K26:M26"/>
    <x:mergeCell ref="C27:M27"/>
    <x:mergeCell ref="B30:M30"/>
    <x:mergeCell ref="B31:E31"/>
    <x:mergeCell ref="F31:M31"/>
    <x:mergeCell ref="B32:E32"/>
    <x:mergeCell ref="F32:M32"/>
    <x:mergeCell ref="B33:E33"/>
    <x:mergeCell ref="F33:M33"/>
    <x:mergeCell ref="B34:E34"/>
    <x:mergeCell ref="F34:M34"/>
    <x:mergeCell ref="B35:E35"/>
    <x:mergeCell ref="F35:M35"/>
    <x:mergeCell ref="B36:E36"/>
    <x:mergeCell ref="F36:M36"/>
    <x:mergeCell ref="B37:E37"/>
    <x:mergeCell ref="F37:M37"/>
    <x:mergeCell ref="B38:E38"/>
    <x:mergeCell ref="F38:M38"/>
    <x:mergeCell ref="B40:M40"/>
    <x:mergeCell ref="B41:E41"/>
    <x:mergeCell ref="F41:M41"/>
    <x:mergeCell ref="B42:E42"/>
    <x:mergeCell ref="F42:M42"/>
    <x:mergeCell ref="B43:E43"/>
    <x:mergeCell ref="F43:M43"/>
    <x:mergeCell ref="B44:E44"/>
    <x:mergeCell ref="F44:M44"/>
    <x:mergeCell ref="B45:E45"/>
    <x:mergeCell ref="F45:M45"/>
    <x:mergeCell ref="B46:E46"/>
    <x:mergeCell ref="F46:M46"/>
    <x:mergeCell ref="B47:E47"/>
    <x:mergeCell ref="F47:M47"/>
    <x:mergeCell ref="B48:E48"/>
    <x:mergeCell ref="F48:M48"/>
    <x:mergeCell ref="B49:E49"/>
    <x:mergeCell ref="F49:M49"/>
    <x:mergeCell ref="B51:M51"/>
    <x:mergeCell ref="B53:M54"/>
    <x:mergeCell ref="B55:M56"/>
    <x:mergeCell ref="B57:M58"/>
    <x:mergeCell ref="B59:M60"/>
    <x:mergeCell ref="B61:M62"/>
    <x:mergeCell ref="B63:M64"/>
    <x:mergeCell ref="B65:M66"/>
    <x:mergeCell ref="B69:M69"/>
    <x:mergeCell ref="B70:M72"/>
    <x:mergeCell ref="B74:D74"/>
    <x:mergeCell ref="E74:M74"/>
    <x:mergeCell ref="B75:D75"/>
    <x:mergeCell ref="E75:M75"/>
    <x:mergeCell ref="B76:D76"/>
    <x:mergeCell ref="E76:M76"/>
    <x:mergeCell ref="B77:D77"/>
    <x:mergeCell ref="E77:M77"/>
    <x:mergeCell ref="B78:D78"/>
    <x:mergeCell ref="E78:M78"/>
    <x:mergeCell ref="B79:D79"/>
    <x:mergeCell ref="E79:M79"/>
    <x:mergeCell ref="B80:D80"/>
    <x:mergeCell ref="E80:M80"/>
    <x:mergeCell ref="B81:D81"/>
    <x:mergeCell ref="E81:M81"/>
    <x:mergeCell ref="B82:D82"/>
    <x:mergeCell ref="E82:M82"/>
    <x:mergeCell ref="B83:D83"/>
    <x:mergeCell ref="E83:M83"/>
    <x:mergeCell ref="B84:D84"/>
    <x:mergeCell ref="E84:M84"/>
    <x:mergeCell ref="B85:D85"/>
    <x:mergeCell ref="E85:M85"/>
    <x:mergeCell ref="B86:D86"/>
    <x:mergeCell ref="E86:M86"/>
    <x:mergeCell ref="B87:D87"/>
    <x:mergeCell ref="E87:M87"/>
    <x:mergeCell ref="B89:M90"/>
    <x:mergeCell ref="B96:K96"/>
    <x:mergeCell ref="C98:I98"/>
    <x:mergeCell ref="C100:I100"/>
    <x:mergeCell ref="C102:I102"/>
    <x:mergeCell ref="C104:I104"/>
    <x:mergeCell ref="C106:I106"/>
    <x:mergeCell ref="C108:I108"/>
    <x:mergeCell ref="C110:I110"/>
    <x:mergeCell ref="C112:I112"/>
  </x:mergeCells>
  <x:pageMargins left="0.7" right="0.7" top="0.75" bottom="0.75" header="0.3" footer="0.3"/>
</x:worksheet>
</file>

<file path=xl/worksheets/sheet11.xml><?xml version="1.0" encoding="utf-8"?>
<x:worksheet xmlns:x="http://schemas.openxmlformats.org/spreadsheetml/2006/main">
  <x:sheetPr>
    <x:tabColor rgb="FF738996"/>
  </x:sheetPr>
  <x:sheetViews>
    <x:sheetView showGridLines="0" workbookViewId="0">
      <x:pane xSplit="2" ySplit="5" topLeftCell="C6" activePane="bottomRight" state="frozen"/>
    </x:sheetView>
  </x:sheetViews>
  <x:sheetFormatPr defaultRowHeight="15"/>
  <x:cols>
    <x:col min="1" max="1" width="13" hidden="0" customWidth="1"/>
    <x:col min="2" max="2" width="13" hidden="0" customWidth="1"/>
    <x:col min="3" max="3" width="13" hidden="0" customWidth="1"/>
    <x:col min="4" max="4" width="18" hidden="0" customWidth="1"/>
    <x:col min="5" max="5" width="18" hidden="0" customWidth="1"/>
    <x:col min="6" max="6" width="32" hidden="0" customWidth="1"/>
    <x:col min="7" max="7" width="32" hidden="0" customWidth="1"/>
    <x:col min="8" max="8" width="25" hidden="0" customWidth="1"/>
    <x:col min="9" max="9" width="25" hidden="0" customWidth="1"/>
    <x:col min="10" max="10" width="25" hidden="0" customWidth="1"/>
  </x:cols>
  <x:sheetData>
    <x:row r="1" ht="22" customHeight="1">
      <x:c r="A1" s="259" t="str">
        <x:v>KEYS WITH SIMONI</x:v>
      </x:c>
      <x:c r="B1" s="260"/>
      <x:c r="C1" s="260"/>
      <x:c r="D1" s="260"/>
      <x:c r="E1" s="382" t="str">
        <x:v>Records to review</x:v>
      </x:c>
      <x:c r="F1" s="382"/>
      <x:c r="G1" s="382"/>
      <x:c r="H1" s="385" t="n">
        <x:f>SUM(COUNTIFS($J$6:$J$205,"Duplicate ID"),COUNTIFS($J$6:$J$205,"Check Client ID"),COUNTIFS($J$6:$J$205,"Check Property ID"),COUNTIFS($J$6:$J$205,"Set client response"),COUNTIFS($J$6:$J$205,"Add date sent"))</x:f>
        <x:v>0</x:v>
      </x:c>
      <x:c r="I1" s="256"/>
      <x:c r="J1" s="257"/>
    </x:row>
    <x:row r="2" ht="37" customHeight="1">
      <x:c r="A2" s="263" t="str">
        <x:v>Client property shortlist</x:v>
      </x:c>
      <x:c r="B2" s="264"/>
      <x:c r="C2" s="264"/>
      <x:c r="D2" s="264"/>
      <x:c r="E2" s="264"/>
      <x:c r="F2" s="268" t="str">
        <x:v>White: enter data. Blue-grey: calculated.</x:v>
      </x:c>
      <x:c r="G2" s="268"/>
      <x:c r="H2" s="268"/>
      <x:c r="I2" s="235"/>
      <x:c r="J2" s="239"/>
    </x:row>
    <x:row r="3" ht="35" customHeight="1">
      <x:c r="A3" s="271" t="str">
        <x:v>Match several properties to one client. Record what you sent and the response before arranging a viewing.</x:v>
      </x:c>
      <x:c r="B3" s="272"/>
      <x:c r="C3" s="272"/>
      <x:c r="D3" s="272"/>
      <x:c r="E3" s="272"/>
      <x:c r="F3" s="272"/>
      <x:c r="G3" s="272"/>
      <x:c r="H3" s="272"/>
      <x:c r="I3" s="235"/>
      <x:c r="J3" s="239"/>
    </x:row>
    <x:row r="4" ht="24" customHeight="1">
      <x:c r="A4" s="277" t="str">
        <x:v>01  PROPERTY MATCH</x:v>
      </x:c>
      <x:c r="B4" s="278"/>
      <x:c r="C4" s="278"/>
      <x:c r="D4" s="278"/>
      <x:c r="E4" s="278"/>
      <x:c r="F4" s="279" t="str">
        <x:v>02  RESPONSE &amp; NEXT STEP</x:v>
      </x:c>
      <x:c r="G4" s="279"/>
      <x:c r="H4" s="279" t="str">
        <x:v>03  LINKED DETAILS &amp; REVIEW</x:v>
      </x:c>
      <x:c r="I4" s="279"/>
      <x:c r="J4" s="282"/>
    </x:row>
    <x:row r="5" ht="44" customHeight="1">
      <x:c r="A5" s="293" t="str">
        <x:v>Match
ID</x:v>
      </x:c>
      <x:c r="B5" s="294" t="str">
        <x:v>Client
ID</x:v>
      </x:c>
      <x:c r="C5" s="294" t="str">
        <x:v>Property
ID</x:v>
      </x:c>
      <x:c r="D5" s="294" t="str">
        <x:v>Date
sent</x:v>
      </x:c>
      <x:c r="E5" s="294" t="str">
        <x:v>Client
response</x:v>
      </x:c>
      <x:c r="F5" s="294" t="str">
        <x:v>Next
action</x:v>
      </x:c>
      <x:c r="G5" s="294" t="str">
        <x:v>Notes</x:v>
      </x:c>
      <x:c r="H5" s="294" t="str">
        <x:v>Client name
auto</x:v>
      </x:c>
      <x:c r="I5" s="294" t="str">
        <x:v>Property title
auto</x:v>
      </x:c>
      <x:c r="J5" s="369" t="str">
        <x:v>Record
check</x:v>
      </x:c>
    </x:row>
    <x:row r="6" ht="26" customHeight="1">
      <x:c r="A6" s="317"/>
      <x:c r="B6" s="318"/>
      <x:c r="C6" s="235"/>
      <x:c r="D6" s="238"/>
      <x:c r="E6" s="235"/>
      <x:c r="F6" s="235"/>
      <x:c r="G6" s="235"/>
      <x:c r="H6" s="265" t="str">
        <x:f>IF(A6="","",IF(B6="","",IF(COUNTIFS('Clients'!$A$6:$A$205,B6)&lt;&gt;1,"Check Client ID",IF(INDEX('Clients'!$B$6:$B$205,MATCH(B6,'Clients'!$A$6:$A$205,0))="","Name missing",INDEX('Clients'!$B$6:$B$205,MATCH(B6,'Clients'!$A$6:$A$205,0))))))</x:f>
      </x:c>
      <x:c r="I6" s="265" t="str">
        <x:f>IF(A6="","",IF(C6="","",IF(COUNTIFS('Properties'!$A$6:$A$205,C6)&lt;&gt;1,"Check Property ID",IF(INDEX('Properties'!$B$6:$B$205,MATCH(C6,'Properties'!$A$6:$A$205,0))="","Name missing",INDEX('Properties'!$B$6:$B$205,MATCH(C6,'Properties'!$A$6:$A$205,0))))))</x:f>
      </x:c>
      <x:c r="J6" s="315" t="str">
        <x:f>IF(A6="","",IF(COUNTIFS($A$6:$A$205,A6)&gt;1,"Duplicate ID",IF(OR(B6="",COUNTIFS('Clients'!$A$6:$A$205,B6)&lt;&gt;1),"Check Client ID",IF(OR(C6="",COUNTIFS('Properties'!$A$6:$A$205,C6)&lt;&gt;1),"Check Property ID",IF(E6="","Set client response",IF(AND(E6&lt;&gt;"Not sent",NOT(ISNUMBER(D6))),"Add date sent",""))))))</x:f>
      </x:c>
    </x:row>
    <x:row r="7" ht="26" customHeight="1">
      <x:c r="A7" s="319"/>
      <x:c r="B7" s="320"/>
      <x:c r="C7" s="274"/>
      <x:c r="D7" s="304"/>
      <x:c r="E7" s="274"/>
      <x:c r="F7" s="274"/>
      <x:c r="G7" s="274"/>
      <x:c r="H7" s="265" t="str">
        <x:f>IF(A7="","",IF(B7="","",IF(COUNTIFS('Clients'!$A$6:$A$205,B7)&lt;&gt;1,"Check Client ID",IF(INDEX('Clients'!$B$6:$B$205,MATCH(B7,'Clients'!$A$6:$A$205,0))="","Name missing",INDEX('Clients'!$B$6:$B$205,MATCH(B7,'Clients'!$A$6:$A$205,0))))))</x:f>
      </x:c>
      <x:c r="I7" s="265" t="str">
        <x:f>IF(A7="","",IF(C7="","",IF(COUNTIFS('Properties'!$A$6:$A$205,C7)&lt;&gt;1,"Check Property ID",IF(INDEX('Properties'!$B$6:$B$205,MATCH(C7,'Properties'!$A$6:$A$205,0))="","Name missing",INDEX('Properties'!$B$6:$B$205,MATCH(C7,'Properties'!$A$6:$A$205,0))))))</x:f>
      </x:c>
      <x:c r="J7" s="315" t="str">
        <x:f>IF(A7="","",IF(COUNTIFS($A$6:$A$205,A7)&gt;1,"Duplicate ID",IF(OR(B7="",COUNTIFS('Clients'!$A$6:$A$205,B7)&lt;&gt;1),"Check Client ID",IF(OR(C7="",COUNTIFS('Properties'!$A$6:$A$205,C7)&lt;&gt;1),"Check Property ID",IF(E7="","Set client response",IF(AND(E7&lt;&gt;"Not sent",NOT(ISNUMBER(D7))),"Add date sent",""))))))</x:f>
      </x:c>
    </x:row>
    <x:row r="8" ht="26" customHeight="1">
      <x:c r="A8" s="317"/>
      <x:c r="B8" s="318"/>
      <x:c r="C8" s="235"/>
      <x:c r="D8" s="238"/>
      <x:c r="E8" s="235"/>
      <x:c r="F8" s="235"/>
      <x:c r="G8" s="235"/>
      <x:c r="H8" s="265" t="str">
        <x:f>IF(A8="","",IF(B8="","",IF(COUNTIFS('Clients'!$A$6:$A$205,B8)&lt;&gt;1,"Check Client ID",IF(INDEX('Clients'!$B$6:$B$205,MATCH(B8,'Clients'!$A$6:$A$205,0))="","Name missing",INDEX('Clients'!$B$6:$B$205,MATCH(B8,'Clients'!$A$6:$A$205,0))))))</x:f>
      </x:c>
      <x:c r="I8" s="265" t="str">
        <x:f>IF(A8="","",IF(C8="","",IF(COUNTIFS('Properties'!$A$6:$A$205,C8)&lt;&gt;1,"Check Property ID",IF(INDEX('Properties'!$B$6:$B$205,MATCH(C8,'Properties'!$A$6:$A$205,0))="","Name missing",INDEX('Properties'!$B$6:$B$205,MATCH(C8,'Properties'!$A$6:$A$205,0))))))</x:f>
      </x:c>
      <x:c r="J8" s="315" t="str">
        <x:f>IF(A8="","",IF(COUNTIFS($A$6:$A$205,A8)&gt;1,"Duplicate ID",IF(OR(B8="",COUNTIFS('Clients'!$A$6:$A$205,B8)&lt;&gt;1),"Check Client ID",IF(OR(C8="",COUNTIFS('Properties'!$A$6:$A$205,C8)&lt;&gt;1),"Check Property ID",IF(E8="","Set client response",IF(AND(E8&lt;&gt;"Not sent",NOT(ISNUMBER(D8))),"Add date sent",""))))))</x:f>
      </x:c>
    </x:row>
    <x:row r="9" ht="26" customHeight="1">
      <x:c r="A9" s="319"/>
      <x:c r="B9" s="320"/>
      <x:c r="C9" s="274"/>
      <x:c r="D9" s="304"/>
      <x:c r="E9" s="274"/>
      <x:c r="F9" s="274"/>
      <x:c r="G9" s="274"/>
      <x:c r="H9" s="265" t="str">
        <x:f>IF(A9="","",IF(B9="","",IF(COUNTIFS('Clients'!$A$6:$A$205,B9)&lt;&gt;1,"Check Client ID",IF(INDEX('Clients'!$B$6:$B$205,MATCH(B9,'Clients'!$A$6:$A$205,0))="","Name missing",INDEX('Clients'!$B$6:$B$205,MATCH(B9,'Clients'!$A$6:$A$205,0))))))</x:f>
      </x:c>
      <x:c r="I9" s="265" t="str">
        <x:f>IF(A9="","",IF(C9="","",IF(COUNTIFS('Properties'!$A$6:$A$205,C9)&lt;&gt;1,"Check Property ID",IF(INDEX('Properties'!$B$6:$B$205,MATCH(C9,'Properties'!$A$6:$A$205,0))="","Name missing",INDEX('Properties'!$B$6:$B$205,MATCH(C9,'Properties'!$A$6:$A$205,0))))))</x:f>
      </x:c>
      <x:c r="J9" s="315" t="str">
        <x:f>IF(A9="","",IF(COUNTIFS($A$6:$A$205,A9)&gt;1,"Duplicate ID",IF(OR(B9="",COUNTIFS('Clients'!$A$6:$A$205,B9)&lt;&gt;1),"Check Client ID",IF(OR(C9="",COUNTIFS('Properties'!$A$6:$A$205,C9)&lt;&gt;1),"Check Property ID",IF(E9="","Set client response",IF(AND(E9&lt;&gt;"Not sent",NOT(ISNUMBER(D9))),"Add date sent",""))))))</x:f>
      </x:c>
    </x:row>
    <x:row r="10" ht="26" customHeight="1">
      <x:c r="A10" s="317"/>
      <x:c r="B10" s="318"/>
      <x:c r="C10" s="235"/>
      <x:c r="D10" s="238"/>
      <x:c r="E10" s="235"/>
      <x:c r="F10" s="235"/>
      <x:c r="G10" s="235"/>
      <x:c r="H10" s="265" t="str">
        <x:f>IF(A10="","",IF(B10="","",IF(COUNTIFS('Clients'!$A$6:$A$205,B10)&lt;&gt;1,"Check Client ID",IF(INDEX('Clients'!$B$6:$B$205,MATCH(B10,'Clients'!$A$6:$A$205,0))="","Name missing",INDEX('Clients'!$B$6:$B$205,MATCH(B10,'Clients'!$A$6:$A$205,0))))))</x:f>
      </x:c>
      <x:c r="I10" s="265" t="str">
        <x:f>IF(A10="","",IF(C10="","",IF(COUNTIFS('Properties'!$A$6:$A$205,C10)&lt;&gt;1,"Check Property ID",IF(INDEX('Properties'!$B$6:$B$205,MATCH(C10,'Properties'!$A$6:$A$205,0))="","Name missing",INDEX('Properties'!$B$6:$B$205,MATCH(C10,'Properties'!$A$6:$A$205,0))))))</x:f>
      </x:c>
      <x:c r="J10" s="315" t="str">
        <x:f>IF(A10="","",IF(COUNTIFS($A$6:$A$205,A10)&gt;1,"Duplicate ID",IF(OR(B10="",COUNTIFS('Clients'!$A$6:$A$205,B10)&lt;&gt;1),"Check Client ID",IF(OR(C10="",COUNTIFS('Properties'!$A$6:$A$205,C10)&lt;&gt;1),"Check Property ID",IF(E10="","Set client response",IF(AND(E10&lt;&gt;"Not sent",NOT(ISNUMBER(D10))),"Add date sent",""))))))</x:f>
      </x:c>
    </x:row>
    <x:row r="11" ht="26" customHeight="1">
      <x:c r="A11" s="319"/>
      <x:c r="B11" s="320"/>
      <x:c r="C11" s="274"/>
      <x:c r="D11" s="304"/>
      <x:c r="E11" s="274"/>
      <x:c r="F11" s="274"/>
      <x:c r="G11" s="274"/>
      <x:c r="H11" s="265" t="str">
        <x:f>IF(A11="","",IF(B11="","",IF(COUNTIFS('Clients'!$A$6:$A$205,B11)&lt;&gt;1,"Check Client ID",IF(INDEX('Clients'!$B$6:$B$205,MATCH(B11,'Clients'!$A$6:$A$205,0))="","Name missing",INDEX('Clients'!$B$6:$B$205,MATCH(B11,'Clients'!$A$6:$A$205,0))))))</x:f>
      </x:c>
      <x:c r="I11" s="265" t="str">
        <x:f>IF(A11="","",IF(C11="","",IF(COUNTIFS('Properties'!$A$6:$A$205,C11)&lt;&gt;1,"Check Property ID",IF(INDEX('Properties'!$B$6:$B$205,MATCH(C11,'Properties'!$A$6:$A$205,0))="","Name missing",INDEX('Properties'!$B$6:$B$205,MATCH(C11,'Properties'!$A$6:$A$205,0))))))</x:f>
      </x:c>
      <x:c r="J11" s="315" t="str">
        <x:f>IF(A11="","",IF(COUNTIFS($A$6:$A$205,A11)&gt;1,"Duplicate ID",IF(OR(B11="",COUNTIFS('Clients'!$A$6:$A$205,B11)&lt;&gt;1),"Check Client ID",IF(OR(C11="",COUNTIFS('Properties'!$A$6:$A$205,C11)&lt;&gt;1),"Check Property ID",IF(E11="","Set client response",IF(AND(E11&lt;&gt;"Not sent",NOT(ISNUMBER(D11))),"Add date sent",""))))))</x:f>
      </x:c>
    </x:row>
    <x:row r="12" ht="26" customHeight="1">
      <x:c r="A12" s="317"/>
      <x:c r="B12" s="318"/>
      <x:c r="C12" s="235"/>
      <x:c r="D12" s="238"/>
      <x:c r="E12" s="235"/>
      <x:c r="F12" s="235"/>
      <x:c r="G12" s="235"/>
      <x:c r="H12" s="265" t="str">
        <x:f>IF(A12="","",IF(B12="","",IF(COUNTIFS('Clients'!$A$6:$A$205,B12)&lt;&gt;1,"Check Client ID",IF(INDEX('Clients'!$B$6:$B$205,MATCH(B12,'Clients'!$A$6:$A$205,0))="","Name missing",INDEX('Clients'!$B$6:$B$205,MATCH(B12,'Clients'!$A$6:$A$205,0))))))</x:f>
      </x:c>
      <x:c r="I12" s="265" t="str">
        <x:f>IF(A12="","",IF(C12="","",IF(COUNTIFS('Properties'!$A$6:$A$205,C12)&lt;&gt;1,"Check Property ID",IF(INDEX('Properties'!$B$6:$B$205,MATCH(C12,'Properties'!$A$6:$A$205,0))="","Name missing",INDEX('Properties'!$B$6:$B$205,MATCH(C12,'Properties'!$A$6:$A$205,0))))))</x:f>
      </x:c>
      <x:c r="J12" s="315" t="str">
        <x:f>IF(A12="","",IF(COUNTIFS($A$6:$A$205,A12)&gt;1,"Duplicate ID",IF(OR(B12="",COUNTIFS('Clients'!$A$6:$A$205,B12)&lt;&gt;1),"Check Client ID",IF(OR(C12="",COUNTIFS('Properties'!$A$6:$A$205,C12)&lt;&gt;1),"Check Property ID",IF(E12="","Set client response",IF(AND(E12&lt;&gt;"Not sent",NOT(ISNUMBER(D12))),"Add date sent",""))))))</x:f>
      </x:c>
    </x:row>
    <x:row r="13" ht="26" customHeight="1">
      <x:c r="A13" s="319"/>
      <x:c r="B13" s="320"/>
      <x:c r="C13" s="274"/>
      <x:c r="D13" s="304"/>
      <x:c r="E13" s="274"/>
      <x:c r="F13" s="274"/>
      <x:c r="G13" s="274"/>
      <x:c r="H13" s="265" t="str">
        <x:f>IF(A13="","",IF(B13="","",IF(COUNTIFS('Clients'!$A$6:$A$205,B13)&lt;&gt;1,"Check Client ID",IF(INDEX('Clients'!$B$6:$B$205,MATCH(B13,'Clients'!$A$6:$A$205,0))="","Name missing",INDEX('Clients'!$B$6:$B$205,MATCH(B13,'Clients'!$A$6:$A$205,0))))))</x:f>
      </x:c>
      <x:c r="I13" s="265" t="str">
        <x:f>IF(A13="","",IF(C13="","",IF(COUNTIFS('Properties'!$A$6:$A$205,C13)&lt;&gt;1,"Check Property ID",IF(INDEX('Properties'!$B$6:$B$205,MATCH(C13,'Properties'!$A$6:$A$205,0))="","Name missing",INDEX('Properties'!$B$6:$B$205,MATCH(C13,'Properties'!$A$6:$A$205,0))))))</x:f>
      </x:c>
      <x:c r="J13" s="315" t="str">
        <x:f>IF(A13="","",IF(COUNTIFS($A$6:$A$205,A13)&gt;1,"Duplicate ID",IF(OR(B13="",COUNTIFS('Clients'!$A$6:$A$205,B13)&lt;&gt;1),"Check Client ID",IF(OR(C13="",COUNTIFS('Properties'!$A$6:$A$205,C13)&lt;&gt;1),"Check Property ID",IF(E13="","Set client response",IF(AND(E13&lt;&gt;"Not sent",NOT(ISNUMBER(D13))),"Add date sent",""))))))</x:f>
      </x:c>
    </x:row>
    <x:row r="14" ht="26" customHeight="1">
      <x:c r="A14" s="317"/>
      <x:c r="B14" s="318"/>
      <x:c r="C14" s="235"/>
      <x:c r="D14" s="238"/>
      <x:c r="E14" s="235"/>
      <x:c r="F14" s="235"/>
      <x:c r="G14" s="235"/>
      <x:c r="H14" s="265" t="str">
        <x:f>IF(A14="","",IF(B14="","",IF(COUNTIFS('Clients'!$A$6:$A$205,B14)&lt;&gt;1,"Check Client ID",IF(INDEX('Clients'!$B$6:$B$205,MATCH(B14,'Clients'!$A$6:$A$205,0))="","Name missing",INDEX('Clients'!$B$6:$B$205,MATCH(B14,'Clients'!$A$6:$A$205,0))))))</x:f>
      </x:c>
      <x:c r="I14" s="265" t="str">
        <x:f>IF(A14="","",IF(C14="","",IF(COUNTIFS('Properties'!$A$6:$A$205,C14)&lt;&gt;1,"Check Property ID",IF(INDEX('Properties'!$B$6:$B$205,MATCH(C14,'Properties'!$A$6:$A$205,0))="","Name missing",INDEX('Properties'!$B$6:$B$205,MATCH(C14,'Properties'!$A$6:$A$205,0))))))</x:f>
      </x:c>
      <x:c r="J14" s="315" t="str">
        <x:f>IF(A14="","",IF(COUNTIFS($A$6:$A$205,A14)&gt;1,"Duplicate ID",IF(OR(B14="",COUNTIFS('Clients'!$A$6:$A$205,B14)&lt;&gt;1),"Check Client ID",IF(OR(C14="",COUNTIFS('Properties'!$A$6:$A$205,C14)&lt;&gt;1),"Check Property ID",IF(E14="","Set client response",IF(AND(E14&lt;&gt;"Not sent",NOT(ISNUMBER(D14))),"Add date sent",""))))))</x:f>
      </x:c>
    </x:row>
    <x:row r="15" ht="26" customHeight="1">
      <x:c r="A15" s="319"/>
      <x:c r="B15" s="320"/>
      <x:c r="C15" s="274"/>
      <x:c r="D15" s="304"/>
      <x:c r="E15" s="274"/>
      <x:c r="F15" s="274"/>
      <x:c r="G15" s="274"/>
      <x:c r="H15" s="265" t="str">
        <x:f>IF(A15="","",IF(B15="","",IF(COUNTIFS('Clients'!$A$6:$A$205,B15)&lt;&gt;1,"Check Client ID",IF(INDEX('Clients'!$B$6:$B$205,MATCH(B15,'Clients'!$A$6:$A$205,0))="","Name missing",INDEX('Clients'!$B$6:$B$205,MATCH(B15,'Clients'!$A$6:$A$205,0))))))</x:f>
      </x:c>
      <x:c r="I15" s="265" t="str">
        <x:f>IF(A15="","",IF(C15="","",IF(COUNTIFS('Properties'!$A$6:$A$205,C15)&lt;&gt;1,"Check Property ID",IF(INDEX('Properties'!$B$6:$B$205,MATCH(C15,'Properties'!$A$6:$A$205,0))="","Name missing",INDEX('Properties'!$B$6:$B$205,MATCH(C15,'Properties'!$A$6:$A$205,0))))))</x:f>
      </x:c>
      <x:c r="J15" s="315" t="str">
        <x:f>IF(A15="","",IF(COUNTIFS($A$6:$A$205,A15)&gt;1,"Duplicate ID",IF(OR(B15="",COUNTIFS('Clients'!$A$6:$A$205,B15)&lt;&gt;1),"Check Client ID",IF(OR(C15="",COUNTIFS('Properties'!$A$6:$A$205,C15)&lt;&gt;1),"Check Property ID",IF(E15="","Set client response",IF(AND(E15&lt;&gt;"Not sent",NOT(ISNUMBER(D15))),"Add date sent",""))))))</x:f>
      </x:c>
    </x:row>
    <x:row r="16" ht="26" customHeight="1">
      <x:c r="A16" s="317"/>
      <x:c r="B16" s="318"/>
      <x:c r="C16" s="235"/>
      <x:c r="D16" s="238"/>
      <x:c r="E16" s="235"/>
      <x:c r="F16" s="235"/>
      <x:c r="G16" s="235"/>
      <x:c r="H16" s="265" t="str">
        <x:f>IF(A16="","",IF(B16="","",IF(COUNTIFS('Clients'!$A$6:$A$205,B16)&lt;&gt;1,"Check Client ID",IF(INDEX('Clients'!$B$6:$B$205,MATCH(B16,'Clients'!$A$6:$A$205,0))="","Name missing",INDEX('Clients'!$B$6:$B$205,MATCH(B16,'Clients'!$A$6:$A$205,0))))))</x:f>
      </x:c>
      <x:c r="I16" s="265" t="str">
        <x:f>IF(A16="","",IF(C16="","",IF(COUNTIFS('Properties'!$A$6:$A$205,C16)&lt;&gt;1,"Check Property ID",IF(INDEX('Properties'!$B$6:$B$205,MATCH(C16,'Properties'!$A$6:$A$205,0))="","Name missing",INDEX('Properties'!$B$6:$B$205,MATCH(C16,'Properties'!$A$6:$A$205,0))))))</x:f>
      </x:c>
      <x:c r="J16" s="315" t="str">
        <x:f>IF(A16="","",IF(COUNTIFS($A$6:$A$205,A16)&gt;1,"Duplicate ID",IF(OR(B16="",COUNTIFS('Clients'!$A$6:$A$205,B16)&lt;&gt;1),"Check Client ID",IF(OR(C16="",COUNTIFS('Properties'!$A$6:$A$205,C16)&lt;&gt;1),"Check Property ID",IF(E16="","Set client response",IF(AND(E16&lt;&gt;"Not sent",NOT(ISNUMBER(D16))),"Add date sent",""))))))</x:f>
      </x:c>
    </x:row>
    <x:row r="17" ht="26" customHeight="1">
      <x:c r="A17" s="319"/>
      <x:c r="B17" s="320"/>
      <x:c r="C17" s="274"/>
      <x:c r="D17" s="304"/>
      <x:c r="E17" s="274"/>
      <x:c r="F17" s="274"/>
      <x:c r="G17" s="274"/>
      <x:c r="H17" s="265" t="str">
        <x:f>IF(A17="","",IF(B17="","",IF(COUNTIFS('Clients'!$A$6:$A$205,B17)&lt;&gt;1,"Check Client ID",IF(INDEX('Clients'!$B$6:$B$205,MATCH(B17,'Clients'!$A$6:$A$205,0))="","Name missing",INDEX('Clients'!$B$6:$B$205,MATCH(B17,'Clients'!$A$6:$A$205,0))))))</x:f>
      </x:c>
      <x:c r="I17" s="265" t="str">
        <x:f>IF(A17="","",IF(C17="","",IF(COUNTIFS('Properties'!$A$6:$A$205,C17)&lt;&gt;1,"Check Property ID",IF(INDEX('Properties'!$B$6:$B$205,MATCH(C17,'Properties'!$A$6:$A$205,0))="","Name missing",INDEX('Properties'!$B$6:$B$205,MATCH(C17,'Properties'!$A$6:$A$205,0))))))</x:f>
      </x:c>
      <x:c r="J17" s="315" t="str">
        <x:f>IF(A17="","",IF(COUNTIFS($A$6:$A$205,A17)&gt;1,"Duplicate ID",IF(OR(B17="",COUNTIFS('Clients'!$A$6:$A$205,B17)&lt;&gt;1),"Check Client ID",IF(OR(C17="",COUNTIFS('Properties'!$A$6:$A$205,C17)&lt;&gt;1),"Check Property ID",IF(E17="","Set client response",IF(AND(E17&lt;&gt;"Not sent",NOT(ISNUMBER(D17))),"Add date sent",""))))))</x:f>
      </x:c>
    </x:row>
    <x:row r="18" ht="26" customHeight="1">
      <x:c r="A18" s="317"/>
      <x:c r="B18" s="318"/>
      <x:c r="C18" s="235"/>
      <x:c r="D18" s="238"/>
      <x:c r="E18" s="235"/>
      <x:c r="F18" s="235"/>
      <x:c r="G18" s="235"/>
      <x:c r="H18" s="265" t="str">
        <x:f>IF(A18="","",IF(B18="","",IF(COUNTIFS('Clients'!$A$6:$A$205,B18)&lt;&gt;1,"Check Client ID",IF(INDEX('Clients'!$B$6:$B$205,MATCH(B18,'Clients'!$A$6:$A$205,0))="","Name missing",INDEX('Clients'!$B$6:$B$205,MATCH(B18,'Clients'!$A$6:$A$205,0))))))</x:f>
      </x:c>
      <x:c r="I18" s="265" t="str">
        <x:f>IF(A18="","",IF(C18="","",IF(COUNTIFS('Properties'!$A$6:$A$205,C18)&lt;&gt;1,"Check Property ID",IF(INDEX('Properties'!$B$6:$B$205,MATCH(C18,'Properties'!$A$6:$A$205,0))="","Name missing",INDEX('Properties'!$B$6:$B$205,MATCH(C18,'Properties'!$A$6:$A$205,0))))))</x:f>
      </x:c>
      <x:c r="J18" s="315" t="str">
        <x:f>IF(A18="","",IF(COUNTIFS($A$6:$A$205,A18)&gt;1,"Duplicate ID",IF(OR(B18="",COUNTIFS('Clients'!$A$6:$A$205,B18)&lt;&gt;1),"Check Client ID",IF(OR(C18="",COUNTIFS('Properties'!$A$6:$A$205,C18)&lt;&gt;1),"Check Property ID",IF(E18="","Set client response",IF(AND(E18&lt;&gt;"Not sent",NOT(ISNUMBER(D18))),"Add date sent",""))))))</x:f>
      </x:c>
    </x:row>
    <x:row r="19" ht="26" customHeight="1">
      <x:c r="A19" s="319"/>
      <x:c r="B19" s="320"/>
      <x:c r="C19" s="274"/>
      <x:c r="D19" s="304"/>
      <x:c r="E19" s="274"/>
      <x:c r="F19" s="274"/>
      <x:c r="G19" s="274"/>
      <x:c r="H19" s="265" t="str">
        <x:f>IF(A19="","",IF(B19="","",IF(COUNTIFS('Clients'!$A$6:$A$205,B19)&lt;&gt;1,"Check Client ID",IF(INDEX('Clients'!$B$6:$B$205,MATCH(B19,'Clients'!$A$6:$A$205,0))="","Name missing",INDEX('Clients'!$B$6:$B$205,MATCH(B19,'Clients'!$A$6:$A$205,0))))))</x:f>
      </x:c>
      <x:c r="I19" s="265" t="str">
        <x:f>IF(A19="","",IF(C19="","",IF(COUNTIFS('Properties'!$A$6:$A$205,C19)&lt;&gt;1,"Check Property ID",IF(INDEX('Properties'!$B$6:$B$205,MATCH(C19,'Properties'!$A$6:$A$205,0))="","Name missing",INDEX('Properties'!$B$6:$B$205,MATCH(C19,'Properties'!$A$6:$A$205,0))))))</x:f>
      </x:c>
      <x:c r="J19" s="315" t="str">
        <x:f>IF(A19="","",IF(COUNTIFS($A$6:$A$205,A19)&gt;1,"Duplicate ID",IF(OR(B19="",COUNTIFS('Clients'!$A$6:$A$205,B19)&lt;&gt;1),"Check Client ID",IF(OR(C19="",COUNTIFS('Properties'!$A$6:$A$205,C19)&lt;&gt;1),"Check Property ID",IF(E19="","Set client response",IF(AND(E19&lt;&gt;"Not sent",NOT(ISNUMBER(D19))),"Add date sent",""))))))</x:f>
      </x:c>
    </x:row>
    <x:row r="20" ht="26" customHeight="1">
      <x:c r="A20" s="317"/>
      <x:c r="B20" s="318"/>
      <x:c r="C20" s="235"/>
      <x:c r="D20" s="238"/>
      <x:c r="E20" s="235"/>
      <x:c r="F20" s="235"/>
      <x:c r="G20" s="235"/>
      <x:c r="H20" s="265" t="str">
        <x:f>IF(A20="","",IF(B20="","",IF(COUNTIFS('Clients'!$A$6:$A$205,B20)&lt;&gt;1,"Check Client ID",IF(INDEX('Clients'!$B$6:$B$205,MATCH(B20,'Clients'!$A$6:$A$205,0))="","Name missing",INDEX('Clients'!$B$6:$B$205,MATCH(B20,'Clients'!$A$6:$A$205,0))))))</x:f>
      </x:c>
      <x:c r="I20" s="265" t="str">
        <x:f>IF(A20="","",IF(C20="","",IF(COUNTIFS('Properties'!$A$6:$A$205,C20)&lt;&gt;1,"Check Property ID",IF(INDEX('Properties'!$B$6:$B$205,MATCH(C20,'Properties'!$A$6:$A$205,0))="","Name missing",INDEX('Properties'!$B$6:$B$205,MATCH(C20,'Properties'!$A$6:$A$205,0))))))</x:f>
      </x:c>
      <x:c r="J20" s="315" t="str">
        <x:f>IF(A20="","",IF(COUNTIFS($A$6:$A$205,A20)&gt;1,"Duplicate ID",IF(OR(B20="",COUNTIFS('Clients'!$A$6:$A$205,B20)&lt;&gt;1),"Check Client ID",IF(OR(C20="",COUNTIFS('Properties'!$A$6:$A$205,C20)&lt;&gt;1),"Check Property ID",IF(E20="","Set client response",IF(AND(E20&lt;&gt;"Not sent",NOT(ISNUMBER(D20))),"Add date sent",""))))))</x:f>
      </x:c>
    </x:row>
    <x:row r="21" ht="26" customHeight="1">
      <x:c r="A21" s="319"/>
      <x:c r="B21" s="320"/>
      <x:c r="C21" s="274"/>
      <x:c r="D21" s="304"/>
      <x:c r="E21" s="274"/>
      <x:c r="F21" s="274"/>
      <x:c r="G21" s="274"/>
      <x:c r="H21" s="265" t="str">
        <x:f>IF(A21="","",IF(B21="","",IF(COUNTIFS('Clients'!$A$6:$A$205,B21)&lt;&gt;1,"Check Client ID",IF(INDEX('Clients'!$B$6:$B$205,MATCH(B21,'Clients'!$A$6:$A$205,0))="","Name missing",INDEX('Clients'!$B$6:$B$205,MATCH(B21,'Clients'!$A$6:$A$205,0))))))</x:f>
      </x:c>
      <x:c r="I21" s="265" t="str">
        <x:f>IF(A21="","",IF(C21="","",IF(COUNTIFS('Properties'!$A$6:$A$205,C21)&lt;&gt;1,"Check Property ID",IF(INDEX('Properties'!$B$6:$B$205,MATCH(C21,'Properties'!$A$6:$A$205,0))="","Name missing",INDEX('Properties'!$B$6:$B$205,MATCH(C21,'Properties'!$A$6:$A$205,0))))))</x:f>
      </x:c>
      <x:c r="J21" s="315" t="str">
        <x:f>IF(A21="","",IF(COUNTIFS($A$6:$A$205,A21)&gt;1,"Duplicate ID",IF(OR(B21="",COUNTIFS('Clients'!$A$6:$A$205,B21)&lt;&gt;1),"Check Client ID",IF(OR(C21="",COUNTIFS('Properties'!$A$6:$A$205,C21)&lt;&gt;1),"Check Property ID",IF(E21="","Set client response",IF(AND(E21&lt;&gt;"Not sent",NOT(ISNUMBER(D21))),"Add date sent",""))))))</x:f>
      </x:c>
    </x:row>
    <x:row r="22" ht="26" customHeight="1">
      <x:c r="A22" s="317"/>
      <x:c r="B22" s="318"/>
      <x:c r="C22" s="235"/>
      <x:c r="D22" s="238"/>
      <x:c r="E22" s="235"/>
      <x:c r="F22" s="235"/>
      <x:c r="G22" s="235"/>
      <x:c r="H22" s="265" t="str">
        <x:f>IF(A22="","",IF(B22="","",IF(COUNTIFS('Clients'!$A$6:$A$205,B22)&lt;&gt;1,"Check Client ID",IF(INDEX('Clients'!$B$6:$B$205,MATCH(B22,'Clients'!$A$6:$A$205,0))="","Name missing",INDEX('Clients'!$B$6:$B$205,MATCH(B22,'Clients'!$A$6:$A$205,0))))))</x:f>
      </x:c>
      <x:c r="I22" s="265" t="str">
        <x:f>IF(A22="","",IF(C22="","",IF(COUNTIFS('Properties'!$A$6:$A$205,C22)&lt;&gt;1,"Check Property ID",IF(INDEX('Properties'!$B$6:$B$205,MATCH(C22,'Properties'!$A$6:$A$205,0))="","Name missing",INDEX('Properties'!$B$6:$B$205,MATCH(C22,'Properties'!$A$6:$A$205,0))))))</x:f>
      </x:c>
      <x:c r="J22" s="315" t="str">
        <x:f>IF(A22="","",IF(COUNTIFS($A$6:$A$205,A22)&gt;1,"Duplicate ID",IF(OR(B22="",COUNTIFS('Clients'!$A$6:$A$205,B22)&lt;&gt;1),"Check Client ID",IF(OR(C22="",COUNTIFS('Properties'!$A$6:$A$205,C22)&lt;&gt;1),"Check Property ID",IF(E22="","Set client response",IF(AND(E22&lt;&gt;"Not sent",NOT(ISNUMBER(D22))),"Add date sent",""))))))</x:f>
      </x:c>
    </x:row>
    <x:row r="23" ht="26" customHeight="1">
      <x:c r="A23" s="319"/>
      <x:c r="B23" s="320"/>
      <x:c r="C23" s="274"/>
      <x:c r="D23" s="304"/>
      <x:c r="E23" s="274"/>
      <x:c r="F23" s="274"/>
      <x:c r="G23" s="274"/>
      <x:c r="H23" s="265" t="str">
        <x:f>IF(A23="","",IF(B23="","",IF(COUNTIFS('Clients'!$A$6:$A$205,B23)&lt;&gt;1,"Check Client ID",IF(INDEX('Clients'!$B$6:$B$205,MATCH(B23,'Clients'!$A$6:$A$205,0))="","Name missing",INDEX('Clients'!$B$6:$B$205,MATCH(B23,'Clients'!$A$6:$A$205,0))))))</x:f>
      </x:c>
      <x:c r="I23" s="265" t="str">
        <x:f>IF(A23="","",IF(C23="","",IF(COUNTIFS('Properties'!$A$6:$A$205,C23)&lt;&gt;1,"Check Property ID",IF(INDEX('Properties'!$B$6:$B$205,MATCH(C23,'Properties'!$A$6:$A$205,0))="","Name missing",INDEX('Properties'!$B$6:$B$205,MATCH(C23,'Properties'!$A$6:$A$205,0))))))</x:f>
      </x:c>
      <x:c r="J23" s="315" t="str">
        <x:f>IF(A23="","",IF(COUNTIFS($A$6:$A$205,A23)&gt;1,"Duplicate ID",IF(OR(B23="",COUNTIFS('Clients'!$A$6:$A$205,B23)&lt;&gt;1),"Check Client ID",IF(OR(C23="",COUNTIFS('Properties'!$A$6:$A$205,C23)&lt;&gt;1),"Check Property ID",IF(E23="","Set client response",IF(AND(E23&lt;&gt;"Not sent",NOT(ISNUMBER(D23))),"Add date sent",""))))))</x:f>
      </x:c>
    </x:row>
    <x:row r="24" ht="26" customHeight="1">
      <x:c r="A24" s="317"/>
      <x:c r="B24" s="318"/>
      <x:c r="C24" s="235"/>
      <x:c r="D24" s="238"/>
      <x:c r="E24" s="235"/>
      <x:c r="F24" s="235"/>
      <x:c r="G24" s="235"/>
      <x:c r="H24" s="265" t="str">
        <x:f>IF(A24="","",IF(B24="","",IF(COUNTIFS('Clients'!$A$6:$A$205,B24)&lt;&gt;1,"Check Client ID",IF(INDEX('Clients'!$B$6:$B$205,MATCH(B24,'Clients'!$A$6:$A$205,0))="","Name missing",INDEX('Clients'!$B$6:$B$205,MATCH(B24,'Clients'!$A$6:$A$205,0))))))</x:f>
      </x:c>
      <x:c r="I24" s="265" t="str">
        <x:f>IF(A24="","",IF(C24="","",IF(COUNTIFS('Properties'!$A$6:$A$205,C24)&lt;&gt;1,"Check Property ID",IF(INDEX('Properties'!$B$6:$B$205,MATCH(C24,'Properties'!$A$6:$A$205,0))="","Name missing",INDEX('Properties'!$B$6:$B$205,MATCH(C24,'Properties'!$A$6:$A$205,0))))))</x:f>
      </x:c>
      <x:c r="J24" s="315" t="str">
        <x:f>IF(A24="","",IF(COUNTIFS($A$6:$A$205,A24)&gt;1,"Duplicate ID",IF(OR(B24="",COUNTIFS('Clients'!$A$6:$A$205,B24)&lt;&gt;1),"Check Client ID",IF(OR(C24="",COUNTIFS('Properties'!$A$6:$A$205,C24)&lt;&gt;1),"Check Property ID",IF(E24="","Set client response",IF(AND(E24&lt;&gt;"Not sent",NOT(ISNUMBER(D24))),"Add date sent",""))))))</x:f>
      </x:c>
    </x:row>
    <x:row r="25" ht="26" customHeight="1">
      <x:c r="A25" s="319"/>
      <x:c r="B25" s="320"/>
      <x:c r="C25" s="274"/>
      <x:c r="D25" s="304"/>
      <x:c r="E25" s="274"/>
      <x:c r="F25" s="274"/>
      <x:c r="G25" s="274"/>
      <x:c r="H25" s="265" t="str">
        <x:f>IF(A25="","",IF(B25="","",IF(COUNTIFS('Clients'!$A$6:$A$205,B25)&lt;&gt;1,"Check Client ID",IF(INDEX('Clients'!$B$6:$B$205,MATCH(B25,'Clients'!$A$6:$A$205,0))="","Name missing",INDEX('Clients'!$B$6:$B$205,MATCH(B25,'Clients'!$A$6:$A$205,0))))))</x:f>
      </x:c>
      <x:c r="I25" s="265" t="str">
        <x:f>IF(A25="","",IF(C25="","",IF(COUNTIFS('Properties'!$A$6:$A$205,C25)&lt;&gt;1,"Check Property ID",IF(INDEX('Properties'!$B$6:$B$205,MATCH(C25,'Properties'!$A$6:$A$205,0))="","Name missing",INDEX('Properties'!$B$6:$B$205,MATCH(C25,'Properties'!$A$6:$A$205,0))))))</x:f>
      </x:c>
      <x:c r="J25" s="315" t="str">
        <x:f>IF(A25="","",IF(COUNTIFS($A$6:$A$205,A25)&gt;1,"Duplicate ID",IF(OR(B25="",COUNTIFS('Clients'!$A$6:$A$205,B25)&lt;&gt;1),"Check Client ID",IF(OR(C25="",COUNTIFS('Properties'!$A$6:$A$205,C25)&lt;&gt;1),"Check Property ID",IF(E25="","Set client response",IF(AND(E25&lt;&gt;"Not sent",NOT(ISNUMBER(D25))),"Add date sent",""))))))</x:f>
      </x:c>
    </x:row>
    <x:row r="26" ht="26" customHeight="1">
      <x:c r="A26" s="317"/>
      <x:c r="B26" s="318"/>
      <x:c r="C26" s="235"/>
      <x:c r="D26" s="238"/>
      <x:c r="E26" s="235"/>
      <x:c r="F26" s="235"/>
      <x:c r="G26" s="235"/>
      <x:c r="H26" s="265" t="str">
        <x:f>IF(A26="","",IF(B26="","",IF(COUNTIFS('Clients'!$A$6:$A$205,B26)&lt;&gt;1,"Check Client ID",IF(INDEX('Clients'!$B$6:$B$205,MATCH(B26,'Clients'!$A$6:$A$205,0))="","Name missing",INDEX('Clients'!$B$6:$B$205,MATCH(B26,'Clients'!$A$6:$A$205,0))))))</x:f>
      </x:c>
      <x:c r="I26" s="265" t="str">
        <x:f>IF(A26="","",IF(C26="","",IF(COUNTIFS('Properties'!$A$6:$A$205,C26)&lt;&gt;1,"Check Property ID",IF(INDEX('Properties'!$B$6:$B$205,MATCH(C26,'Properties'!$A$6:$A$205,0))="","Name missing",INDEX('Properties'!$B$6:$B$205,MATCH(C26,'Properties'!$A$6:$A$205,0))))))</x:f>
      </x:c>
      <x:c r="J26" s="315" t="str">
        <x:f>IF(A26="","",IF(COUNTIFS($A$6:$A$205,A26)&gt;1,"Duplicate ID",IF(OR(B26="",COUNTIFS('Clients'!$A$6:$A$205,B26)&lt;&gt;1),"Check Client ID",IF(OR(C26="",COUNTIFS('Properties'!$A$6:$A$205,C26)&lt;&gt;1),"Check Property ID",IF(E26="","Set client response",IF(AND(E26&lt;&gt;"Not sent",NOT(ISNUMBER(D26))),"Add date sent",""))))))</x:f>
      </x:c>
    </x:row>
    <x:row r="27" ht="26" customHeight="1">
      <x:c r="A27" s="319"/>
      <x:c r="B27" s="320"/>
      <x:c r="C27" s="274"/>
      <x:c r="D27" s="304"/>
      <x:c r="E27" s="274"/>
      <x:c r="F27" s="274"/>
      <x:c r="G27" s="274"/>
      <x:c r="H27" s="265" t="str">
        <x:f>IF(A27="","",IF(B27="","",IF(COUNTIFS('Clients'!$A$6:$A$205,B27)&lt;&gt;1,"Check Client ID",IF(INDEX('Clients'!$B$6:$B$205,MATCH(B27,'Clients'!$A$6:$A$205,0))="","Name missing",INDEX('Clients'!$B$6:$B$205,MATCH(B27,'Clients'!$A$6:$A$205,0))))))</x:f>
      </x:c>
      <x:c r="I27" s="265" t="str">
        <x:f>IF(A27="","",IF(C27="","",IF(COUNTIFS('Properties'!$A$6:$A$205,C27)&lt;&gt;1,"Check Property ID",IF(INDEX('Properties'!$B$6:$B$205,MATCH(C27,'Properties'!$A$6:$A$205,0))="","Name missing",INDEX('Properties'!$B$6:$B$205,MATCH(C27,'Properties'!$A$6:$A$205,0))))))</x:f>
      </x:c>
      <x:c r="J27" s="315" t="str">
        <x:f>IF(A27="","",IF(COUNTIFS($A$6:$A$205,A27)&gt;1,"Duplicate ID",IF(OR(B27="",COUNTIFS('Clients'!$A$6:$A$205,B27)&lt;&gt;1),"Check Client ID",IF(OR(C27="",COUNTIFS('Properties'!$A$6:$A$205,C27)&lt;&gt;1),"Check Property ID",IF(E27="","Set client response",IF(AND(E27&lt;&gt;"Not sent",NOT(ISNUMBER(D27))),"Add date sent",""))))))</x:f>
      </x:c>
    </x:row>
    <x:row r="28" ht="26" customHeight="1">
      <x:c r="A28" s="317"/>
      <x:c r="B28" s="318"/>
      <x:c r="C28" s="235"/>
      <x:c r="D28" s="238"/>
      <x:c r="E28" s="235"/>
      <x:c r="F28" s="235"/>
      <x:c r="G28" s="235"/>
      <x:c r="H28" s="265" t="str">
        <x:f>IF(A28="","",IF(B28="","",IF(COUNTIFS('Clients'!$A$6:$A$205,B28)&lt;&gt;1,"Check Client ID",IF(INDEX('Clients'!$B$6:$B$205,MATCH(B28,'Clients'!$A$6:$A$205,0))="","Name missing",INDEX('Clients'!$B$6:$B$205,MATCH(B28,'Clients'!$A$6:$A$205,0))))))</x:f>
      </x:c>
      <x:c r="I28" s="265" t="str">
        <x:f>IF(A28="","",IF(C28="","",IF(COUNTIFS('Properties'!$A$6:$A$205,C28)&lt;&gt;1,"Check Property ID",IF(INDEX('Properties'!$B$6:$B$205,MATCH(C28,'Properties'!$A$6:$A$205,0))="","Name missing",INDEX('Properties'!$B$6:$B$205,MATCH(C28,'Properties'!$A$6:$A$205,0))))))</x:f>
      </x:c>
      <x:c r="J28" s="315" t="str">
        <x:f>IF(A28="","",IF(COUNTIFS($A$6:$A$205,A28)&gt;1,"Duplicate ID",IF(OR(B28="",COUNTIFS('Clients'!$A$6:$A$205,B28)&lt;&gt;1),"Check Client ID",IF(OR(C28="",COUNTIFS('Properties'!$A$6:$A$205,C28)&lt;&gt;1),"Check Property ID",IF(E28="","Set client response",IF(AND(E28&lt;&gt;"Not sent",NOT(ISNUMBER(D28))),"Add date sent",""))))))</x:f>
      </x:c>
    </x:row>
    <x:row r="29" ht="26" customHeight="1">
      <x:c r="A29" s="319"/>
      <x:c r="B29" s="320"/>
      <x:c r="C29" s="274"/>
      <x:c r="D29" s="304"/>
      <x:c r="E29" s="274"/>
      <x:c r="F29" s="274"/>
      <x:c r="G29" s="274"/>
      <x:c r="H29" s="265" t="str">
        <x:f>IF(A29="","",IF(B29="","",IF(COUNTIFS('Clients'!$A$6:$A$205,B29)&lt;&gt;1,"Check Client ID",IF(INDEX('Clients'!$B$6:$B$205,MATCH(B29,'Clients'!$A$6:$A$205,0))="","Name missing",INDEX('Clients'!$B$6:$B$205,MATCH(B29,'Clients'!$A$6:$A$205,0))))))</x:f>
      </x:c>
      <x:c r="I29" s="265" t="str">
        <x:f>IF(A29="","",IF(C29="","",IF(COUNTIFS('Properties'!$A$6:$A$205,C29)&lt;&gt;1,"Check Property ID",IF(INDEX('Properties'!$B$6:$B$205,MATCH(C29,'Properties'!$A$6:$A$205,0))="","Name missing",INDEX('Properties'!$B$6:$B$205,MATCH(C29,'Properties'!$A$6:$A$205,0))))))</x:f>
      </x:c>
      <x:c r="J29" s="315" t="str">
        <x:f>IF(A29="","",IF(COUNTIFS($A$6:$A$205,A29)&gt;1,"Duplicate ID",IF(OR(B29="",COUNTIFS('Clients'!$A$6:$A$205,B29)&lt;&gt;1),"Check Client ID",IF(OR(C29="",COUNTIFS('Properties'!$A$6:$A$205,C29)&lt;&gt;1),"Check Property ID",IF(E29="","Set client response",IF(AND(E29&lt;&gt;"Not sent",NOT(ISNUMBER(D29))),"Add date sent",""))))))</x:f>
      </x:c>
    </x:row>
    <x:row r="30" ht="26" customHeight="1">
      <x:c r="A30" s="317"/>
      <x:c r="B30" s="318"/>
      <x:c r="C30" s="235"/>
      <x:c r="D30" s="238"/>
      <x:c r="E30" s="235"/>
      <x:c r="F30" s="235"/>
      <x:c r="G30" s="235"/>
      <x:c r="H30" s="265" t="str">
        <x:f>IF(A30="","",IF(B30="","",IF(COUNTIFS('Clients'!$A$6:$A$205,B30)&lt;&gt;1,"Check Client ID",IF(INDEX('Clients'!$B$6:$B$205,MATCH(B30,'Clients'!$A$6:$A$205,0))="","Name missing",INDEX('Clients'!$B$6:$B$205,MATCH(B30,'Clients'!$A$6:$A$205,0))))))</x:f>
      </x:c>
      <x:c r="I30" s="265" t="str">
        <x:f>IF(A30="","",IF(C30="","",IF(COUNTIFS('Properties'!$A$6:$A$205,C30)&lt;&gt;1,"Check Property ID",IF(INDEX('Properties'!$B$6:$B$205,MATCH(C30,'Properties'!$A$6:$A$205,0))="","Name missing",INDEX('Properties'!$B$6:$B$205,MATCH(C30,'Properties'!$A$6:$A$205,0))))))</x:f>
      </x:c>
      <x:c r="J30" s="315" t="str">
        <x:f>IF(A30="","",IF(COUNTIFS($A$6:$A$205,A30)&gt;1,"Duplicate ID",IF(OR(B30="",COUNTIFS('Clients'!$A$6:$A$205,B30)&lt;&gt;1),"Check Client ID",IF(OR(C30="",COUNTIFS('Properties'!$A$6:$A$205,C30)&lt;&gt;1),"Check Property ID",IF(E30="","Set client response",IF(AND(E30&lt;&gt;"Not sent",NOT(ISNUMBER(D30))),"Add date sent",""))))))</x:f>
      </x:c>
    </x:row>
    <x:row r="31" ht="26" customHeight="1">
      <x:c r="A31" s="319"/>
      <x:c r="B31" s="320"/>
      <x:c r="C31" s="274"/>
      <x:c r="D31" s="304"/>
      <x:c r="E31" s="274"/>
      <x:c r="F31" s="274"/>
      <x:c r="G31" s="274"/>
      <x:c r="H31" s="265" t="str">
        <x:f>IF(A31="","",IF(B31="","",IF(COUNTIFS('Clients'!$A$6:$A$205,B31)&lt;&gt;1,"Check Client ID",IF(INDEX('Clients'!$B$6:$B$205,MATCH(B31,'Clients'!$A$6:$A$205,0))="","Name missing",INDEX('Clients'!$B$6:$B$205,MATCH(B31,'Clients'!$A$6:$A$205,0))))))</x:f>
      </x:c>
      <x:c r="I31" s="265" t="str">
        <x:f>IF(A31="","",IF(C31="","",IF(COUNTIFS('Properties'!$A$6:$A$205,C31)&lt;&gt;1,"Check Property ID",IF(INDEX('Properties'!$B$6:$B$205,MATCH(C31,'Properties'!$A$6:$A$205,0))="","Name missing",INDEX('Properties'!$B$6:$B$205,MATCH(C31,'Properties'!$A$6:$A$205,0))))))</x:f>
      </x:c>
      <x:c r="J31" s="315" t="str">
        <x:f>IF(A31="","",IF(COUNTIFS($A$6:$A$205,A31)&gt;1,"Duplicate ID",IF(OR(B31="",COUNTIFS('Clients'!$A$6:$A$205,B31)&lt;&gt;1),"Check Client ID",IF(OR(C31="",COUNTIFS('Properties'!$A$6:$A$205,C31)&lt;&gt;1),"Check Property ID",IF(E31="","Set client response",IF(AND(E31&lt;&gt;"Not sent",NOT(ISNUMBER(D31))),"Add date sent",""))))))</x:f>
      </x:c>
    </x:row>
    <x:row r="32" ht="26" customHeight="1">
      <x:c r="A32" s="317"/>
      <x:c r="B32" s="318"/>
      <x:c r="C32" s="235"/>
      <x:c r="D32" s="238"/>
      <x:c r="E32" s="235"/>
      <x:c r="F32" s="235"/>
      <x:c r="G32" s="235"/>
      <x:c r="H32" s="265" t="str">
        <x:f>IF(A32="","",IF(B32="","",IF(COUNTIFS('Clients'!$A$6:$A$205,B32)&lt;&gt;1,"Check Client ID",IF(INDEX('Clients'!$B$6:$B$205,MATCH(B32,'Clients'!$A$6:$A$205,0))="","Name missing",INDEX('Clients'!$B$6:$B$205,MATCH(B32,'Clients'!$A$6:$A$205,0))))))</x:f>
      </x:c>
      <x:c r="I32" s="265" t="str">
        <x:f>IF(A32="","",IF(C32="","",IF(COUNTIFS('Properties'!$A$6:$A$205,C32)&lt;&gt;1,"Check Property ID",IF(INDEX('Properties'!$B$6:$B$205,MATCH(C32,'Properties'!$A$6:$A$205,0))="","Name missing",INDEX('Properties'!$B$6:$B$205,MATCH(C32,'Properties'!$A$6:$A$205,0))))))</x:f>
      </x:c>
      <x:c r="J32" s="315" t="str">
        <x:f>IF(A32="","",IF(COUNTIFS($A$6:$A$205,A32)&gt;1,"Duplicate ID",IF(OR(B32="",COUNTIFS('Clients'!$A$6:$A$205,B32)&lt;&gt;1),"Check Client ID",IF(OR(C32="",COUNTIFS('Properties'!$A$6:$A$205,C32)&lt;&gt;1),"Check Property ID",IF(E32="","Set client response",IF(AND(E32&lt;&gt;"Not sent",NOT(ISNUMBER(D32))),"Add date sent",""))))))</x:f>
      </x:c>
    </x:row>
    <x:row r="33" ht="26" customHeight="1">
      <x:c r="A33" s="319"/>
      <x:c r="B33" s="320"/>
      <x:c r="C33" s="274"/>
      <x:c r="D33" s="304"/>
      <x:c r="E33" s="274"/>
      <x:c r="F33" s="274"/>
      <x:c r="G33" s="274"/>
      <x:c r="H33" s="265" t="str">
        <x:f>IF(A33="","",IF(B33="","",IF(COUNTIFS('Clients'!$A$6:$A$205,B33)&lt;&gt;1,"Check Client ID",IF(INDEX('Clients'!$B$6:$B$205,MATCH(B33,'Clients'!$A$6:$A$205,0))="","Name missing",INDEX('Clients'!$B$6:$B$205,MATCH(B33,'Clients'!$A$6:$A$205,0))))))</x:f>
      </x:c>
      <x:c r="I33" s="265" t="str">
        <x:f>IF(A33="","",IF(C33="","",IF(COUNTIFS('Properties'!$A$6:$A$205,C33)&lt;&gt;1,"Check Property ID",IF(INDEX('Properties'!$B$6:$B$205,MATCH(C33,'Properties'!$A$6:$A$205,0))="","Name missing",INDEX('Properties'!$B$6:$B$205,MATCH(C33,'Properties'!$A$6:$A$205,0))))))</x:f>
      </x:c>
      <x:c r="J33" s="315" t="str">
        <x:f>IF(A33="","",IF(COUNTIFS($A$6:$A$205,A33)&gt;1,"Duplicate ID",IF(OR(B33="",COUNTIFS('Clients'!$A$6:$A$205,B33)&lt;&gt;1),"Check Client ID",IF(OR(C33="",COUNTIFS('Properties'!$A$6:$A$205,C33)&lt;&gt;1),"Check Property ID",IF(E33="","Set client response",IF(AND(E33&lt;&gt;"Not sent",NOT(ISNUMBER(D33))),"Add date sent",""))))))</x:f>
      </x:c>
    </x:row>
    <x:row r="34" ht="26" customHeight="1">
      <x:c r="A34" s="317"/>
      <x:c r="B34" s="318"/>
      <x:c r="C34" s="235"/>
      <x:c r="D34" s="238"/>
      <x:c r="E34" s="235"/>
      <x:c r="F34" s="235"/>
      <x:c r="G34" s="235"/>
      <x:c r="H34" s="265" t="str">
        <x:f>IF(A34="","",IF(B34="","",IF(COUNTIFS('Clients'!$A$6:$A$205,B34)&lt;&gt;1,"Check Client ID",IF(INDEX('Clients'!$B$6:$B$205,MATCH(B34,'Clients'!$A$6:$A$205,0))="","Name missing",INDEX('Clients'!$B$6:$B$205,MATCH(B34,'Clients'!$A$6:$A$205,0))))))</x:f>
      </x:c>
      <x:c r="I34" s="265" t="str">
        <x:f>IF(A34="","",IF(C34="","",IF(COUNTIFS('Properties'!$A$6:$A$205,C34)&lt;&gt;1,"Check Property ID",IF(INDEX('Properties'!$B$6:$B$205,MATCH(C34,'Properties'!$A$6:$A$205,0))="","Name missing",INDEX('Properties'!$B$6:$B$205,MATCH(C34,'Properties'!$A$6:$A$205,0))))))</x:f>
      </x:c>
      <x:c r="J34" s="315" t="str">
        <x:f>IF(A34="","",IF(COUNTIFS($A$6:$A$205,A34)&gt;1,"Duplicate ID",IF(OR(B34="",COUNTIFS('Clients'!$A$6:$A$205,B34)&lt;&gt;1),"Check Client ID",IF(OR(C34="",COUNTIFS('Properties'!$A$6:$A$205,C34)&lt;&gt;1),"Check Property ID",IF(E34="","Set client response",IF(AND(E34&lt;&gt;"Not sent",NOT(ISNUMBER(D34))),"Add date sent",""))))))</x:f>
      </x:c>
    </x:row>
    <x:row r="35" ht="26" customHeight="1">
      <x:c r="A35" s="319"/>
      <x:c r="B35" s="320"/>
      <x:c r="C35" s="274"/>
      <x:c r="D35" s="304"/>
      <x:c r="E35" s="274"/>
      <x:c r="F35" s="274"/>
      <x:c r="G35" s="274"/>
      <x:c r="H35" s="265" t="str">
        <x:f>IF(A35="","",IF(B35="","",IF(COUNTIFS('Clients'!$A$6:$A$205,B35)&lt;&gt;1,"Check Client ID",IF(INDEX('Clients'!$B$6:$B$205,MATCH(B35,'Clients'!$A$6:$A$205,0))="","Name missing",INDEX('Clients'!$B$6:$B$205,MATCH(B35,'Clients'!$A$6:$A$205,0))))))</x:f>
      </x:c>
      <x:c r="I35" s="265" t="str">
        <x:f>IF(A35="","",IF(C35="","",IF(COUNTIFS('Properties'!$A$6:$A$205,C35)&lt;&gt;1,"Check Property ID",IF(INDEX('Properties'!$B$6:$B$205,MATCH(C35,'Properties'!$A$6:$A$205,0))="","Name missing",INDEX('Properties'!$B$6:$B$205,MATCH(C35,'Properties'!$A$6:$A$205,0))))))</x:f>
      </x:c>
      <x:c r="J35" s="315" t="str">
        <x:f>IF(A35="","",IF(COUNTIFS($A$6:$A$205,A35)&gt;1,"Duplicate ID",IF(OR(B35="",COUNTIFS('Clients'!$A$6:$A$205,B35)&lt;&gt;1),"Check Client ID",IF(OR(C35="",COUNTIFS('Properties'!$A$6:$A$205,C35)&lt;&gt;1),"Check Property ID",IF(E35="","Set client response",IF(AND(E35&lt;&gt;"Not sent",NOT(ISNUMBER(D35))),"Add date sent",""))))))</x:f>
      </x:c>
    </x:row>
    <x:row r="36" ht="26" customHeight="1">
      <x:c r="A36" s="317"/>
      <x:c r="B36" s="318"/>
      <x:c r="C36" s="235"/>
      <x:c r="D36" s="238"/>
      <x:c r="E36" s="235"/>
      <x:c r="F36" s="235"/>
      <x:c r="G36" s="235"/>
      <x:c r="H36" s="265" t="str">
        <x:f>IF(A36="","",IF(B36="","",IF(COUNTIFS('Clients'!$A$6:$A$205,B36)&lt;&gt;1,"Check Client ID",IF(INDEX('Clients'!$B$6:$B$205,MATCH(B36,'Clients'!$A$6:$A$205,0))="","Name missing",INDEX('Clients'!$B$6:$B$205,MATCH(B36,'Clients'!$A$6:$A$205,0))))))</x:f>
      </x:c>
      <x:c r="I36" s="265" t="str">
        <x:f>IF(A36="","",IF(C36="","",IF(COUNTIFS('Properties'!$A$6:$A$205,C36)&lt;&gt;1,"Check Property ID",IF(INDEX('Properties'!$B$6:$B$205,MATCH(C36,'Properties'!$A$6:$A$205,0))="","Name missing",INDEX('Properties'!$B$6:$B$205,MATCH(C36,'Properties'!$A$6:$A$205,0))))))</x:f>
      </x:c>
      <x:c r="J36" s="315" t="str">
        <x:f>IF(A36="","",IF(COUNTIFS($A$6:$A$205,A36)&gt;1,"Duplicate ID",IF(OR(B36="",COUNTIFS('Clients'!$A$6:$A$205,B36)&lt;&gt;1),"Check Client ID",IF(OR(C36="",COUNTIFS('Properties'!$A$6:$A$205,C36)&lt;&gt;1),"Check Property ID",IF(E36="","Set client response",IF(AND(E36&lt;&gt;"Not sent",NOT(ISNUMBER(D36))),"Add date sent",""))))))</x:f>
      </x:c>
    </x:row>
    <x:row r="37" ht="26" customHeight="1">
      <x:c r="A37" s="319"/>
      <x:c r="B37" s="320"/>
      <x:c r="C37" s="274"/>
      <x:c r="D37" s="304"/>
      <x:c r="E37" s="274"/>
      <x:c r="F37" s="274"/>
      <x:c r="G37" s="274"/>
      <x:c r="H37" s="265" t="str">
        <x:f>IF(A37="","",IF(B37="","",IF(COUNTIFS('Clients'!$A$6:$A$205,B37)&lt;&gt;1,"Check Client ID",IF(INDEX('Clients'!$B$6:$B$205,MATCH(B37,'Clients'!$A$6:$A$205,0))="","Name missing",INDEX('Clients'!$B$6:$B$205,MATCH(B37,'Clients'!$A$6:$A$205,0))))))</x:f>
      </x:c>
      <x:c r="I37" s="265" t="str">
        <x:f>IF(A37="","",IF(C37="","",IF(COUNTIFS('Properties'!$A$6:$A$205,C37)&lt;&gt;1,"Check Property ID",IF(INDEX('Properties'!$B$6:$B$205,MATCH(C37,'Properties'!$A$6:$A$205,0))="","Name missing",INDEX('Properties'!$B$6:$B$205,MATCH(C37,'Properties'!$A$6:$A$205,0))))))</x:f>
      </x:c>
      <x:c r="J37" s="315" t="str">
        <x:f>IF(A37="","",IF(COUNTIFS($A$6:$A$205,A37)&gt;1,"Duplicate ID",IF(OR(B37="",COUNTIFS('Clients'!$A$6:$A$205,B37)&lt;&gt;1),"Check Client ID",IF(OR(C37="",COUNTIFS('Properties'!$A$6:$A$205,C37)&lt;&gt;1),"Check Property ID",IF(E37="","Set client response",IF(AND(E37&lt;&gt;"Not sent",NOT(ISNUMBER(D37))),"Add date sent",""))))))</x:f>
      </x:c>
    </x:row>
    <x:row r="38" ht="26" customHeight="1">
      <x:c r="A38" s="317"/>
      <x:c r="B38" s="318"/>
      <x:c r="C38" s="235"/>
      <x:c r="D38" s="238"/>
      <x:c r="E38" s="235"/>
      <x:c r="F38" s="235"/>
      <x:c r="G38" s="235"/>
      <x:c r="H38" s="265" t="str">
        <x:f>IF(A38="","",IF(B38="","",IF(COUNTIFS('Clients'!$A$6:$A$205,B38)&lt;&gt;1,"Check Client ID",IF(INDEX('Clients'!$B$6:$B$205,MATCH(B38,'Clients'!$A$6:$A$205,0))="","Name missing",INDEX('Clients'!$B$6:$B$205,MATCH(B38,'Clients'!$A$6:$A$205,0))))))</x:f>
      </x:c>
      <x:c r="I38" s="265" t="str">
        <x:f>IF(A38="","",IF(C38="","",IF(COUNTIFS('Properties'!$A$6:$A$205,C38)&lt;&gt;1,"Check Property ID",IF(INDEX('Properties'!$B$6:$B$205,MATCH(C38,'Properties'!$A$6:$A$205,0))="","Name missing",INDEX('Properties'!$B$6:$B$205,MATCH(C38,'Properties'!$A$6:$A$205,0))))))</x:f>
      </x:c>
      <x:c r="J38" s="315" t="str">
        <x:f>IF(A38="","",IF(COUNTIFS($A$6:$A$205,A38)&gt;1,"Duplicate ID",IF(OR(B38="",COUNTIFS('Clients'!$A$6:$A$205,B38)&lt;&gt;1),"Check Client ID",IF(OR(C38="",COUNTIFS('Properties'!$A$6:$A$205,C38)&lt;&gt;1),"Check Property ID",IF(E38="","Set client response",IF(AND(E38&lt;&gt;"Not sent",NOT(ISNUMBER(D38))),"Add date sent",""))))))</x:f>
      </x:c>
    </x:row>
    <x:row r="39" ht="26" customHeight="1">
      <x:c r="A39" s="319"/>
      <x:c r="B39" s="320"/>
      <x:c r="C39" s="274"/>
      <x:c r="D39" s="304"/>
      <x:c r="E39" s="274"/>
      <x:c r="F39" s="274"/>
      <x:c r="G39" s="274"/>
      <x:c r="H39" s="265" t="str">
        <x:f>IF(A39="","",IF(B39="","",IF(COUNTIFS('Clients'!$A$6:$A$205,B39)&lt;&gt;1,"Check Client ID",IF(INDEX('Clients'!$B$6:$B$205,MATCH(B39,'Clients'!$A$6:$A$205,0))="","Name missing",INDEX('Clients'!$B$6:$B$205,MATCH(B39,'Clients'!$A$6:$A$205,0))))))</x:f>
      </x:c>
      <x:c r="I39" s="265" t="str">
        <x:f>IF(A39="","",IF(C39="","",IF(COUNTIFS('Properties'!$A$6:$A$205,C39)&lt;&gt;1,"Check Property ID",IF(INDEX('Properties'!$B$6:$B$205,MATCH(C39,'Properties'!$A$6:$A$205,0))="","Name missing",INDEX('Properties'!$B$6:$B$205,MATCH(C39,'Properties'!$A$6:$A$205,0))))))</x:f>
      </x:c>
      <x:c r="J39" s="315" t="str">
        <x:f>IF(A39="","",IF(COUNTIFS($A$6:$A$205,A39)&gt;1,"Duplicate ID",IF(OR(B39="",COUNTIFS('Clients'!$A$6:$A$205,B39)&lt;&gt;1),"Check Client ID",IF(OR(C39="",COUNTIFS('Properties'!$A$6:$A$205,C39)&lt;&gt;1),"Check Property ID",IF(E39="","Set client response",IF(AND(E39&lt;&gt;"Not sent",NOT(ISNUMBER(D39))),"Add date sent",""))))))</x:f>
      </x:c>
    </x:row>
    <x:row r="40" ht="26" customHeight="1">
      <x:c r="A40" s="317"/>
      <x:c r="B40" s="318"/>
      <x:c r="C40" s="235"/>
      <x:c r="D40" s="238"/>
      <x:c r="E40" s="235"/>
      <x:c r="F40" s="235"/>
      <x:c r="G40" s="235"/>
      <x:c r="H40" s="265" t="str">
        <x:f>IF(A40="","",IF(B40="","",IF(COUNTIFS('Clients'!$A$6:$A$205,B40)&lt;&gt;1,"Check Client ID",IF(INDEX('Clients'!$B$6:$B$205,MATCH(B40,'Clients'!$A$6:$A$205,0))="","Name missing",INDEX('Clients'!$B$6:$B$205,MATCH(B40,'Clients'!$A$6:$A$205,0))))))</x:f>
      </x:c>
      <x:c r="I40" s="265" t="str">
        <x:f>IF(A40="","",IF(C40="","",IF(COUNTIFS('Properties'!$A$6:$A$205,C40)&lt;&gt;1,"Check Property ID",IF(INDEX('Properties'!$B$6:$B$205,MATCH(C40,'Properties'!$A$6:$A$205,0))="","Name missing",INDEX('Properties'!$B$6:$B$205,MATCH(C40,'Properties'!$A$6:$A$205,0))))))</x:f>
      </x:c>
      <x:c r="J40" s="315" t="str">
        <x:f>IF(A40="","",IF(COUNTIFS($A$6:$A$205,A40)&gt;1,"Duplicate ID",IF(OR(B40="",COUNTIFS('Clients'!$A$6:$A$205,B40)&lt;&gt;1),"Check Client ID",IF(OR(C40="",COUNTIFS('Properties'!$A$6:$A$205,C40)&lt;&gt;1),"Check Property ID",IF(E40="","Set client response",IF(AND(E40&lt;&gt;"Not sent",NOT(ISNUMBER(D40))),"Add date sent",""))))))</x:f>
      </x:c>
    </x:row>
    <x:row r="41" ht="26" customHeight="1">
      <x:c r="A41" s="319"/>
      <x:c r="B41" s="320"/>
      <x:c r="C41" s="274"/>
      <x:c r="D41" s="304"/>
      <x:c r="E41" s="274"/>
      <x:c r="F41" s="274"/>
      <x:c r="G41" s="274"/>
      <x:c r="H41" s="265" t="str">
        <x:f>IF(A41="","",IF(B41="","",IF(COUNTIFS('Clients'!$A$6:$A$205,B41)&lt;&gt;1,"Check Client ID",IF(INDEX('Clients'!$B$6:$B$205,MATCH(B41,'Clients'!$A$6:$A$205,0))="","Name missing",INDEX('Clients'!$B$6:$B$205,MATCH(B41,'Clients'!$A$6:$A$205,0))))))</x:f>
      </x:c>
      <x:c r="I41" s="265" t="str">
        <x:f>IF(A41="","",IF(C41="","",IF(COUNTIFS('Properties'!$A$6:$A$205,C41)&lt;&gt;1,"Check Property ID",IF(INDEX('Properties'!$B$6:$B$205,MATCH(C41,'Properties'!$A$6:$A$205,0))="","Name missing",INDEX('Properties'!$B$6:$B$205,MATCH(C41,'Properties'!$A$6:$A$205,0))))))</x:f>
      </x:c>
      <x:c r="J41" s="315" t="str">
        <x:f>IF(A41="","",IF(COUNTIFS($A$6:$A$205,A41)&gt;1,"Duplicate ID",IF(OR(B41="",COUNTIFS('Clients'!$A$6:$A$205,B41)&lt;&gt;1),"Check Client ID",IF(OR(C41="",COUNTIFS('Properties'!$A$6:$A$205,C41)&lt;&gt;1),"Check Property ID",IF(E41="","Set client response",IF(AND(E41&lt;&gt;"Not sent",NOT(ISNUMBER(D41))),"Add date sent",""))))))</x:f>
      </x:c>
    </x:row>
    <x:row r="42" ht="26" customHeight="1">
      <x:c r="A42" s="317"/>
      <x:c r="B42" s="318"/>
      <x:c r="C42" s="235"/>
      <x:c r="D42" s="238"/>
      <x:c r="E42" s="235"/>
      <x:c r="F42" s="235"/>
      <x:c r="G42" s="235"/>
      <x:c r="H42" s="265" t="str">
        <x:f>IF(A42="","",IF(B42="","",IF(COUNTIFS('Clients'!$A$6:$A$205,B42)&lt;&gt;1,"Check Client ID",IF(INDEX('Clients'!$B$6:$B$205,MATCH(B42,'Clients'!$A$6:$A$205,0))="","Name missing",INDEX('Clients'!$B$6:$B$205,MATCH(B42,'Clients'!$A$6:$A$205,0))))))</x:f>
      </x:c>
      <x:c r="I42" s="265" t="str">
        <x:f>IF(A42="","",IF(C42="","",IF(COUNTIFS('Properties'!$A$6:$A$205,C42)&lt;&gt;1,"Check Property ID",IF(INDEX('Properties'!$B$6:$B$205,MATCH(C42,'Properties'!$A$6:$A$205,0))="","Name missing",INDEX('Properties'!$B$6:$B$205,MATCH(C42,'Properties'!$A$6:$A$205,0))))))</x:f>
      </x:c>
      <x:c r="J42" s="315" t="str">
        <x:f>IF(A42="","",IF(COUNTIFS($A$6:$A$205,A42)&gt;1,"Duplicate ID",IF(OR(B42="",COUNTIFS('Clients'!$A$6:$A$205,B42)&lt;&gt;1),"Check Client ID",IF(OR(C42="",COUNTIFS('Properties'!$A$6:$A$205,C42)&lt;&gt;1),"Check Property ID",IF(E42="","Set client response",IF(AND(E42&lt;&gt;"Not sent",NOT(ISNUMBER(D42))),"Add date sent",""))))))</x:f>
      </x:c>
    </x:row>
    <x:row r="43" ht="26" customHeight="1">
      <x:c r="A43" s="319"/>
      <x:c r="B43" s="320"/>
      <x:c r="C43" s="274"/>
      <x:c r="D43" s="304"/>
      <x:c r="E43" s="274"/>
      <x:c r="F43" s="274"/>
      <x:c r="G43" s="274"/>
      <x:c r="H43" s="265" t="str">
        <x:f>IF(A43="","",IF(B43="","",IF(COUNTIFS('Clients'!$A$6:$A$205,B43)&lt;&gt;1,"Check Client ID",IF(INDEX('Clients'!$B$6:$B$205,MATCH(B43,'Clients'!$A$6:$A$205,0))="","Name missing",INDEX('Clients'!$B$6:$B$205,MATCH(B43,'Clients'!$A$6:$A$205,0))))))</x:f>
      </x:c>
      <x:c r="I43" s="265" t="str">
        <x:f>IF(A43="","",IF(C43="","",IF(COUNTIFS('Properties'!$A$6:$A$205,C43)&lt;&gt;1,"Check Property ID",IF(INDEX('Properties'!$B$6:$B$205,MATCH(C43,'Properties'!$A$6:$A$205,0))="","Name missing",INDEX('Properties'!$B$6:$B$205,MATCH(C43,'Properties'!$A$6:$A$205,0))))))</x:f>
      </x:c>
      <x:c r="J43" s="315" t="str">
        <x:f>IF(A43="","",IF(COUNTIFS($A$6:$A$205,A43)&gt;1,"Duplicate ID",IF(OR(B43="",COUNTIFS('Clients'!$A$6:$A$205,B43)&lt;&gt;1),"Check Client ID",IF(OR(C43="",COUNTIFS('Properties'!$A$6:$A$205,C43)&lt;&gt;1),"Check Property ID",IF(E43="","Set client response",IF(AND(E43&lt;&gt;"Not sent",NOT(ISNUMBER(D43))),"Add date sent",""))))))</x:f>
      </x:c>
    </x:row>
    <x:row r="44" ht="26" customHeight="1">
      <x:c r="A44" s="317"/>
      <x:c r="B44" s="318"/>
      <x:c r="C44" s="235"/>
      <x:c r="D44" s="238"/>
      <x:c r="E44" s="235"/>
      <x:c r="F44" s="235"/>
      <x:c r="G44" s="235"/>
      <x:c r="H44" s="265" t="str">
        <x:f>IF(A44="","",IF(B44="","",IF(COUNTIFS('Clients'!$A$6:$A$205,B44)&lt;&gt;1,"Check Client ID",IF(INDEX('Clients'!$B$6:$B$205,MATCH(B44,'Clients'!$A$6:$A$205,0))="","Name missing",INDEX('Clients'!$B$6:$B$205,MATCH(B44,'Clients'!$A$6:$A$205,0))))))</x:f>
      </x:c>
      <x:c r="I44" s="265" t="str">
        <x:f>IF(A44="","",IF(C44="","",IF(COUNTIFS('Properties'!$A$6:$A$205,C44)&lt;&gt;1,"Check Property ID",IF(INDEX('Properties'!$B$6:$B$205,MATCH(C44,'Properties'!$A$6:$A$205,0))="","Name missing",INDEX('Properties'!$B$6:$B$205,MATCH(C44,'Properties'!$A$6:$A$205,0))))))</x:f>
      </x:c>
      <x:c r="J44" s="315" t="str">
        <x:f>IF(A44="","",IF(COUNTIFS($A$6:$A$205,A44)&gt;1,"Duplicate ID",IF(OR(B44="",COUNTIFS('Clients'!$A$6:$A$205,B44)&lt;&gt;1),"Check Client ID",IF(OR(C44="",COUNTIFS('Properties'!$A$6:$A$205,C44)&lt;&gt;1),"Check Property ID",IF(E44="","Set client response",IF(AND(E44&lt;&gt;"Not sent",NOT(ISNUMBER(D44))),"Add date sent",""))))))</x:f>
      </x:c>
    </x:row>
    <x:row r="45" ht="26" customHeight="1">
      <x:c r="A45" s="319"/>
      <x:c r="B45" s="320"/>
      <x:c r="C45" s="274"/>
      <x:c r="D45" s="304"/>
      <x:c r="E45" s="274"/>
      <x:c r="F45" s="274"/>
      <x:c r="G45" s="274"/>
      <x:c r="H45" s="265" t="str">
        <x:f>IF(A45="","",IF(B45="","",IF(COUNTIFS('Clients'!$A$6:$A$205,B45)&lt;&gt;1,"Check Client ID",IF(INDEX('Clients'!$B$6:$B$205,MATCH(B45,'Clients'!$A$6:$A$205,0))="","Name missing",INDEX('Clients'!$B$6:$B$205,MATCH(B45,'Clients'!$A$6:$A$205,0))))))</x:f>
      </x:c>
      <x:c r="I45" s="265" t="str">
        <x:f>IF(A45="","",IF(C45="","",IF(COUNTIFS('Properties'!$A$6:$A$205,C45)&lt;&gt;1,"Check Property ID",IF(INDEX('Properties'!$B$6:$B$205,MATCH(C45,'Properties'!$A$6:$A$205,0))="","Name missing",INDEX('Properties'!$B$6:$B$205,MATCH(C45,'Properties'!$A$6:$A$205,0))))))</x:f>
      </x:c>
      <x:c r="J45" s="315" t="str">
        <x:f>IF(A45="","",IF(COUNTIFS($A$6:$A$205,A45)&gt;1,"Duplicate ID",IF(OR(B45="",COUNTIFS('Clients'!$A$6:$A$205,B45)&lt;&gt;1),"Check Client ID",IF(OR(C45="",COUNTIFS('Properties'!$A$6:$A$205,C45)&lt;&gt;1),"Check Property ID",IF(E45="","Set client response",IF(AND(E45&lt;&gt;"Not sent",NOT(ISNUMBER(D45))),"Add date sent",""))))))</x:f>
      </x:c>
    </x:row>
    <x:row r="46" ht="26" customHeight="1">
      <x:c r="A46" s="317"/>
      <x:c r="B46" s="318"/>
      <x:c r="C46" s="235"/>
      <x:c r="D46" s="238"/>
      <x:c r="E46" s="235"/>
      <x:c r="F46" s="235"/>
      <x:c r="G46" s="235"/>
      <x:c r="H46" s="265" t="str">
        <x:f>IF(A46="","",IF(B46="","",IF(COUNTIFS('Clients'!$A$6:$A$205,B46)&lt;&gt;1,"Check Client ID",IF(INDEX('Clients'!$B$6:$B$205,MATCH(B46,'Clients'!$A$6:$A$205,0))="","Name missing",INDEX('Clients'!$B$6:$B$205,MATCH(B46,'Clients'!$A$6:$A$205,0))))))</x:f>
      </x:c>
      <x:c r="I46" s="265" t="str">
        <x:f>IF(A46="","",IF(C46="","",IF(COUNTIFS('Properties'!$A$6:$A$205,C46)&lt;&gt;1,"Check Property ID",IF(INDEX('Properties'!$B$6:$B$205,MATCH(C46,'Properties'!$A$6:$A$205,0))="","Name missing",INDEX('Properties'!$B$6:$B$205,MATCH(C46,'Properties'!$A$6:$A$205,0))))))</x:f>
      </x:c>
      <x:c r="J46" s="315" t="str">
        <x:f>IF(A46="","",IF(COUNTIFS($A$6:$A$205,A46)&gt;1,"Duplicate ID",IF(OR(B46="",COUNTIFS('Clients'!$A$6:$A$205,B46)&lt;&gt;1),"Check Client ID",IF(OR(C46="",COUNTIFS('Properties'!$A$6:$A$205,C46)&lt;&gt;1),"Check Property ID",IF(E46="","Set client response",IF(AND(E46&lt;&gt;"Not sent",NOT(ISNUMBER(D46))),"Add date sent",""))))))</x:f>
      </x:c>
    </x:row>
    <x:row r="47" ht="26" customHeight="1">
      <x:c r="A47" s="319"/>
      <x:c r="B47" s="320"/>
      <x:c r="C47" s="274"/>
      <x:c r="D47" s="304"/>
      <x:c r="E47" s="274"/>
      <x:c r="F47" s="274"/>
      <x:c r="G47" s="274"/>
      <x:c r="H47" s="265" t="str">
        <x:f>IF(A47="","",IF(B47="","",IF(COUNTIFS('Clients'!$A$6:$A$205,B47)&lt;&gt;1,"Check Client ID",IF(INDEX('Clients'!$B$6:$B$205,MATCH(B47,'Clients'!$A$6:$A$205,0))="","Name missing",INDEX('Clients'!$B$6:$B$205,MATCH(B47,'Clients'!$A$6:$A$205,0))))))</x:f>
      </x:c>
      <x:c r="I47" s="265" t="str">
        <x:f>IF(A47="","",IF(C47="","",IF(COUNTIFS('Properties'!$A$6:$A$205,C47)&lt;&gt;1,"Check Property ID",IF(INDEX('Properties'!$B$6:$B$205,MATCH(C47,'Properties'!$A$6:$A$205,0))="","Name missing",INDEX('Properties'!$B$6:$B$205,MATCH(C47,'Properties'!$A$6:$A$205,0))))))</x:f>
      </x:c>
      <x:c r="J47" s="315" t="str">
        <x:f>IF(A47="","",IF(COUNTIFS($A$6:$A$205,A47)&gt;1,"Duplicate ID",IF(OR(B47="",COUNTIFS('Clients'!$A$6:$A$205,B47)&lt;&gt;1),"Check Client ID",IF(OR(C47="",COUNTIFS('Properties'!$A$6:$A$205,C47)&lt;&gt;1),"Check Property ID",IF(E47="","Set client response",IF(AND(E47&lt;&gt;"Not sent",NOT(ISNUMBER(D47))),"Add date sent",""))))))</x:f>
      </x:c>
    </x:row>
    <x:row r="48" ht="26" customHeight="1">
      <x:c r="A48" s="317"/>
      <x:c r="B48" s="318"/>
      <x:c r="C48" s="235"/>
      <x:c r="D48" s="238"/>
      <x:c r="E48" s="235"/>
      <x:c r="F48" s="235"/>
      <x:c r="G48" s="235"/>
      <x:c r="H48" s="265" t="str">
        <x:f>IF(A48="","",IF(B48="","",IF(COUNTIFS('Clients'!$A$6:$A$205,B48)&lt;&gt;1,"Check Client ID",IF(INDEX('Clients'!$B$6:$B$205,MATCH(B48,'Clients'!$A$6:$A$205,0))="","Name missing",INDEX('Clients'!$B$6:$B$205,MATCH(B48,'Clients'!$A$6:$A$205,0))))))</x:f>
      </x:c>
      <x:c r="I48" s="265" t="str">
        <x:f>IF(A48="","",IF(C48="","",IF(COUNTIFS('Properties'!$A$6:$A$205,C48)&lt;&gt;1,"Check Property ID",IF(INDEX('Properties'!$B$6:$B$205,MATCH(C48,'Properties'!$A$6:$A$205,0))="","Name missing",INDEX('Properties'!$B$6:$B$205,MATCH(C48,'Properties'!$A$6:$A$205,0))))))</x:f>
      </x:c>
      <x:c r="J48" s="315" t="str">
        <x:f>IF(A48="","",IF(COUNTIFS($A$6:$A$205,A48)&gt;1,"Duplicate ID",IF(OR(B48="",COUNTIFS('Clients'!$A$6:$A$205,B48)&lt;&gt;1),"Check Client ID",IF(OR(C48="",COUNTIFS('Properties'!$A$6:$A$205,C48)&lt;&gt;1),"Check Property ID",IF(E48="","Set client response",IF(AND(E48&lt;&gt;"Not sent",NOT(ISNUMBER(D48))),"Add date sent",""))))))</x:f>
      </x:c>
    </x:row>
    <x:row r="49" ht="26" customHeight="1">
      <x:c r="A49" s="319"/>
      <x:c r="B49" s="320"/>
      <x:c r="C49" s="274"/>
      <x:c r="D49" s="304"/>
      <x:c r="E49" s="274"/>
      <x:c r="F49" s="274"/>
      <x:c r="G49" s="274"/>
      <x:c r="H49" s="265" t="str">
        <x:f>IF(A49="","",IF(B49="","",IF(COUNTIFS('Clients'!$A$6:$A$205,B49)&lt;&gt;1,"Check Client ID",IF(INDEX('Clients'!$B$6:$B$205,MATCH(B49,'Clients'!$A$6:$A$205,0))="","Name missing",INDEX('Clients'!$B$6:$B$205,MATCH(B49,'Clients'!$A$6:$A$205,0))))))</x:f>
      </x:c>
      <x:c r="I49" s="265" t="str">
        <x:f>IF(A49="","",IF(C49="","",IF(COUNTIFS('Properties'!$A$6:$A$205,C49)&lt;&gt;1,"Check Property ID",IF(INDEX('Properties'!$B$6:$B$205,MATCH(C49,'Properties'!$A$6:$A$205,0))="","Name missing",INDEX('Properties'!$B$6:$B$205,MATCH(C49,'Properties'!$A$6:$A$205,0))))))</x:f>
      </x:c>
      <x:c r="J49" s="315" t="str">
        <x:f>IF(A49="","",IF(COUNTIFS($A$6:$A$205,A49)&gt;1,"Duplicate ID",IF(OR(B49="",COUNTIFS('Clients'!$A$6:$A$205,B49)&lt;&gt;1),"Check Client ID",IF(OR(C49="",COUNTIFS('Properties'!$A$6:$A$205,C49)&lt;&gt;1),"Check Property ID",IF(E49="","Set client response",IF(AND(E49&lt;&gt;"Not sent",NOT(ISNUMBER(D49))),"Add date sent",""))))))</x:f>
      </x:c>
    </x:row>
    <x:row r="50" ht="26" customHeight="1">
      <x:c r="A50" s="317"/>
      <x:c r="B50" s="318"/>
      <x:c r="C50" s="235"/>
      <x:c r="D50" s="238"/>
      <x:c r="E50" s="235"/>
      <x:c r="F50" s="235"/>
      <x:c r="G50" s="235"/>
      <x:c r="H50" s="265" t="str">
        <x:f>IF(A50="","",IF(B50="","",IF(COUNTIFS('Clients'!$A$6:$A$205,B50)&lt;&gt;1,"Check Client ID",IF(INDEX('Clients'!$B$6:$B$205,MATCH(B50,'Clients'!$A$6:$A$205,0))="","Name missing",INDEX('Clients'!$B$6:$B$205,MATCH(B50,'Clients'!$A$6:$A$205,0))))))</x:f>
      </x:c>
      <x:c r="I50" s="265" t="str">
        <x:f>IF(A50="","",IF(C50="","",IF(COUNTIFS('Properties'!$A$6:$A$205,C50)&lt;&gt;1,"Check Property ID",IF(INDEX('Properties'!$B$6:$B$205,MATCH(C50,'Properties'!$A$6:$A$205,0))="","Name missing",INDEX('Properties'!$B$6:$B$205,MATCH(C50,'Properties'!$A$6:$A$205,0))))))</x:f>
      </x:c>
      <x:c r="J50" s="315" t="str">
        <x:f>IF(A50="","",IF(COUNTIFS($A$6:$A$205,A50)&gt;1,"Duplicate ID",IF(OR(B50="",COUNTIFS('Clients'!$A$6:$A$205,B50)&lt;&gt;1),"Check Client ID",IF(OR(C50="",COUNTIFS('Properties'!$A$6:$A$205,C50)&lt;&gt;1),"Check Property ID",IF(E50="","Set client response",IF(AND(E50&lt;&gt;"Not sent",NOT(ISNUMBER(D50))),"Add date sent",""))))))</x:f>
      </x:c>
    </x:row>
    <x:row r="51" ht="26" customHeight="1">
      <x:c r="A51" s="319"/>
      <x:c r="B51" s="320"/>
      <x:c r="C51" s="274"/>
      <x:c r="D51" s="304"/>
      <x:c r="E51" s="274"/>
      <x:c r="F51" s="274"/>
      <x:c r="G51" s="274"/>
      <x:c r="H51" s="265" t="str">
        <x:f>IF(A51="","",IF(B51="","",IF(COUNTIFS('Clients'!$A$6:$A$205,B51)&lt;&gt;1,"Check Client ID",IF(INDEX('Clients'!$B$6:$B$205,MATCH(B51,'Clients'!$A$6:$A$205,0))="","Name missing",INDEX('Clients'!$B$6:$B$205,MATCH(B51,'Clients'!$A$6:$A$205,0))))))</x:f>
      </x:c>
      <x:c r="I51" s="265" t="str">
        <x:f>IF(A51="","",IF(C51="","",IF(COUNTIFS('Properties'!$A$6:$A$205,C51)&lt;&gt;1,"Check Property ID",IF(INDEX('Properties'!$B$6:$B$205,MATCH(C51,'Properties'!$A$6:$A$205,0))="","Name missing",INDEX('Properties'!$B$6:$B$205,MATCH(C51,'Properties'!$A$6:$A$205,0))))))</x:f>
      </x:c>
      <x:c r="J51" s="315" t="str">
        <x:f>IF(A51="","",IF(COUNTIFS($A$6:$A$205,A51)&gt;1,"Duplicate ID",IF(OR(B51="",COUNTIFS('Clients'!$A$6:$A$205,B51)&lt;&gt;1),"Check Client ID",IF(OR(C51="",COUNTIFS('Properties'!$A$6:$A$205,C51)&lt;&gt;1),"Check Property ID",IF(E51="","Set client response",IF(AND(E51&lt;&gt;"Not sent",NOT(ISNUMBER(D51))),"Add date sent",""))))))</x:f>
      </x:c>
    </x:row>
    <x:row r="52" ht="26" customHeight="1">
      <x:c r="A52" s="317"/>
      <x:c r="B52" s="318"/>
      <x:c r="C52" s="235"/>
      <x:c r="D52" s="238"/>
      <x:c r="E52" s="235"/>
      <x:c r="F52" s="235"/>
      <x:c r="G52" s="235"/>
      <x:c r="H52" s="265" t="str">
        <x:f>IF(A52="","",IF(B52="","",IF(COUNTIFS('Clients'!$A$6:$A$205,B52)&lt;&gt;1,"Check Client ID",IF(INDEX('Clients'!$B$6:$B$205,MATCH(B52,'Clients'!$A$6:$A$205,0))="","Name missing",INDEX('Clients'!$B$6:$B$205,MATCH(B52,'Clients'!$A$6:$A$205,0))))))</x:f>
      </x:c>
      <x:c r="I52" s="265" t="str">
        <x:f>IF(A52="","",IF(C52="","",IF(COUNTIFS('Properties'!$A$6:$A$205,C52)&lt;&gt;1,"Check Property ID",IF(INDEX('Properties'!$B$6:$B$205,MATCH(C52,'Properties'!$A$6:$A$205,0))="","Name missing",INDEX('Properties'!$B$6:$B$205,MATCH(C52,'Properties'!$A$6:$A$205,0))))))</x:f>
      </x:c>
      <x:c r="J52" s="315" t="str">
        <x:f>IF(A52="","",IF(COUNTIFS($A$6:$A$205,A52)&gt;1,"Duplicate ID",IF(OR(B52="",COUNTIFS('Clients'!$A$6:$A$205,B52)&lt;&gt;1),"Check Client ID",IF(OR(C52="",COUNTIFS('Properties'!$A$6:$A$205,C52)&lt;&gt;1),"Check Property ID",IF(E52="","Set client response",IF(AND(E52&lt;&gt;"Not sent",NOT(ISNUMBER(D52))),"Add date sent",""))))))</x:f>
      </x:c>
    </x:row>
    <x:row r="53" ht="26" customHeight="1">
      <x:c r="A53" s="319"/>
      <x:c r="B53" s="320"/>
      <x:c r="C53" s="274"/>
      <x:c r="D53" s="304"/>
      <x:c r="E53" s="274"/>
      <x:c r="F53" s="274"/>
      <x:c r="G53" s="274"/>
      <x:c r="H53" s="265" t="str">
        <x:f>IF(A53="","",IF(B53="","",IF(COUNTIFS('Clients'!$A$6:$A$205,B53)&lt;&gt;1,"Check Client ID",IF(INDEX('Clients'!$B$6:$B$205,MATCH(B53,'Clients'!$A$6:$A$205,0))="","Name missing",INDEX('Clients'!$B$6:$B$205,MATCH(B53,'Clients'!$A$6:$A$205,0))))))</x:f>
      </x:c>
      <x:c r="I53" s="265" t="str">
        <x:f>IF(A53="","",IF(C53="","",IF(COUNTIFS('Properties'!$A$6:$A$205,C53)&lt;&gt;1,"Check Property ID",IF(INDEX('Properties'!$B$6:$B$205,MATCH(C53,'Properties'!$A$6:$A$205,0))="","Name missing",INDEX('Properties'!$B$6:$B$205,MATCH(C53,'Properties'!$A$6:$A$205,0))))))</x:f>
      </x:c>
      <x:c r="J53" s="315" t="str">
        <x:f>IF(A53="","",IF(COUNTIFS($A$6:$A$205,A53)&gt;1,"Duplicate ID",IF(OR(B53="",COUNTIFS('Clients'!$A$6:$A$205,B53)&lt;&gt;1),"Check Client ID",IF(OR(C53="",COUNTIFS('Properties'!$A$6:$A$205,C53)&lt;&gt;1),"Check Property ID",IF(E53="","Set client response",IF(AND(E53&lt;&gt;"Not sent",NOT(ISNUMBER(D53))),"Add date sent",""))))))</x:f>
      </x:c>
    </x:row>
    <x:row r="54" ht="26" customHeight="1">
      <x:c r="A54" s="317"/>
      <x:c r="B54" s="318"/>
      <x:c r="C54" s="235"/>
      <x:c r="D54" s="238"/>
      <x:c r="E54" s="235"/>
      <x:c r="F54" s="235"/>
      <x:c r="G54" s="235"/>
      <x:c r="H54" s="265" t="str">
        <x:f>IF(A54="","",IF(B54="","",IF(COUNTIFS('Clients'!$A$6:$A$205,B54)&lt;&gt;1,"Check Client ID",IF(INDEX('Clients'!$B$6:$B$205,MATCH(B54,'Clients'!$A$6:$A$205,0))="","Name missing",INDEX('Clients'!$B$6:$B$205,MATCH(B54,'Clients'!$A$6:$A$205,0))))))</x:f>
      </x:c>
      <x:c r="I54" s="265" t="str">
        <x:f>IF(A54="","",IF(C54="","",IF(COUNTIFS('Properties'!$A$6:$A$205,C54)&lt;&gt;1,"Check Property ID",IF(INDEX('Properties'!$B$6:$B$205,MATCH(C54,'Properties'!$A$6:$A$205,0))="","Name missing",INDEX('Properties'!$B$6:$B$205,MATCH(C54,'Properties'!$A$6:$A$205,0))))))</x:f>
      </x:c>
      <x:c r="J54" s="315" t="str">
        <x:f>IF(A54="","",IF(COUNTIFS($A$6:$A$205,A54)&gt;1,"Duplicate ID",IF(OR(B54="",COUNTIFS('Clients'!$A$6:$A$205,B54)&lt;&gt;1),"Check Client ID",IF(OR(C54="",COUNTIFS('Properties'!$A$6:$A$205,C54)&lt;&gt;1),"Check Property ID",IF(E54="","Set client response",IF(AND(E54&lt;&gt;"Not sent",NOT(ISNUMBER(D54))),"Add date sent",""))))))</x:f>
      </x:c>
    </x:row>
    <x:row r="55" ht="26" customHeight="1">
      <x:c r="A55" s="319"/>
      <x:c r="B55" s="320"/>
      <x:c r="C55" s="274"/>
      <x:c r="D55" s="304"/>
      <x:c r="E55" s="274"/>
      <x:c r="F55" s="274"/>
      <x:c r="G55" s="274"/>
      <x:c r="H55" s="265" t="str">
        <x:f>IF(A55="","",IF(B55="","",IF(COUNTIFS('Clients'!$A$6:$A$205,B55)&lt;&gt;1,"Check Client ID",IF(INDEX('Clients'!$B$6:$B$205,MATCH(B55,'Clients'!$A$6:$A$205,0))="","Name missing",INDEX('Clients'!$B$6:$B$205,MATCH(B55,'Clients'!$A$6:$A$205,0))))))</x:f>
      </x:c>
      <x:c r="I55" s="265" t="str">
        <x:f>IF(A55="","",IF(C55="","",IF(COUNTIFS('Properties'!$A$6:$A$205,C55)&lt;&gt;1,"Check Property ID",IF(INDEX('Properties'!$B$6:$B$205,MATCH(C55,'Properties'!$A$6:$A$205,0))="","Name missing",INDEX('Properties'!$B$6:$B$205,MATCH(C55,'Properties'!$A$6:$A$205,0))))))</x:f>
      </x:c>
      <x:c r="J55" s="315" t="str">
        <x:f>IF(A55="","",IF(COUNTIFS($A$6:$A$205,A55)&gt;1,"Duplicate ID",IF(OR(B55="",COUNTIFS('Clients'!$A$6:$A$205,B55)&lt;&gt;1),"Check Client ID",IF(OR(C55="",COUNTIFS('Properties'!$A$6:$A$205,C55)&lt;&gt;1),"Check Property ID",IF(E55="","Set client response",IF(AND(E55&lt;&gt;"Not sent",NOT(ISNUMBER(D55))),"Add date sent",""))))))</x:f>
      </x:c>
    </x:row>
    <x:row r="56" ht="26" customHeight="1">
      <x:c r="A56" s="317"/>
      <x:c r="B56" s="318"/>
      <x:c r="C56" s="235"/>
      <x:c r="D56" s="238"/>
      <x:c r="E56" s="235"/>
      <x:c r="F56" s="235"/>
      <x:c r="G56" s="235"/>
      <x:c r="H56" s="265" t="str">
        <x:f>IF(A56="","",IF(B56="","",IF(COUNTIFS('Clients'!$A$6:$A$205,B56)&lt;&gt;1,"Check Client ID",IF(INDEX('Clients'!$B$6:$B$205,MATCH(B56,'Clients'!$A$6:$A$205,0))="","Name missing",INDEX('Clients'!$B$6:$B$205,MATCH(B56,'Clients'!$A$6:$A$205,0))))))</x:f>
      </x:c>
      <x:c r="I56" s="265" t="str">
        <x:f>IF(A56="","",IF(C56="","",IF(COUNTIFS('Properties'!$A$6:$A$205,C56)&lt;&gt;1,"Check Property ID",IF(INDEX('Properties'!$B$6:$B$205,MATCH(C56,'Properties'!$A$6:$A$205,0))="","Name missing",INDEX('Properties'!$B$6:$B$205,MATCH(C56,'Properties'!$A$6:$A$205,0))))))</x:f>
      </x:c>
      <x:c r="J56" s="315" t="str">
        <x:f>IF(A56="","",IF(COUNTIFS($A$6:$A$205,A56)&gt;1,"Duplicate ID",IF(OR(B56="",COUNTIFS('Clients'!$A$6:$A$205,B56)&lt;&gt;1),"Check Client ID",IF(OR(C56="",COUNTIFS('Properties'!$A$6:$A$205,C56)&lt;&gt;1),"Check Property ID",IF(E56="","Set client response",IF(AND(E56&lt;&gt;"Not sent",NOT(ISNUMBER(D56))),"Add date sent",""))))))</x:f>
      </x:c>
    </x:row>
    <x:row r="57" ht="26" customHeight="1">
      <x:c r="A57" s="319"/>
      <x:c r="B57" s="320"/>
      <x:c r="C57" s="274"/>
      <x:c r="D57" s="304"/>
      <x:c r="E57" s="274"/>
      <x:c r="F57" s="274"/>
      <x:c r="G57" s="274"/>
      <x:c r="H57" s="265" t="str">
        <x:f>IF(A57="","",IF(B57="","",IF(COUNTIFS('Clients'!$A$6:$A$205,B57)&lt;&gt;1,"Check Client ID",IF(INDEX('Clients'!$B$6:$B$205,MATCH(B57,'Clients'!$A$6:$A$205,0))="","Name missing",INDEX('Clients'!$B$6:$B$205,MATCH(B57,'Clients'!$A$6:$A$205,0))))))</x:f>
      </x:c>
      <x:c r="I57" s="265" t="str">
        <x:f>IF(A57="","",IF(C57="","",IF(COUNTIFS('Properties'!$A$6:$A$205,C57)&lt;&gt;1,"Check Property ID",IF(INDEX('Properties'!$B$6:$B$205,MATCH(C57,'Properties'!$A$6:$A$205,0))="","Name missing",INDEX('Properties'!$B$6:$B$205,MATCH(C57,'Properties'!$A$6:$A$205,0))))))</x:f>
      </x:c>
      <x:c r="J57" s="315" t="str">
        <x:f>IF(A57="","",IF(COUNTIFS($A$6:$A$205,A57)&gt;1,"Duplicate ID",IF(OR(B57="",COUNTIFS('Clients'!$A$6:$A$205,B57)&lt;&gt;1),"Check Client ID",IF(OR(C57="",COUNTIFS('Properties'!$A$6:$A$205,C57)&lt;&gt;1),"Check Property ID",IF(E57="","Set client response",IF(AND(E57&lt;&gt;"Not sent",NOT(ISNUMBER(D57))),"Add date sent",""))))))</x:f>
      </x:c>
    </x:row>
    <x:row r="58" ht="26" customHeight="1">
      <x:c r="A58" s="317"/>
      <x:c r="B58" s="318"/>
      <x:c r="C58" s="235"/>
      <x:c r="D58" s="238"/>
      <x:c r="E58" s="235"/>
      <x:c r="F58" s="235"/>
      <x:c r="G58" s="235"/>
      <x:c r="H58" s="265" t="str">
        <x:f>IF(A58="","",IF(B58="","",IF(COUNTIFS('Clients'!$A$6:$A$205,B58)&lt;&gt;1,"Check Client ID",IF(INDEX('Clients'!$B$6:$B$205,MATCH(B58,'Clients'!$A$6:$A$205,0))="","Name missing",INDEX('Clients'!$B$6:$B$205,MATCH(B58,'Clients'!$A$6:$A$205,0))))))</x:f>
      </x:c>
      <x:c r="I58" s="265" t="str">
        <x:f>IF(A58="","",IF(C58="","",IF(COUNTIFS('Properties'!$A$6:$A$205,C58)&lt;&gt;1,"Check Property ID",IF(INDEX('Properties'!$B$6:$B$205,MATCH(C58,'Properties'!$A$6:$A$205,0))="","Name missing",INDEX('Properties'!$B$6:$B$205,MATCH(C58,'Properties'!$A$6:$A$205,0))))))</x:f>
      </x:c>
      <x:c r="J58" s="315" t="str">
        <x:f>IF(A58="","",IF(COUNTIFS($A$6:$A$205,A58)&gt;1,"Duplicate ID",IF(OR(B58="",COUNTIFS('Clients'!$A$6:$A$205,B58)&lt;&gt;1),"Check Client ID",IF(OR(C58="",COUNTIFS('Properties'!$A$6:$A$205,C58)&lt;&gt;1),"Check Property ID",IF(E58="","Set client response",IF(AND(E58&lt;&gt;"Not sent",NOT(ISNUMBER(D58))),"Add date sent",""))))))</x:f>
      </x:c>
    </x:row>
    <x:row r="59" ht="26" customHeight="1">
      <x:c r="A59" s="319"/>
      <x:c r="B59" s="320"/>
      <x:c r="C59" s="274"/>
      <x:c r="D59" s="304"/>
      <x:c r="E59" s="274"/>
      <x:c r="F59" s="274"/>
      <x:c r="G59" s="274"/>
      <x:c r="H59" s="265" t="str">
        <x:f>IF(A59="","",IF(B59="","",IF(COUNTIFS('Clients'!$A$6:$A$205,B59)&lt;&gt;1,"Check Client ID",IF(INDEX('Clients'!$B$6:$B$205,MATCH(B59,'Clients'!$A$6:$A$205,0))="","Name missing",INDEX('Clients'!$B$6:$B$205,MATCH(B59,'Clients'!$A$6:$A$205,0))))))</x:f>
      </x:c>
      <x:c r="I59" s="265" t="str">
        <x:f>IF(A59="","",IF(C59="","",IF(COUNTIFS('Properties'!$A$6:$A$205,C59)&lt;&gt;1,"Check Property ID",IF(INDEX('Properties'!$B$6:$B$205,MATCH(C59,'Properties'!$A$6:$A$205,0))="","Name missing",INDEX('Properties'!$B$6:$B$205,MATCH(C59,'Properties'!$A$6:$A$205,0))))))</x:f>
      </x:c>
      <x:c r="J59" s="315" t="str">
        <x:f>IF(A59="","",IF(COUNTIFS($A$6:$A$205,A59)&gt;1,"Duplicate ID",IF(OR(B59="",COUNTIFS('Clients'!$A$6:$A$205,B59)&lt;&gt;1),"Check Client ID",IF(OR(C59="",COUNTIFS('Properties'!$A$6:$A$205,C59)&lt;&gt;1),"Check Property ID",IF(E59="","Set client response",IF(AND(E59&lt;&gt;"Not sent",NOT(ISNUMBER(D59))),"Add date sent",""))))))</x:f>
      </x:c>
    </x:row>
    <x:row r="60" ht="26" customHeight="1">
      <x:c r="A60" s="317"/>
      <x:c r="B60" s="318"/>
      <x:c r="C60" s="235"/>
      <x:c r="D60" s="238"/>
      <x:c r="E60" s="235"/>
      <x:c r="F60" s="235"/>
      <x:c r="G60" s="235"/>
      <x:c r="H60" s="265" t="str">
        <x:f>IF(A60="","",IF(B60="","",IF(COUNTIFS('Clients'!$A$6:$A$205,B60)&lt;&gt;1,"Check Client ID",IF(INDEX('Clients'!$B$6:$B$205,MATCH(B60,'Clients'!$A$6:$A$205,0))="","Name missing",INDEX('Clients'!$B$6:$B$205,MATCH(B60,'Clients'!$A$6:$A$205,0))))))</x:f>
      </x:c>
      <x:c r="I60" s="265" t="str">
        <x:f>IF(A60="","",IF(C60="","",IF(COUNTIFS('Properties'!$A$6:$A$205,C60)&lt;&gt;1,"Check Property ID",IF(INDEX('Properties'!$B$6:$B$205,MATCH(C60,'Properties'!$A$6:$A$205,0))="","Name missing",INDEX('Properties'!$B$6:$B$205,MATCH(C60,'Properties'!$A$6:$A$205,0))))))</x:f>
      </x:c>
      <x:c r="J60" s="315" t="str">
        <x:f>IF(A60="","",IF(COUNTIFS($A$6:$A$205,A60)&gt;1,"Duplicate ID",IF(OR(B60="",COUNTIFS('Clients'!$A$6:$A$205,B60)&lt;&gt;1),"Check Client ID",IF(OR(C60="",COUNTIFS('Properties'!$A$6:$A$205,C60)&lt;&gt;1),"Check Property ID",IF(E60="","Set client response",IF(AND(E60&lt;&gt;"Not sent",NOT(ISNUMBER(D60))),"Add date sent",""))))))</x:f>
      </x:c>
    </x:row>
    <x:row r="61" ht="26" customHeight="1">
      <x:c r="A61" s="319"/>
      <x:c r="B61" s="320"/>
      <x:c r="C61" s="274"/>
      <x:c r="D61" s="304"/>
      <x:c r="E61" s="274"/>
      <x:c r="F61" s="274"/>
      <x:c r="G61" s="274"/>
      <x:c r="H61" s="265" t="str">
        <x:f>IF(A61="","",IF(B61="","",IF(COUNTIFS('Clients'!$A$6:$A$205,B61)&lt;&gt;1,"Check Client ID",IF(INDEX('Clients'!$B$6:$B$205,MATCH(B61,'Clients'!$A$6:$A$205,0))="","Name missing",INDEX('Clients'!$B$6:$B$205,MATCH(B61,'Clients'!$A$6:$A$205,0))))))</x:f>
      </x:c>
      <x:c r="I61" s="265" t="str">
        <x:f>IF(A61="","",IF(C61="","",IF(COUNTIFS('Properties'!$A$6:$A$205,C61)&lt;&gt;1,"Check Property ID",IF(INDEX('Properties'!$B$6:$B$205,MATCH(C61,'Properties'!$A$6:$A$205,0))="","Name missing",INDEX('Properties'!$B$6:$B$205,MATCH(C61,'Properties'!$A$6:$A$205,0))))))</x:f>
      </x:c>
      <x:c r="J61" s="315" t="str">
        <x:f>IF(A61="","",IF(COUNTIFS($A$6:$A$205,A61)&gt;1,"Duplicate ID",IF(OR(B61="",COUNTIFS('Clients'!$A$6:$A$205,B61)&lt;&gt;1),"Check Client ID",IF(OR(C61="",COUNTIFS('Properties'!$A$6:$A$205,C61)&lt;&gt;1),"Check Property ID",IF(E61="","Set client response",IF(AND(E61&lt;&gt;"Not sent",NOT(ISNUMBER(D61))),"Add date sent",""))))))</x:f>
      </x:c>
    </x:row>
    <x:row r="62" ht="26" customHeight="1">
      <x:c r="A62" s="317"/>
      <x:c r="B62" s="318"/>
      <x:c r="C62" s="235"/>
      <x:c r="D62" s="238"/>
      <x:c r="E62" s="235"/>
      <x:c r="F62" s="235"/>
      <x:c r="G62" s="235"/>
      <x:c r="H62" s="265" t="str">
        <x:f>IF(A62="","",IF(B62="","",IF(COUNTIFS('Clients'!$A$6:$A$205,B62)&lt;&gt;1,"Check Client ID",IF(INDEX('Clients'!$B$6:$B$205,MATCH(B62,'Clients'!$A$6:$A$205,0))="","Name missing",INDEX('Clients'!$B$6:$B$205,MATCH(B62,'Clients'!$A$6:$A$205,0))))))</x:f>
      </x:c>
      <x:c r="I62" s="265" t="str">
        <x:f>IF(A62="","",IF(C62="","",IF(COUNTIFS('Properties'!$A$6:$A$205,C62)&lt;&gt;1,"Check Property ID",IF(INDEX('Properties'!$B$6:$B$205,MATCH(C62,'Properties'!$A$6:$A$205,0))="","Name missing",INDEX('Properties'!$B$6:$B$205,MATCH(C62,'Properties'!$A$6:$A$205,0))))))</x:f>
      </x:c>
      <x:c r="J62" s="315" t="str">
        <x:f>IF(A62="","",IF(COUNTIFS($A$6:$A$205,A62)&gt;1,"Duplicate ID",IF(OR(B62="",COUNTIFS('Clients'!$A$6:$A$205,B62)&lt;&gt;1),"Check Client ID",IF(OR(C62="",COUNTIFS('Properties'!$A$6:$A$205,C62)&lt;&gt;1),"Check Property ID",IF(E62="","Set client response",IF(AND(E62&lt;&gt;"Not sent",NOT(ISNUMBER(D62))),"Add date sent",""))))))</x:f>
      </x:c>
    </x:row>
    <x:row r="63" ht="26" customHeight="1">
      <x:c r="A63" s="319"/>
      <x:c r="B63" s="320"/>
      <x:c r="C63" s="274"/>
      <x:c r="D63" s="304"/>
      <x:c r="E63" s="274"/>
      <x:c r="F63" s="274"/>
      <x:c r="G63" s="274"/>
      <x:c r="H63" s="265" t="str">
        <x:f>IF(A63="","",IF(B63="","",IF(COUNTIFS('Clients'!$A$6:$A$205,B63)&lt;&gt;1,"Check Client ID",IF(INDEX('Clients'!$B$6:$B$205,MATCH(B63,'Clients'!$A$6:$A$205,0))="","Name missing",INDEX('Clients'!$B$6:$B$205,MATCH(B63,'Clients'!$A$6:$A$205,0))))))</x:f>
      </x:c>
      <x:c r="I63" s="265" t="str">
        <x:f>IF(A63="","",IF(C63="","",IF(COUNTIFS('Properties'!$A$6:$A$205,C63)&lt;&gt;1,"Check Property ID",IF(INDEX('Properties'!$B$6:$B$205,MATCH(C63,'Properties'!$A$6:$A$205,0))="","Name missing",INDEX('Properties'!$B$6:$B$205,MATCH(C63,'Properties'!$A$6:$A$205,0))))))</x:f>
      </x:c>
      <x:c r="J63" s="315" t="str">
        <x:f>IF(A63="","",IF(COUNTIFS($A$6:$A$205,A63)&gt;1,"Duplicate ID",IF(OR(B63="",COUNTIFS('Clients'!$A$6:$A$205,B63)&lt;&gt;1),"Check Client ID",IF(OR(C63="",COUNTIFS('Properties'!$A$6:$A$205,C63)&lt;&gt;1),"Check Property ID",IF(E63="","Set client response",IF(AND(E63&lt;&gt;"Not sent",NOT(ISNUMBER(D63))),"Add date sent",""))))))</x:f>
      </x:c>
    </x:row>
    <x:row r="64" ht="26" customHeight="1">
      <x:c r="A64" s="317"/>
      <x:c r="B64" s="318"/>
      <x:c r="C64" s="235"/>
      <x:c r="D64" s="238"/>
      <x:c r="E64" s="235"/>
      <x:c r="F64" s="235"/>
      <x:c r="G64" s="235"/>
      <x:c r="H64" s="265" t="str">
        <x:f>IF(A64="","",IF(B64="","",IF(COUNTIFS('Clients'!$A$6:$A$205,B64)&lt;&gt;1,"Check Client ID",IF(INDEX('Clients'!$B$6:$B$205,MATCH(B64,'Clients'!$A$6:$A$205,0))="","Name missing",INDEX('Clients'!$B$6:$B$205,MATCH(B64,'Clients'!$A$6:$A$205,0))))))</x:f>
      </x:c>
      <x:c r="I64" s="265" t="str">
        <x:f>IF(A64="","",IF(C64="","",IF(COUNTIFS('Properties'!$A$6:$A$205,C64)&lt;&gt;1,"Check Property ID",IF(INDEX('Properties'!$B$6:$B$205,MATCH(C64,'Properties'!$A$6:$A$205,0))="","Name missing",INDEX('Properties'!$B$6:$B$205,MATCH(C64,'Properties'!$A$6:$A$205,0))))))</x:f>
      </x:c>
      <x:c r="J64" s="315" t="str">
        <x:f>IF(A64="","",IF(COUNTIFS($A$6:$A$205,A64)&gt;1,"Duplicate ID",IF(OR(B64="",COUNTIFS('Clients'!$A$6:$A$205,B64)&lt;&gt;1),"Check Client ID",IF(OR(C64="",COUNTIFS('Properties'!$A$6:$A$205,C64)&lt;&gt;1),"Check Property ID",IF(E64="","Set client response",IF(AND(E64&lt;&gt;"Not sent",NOT(ISNUMBER(D64))),"Add date sent",""))))))</x:f>
      </x:c>
    </x:row>
    <x:row r="65" ht="26" customHeight="1">
      <x:c r="A65" s="319"/>
      <x:c r="B65" s="320"/>
      <x:c r="C65" s="274"/>
      <x:c r="D65" s="304"/>
      <x:c r="E65" s="274"/>
      <x:c r="F65" s="274"/>
      <x:c r="G65" s="274"/>
      <x:c r="H65" s="265" t="str">
        <x:f>IF(A65="","",IF(B65="","",IF(COUNTIFS('Clients'!$A$6:$A$205,B65)&lt;&gt;1,"Check Client ID",IF(INDEX('Clients'!$B$6:$B$205,MATCH(B65,'Clients'!$A$6:$A$205,0))="","Name missing",INDEX('Clients'!$B$6:$B$205,MATCH(B65,'Clients'!$A$6:$A$205,0))))))</x:f>
      </x:c>
      <x:c r="I65" s="265" t="str">
        <x:f>IF(A65="","",IF(C65="","",IF(COUNTIFS('Properties'!$A$6:$A$205,C65)&lt;&gt;1,"Check Property ID",IF(INDEX('Properties'!$B$6:$B$205,MATCH(C65,'Properties'!$A$6:$A$205,0))="","Name missing",INDEX('Properties'!$B$6:$B$205,MATCH(C65,'Properties'!$A$6:$A$205,0))))))</x:f>
      </x:c>
      <x:c r="J65" s="315" t="str">
        <x:f>IF(A65="","",IF(COUNTIFS($A$6:$A$205,A65)&gt;1,"Duplicate ID",IF(OR(B65="",COUNTIFS('Clients'!$A$6:$A$205,B65)&lt;&gt;1),"Check Client ID",IF(OR(C65="",COUNTIFS('Properties'!$A$6:$A$205,C65)&lt;&gt;1),"Check Property ID",IF(E65="","Set client response",IF(AND(E65&lt;&gt;"Not sent",NOT(ISNUMBER(D65))),"Add date sent",""))))))</x:f>
      </x:c>
    </x:row>
    <x:row r="66" ht="26" customHeight="1">
      <x:c r="A66" s="317"/>
      <x:c r="B66" s="318"/>
      <x:c r="C66" s="235"/>
      <x:c r="D66" s="238"/>
      <x:c r="E66" s="235"/>
      <x:c r="F66" s="235"/>
      <x:c r="G66" s="235"/>
      <x:c r="H66" s="265" t="str">
        <x:f>IF(A66="","",IF(B66="","",IF(COUNTIFS('Clients'!$A$6:$A$205,B66)&lt;&gt;1,"Check Client ID",IF(INDEX('Clients'!$B$6:$B$205,MATCH(B66,'Clients'!$A$6:$A$205,0))="","Name missing",INDEX('Clients'!$B$6:$B$205,MATCH(B66,'Clients'!$A$6:$A$205,0))))))</x:f>
      </x:c>
      <x:c r="I66" s="265" t="str">
        <x:f>IF(A66="","",IF(C66="","",IF(COUNTIFS('Properties'!$A$6:$A$205,C66)&lt;&gt;1,"Check Property ID",IF(INDEX('Properties'!$B$6:$B$205,MATCH(C66,'Properties'!$A$6:$A$205,0))="","Name missing",INDEX('Properties'!$B$6:$B$205,MATCH(C66,'Properties'!$A$6:$A$205,0))))))</x:f>
      </x:c>
      <x:c r="J66" s="315" t="str">
        <x:f>IF(A66="","",IF(COUNTIFS($A$6:$A$205,A66)&gt;1,"Duplicate ID",IF(OR(B66="",COUNTIFS('Clients'!$A$6:$A$205,B66)&lt;&gt;1),"Check Client ID",IF(OR(C66="",COUNTIFS('Properties'!$A$6:$A$205,C66)&lt;&gt;1),"Check Property ID",IF(E66="","Set client response",IF(AND(E66&lt;&gt;"Not sent",NOT(ISNUMBER(D66))),"Add date sent",""))))))</x:f>
      </x:c>
    </x:row>
    <x:row r="67" ht="26" customHeight="1">
      <x:c r="A67" s="319"/>
      <x:c r="B67" s="320"/>
      <x:c r="C67" s="274"/>
      <x:c r="D67" s="304"/>
      <x:c r="E67" s="274"/>
      <x:c r="F67" s="274"/>
      <x:c r="G67" s="274"/>
      <x:c r="H67" s="265" t="str">
        <x:f>IF(A67="","",IF(B67="","",IF(COUNTIFS('Clients'!$A$6:$A$205,B67)&lt;&gt;1,"Check Client ID",IF(INDEX('Clients'!$B$6:$B$205,MATCH(B67,'Clients'!$A$6:$A$205,0))="","Name missing",INDEX('Clients'!$B$6:$B$205,MATCH(B67,'Clients'!$A$6:$A$205,0))))))</x:f>
      </x:c>
      <x:c r="I67" s="265" t="str">
        <x:f>IF(A67="","",IF(C67="","",IF(COUNTIFS('Properties'!$A$6:$A$205,C67)&lt;&gt;1,"Check Property ID",IF(INDEX('Properties'!$B$6:$B$205,MATCH(C67,'Properties'!$A$6:$A$205,0))="","Name missing",INDEX('Properties'!$B$6:$B$205,MATCH(C67,'Properties'!$A$6:$A$205,0))))))</x:f>
      </x:c>
      <x:c r="J67" s="315" t="str">
        <x:f>IF(A67="","",IF(COUNTIFS($A$6:$A$205,A67)&gt;1,"Duplicate ID",IF(OR(B67="",COUNTIFS('Clients'!$A$6:$A$205,B67)&lt;&gt;1),"Check Client ID",IF(OR(C67="",COUNTIFS('Properties'!$A$6:$A$205,C67)&lt;&gt;1),"Check Property ID",IF(E67="","Set client response",IF(AND(E67&lt;&gt;"Not sent",NOT(ISNUMBER(D67))),"Add date sent",""))))))</x:f>
      </x:c>
    </x:row>
    <x:row r="68" ht="26" customHeight="1">
      <x:c r="A68" s="317"/>
      <x:c r="B68" s="318"/>
      <x:c r="C68" s="235"/>
      <x:c r="D68" s="238"/>
      <x:c r="E68" s="235"/>
      <x:c r="F68" s="235"/>
      <x:c r="G68" s="235"/>
      <x:c r="H68" s="265" t="str">
        <x:f>IF(A68="","",IF(B68="","",IF(COUNTIFS('Clients'!$A$6:$A$205,B68)&lt;&gt;1,"Check Client ID",IF(INDEX('Clients'!$B$6:$B$205,MATCH(B68,'Clients'!$A$6:$A$205,0))="","Name missing",INDEX('Clients'!$B$6:$B$205,MATCH(B68,'Clients'!$A$6:$A$205,0))))))</x:f>
      </x:c>
      <x:c r="I68" s="265" t="str">
        <x:f>IF(A68="","",IF(C68="","",IF(COUNTIFS('Properties'!$A$6:$A$205,C68)&lt;&gt;1,"Check Property ID",IF(INDEX('Properties'!$B$6:$B$205,MATCH(C68,'Properties'!$A$6:$A$205,0))="","Name missing",INDEX('Properties'!$B$6:$B$205,MATCH(C68,'Properties'!$A$6:$A$205,0))))))</x:f>
      </x:c>
      <x:c r="J68" s="315" t="str">
        <x:f>IF(A68="","",IF(COUNTIFS($A$6:$A$205,A68)&gt;1,"Duplicate ID",IF(OR(B68="",COUNTIFS('Clients'!$A$6:$A$205,B68)&lt;&gt;1),"Check Client ID",IF(OR(C68="",COUNTIFS('Properties'!$A$6:$A$205,C68)&lt;&gt;1),"Check Property ID",IF(E68="","Set client response",IF(AND(E68&lt;&gt;"Not sent",NOT(ISNUMBER(D68))),"Add date sent",""))))))</x:f>
      </x:c>
    </x:row>
    <x:row r="69" ht="26" customHeight="1">
      <x:c r="A69" s="319"/>
      <x:c r="B69" s="320"/>
      <x:c r="C69" s="274"/>
      <x:c r="D69" s="304"/>
      <x:c r="E69" s="274"/>
      <x:c r="F69" s="274"/>
      <x:c r="G69" s="274"/>
      <x:c r="H69" s="265" t="str">
        <x:f>IF(A69="","",IF(B69="","",IF(COUNTIFS('Clients'!$A$6:$A$205,B69)&lt;&gt;1,"Check Client ID",IF(INDEX('Clients'!$B$6:$B$205,MATCH(B69,'Clients'!$A$6:$A$205,0))="","Name missing",INDEX('Clients'!$B$6:$B$205,MATCH(B69,'Clients'!$A$6:$A$205,0))))))</x:f>
      </x:c>
      <x:c r="I69" s="265" t="str">
        <x:f>IF(A69="","",IF(C69="","",IF(COUNTIFS('Properties'!$A$6:$A$205,C69)&lt;&gt;1,"Check Property ID",IF(INDEX('Properties'!$B$6:$B$205,MATCH(C69,'Properties'!$A$6:$A$205,0))="","Name missing",INDEX('Properties'!$B$6:$B$205,MATCH(C69,'Properties'!$A$6:$A$205,0))))))</x:f>
      </x:c>
      <x:c r="J69" s="315" t="str">
        <x:f>IF(A69="","",IF(COUNTIFS($A$6:$A$205,A69)&gt;1,"Duplicate ID",IF(OR(B69="",COUNTIFS('Clients'!$A$6:$A$205,B69)&lt;&gt;1),"Check Client ID",IF(OR(C69="",COUNTIFS('Properties'!$A$6:$A$205,C69)&lt;&gt;1),"Check Property ID",IF(E69="","Set client response",IF(AND(E69&lt;&gt;"Not sent",NOT(ISNUMBER(D69))),"Add date sent",""))))))</x:f>
      </x:c>
    </x:row>
    <x:row r="70" ht="26" customHeight="1">
      <x:c r="A70" s="317"/>
      <x:c r="B70" s="318"/>
      <x:c r="C70" s="235"/>
      <x:c r="D70" s="238"/>
      <x:c r="E70" s="235"/>
      <x:c r="F70" s="235"/>
      <x:c r="G70" s="235"/>
      <x:c r="H70" s="265" t="str">
        <x:f>IF(A70="","",IF(B70="","",IF(COUNTIFS('Clients'!$A$6:$A$205,B70)&lt;&gt;1,"Check Client ID",IF(INDEX('Clients'!$B$6:$B$205,MATCH(B70,'Clients'!$A$6:$A$205,0))="","Name missing",INDEX('Clients'!$B$6:$B$205,MATCH(B70,'Clients'!$A$6:$A$205,0))))))</x:f>
      </x:c>
      <x:c r="I70" s="265" t="str">
        <x:f>IF(A70="","",IF(C70="","",IF(COUNTIFS('Properties'!$A$6:$A$205,C70)&lt;&gt;1,"Check Property ID",IF(INDEX('Properties'!$B$6:$B$205,MATCH(C70,'Properties'!$A$6:$A$205,0))="","Name missing",INDEX('Properties'!$B$6:$B$205,MATCH(C70,'Properties'!$A$6:$A$205,0))))))</x:f>
      </x:c>
      <x:c r="J70" s="315" t="str">
        <x:f>IF(A70="","",IF(COUNTIFS($A$6:$A$205,A70)&gt;1,"Duplicate ID",IF(OR(B70="",COUNTIFS('Clients'!$A$6:$A$205,B70)&lt;&gt;1),"Check Client ID",IF(OR(C70="",COUNTIFS('Properties'!$A$6:$A$205,C70)&lt;&gt;1),"Check Property ID",IF(E70="","Set client response",IF(AND(E70&lt;&gt;"Not sent",NOT(ISNUMBER(D70))),"Add date sent",""))))))</x:f>
      </x:c>
    </x:row>
    <x:row r="71" ht="26" customHeight="1">
      <x:c r="A71" s="319"/>
      <x:c r="B71" s="320"/>
      <x:c r="C71" s="274"/>
      <x:c r="D71" s="304"/>
      <x:c r="E71" s="274"/>
      <x:c r="F71" s="274"/>
      <x:c r="G71" s="274"/>
      <x:c r="H71" s="265" t="str">
        <x:f>IF(A71="","",IF(B71="","",IF(COUNTIFS('Clients'!$A$6:$A$205,B71)&lt;&gt;1,"Check Client ID",IF(INDEX('Clients'!$B$6:$B$205,MATCH(B71,'Clients'!$A$6:$A$205,0))="","Name missing",INDEX('Clients'!$B$6:$B$205,MATCH(B71,'Clients'!$A$6:$A$205,0))))))</x:f>
      </x:c>
      <x:c r="I71" s="265" t="str">
        <x:f>IF(A71="","",IF(C71="","",IF(COUNTIFS('Properties'!$A$6:$A$205,C71)&lt;&gt;1,"Check Property ID",IF(INDEX('Properties'!$B$6:$B$205,MATCH(C71,'Properties'!$A$6:$A$205,0))="","Name missing",INDEX('Properties'!$B$6:$B$205,MATCH(C71,'Properties'!$A$6:$A$205,0))))))</x:f>
      </x:c>
      <x:c r="J71" s="315" t="str">
        <x:f>IF(A71="","",IF(COUNTIFS($A$6:$A$205,A71)&gt;1,"Duplicate ID",IF(OR(B71="",COUNTIFS('Clients'!$A$6:$A$205,B71)&lt;&gt;1),"Check Client ID",IF(OR(C71="",COUNTIFS('Properties'!$A$6:$A$205,C71)&lt;&gt;1),"Check Property ID",IF(E71="","Set client response",IF(AND(E71&lt;&gt;"Not sent",NOT(ISNUMBER(D71))),"Add date sent",""))))))</x:f>
      </x:c>
    </x:row>
    <x:row r="72" ht="26" customHeight="1">
      <x:c r="A72" s="317"/>
      <x:c r="B72" s="318"/>
      <x:c r="C72" s="235"/>
      <x:c r="D72" s="238"/>
      <x:c r="E72" s="235"/>
      <x:c r="F72" s="235"/>
      <x:c r="G72" s="235"/>
      <x:c r="H72" s="265" t="str">
        <x:f>IF(A72="","",IF(B72="","",IF(COUNTIFS('Clients'!$A$6:$A$205,B72)&lt;&gt;1,"Check Client ID",IF(INDEX('Clients'!$B$6:$B$205,MATCH(B72,'Clients'!$A$6:$A$205,0))="","Name missing",INDEX('Clients'!$B$6:$B$205,MATCH(B72,'Clients'!$A$6:$A$205,0))))))</x:f>
      </x:c>
      <x:c r="I72" s="265" t="str">
        <x:f>IF(A72="","",IF(C72="","",IF(COUNTIFS('Properties'!$A$6:$A$205,C72)&lt;&gt;1,"Check Property ID",IF(INDEX('Properties'!$B$6:$B$205,MATCH(C72,'Properties'!$A$6:$A$205,0))="","Name missing",INDEX('Properties'!$B$6:$B$205,MATCH(C72,'Properties'!$A$6:$A$205,0))))))</x:f>
      </x:c>
      <x:c r="J72" s="315" t="str">
        <x:f>IF(A72="","",IF(COUNTIFS($A$6:$A$205,A72)&gt;1,"Duplicate ID",IF(OR(B72="",COUNTIFS('Clients'!$A$6:$A$205,B72)&lt;&gt;1),"Check Client ID",IF(OR(C72="",COUNTIFS('Properties'!$A$6:$A$205,C72)&lt;&gt;1),"Check Property ID",IF(E72="","Set client response",IF(AND(E72&lt;&gt;"Not sent",NOT(ISNUMBER(D72))),"Add date sent",""))))))</x:f>
      </x:c>
    </x:row>
    <x:row r="73" ht="26" customHeight="1">
      <x:c r="A73" s="319"/>
      <x:c r="B73" s="320"/>
      <x:c r="C73" s="274"/>
      <x:c r="D73" s="304"/>
      <x:c r="E73" s="274"/>
      <x:c r="F73" s="274"/>
      <x:c r="G73" s="274"/>
      <x:c r="H73" s="265" t="str">
        <x:f>IF(A73="","",IF(B73="","",IF(COUNTIFS('Clients'!$A$6:$A$205,B73)&lt;&gt;1,"Check Client ID",IF(INDEX('Clients'!$B$6:$B$205,MATCH(B73,'Clients'!$A$6:$A$205,0))="","Name missing",INDEX('Clients'!$B$6:$B$205,MATCH(B73,'Clients'!$A$6:$A$205,0))))))</x:f>
      </x:c>
      <x:c r="I73" s="265" t="str">
        <x:f>IF(A73="","",IF(C73="","",IF(COUNTIFS('Properties'!$A$6:$A$205,C73)&lt;&gt;1,"Check Property ID",IF(INDEX('Properties'!$B$6:$B$205,MATCH(C73,'Properties'!$A$6:$A$205,0))="","Name missing",INDEX('Properties'!$B$6:$B$205,MATCH(C73,'Properties'!$A$6:$A$205,0))))))</x:f>
      </x:c>
      <x:c r="J73" s="315" t="str">
        <x:f>IF(A73="","",IF(COUNTIFS($A$6:$A$205,A73)&gt;1,"Duplicate ID",IF(OR(B73="",COUNTIFS('Clients'!$A$6:$A$205,B73)&lt;&gt;1),"Check Client ID",IF(OR(C73="",COUNTIFS('Properties'!$A$6:$A$205,C73)&lt;&gt;1),"Check Property ID",IF(E73="","Set client response",IF(AND(E73&lt;&gt;"Not sent",NOT(ISNUMBER(D73))),"Add date sent",""))))))</x:f>
      </x:c>
    </x:row>
    <x:row r="74" ht="26" customHeight="1">
      <x:c r="A74" s="317"/>
      <x:c r="B74" s="318"/>
      <x:c r="C74" s="235"/>
      <x:c r="D74" s="238"/>
      <x:c r="E74" s="235"/>
      <x:c r="F74" s="235"/>
      <x:c r="G74" s="235"/>
      <x:c r="H74" s="265" t="str">
        <x:f>IF(A74="","",IF(B74="","",IF(COUNTIFS('Clients'!$A$6:$A$205,B74)&lt;&gt;1,"Check Client ID",IF(INDEX('Clients'!$B$6:$B$205,MATCH(B74,'Clients'!$A$6:$A$205,0))="","Name missing",INDEX('Clients'!$B$6:$B$205,MATCH(B74,'Clients'!$A$6:$A$205,0))))))</x:f>
      </x:c>
      <x:c r="I74" s="265" t="str">
        <x:f>IF(A74="","",IF(C74="","",IF(COUNTIFS('Properties'!$A$6:$A$205,C74)&lt;&gt;1,"Check Property ID",IF(INDEX('Properties'!$B$6:$B$205,MATCH(C74,'Properties'!$A$6:$A$205,0))="","Name missing",INDEX('Properties'!$B$6:$B$205,MATCH(C74,'Properties'!$A$6:$A$205,0))))))</x:f>
      </x:c>
      <x:c r="J74" s="315" t="str">
        <x:f>IF(A74="","",IF(COUNTIFS($A$6:$A$205,A74)&gt;1,"Duplicate ID",IF(OR(B74="",COUNTIFS('Clients'!$A$6:$A$205,B74)&lt;&gt;1),"Check Client ID",IF(OR(C74="",COUNTIFS('Properties'!$A$6:$A$205,C74)&lt;&gt;1),"Check Property ID",IF(E74="","Set client response",IF(AND(E74&lt;&gt;"Not sent",NOT(ISNUMBER(D74))),"Add date sent",""))))))</x:f>
      </x:c>
    </x:row>
    <x:row r="75" ht="26" customHeight="1">
      <x:c r="A75" s="319"/>
      <x:c r="B75" s="320"/>
      <x:c r="C75" s="274"/>
      <x:c r="D75" s="304"/>
      <x:c r="E75" s="274"/>
      <x:c r="F75" s="274"/>
      <x:c r="G75" s="274"/>
      <x:c r="H75" s="265" t="str">
        <x:f>IF(A75="","",IF(B75="","",IF(COUNTIFS('Clients'!$A$6:$A$205,B75)&lt;&gt;1,"Check Client ID",IF(INDEX('Clients'!$B$6:$B$205,MATCH(B75,'Clients'!$A$6:$A$205,0))="","Name missing",INDEX('Clients'!$B$6:$B$205,MATCH(B75,'Clients'!$A$6:$A$205,0))))))</x:f>
      </x:c>
      <x:c r="I75" s="265" t="str">
        <x:f>IF(A75="","",IF(C75="","",IF(COUNTIFS('Properties'!$A$6:$A$205,C75)&lt;&gt;1,"Check Property ID",IF(INDEX('Properties'!$B$6:$B$205,MATCH(C75,'Properties'!$A$6:$A$205,0))="","Name missing",INDEX('Properties'!$B$6:$B$205,MATCH(C75,'Properties'!$A$6:$A$205,0))))))</x:f>
      </x:c>
      <x:c r="J75" s="315" t="str">
        <x:f>IF(A75="","",IF(COUNTIFS($A$6:$A$205,A75)&gt;1,"Duplicate ID",IF(OR(B75="",COUNTIFS('Clients'!$A$6:$A$205,B75)&lt;&gt;1),"Check Client ID",IF(OR(C75="",COUNTIFS('Properties'!$A$6:$A$205,C75)&lt;&gt;1),"Check Property ID",IF(E75="","Set client response",IF(AND(E75&lt;&gt;"Not sent",NOT(ISNUMBER(D75))),"Add date sent",""))))))</x:f>
      </x:c>
    </x:row>
    <x:row r="76" ht="26" customHeight="1">
      <x:c r="A76" s="317"/>
      <x:c r="B76" s="318"/>
      <x:c r="C76" s="235"/>
      <x:c r="D76" s="238"/>
      <x:c r="E76" s="235"/>
      <x:c r="F76" s="235"/>
      <x:c r="G76" s="235"/>
      <x:c r="H76" s="265" t="str">
        <x:f>IF(A76="","",IF(B76="","",IF(COUNTIFS('Clients'!$A$6:$A$205,B76)&lt;&gt;1,"Check Client ID",IF(INDEX('Clients'!$B$6:$B$205,MATCH(B76,'Clients'!$A$6:$A$205,0))="","Name missing",INDEX('Clients'!$B$6:$B$205,MATCH(B76,'Clients'!$A$6:$A$205,0))))))</x:f>
      </x:c>
      <x:c r="I76" s="265" t="str">
        <x:f>IF(A76="","",IF(C76="","",IF(COUNTIFS('Properties'!$A$6:$A$205,C76)&lt;&gt;1,"Check Property ID",IF(INDEX('Properties'!$B$6:$B$205,MATCH(C76,'Properties'!$A$6:$A$205,0))="","Name missing",INDEX('Properties'!$B$6:$B$205,MATCH(C76,'Properties'!$A$6:$A$205,0))))))</x:f>
      </x:c>
      <x:c r="J76" s="315" t="str">
        <x:f>IF(A76="","",IF(COUNTIFS($A$6:$A$205,A76)&gt;1,"Duplicate ID",IF(OR(B76="",COUNTIFS('Clients'!$A$6:$A$205,B76)&lt;&gt;1),"Check Client ID",IF(OR(C76="",COUNTIFS('Properties'!$A$6:$A$205,C76)&lt;&gt;1),"Check Property ID",IF(E76="","Set client response",IF(AND(E76&lt;&gt;"Not sent",NOT(ISNUMBER(D76))),"Add date sent",""))))))</x:f>
      </x:c>
    </x:row>
    <x:row r="77" ht="26" customHeight="1">
      <x:c r="A77" s="319"/>
      <x:c r="B77" s="320"/>
      <x:c r="C77" s="274"/>
      <x:c r="D77" s="304"/>
      <x:c r="E77" s="274"/>
      <x:c r="F77" s="274"/>
      <x:c r="G77" s="274"/>
      <x:c r="H77" s="265" t="str">
        <x:f>IF(A77="","",IF(B77="","",IF(COUNTIFS('Clients'!$A$6:$A$205,B77)&lt;&gt;1,"Check Client ID",IF(INDEX('Clients'!$B$6:$B$205,MATCH(B77,'Clients'!$A$6:$A$205,0))="","Name missing",INDEX('Clients'!$B$6:$B$205,MATCH(B77,'Clients'!$A$6:$A$205,0))))))</x:f>
      </x:c>
      <x:c r="I77" s="265" t="str">
        <x:f>IF(A77="","",IF(C77="","",IF(COUNTIFS('Properties'!$A$6:$A$205,C77)&lt;&gt;1,"Check Property ID",IF(INDEX('Properties'!$B$6:$B$205,MATCH(C77,'Properties'!$A$6:$A$205,0))="","Name missing",INDEX('Properties'!$B$6:$B$205,MATCH(C77,'Properties'!$A$6:$A$205,0))))))</x:f>
      </x:c>
      <x:c r="J77" s="315" t="str">
        <x:f>IF(A77="","",IF(COUNTIFS($A$6:$A$205,A77)&gt;1,"Duplicate ID",IF(OR(B77="",COUNTIFS('Clients'!$A$6:$A$205,B77)&lt;&gt;1),"Check Client ID",IF(OR(C77="",COUNTIFS('Properties'!$A$6:$A$205,C77)&lt;&gt;1),"Check Property ID",IF(E77="","Set client response",IF(AND(E77&lt;&gt;"Not sent",NOT(ISNUMBER(D77))),"Add date sent",""))))))</x:f>
      </x:c>
    </x:row>
    <x:row r="78" ht="26" customHeight="1">
      <x:c r="A78" s="317"/>
      <x:c r="B78" s="318"/>
      <x:c r="C78" s="235"/>
      <x:c r="D78" s="238"/>
      <x:c r="E78" s="235"/>
      <x:c r="F78" s="235"/>
      <x:c r="G78" s="235"/>
      <x:c r="H78" s="265" t="str">
        <x:f>IF(A78="","",IF(B78="","",IF(COUNTIFS('Clients'!$A$6:$A$205,B78)&lt;&gt;1,"Check Client ID",IF(INDEX('Clients'!$B$6:$B$205,MATCH(B78,'Clients'!$A$6:$A$205,0))="","Name missing",INDEX('Clients'!$B$6:$B$205,MATCH(B78,'Clients'!$A$6:$A$205,0))))))</x:f>
      </x:c>
      <x:c r="I78" s="265" t="str">
        <x:f>IF(A78="","",IF(C78="","",IF(COUNTIFS('Properties'!$A$6:$A$205,C78)&lt;&gt;1,"Check Property ID",IF(INDEX('Properties'!$B$6:$B$205,MATCH(C78,'Properties'!$A$6:$A$205,0))="","Name missing",INDEX('Properties'!$B$6:$B$205,MATCH(C78,'Properties'!$A$6:$A$205,0))))))</x:f>
      </x:c>
      <x:c r="J78" s="315" t="str">
        <x:f>IF(A78="","",IF(COUNTIFS($A$6:$A$205,A78)&gt;1,"Duplicate ID",IF(OR(B78="",COUNTIFS('Clients'!$A$6:$A$205,B78)&lt;&gt;1),"Check Client ID",IF(OR(C78="",COUNTIFS('Properties'!$A$6:$A$205,C78)&lt;&gt;1),"Check Property ID",IF(E78="","Set client response",IF(AND(E78&lt;&gt;"Not sent",NOT(ISNUMBER(D78))),"Add date sent",""))))))</x:f>
      </x:c>
    </x:row>
    <x:row r="79" ht="26" customHeight="1">
      <x:c r="A79" s="319"/>
      <x:c r="B79" s="320"/>
      <x:c r="C79" s="274"/>
      <x:c r="D79" s="304"/>
      <x:c r="E79" s="274"/>
      <x:c r="F79" s="274"/>
      <x:c r="G79" s="274"/>
      <x:c r="H79" s="265" t="str">
        <x:f>IF(A79="","",IF(B79="","",IF(COUNTIFS('Clients'!$A$6:$A$205,B79)&lt;&gt;1,"Check Client ID",IF(INDEX('Clients'!$B$6:$B$205,MATCH(B79,'Clients'!$A$6:$A$205,0))="","Name missing",INDEX('Clients'!$B$6:$B$205,MATCH(B79,'Clients'!$A$6:$A$205,0))))))</x:f>
      </x:c>
      <x:c r="I79" s="265" t="str">
        <x:f>IF(A79="","",IF(C79="","",IF(COUNTIFS('Properties'!$A$6:$A$205,C79)&lt;&gt;1,"Check Property ID",IF(INDEX('Properties'!$B$6:$B$205,MATCH(C79,'Properties'!$A$6:$A$205,0))="","Name missing",INDEX('Properties'!$B$6:$B$205,MATCH(C79,'Properties'!$A$6:$A$205,0))))))</x:f>
      </x:c>
      <x:c r="J79" s="315" t="str">
        <x:f>IF(A79="","",IF(COUNTIFS($A$6:$A$205,A79)&gt;1,"Duplicate ID",IF(OR(B79="",COUNTIFS('Clients'!$A$6:$A$205,B79)&lt;&gt;1),"Check Client ID",IF(OR(C79="",COUNTIFS('Properties'!$A$6:$A$205,C79)&lt;&gt;1),"Check Property ID",IF(E79="","Set client response",IF(AND(E79&lt;&gt;"Not sent",NOT(ISNUMBER(D79))),"Add date sent",""))))))</x:f>
      </x:c>
    </x:row>
    <x:row r="80" ht="26" customHeight="1">
      <x:c r="A80" s="317"/>
      <x:c r="B80" s="318"/>
      <x:c r="C80" s="235"/>
      <x:c r="D80" s="238"/>
      <x:c r="E80" s="235"/>
      <x:c r="F80" s="235"/>
      <x:c r="G80" s="235"/>
      <x:c r="H80" s="265" t="str">
        <x:f>IF(A80="","",IF(B80="","",IF(COUNTIFS('Clients'!$A$6:$A$205,B80)&lt;&gt;1,"Check Client ID",IF(INDEX('Clients'!$B$6:$B$205,MATCH(B80,'Clients'!$A$6:$A$205,0))="","Name missing",INDEX('Clients'!$B$6:$B$205,MATCH(B80,'Clients'!$A$6:$A$205,0))))))</x:f>
      </x:c>
      <x:c r="I80" s="265" t="str">
        <x:f>IF(A80="","",IF(C80="","",IF(COUNTIFS('Properties'!$A$6:$A$205,C80)&lt;&gt;1,"Check Property ID",IF(INDEX('Properties'!$B$6:$B$205,MATCH(C80,'Properties'!$A$6:$A$205,0))="","Name missing",INDEX('Properties'!$B$6:$B$205,MATCH(C80,'Properties'!$A$6:$A$205,0))))))</x:f>
      </x:c>
      <x:c r="J80" s="315" t="str">
        <x:f>IF(A80="","",IF(COUNTIFS($A$6:$A$205,A80)&gt;1,"Duplicate ID",IF(OR(B80="",COUNTIFS('Clients'!$A$6:$A$205,B80)&lt;&gt;1),"Check Client ID",IF(OR(C80="",COUNTIFS('Properties'!$A$6:$A$205,C80)&lt;&gt;1),"Check Property ID",IF(E80="","Set client response",IF(AND(E80&lt;&gt;"Not sent",NOT(ISNUMBER(D80))),"Add date sent",""))))))</x:f>
      </x:c>
    </x:row>
    <x:row r="81" ht="26" customHeight="1">
      <x:c r="A81" s="319"/>
      <x:c r="B81" s="320"/>
      <x:c r="C81" s="274"/>
      <x:c r="D81" s="304"/>
      <x:c r="E81" s="274"/>
      <x:c r="F81" s="274"/>
      <x:c r="G81" s="274"/>
      <x:c r="H81" s="265" t="str">
        <x:f>IF(A81="","",IF(B81="","",IF(COUNTIFS('Clients'!$A$6:$A$205,B81)&lt;&gt;1,"Check Client ID",IF(INDEX('Clients'!$B$6:$B$205,MATCH(B81,'Clients'!$A$6:$A$205,0))="","Name missing",INDEX('Clients'!$B$6:$B$205,MATCH(B81,'Clients'!$A$6:$A$205,0))))))</x:f>
      </x:c>
      <x:c r="I81" s="265" t="str">
        <x:f>IF(A81="","",IF(C81="","",IF(COUNTIFS('Properties'!$A$6:$A$205,C81)&lt;&gt;1,"Check Property ID",IF(INDEX('Properties'!$B$6:$B$205,MATCH(C81,'Properties'!$A$6:$A$205,0))="","Name missing",INDEX('Properties'!$B$6:$B$205,MATCH(C81,'Properties'!$A$6:$A$205,0))))))</x:f>
      </x:c>
      <x:c r="J81" s="315" t="str">
        <x:f>IF(A81="","",IF(COUNTIFS($A$6:$A$205,A81)&gt;1,"Duplicate ID",IF(OR(B81="",COUNTIFS('Clients'!$A$6:$A$205,B81)&lt;&gt;1),"Check Client ID",IF(OR(C81="",COUNTIFS('Properties'!$A$6:$A$205,C81)&lt;&gt;1),"Check Property ID",IF(E81="","Set client response",IF(AND(E81&lt;&gt;"Not sent",NOT(ISNUMBER(D81))),"Add date sent",""))))))</x:f>
      </x:c>
    </x:row>
    <x:row r="82" ht="26" customHeight="1">
      <x:c r="A82" s="317"/>
      <x:c r="B82" s="318"/>
      <x:c r="C82" s="235"/>
      <x:c r="D82" s="238"/>
      <x:c r="E82" s="235"/>
      <x:c r="F82" s="235"/>
      <x:c r="G82" s="235"/>
      <x:c r="H82" s="265" t="str">
        <x:f>IF(A82="","",IF(B82="","",IF(COUNTIFS('Clients'!$A$6:$A$205,B82)&lt;&gt;1,"Check Client ID",IF(INDEX('Clients'!$B$6:$B$205,MATCH(B82,'Clients'!$A$6:$A$205,0))="","Name missing",INDEX('Clients'!$B$6:$B$205,MATCH(B82,'Clients'!$A$6:$A$205,0))))))</x:f>
      </x:c>
      <x:c r="I82" s="265" t="str">
        <x:f>IF(A82="","",IF(C82="","",IF(COUNTIFS('Properties'!$A$6:$A$205,C82)&lt;&gt;1,"Check Property ID",IF(INDEX('Properties'!$B$6:$B$205,MATCH(C82,'Properties'!$A$6:$A$205,0))="","Name missing",INDEX('Properties'!$B$6:$B$205,MATCH(C82,'Properties'!$A$6:$A$205,0))))))</x:f>
      </x:c>
      <x:c r="J82" s="315" t="str">
        <x:f>IF(A82="","",IF(COUNTIFS($A$6:$A$205,A82)&gt;1,"Duplicate ID",IF(OR(B82="",COUNTIFS('Clients'!$A$6:$A$205,B82)&lt;&gt;1),"Check Client ID",IF(OR(C82="",COUNTIFS('Properties'!$A$6:$A$205,C82)&lt;&gt;1),"Check Property ID",IF(E82="","Set client response",IF(AND(E82&lt;&gt;"Not sent",NOT(ISNUMBER(D82))),"Add date sent",""))))))</x:f>
      </x:c>
    </x:row>
    <x:row r="83" ht="26" customHeight="1">
      <x:c r="A83" s="319"/>
      <x:c r="B83" s="320"/>
      <x:c r="C83" s="274"/>
      <x:c r="D83" s="304"/>
      <x:c r="E83" s="274"/>
      <x:c r="F83" s="274"/>
      <x:c r="G83" s="274"/>
      <x:c r="H83" s="265" t="str">
        <x:f>IF(A83="","",IF(B83="","",IF(COUNTIFS('Clients'!$A$6:$A$205,B83)&lt;&gt;1,"Check Client ID",IF(INDEX('Clients'!$B$6:$B$205,MATCH(B83,'Clients'!$A$6:$A$205,0))="","Name missing",INDEX('Clients'!$B$6:$B$205,MATCH(B83,'Clients'!$A$6:$A$205,0))))))</x:f>
      </x:c>
      <x:c r="I83" s="265" t="str">
        <x:f>IF(A83="","",IF(C83="","",IF(COUNTIFS('Properties'!$A$6:$A$205,C83)&lt;&gt;1,"Check Property ID",IF(INDEX('Properties'!$B$6:$B$205,MATCH(C83,'Properties'!$A$6:$A$205,0))="","Name missing",INDEX('Properties'!$B$6:$B$205,MATCH(C83,'Properties'!$A$6:$A$205,0))))))</x:f>
      </x:c>
      <x:c r="J83" s="315" t="str">
        <x:f>IF(A83="","",IF(COUNTIFS($A$6:$A$205,A83)&gt;1,"Duplicate ID",IF(OR(B83="",COUNTIFS('Clients'!$A$6:$A$205,B83)&lt;&gt;1),"Check Client ID",IF(OR(C83="",COUNTIFS('Properties'!$A$6:$A$205,C83)&lt;&gt;1),"Check Property ID",IF(E83="","Set client response",IF(AND(E83&lt;&gt;"Not sent",NOT(ISNUMBER(D83))),"Add date sent",""))))))</x:f>
      </x:c>
    </x:row>
    <x:row r="84" ht="26" customHeight="1">
      <x:c r="A84" s="317"/>
      <x:c r="B84" s="318"/>
      <x:c r="C84" s="235"/>
      <x:c r="D84" s="238"/>
      <x:c r="E84" s="235"/>
      <x:c r="F84" s="235"/>
      <x:c r="G84" s="235"/>
      <x:c r="H84" s="265" t="str">
        <x:f>IF(A84="","",IF(B84="","",IF(COUNTIFS('Clients'!$A$6:$A$205,B84)&lt;&gt;1,"Check Client ID",IF(INDEX('Clients'!$B$6:$B$205,MATCH(B84,'Clients'!$A$6:$A$205,0))="","Name missing",INDEX('Clients'!$B$6:$B$205,MATCH(B84,'Clients'!$A$6:$A$205,0))))))</x:f>
      </x:c>
      <x:c r="I84" s="265" t="str">
        <x:f>IF(A84="","",IF(C84="","",IF(COUNTIFS('Properties'!$A$6:$A$205,C84)&lt;&gt;1,"Check Property ID",IF(INDEX('Properties'!$B$6:$B$205,MATCH(C84,'Properties'!$A$6:$A$205,0))="","Name missing",INDEX('Properties'!$B$6:$B$205,MATCH(C84,'Properties'!$A$6:$A$205,0))))))</x:f>
      </x:c>
      <x:c r="J84" s="315" t="str">
        <x:f>IF(A84="","",IF(COUNTIFS($A$6:$A$205,A84)&gt;1,"Duplicate ID",IF(OR(B84="",COUNTIFS('Clients'!$A$6:$A$205,B84)&lt;&gt;1),"Check Client ID",IF(OR(C84="",COUNTIFS('Properties'!$A$6:$A$205,C84)&lt;&gt;1),"Check Property ID",IF(E84="","Set client response",IF(AND(E84&lt;&gt;"Not sent",NOT(ISNUMBER(D84))),"Add date sent",""))))))</x:f>
      </x:c>
    </x:row>
    <x:row r="85" ht="26" customHeight="1">
      <x:c r="A85" s="319"/>
      <x:c r="B85" s="320"/>
      <x:c r="C85" s="274"/>
      <x:c r="D85" s="304"/>
      <x:c r="E85" s="274"/>
      <x:c r="F85" s="274"/>
      <x:c r="G85" s="274"/>
      <x:c r="H85" s="265" t="str">
        <x:f>IF(A85="","",IF(B85="","",IF(COUNTIFS('Clients'!$A$6:$A$205,B85)&lt;&gt;1,"Check Client ID",IF(INDEX('Clients'!$B$6:$B$205,MATCH(B85,'Clients'!$A$6:$A$205,0))="","Name missing",INDEX('Clients'!$B$6:$B$205,MATCH(B85,'Clients'!$A$6:$A$205,0))))))</x:f>
      </x:c>
      <x:c r="I85" s="265" t="str">
        <x:f>IF(A85="","",IF(C85="","",IF(COUNTIFS('Properties'!$A$6:$A$205,C85)&lt;&gt;1,"Check Property ID",IF(INDEX('Properties'!$B$6:$B$205,MATCH(C85,'Properties'!$A$6:$A$205,0))="","Name missing",INDEX('Properties'!$B$6:$B$205,MATCH(C85,'Properties'!$A$6:$A$205,0))))))</x:f>
      </x:c>
      <x:c r="J85" s="315" t="str">
        <x:f>IF(A85="","",IF(COUNTIFS($A$6:$A$205,A85)&gt;1,"Duplicate ID",IF(OR(B85="",COUNTIFS('Clients'!$A$6:$A$205,B85)&lt;&gt;1),"Check Client ID",IF(OR(C85="",COUNTIFS('Properties'!$A$6:$A$205,C85)&lt;&gt;1),"Check Property ID",IF(E85="","Set client response",IF(AND(E85&lt;&gt;"Not sent",NOT(ISNUMBER(D85))),"Add date sent",""))))))</x:f>
      </x:c>
    </x:row>
    <x:row r="86" ht="26" customHeight="1">
      <x:c r="A86" s="317"/>
      <x:c r="B86" s="318"/>
      <x:c r="C86" s="235"/>
      <x:c r="D86" s="238"/>
      <x:c r="E86" s="235"/>
      <x:c r="F86" s="235"/>
      <x:c r="G86" s="235"/>
      <x:c r="H86" s="265" t="str">
        <x:f>IF(A86="","",IF(B86="","",IF(COUNTIFS('Clients'!$A$6:$A$205,B86)&lt;&gt;1,"Check Client ID",IF(INDEX('Clients'!$B$6:$B$205,MATCH(B86,'Clients'!$A$6:$A$205,0))="","Name missing",INDEX('Clients'!$B$6:$B$205,MATCH(B86,'Clients'!$A$6:$A$205,0))))))</x:f>
      </x:c>
      <x:c r="I86" s="265" t="str">
        <x:f>IF(A86="","",IF(C86="","",IF(COUNTIFS('Properties'!$A$6:$A$205,C86)&lt;&gt;1,"Check Property ID",IF(INDEX('Properties'!$B$6:$B$205,MATCH(C86,'Properties'!$A$6:$A$205,0))="","Name missing",INDEX('Properties'!$B$6:$B$205,MATCH(C86,'Properties'!$A$6:$A$205,0))))))</x:f>
      </x:c>
      <x:c r="J86" s="315" t="str">
        <x:f>IF(A86="","",IF(COUNTIFS($A$6:$A$205,A86)&gt;1,"Duplicate ID",IF(OR(B86="",COUNTIFS('Clients'!$A$6:$A$205,B86)&lt;&gt;1),"Check Client ID",IF(OR(C86="",COUNTIFS('Properties'!$A$6:$A$205,C86)&lt;&gt;1),"Check Property ID",IF(E86="","Set client response",IF(AND(E86&lt;&gt;"Not sent",NOT(ISNUMBER(D86))),"Add date sent",""))))))</x:f>
      </x:c>
    </x:row>
    <x:row r="87" ht="26" customHeight="1">
      <x:c r="A87" s="319"/>
      <x:c r="B87" s="320"/>
      <x:c r="C87" s="274"/>
      <x:c r="D87" s="304"/>
      <x:c r="E87" s="274"/>
      <x:c r="F87" s="274"/>
      <x:c r="G87" s="274"/>
      <x:c r="H87" s="265" t="str">
        <x:f>IF(A87="","",IF(B87="","",IF(COUNTIFS('Clients'!$A$6:$A$205,B87)&lt;&gt;1,"Check Client ID",IF(INDEX('Clients'!$B$6:$B$205,MATCH(B87,'Clients'!$A$6:$A$205,0))="","Name missing",INDEX('Clients'!$B$6:$B$205,MATCH(B87,'Clients'!$A$6:$A$205,0))))))</x:f>
      </x:c>
      <x:c r="I87" s="265" t="str">
        <x:f>IF(A87="","",IF(C87="","",IF(COUNTIFS('Properties'!$A$6:$A$205,C87)&lt;&gt;1,"Check Property ID",IF(INDEX('Properties'!$B$6:$B$205,MATCH(C87,'Properties'!$A$6:$A$205,0))="","Name missing",INDEX('Properties'!$B$6:$B$205,MATCH(C87,'Properties'!$A$6:$A$205,0))))))</x:f>
      </x:c>
      <x:c r="J87" s="315" t="str">
        <x:f>IF(A87="","",IF(COUNTIFS($A$6:$A$205,A87)&gt;1,"Duplicate ID",IF(OR(B87="",COUNTIFS('Clients'!$A$6:$A$205,B87)&lt;&gt;1),"Check Client ID",IF(OR(C87="",COUNTIFS('Properties'!$A$6:$A$205,C87)&lt;&gt;1),"Check Property ID",IF(E87="","Set client response",IF(AND(E87&lt;&gt;"Not sent",NOT(ISNUMBER(D87))),"Add date sent",""))))))</x:f>
      </x:c>
    </x:row>
    <x:row r="88" ht="26" customHeight="1">
      <x:c r="A88" s="317"/>
      <x:c r="B88" s="318"/>
      <x:c r="C88" s="235"/>
      <x:c r="D88" s="238"/>
      <x:c r="E88" s="235"/>
      <x:c r="F88" s="235"/>
      <x:c r="G88" s="235"/>
      <x:c r="H88" s="265" t="str">
        <x:f>IF(A88="","",IF(B88="","",IF(COUNTIFS('Clients'!$A$6:$A$205,B88)&lt;&gt;1,"Check Client ID",IF(INDEX('Clients'!$B$6:$B$205,MATCH(B88,'Clients'!$A$6:$A$205,0))="","Name missing",INDEX('Clients'!$B$6:$B$205,MATCH(B88,'Clients'!$A$6:$A$205,0))))))</x:f>
      </x:c>
      <x:c r="I88" s="265" t="str">
        <x:f>IF(A88="","",IF(C88="","",IF(COUNTIFS('Properties'!$A$6:$A$205,C88)&lt;&gt;1,"Check Property ID",IF(INDEX('Properties'!$B$6:$B$205,MATCH(C88,'Properties'!$A$6:$A$205,0))="","Name missing",INDEX('Properties'!$B$6:$B$205,MATCH(C88,'Properties'!$A$6:$A$205,0))))))</x:f>
      </x:c>
      <x:c r="J88" s="315" t="str">
        <x:f>IF(A88="","",IF(COUNTIFS($A$6:$A$205,A88)&gt;1,"Duplicate ID",IF(OR(B88="",COUNTIFS('Clients'!$A$6:$A$205,B88)&lt;&gt;1),"Check Client ID",IF(OR(C88="",COUNTIFS('Properties'!$A$6:$A$205,C88)&lt;&gt;1),"Check Property ID",IF(E88="","Set client response",IF(AND(E88&lt;&gt;"Not sent",NOT(ISNUMBER(D88))),"Add date sent",""))))))</x:f>
      </x:c>
    </x:row>
    <x:row r="89" ht="26" customHeight="1">
      <x:c r="A89" s="319"/>
      <x:c r="B89" s="320"/>
      <x:c r="C89" s="274"/>
      <x:c r="D89" s="304"/>
      <x:c r="E89" s="274"/>
      <x:c r="F89" s="274"/>
      <x:c r="G89" s="274"/>
      <x:c r="H89" s="265" t="str">
        <x:f>IF(A89="","",IF(B89="","",IF(COUNTIFS('Clients'!$A$6:$A$205,B89)&lt;&gt;1,"Check Client ID",IF(INDEX('Clients'!$B$6:$B$205,MATCH(B89,'Clients'!$A$6:$A$205,0))="","Name missing",INDEX('Clients'!$B$6:$B$205,MATCH(B89,'Clients'!$A$6:$A$205,0))))))</x:f>
      </x:c>
      <x:c r="I89" s="265" t="str">
        <x:f>IF(A89="","",IF(C89="","",IF(COUNTIFS('Properties'!$A$6:$A$205,C89)&lt;&gt;1,"Check Property ID",IF(INDEX('Properties'!$B$6:$B$205,MATCH(C89,'Properties'!$A$6:$A$205,0))="","Name missing",INDEX('Properties'!$B$6:$B$205,MATCH(C89,'Properties'!$A$6:$A$205,0))))))</x:f>
      </x:c>
      <x:c r="J89" s="315" t="str">
        <x:f>IF(A89="","",IF(COUNTIFS($A$6:$A$205,A89)&gt;1,"Duplicate ID",IF(OR(B89="",COUNTIFS('Clients'!$A$6:$A$205,B89)&lt;&gt;1),"Check Client ID",IF(OR(C89="",COUNTIFS('Properties'!$A$6:$A$205,C89)&lt;&gt;1),"Check Property ID",IF(E89="","Set client response",IF(AND(E89&lt;&gt;"Not sent",NOT(ISNUMBER(D89))),"Add date sent",""))))))</x:f>
      </x:c>
    </x:row>
    <x:row r="90" ht="26" customHeight="1">
      <x:c r="A90" s="317"/>
      <x:c r="B90" s="318"/>
      <x:c r="C90" s="235"/>
      <x:c r="D90" s="238"/>
      <x:c r="E90" s="235"/>
      <x:c r="F90" s="235"/>
      <x:c r="G90" s="235"/>
      <x:c r="H90" s="265" t="str">
        <x:f>IF(A90="","",IF(B90="","",IF(COUNTIFS('Clients'!$A$6:$A$205,B90)&lt;&gt;1,"Check Client ID",IF(INDEX('Clients'!$B$6:$B$205,MATCH(B90,'Clients'!$A$6:$A$205,0))="","Name missing",INDEX('Clients'!$B$6:$B$205,MATCH(B90,'Clients'!$A$6:$A$205,0))))))</x:f>
      </x:c>
      <x:c r="I90" s="265" t="str">
        <x:f>IF(A90="","",IF(C90="","",IF(COUNTIFS('Properties'!$A$6:$A$205,C90)&lt;&gt;1,"Check Property ID",IF(INDEX('Properties'!$B$6:$B$205,MATCH(C90,'Properties'!$A$6:$A$205,0))="","Name missing",INDEX('Properties'!$B$6:$B$205,MATCH(C90,'Properties'!$A$6:$A$205,0))))))</x:f>
      </x:c>
      <x:c r="J90" s="315" t="str">
        <x:f>IF(A90="","",IF(COUNTIFS($A$6:$A$205,A90)&gt;1,"Duplicate ID",IF(OR(B90="",COUNTIFS('Clients'!$A$6:$A$205,B90)&lt;&gt;1),"Check Client ID",IF(OR(C90="",COUNTIFS('Properties'!$A$6:$A$205,C90)&lt;&gt;1),"Check Property ID",IF(E90="","Set client response",IF(AND(E90&lt;&gt;"Not sent",NOT(ISNUMBER(D90))),"Add date sent",""))))))</x:f>
      </x:c>
    </x:row>
    <x:row r="91" ht="26" customHeight="1">
      <x:c r="A91" s="319"/>
      <x:c r="B91" s="320"/>
      <x:c r="C91" s="274"/>
      <x:c r="D91" s="304"/>
      <x:c r="E91" s="274"/>
      <x:c r="F91" s="274"/>
      <x:c r="G91" s="274"/>
      <x:c r="H91" s="265" t="str">
        <x:f>IF(A91="","",IF(B91="","",IF(COUNTIFS('Clients'!$A$6:$A$205,B91)&lt;&gt;1,"Check Client ID",IF(INDEX('Clients'!$B$6:$B$205,MATCH(B91,'Clients'!$A$6:$A$205,0))="","Name missing",INDEX('Clients'!$B$6:$B$205,MATCH(B91,'Clients'!$A$6:$A$205,0))))))</x:f>
      </x:c>
      <x:c r="I91" s="265" t="str">
        <x:f>IF(A91="","",IF(C91="","",IF(COUNTIFS('Properties'!$A$6:$A$205,C91)&lt;&gt;1,"Check Property ID",IF(INDEX('Properties'!$B$6:$B$205,MATCH(C91,'Properties'!$A$6:$A$205,0))="","Name missing",INDEX('Properties'!$B$6:$B$205,MATCH(C91,'Properties'!$A$6:$A$205,0))))))</x:f>
      </x:c>
      <x:c r="J91" s="315" t="str">
        <x:f>IF(A91="","",IF(COUNTIFS($A$6:$A$205,A91)&gt;1,"Duplicate ID",IF(OR(B91="",COUNTIFS('Clients'!$A$6:$A$205,B91)&lt;&gt;1),"Check Client ID",IF(OR(C91="",COUNTIFS('Properties'!$A$6:$A$205,C91)&lt;&gt;1),"Check Property ID",IF(E91="","Set client response",IF(AND(E91&lt;&gt;"Not sent",NOT(ISNUMBER(D91))),"Add date sent",""))))))</x:f>
      </x:c>
    </x:row>
    <x:row r="92" ht="26" customHeight="1">
      <x:c r="A92" s="317"/>
      <x:c r="B92" s="318"/>
      <x:c r="C92" s="235"/>
      <x:c r="D92" s="238"/>
      <x:c r="E92" s="235"/>
      <x:c r="F92" s="235"/>
      <x:c r="G92" s="235"/>
      <x:c r="H92" s="265" t="str">
        <x:f>IF(A92="","",IF(B92="","",IF(COUNTIFS('Clients'!$A$6:$A$205,B92)&lt;&gt;1,"Check Client ID",IF(INDEX('Clients'!$B$6:$B$205,MATCH(B92,'Clients'!$A$6:$A$205,0))="","Name missing",INDEX('Clients'!$B$6:$B$205,MATCH(B92,'Clients'!$A$6:$A$205,0))))))</x:f>
      </x:c>
      <x:c r="I92" s="265" t="str">
        <x:f>IF(A92="","",IF(C92="","",IF(COUNTIFS('Properties'!$A$6:$A$205,C92)&lt;&gt;1,"Check Property ID",IF(INDEX('Properties'!$B$6:$B$205,MATCH(C92,'Properties'!$A$6:$A$205,0))="","Name missing",INDEX('Properties'!$B$6:$B$205,MATCH(C92,'Properties'!$A$6:$A$205,0))))))</x:f>
      </x:c>
      <x:c r="J92" s="315" t="str">
        <x:f>IF(A92="","",IF(COUNTIFS($A$6:$A$205,A92)&gt;1,"Duplicate ID",IF(OR(B92="",COUNTIFS('Clients'!$A$6:$A$205,B92)&lt;&gt;1),"Check Client ID",IF(OR(C92="",COUNTIFS('Properties'!$A$6:$A$205,C92)&lt;&gt;1),"Check Property ID",IF(E92="","Set client response",IF(AND(E92&lt;&gt;"Not sent",NOT(ISNUMBER(D92))),"Add date sent",""))))))</x:f>
      </x:c>
    </x:row>
    <x:row r="93" ht="26" customHeight="1">
      <x:c r="A93" s="319"/>
      <x:c r="B93" s="320"/>
      <x:c r="C93" s="274"/>
      <x:c r="D93" s="304"/>
      <x:c r="E93" s="274"/>
      <x:c r="F93" s="274"/>
      <x:c r="G93" s="274"/>
      <x:c r="H93" s="265" t="str">
        <x:f>IF(A93="","",IF(B93="","",IF(COUNTIFS('Clients'!$A$6:$A$205,B93)&lt;&gt;1,"Check Client ID",IF(INDEX('Clients'!$B$6:$B$205,MATCH(B93,'Clients'!$A$6:$A$205,0))="","Name missing",INDEX('Clients'!$B$6:$B$205,MATCH(B93,'Clients'!$A$6:$A$205,0))))))</x:f>
      </x:c>
      <x:c r="I93" s="265" t="str">
        <x:f>IF(A93="","",IF(C93="","",IF(COUNTIFS('Properties'!$A$6:$A$205,C93)&lt;&gt;1,"Check Property ID",IF(INDEX('Properties'!$B$6:$B$205,MATCH(C93,'Properties'!$A$6:$A$205,0))="","Name missing",INDEX('Properties'!$B$6:$B$205,MATCH(C93,'Properties'!$A$6:$A$205,0))))))</x:f>
      </x:c>
      <x:c r="J93" s="315" t="str">
        <x:f>IF(A93="","",IF(COUNTIFS($A$6:$A$205,A93)&gt;1,"Duplicate ID",IF(OR(B93="",COUNTIFS('Clients'!$A$6:$A$205,B93)&lt;&gt;1),"Check Client ID",IF(OR(C93="",COUNTIFS('Properties'!$A$6:$A$205,C93)&lt;&gt;1),"Check Property ID",IF(E93="","Set client response",IF(AND(E93&lt;&gt;"Not sent",NOT(ISNUMBER(D93))),"Add date sent",""))))))</x:f>
      </x:c>
    </x:row>
    <x:row r="94" ht="26" customHeight="1">
      <x:c r="A94" s="317"/>
      <x:c r="B94" s="318"/>
      <x:c r="C94" s="235"/>
      <x:c r="D94" s="238"/>
      <x:c r="E94" s="235"/>
      <x:c r="F94" s="235"/>
      <x:c r="G94" s="235"/>
      <x:c r="H94" s="265" t="str">
        <x:f>IF(A94="","",IF(B94="","",IF(COUNTIFS('Clients'!$A$6:$A$205,B94)&lt;&gt;1,"Check Client ID",IF(INDEX('Clients'!$B$6:$B$205,MATCH(B94,'Clients'!$A$6:$A$205,0))="","Name missing",INDEX('Clients'!$B$6:$B$205,MATCH(B94,'Clients'!$A$6:$A$205,0))))))</x:f>
      </x:c>
      <x:c r="I94" s="265" t="str">
        <x:f>IF(A94="","",IF(C94="","",IF(COUNTIFS('Properties'!$A$6:$A$205,C94)&lt;&gt;1,"Check Property ID",IF(INDEX('Properties'!$B$6:$B$205,MATCH(C94,'Properties'!$A$6:$A$205,0))="","Name missing",INDEX('Properties'!$B$6:$B$205,MATCH(C94,'Properties'!$A$6:$A$205,0))))))</x:f>
      </x:c>
      <x:c r="J94" s="315" t="str">
        <x:f>IF(A94="","",IF(COUNTIFS($A$6:$A$205,A94)&gt;1,"Duplicate ID",IF(OR(B94="",COUNTIFS('Clients'!$A$6:$A$205,B94)&lt;&gt;1),"Check Client ID",IF(OR(C94="",COUNTIFS('Properties'!$A$6:$A$205,C94)&lt;&gt;1),"Check Property ID",IF(E94="","Set client response",IF(AND(E94&lt;&gt;"Not sent",NOT(ISNUMBER(D94))),"Add date sent",""))))))</x:f>
      </x:c>
    </x:row>
    <x:row r="95" ht="26" customHeight="1">
      <x:c r="A95" s="319"/>
      <x:c r="B95" s="320"/>
      <x:c r="C95" s="274"/>
      <x:c r="D95" s="304"/>
      <x:c r="E95" s="274"/>
      <x:c r="F95" s="274"/>
      <x:c r="G95" s="274"/>
      <x:c r="H95" s="265" t="str">
        <x:f>IF(A95="","",IF(B95="","",IF(COUNTIFS('Clients'!$A$6:$A$205,B95)&lt;&gt;1,"Check Client ID",IF(INDEX('Clients'!$B$6:$B$205,MATCH(B95,'Clients'!$A$6:$A$205,0))="","Name missing",INDEX('Clients'!$B$6:$B$205,MATCH(B95,'Clients'!$A$6:$A$205,0))))))</x:f>
      </x:c>
      <x:c r="I95" s="265" t="str">
        <x:f>IF(A95="","",IF(C95="","",IF(COUNTIFS('Properties'!$A$6:$A$205,C95)&lt;&gt;1,"Check Property ID",IF(INDEX('Properties'!$B$6:$B$205,MATCH(C95,'Properties'!$A$6:$A$205,0))="","Name missing",INDEX('Properties'!$B$6:$B$205,MATCH(C95,'Properties'!$A$6:$A$205,0))))))</x:f>
      </x:c>
      <x:c r="J95" s="315" t="str">
        <x:f>IF(A95="","",IF(COUNTIFS($A$6:$A$205,A95)&gt;1,"Duplicate ID",IF(OR(B95="",COUNTIFS('Clients'!$A$6:$A$205,B95)&lt;&gt;1),"Check Client ID",IF(OR(C95="",COUNTIFS('Properties'!$A$6:$A$205,C95)&lt;&gt;1),"Check Property ID",IF(E95="","Set client response",IF(AND(E95&lt;&gt;"Not sent",NOT(ISNUMBER(D95))),"Add date sent",""))))))</x:f>
      </x:c>
    </x:row>
    <x:row r="96" ht="26" customHeight="1">
      <x:c r="A96" s="317"/>
      <x:c r="B96" s="318"/>
      <x:c r="C96" s="235"/>
      <x:c r="D96" s="238"/>
      <x:c r="E96" s="235"/>
      <x:c r="F96" s="235"/>
      <x:c r="G96" s="235"/>
      <x:c r="H96" s="265" t="str">
        <x:f>IF(A96="","",IF(B96="","",IF(COUNTIFS('Clients'!$A$6:$A$205,B96)&lt;&gt;1,"Check Client ID",IF(INDEX('Clients'!$B$6:$B$205,MATCH(B96,'Clients'!$A$6:$A$205,0))="","Name missing",INDEX('Clients'!$B$6:$B$205,MATCH(B96,'Clients'!$A$6:$A$205,0))))))</x:f>
      </x:c>
      <x:c r="I96" s="265" t="str">
        <x:f>IF(A96="","",IF(C96="","",IF(COUNTIFS('Properties'!$A$6:$A$205,C96)&lt;&gt;1,"Check Property ID",IF(INDEX('Properties'!$B$6:$B$205,MATCH(C96,'Properties'!$A$6:$A$205,0))="","Name missing",INDEX('Properties'!$B$6:$B$205,MATCH(C96,'Properties'!$A$6:$A$205,0))))))</x:f>
      </x:c>
      <x:c r="J96" s="315" t="str">
        <x:f>IF(A96="","",IF(COUNTIFS($A$6:$A$205,A96)&gt;1,"Duplicate ID",IF(OR(B96="",COUNTIFS('Clients'!$A$6:$A$205,B96)&lt;&gt;1),"Check Client ID",IF(OR(C96="",COUNTIFS('Properties'!$A$6:$A$205,C96)&lt;&gt;1),"Check Property ID",IF(E96="","Set client response",IF(AND(E96&lt;&gt;"Not sent",NOT(ISNUMBER(D96))),"Add date sent",""))))))</x:f>
      </x:c>
    </x:row>
    <x:row r="97" ht="26" customHeight="1">
      <x:c r="A97" s="319"/>
      <x:c r="B97" s="320"/>
      <x:c r="C97" s="274"/>
      <x:c r="D97" s="304"/>
      <x:c r="E97" s="274"/>
      <x:c r="F97" s="274"/>
      <x:c r="G97" s="274"/>
      <x:c r="H97" s="265" t="str">
        <x:f>IF(A97="","",IF(B97="","",IF(COUNTIFS('Clients'!$A$6:$A$205,B97)&lt;&gt;1,"Check Client ID",IF(INDEX('Clients'!$B$6:$B$205,MATCH(B97,'Clients'!$A$6:$A$205,0))="","Name missing",INDEX('Clients'!$B$6:$B$205,MATCH(B97,'Clients'!$A$6:$A$205,0))))))</x:f>
      </x:c>
      <x:c r="I97" s="265" t="str">
        <x:f>IF(A97="","",IF(C97="","",IF(COUNTIFS('Properties'!$A$6:$A$205,C97)&lt;&gt;1,"Check Property ID",IF(INDEX('Properties'!$B$6:$B$205,MATCH(C97,'Properties'!$A$6:$A$205,0))="","Name missing",INDEX('Properties'!$B$6:$B$205,MATCH(C97,'Properties'!$A$6:$A$205,0))))))</x:f>
      </x:c>
      <x:c r="J97" s="315" t="str">
        <x:f>IF(A97="","",IF(COUNTIFS($A$6:$A$205,A97)&gt;1,"Duplicate ID",IF(OR(B97="",COUNTIFS('Clients'!$A$6:$A$205,B97)&lt;&gt;1),"Check Client ID",IF(OR(C97="",COUNTIFS('Properties'!$A$6:$A$205,C97)&lt;&gt;1),"Check Property ID",IF(E97="","Set client response",IF(AND(E97&lt;&gt;"Not sent",NOT(ISNUMBER(D97))),"Add date sent",""))))))</x:f>
      </x:c>
    </x:row>
    <x:row r="98" ht="26" customHeight="1">
      <x:c r="A98" s="317"/>
      <x:c r="B98" s="318"/>
      <x:c r="C98" s="235"/>
      <x:c r="D98" s="238"/>
      <x:c r="E98" s="235"/>
      <x:c r="F98" s="235"/>
      <x:c r="G98" s="235"/>
      <x:c r="H98" s="265" t="str">
        <x:f>IF(A98="","",IF(B98="","",IF(COUNTIFS('Clients'!$A$6:$A$205,B98)&lt;&gt;1,"Check Client ID",IF(INDEX('Clients'!$B$6:$B$205,MATCH(B98,'Clients'!$A$6:$A$205,0))="","Name missing",INDEX('Clients'!$B$6:$B$205,MATCH(B98,'Clients'!$A$6:$A$205,0))))))</x:f>
      </x:c>
      <x:c r="I98" s="265" t="str">
        <x:f>IF(A98="","",IF(C98="","",IF(COUNTIFS('Properties'!$A$6:$A$205,C98)&lt;&gt;1,"Check Property ID",IF(INDEX('Properties'!$B$6:$B$205,MATCH(C98,'Properties'!$A$6:$A$205,0))="","Name missing",INDEX('Properties'!$B$6:$B$205,MATCH(C98,'Properties'!$A$6:$A$205,0))))))</x:f>
      </x:c>
      <x:c r="J98" s="315" t="str">
        <x:f>IF(A98="","",IF(COUNTIFS($A$6:$A$205,A98)&gt;1,"Duplicate ID",IF(OR(B98="",COUNTIFS('Clients'!$A$6:$A$205,B98)&lt;&gt;1),"Check Client ID",IF(OR(C98="",COUNTIFS('Properties'!$A$6:$A$205,C98)&lt;&gt;1),"Check Property ID",IF(E98="","Set client response",IF(AND(E98&lt;&gt;"Not sent",NOT(ISNUMBER(D98))),"Add date sent",""))))))</x:f>
      </x:c>
    </x:row>
    <x:row r="99" ht="26" customHeight="1">
      <x:c r="A99" s="319"/>
      <x:c r="B99" s="320"/>
      <x:c r="C99" s="274"/>
      <x:c r="D99" s="304"/>
      <x:c r="E99" s="274"/>
      <x:c r="F99" s="274"/>
      <x:c r="G99" s="274"/>
      <x:c r="H99" s="265" t="str">
        <x:f>IF(A99="","",IF(B99="","",IF(COUNTIFS('Clients'!$A$6:$A$205,B99)&lt;&gt;1,"Check Client ID",IF(INDEX('Clients'!$B$6:$B$205,MATCH(B99,'Clients'!$A$6:$A$205,0))="","Name missing",INDEX('Clients'!$B$6:$B$205,MATCH(B99,'Clients'!$A$6:$A$205,0))))))</x:f>
      </x:c>
      <x:c r="I99" s="265" t="str">
        <x:f>IF(A99="","",IF(C99="","",IF(COUNTIFS('Properties'!$A$6:$A$205,C99)&lt;&gt;1,"Check Property ID",IF(INDEX('Properties'!$B$6:$B$205,MATCH(C99,'Properties'!$A$6:$A$205,0))="","Name missing",INDEX('Properties'!$B$6:$B$205,MATCH(C99,'Properties'!$A$6:$A$205,0))))))</x:f>
      </x:c>
      <x:c r="J99" s="315" t="str">
        <x:f>IF(A99="","",IF(COUNTIFS($A$6:$A$205,A99)&gt;1,"Duplicate ID",IF(OR(B99="",COUNTIFS('Clients'!$A$6:$A$205,B99)&lt;&gt;1),"Check Client ID",IF(OR(C99="",COUNTIFS('Properties'!$A$6:$A$205,C99)&lt;&gt;1),"Check Property ID",IF(E99="","Set client response",IF(AND(E99&lt;&gt;"Not sent",NOT(ISNUMBER(D99))),"Add date sent",""))))))</x:f>
      </x:c>
    </x:row>
    <x:row r="100" ht="26" customHeight="1">
      <x:c r="A100" s="317"/>
      <x:c r="B100" s="318"/>
      <x:c r="C100" s="235"/>
      <x:c r="D100" s="238"/>
      <x:c r="E100" s="235"/>
      <x:c r="F100" s="235"/>
      <x:c r="G100" s="235"/>
      <x:c r="H100" s="265" t="str">
        <x:f>IF(A100="","",IF(B100="","",IF(COUNTIFS('Clients'!$A$6:$A$205,B100)&lt;&gt;1,"Check Client ID",IF(INDEX('Clients'!$B$6:$B$205,MATCH(B100,'Clients'!$A$6:$A$205,0))="","Name missing",INDEX('Clients'!$B$6:$B$205,MATCH(B100,'Clients'!$A$6:$A$205,0))))))</x:f>
      </x:c>
      <x:c r="I100" s="265" t="str">
        <x:f>IF(A100="","",IF(C100="","",IF(COUNTIFS('Properties'!$A$6:$A$205,C100)&lt;&gt;1,"Check Property ID",IF(INDEX('Properties'!$B$6:$B$205,MATCH(C100,'Properties'!$A$6:$A$205,0))="","Name missing",INDEX('Properties'!$B$6:$B$205,MATCH(C100,'Properties'!$A$6:$A$205,0))))))</x:f>
      </x:c>
      <x:c r="J100" s="315" t="str">
        <x:f>IF(A100="","",IF(COUNTIFS($A$6:$A$205,A100)&gt;1,"Duplicate ID",IF(OR(B100="",COUNTIFS('Clients'!$A$6:$A$205,B100)&lt;&gt;1),"Check Client ID",IF(OR(C100="",COUNTIFS('Properties'!$A$6:$A$205,C100)&lt;&gt;1),"Check Property ID",IF(E100="","Set client response",IF(AND(E100&lt;&gt;"Not sent",NOT(ISNUMBER(D100))),"Add date sent",""))))))</x:f>
      </x:c>
    </x:row>
    <x:row r="101" ht="26" customHeight="1">
      <x:c r="A101" s="319"/>
      <x:c r="B101" s="320"/>
      <x:c r="C101" s="274"/>
      <x:c r="D101" s="304"/>
      <x:c r="E101" s="274"/>
      <x:c r="F101" s="274"/>
      <x:c r="G101" s="274"/>
      <x:c r="H101" s="265" t="str">
        <x:f>IF(A101="","",IF(B101="","",IF(COUNTIFS('Clients'!$A$6:$A$205,B101)&lt;&gt;1,"Check Client ID",IF(INDEX('Clients'!$B$6:$B$205,MATCH(B101,'Clients'!$A$6:$A$205,0))="","Name missing",INDEX('Clients'!$B$6:$B$205,MATCH(B101,'Clients'!$A$6:$A$205,0))))))</x:f>
      </x:c>
      <x:c r="I101" s="265" t="str">
        <x:f>IF(A101="","",IF(C101="","",IF(COUNTIFS('Properties'!$A$6:$A$205,C101)&lt;&gt;1,"Check Property ID",IF(INDEX('Properties'!$B$6:$B$205,MATCH(C101,'Properties'!$A$6:$A$205,0))="","Name missing",INDEX('Properties'!$B$6:$B$205,MATCH(C101,'Properties'!$A$6:$A$205,0))))))</x:f>
      </x:c>
      <x:c r="J101" s="315" t="str">
        <x:f>IF(A101="","",IF(COUNTIFS($A$6:$A$205,A101)&gt;1,"Duplicate ID",IF(OR(B101="",COUNTIFS('Clients'!$A$6:$A$205,B101)&lt;&gt;1),"Check Client ID",IF(OR(C101="",COUNTIFS('Properties'!$A$6:$A$205,C101)&lt;&gt;1),"Check Property ID",IF(E101="","Set client response",IF(AND(E101&lt;&gt;"Not sent",NOT(ISNUMBER(D101))),"Add date sent",""))))))</x:f>
      </x:c>
    </x:row>
    <x:row r="102" ht="26" customHeight="1">
      <x:c r="A102" s="317"/>
      <x:c r="B102" s="318"/>
      <x:c r="C102" s="235"/>
      <x:c r="D102" s="238"/>
      <x:c r="E102" s="235"/>
      <x:c r="F102" s="235"/>
      <x:c r="G102" s="235"/>
      <x:c r="H102" s="265" t="str">
        <x:f>IF(A102="","",IF(B102="","",IF(COUNTIFS('Clients'!$A$6:$A$205,B102)&lt;&gt;1,"Check Client ID",IF(INDEX('Clients'!$B$6:$B$205,MATCH(B102,'Clients'!$A$6:$A$205,0))="","Name missing",INDEX('Clients'!$B$6:$B$205,MATCH(B102,'Clients'!$A$6:$A$205,0))))))</x:f>
      </x:c>
      <x:c r="I102" s="265" t="str">
        <x:f>IF(A102="","",IF(C102="","",IF(COUNTIFS('Properties'!$A$6:$A$205,C102)&lt;&gt;1,"Check Property ID",IF(INDEX('Properties'!$B$6:$B$205,MATCH(C102,'Properties'!$A$6:$A$205,0))="","Name missing",INDEX('Properties'!$B$6:$B$205,MATCH(C102,'Properties'!$A$6:$A$205,0))))))</x:f>
      </x:c>
      <x:c r="J102" s="315" t="str">
        <x:f>IF(A102="","",IF(COUNTIFS($A$6:$A$205,A102)&gt;1,"Duplicate ID",IF(OR(B102="",COUNTIFS('Clients'!$A$6:$A$205,B102)&lt;&gt;1),"Check Client ID",IF(OR(C102="",COUNTIFS('Properties'!$A$6:$A$205,C102)&lt;&gt;1),"Check Property ID",IF(E102="","Set client response",IF(AND(E102&lt;&gt;"Not sent",NOT(ISNUMBER(D102))),"Add date sent",""))))))</x:f>
      </x:c>
    </x:row>
    <x:row r="103" ht="26" customHeight="1">
      <x:c r="A103" s="319"/>
      <x:c r="B103" s="320"/>
      <x:c r="C103" s="274"/>
      <x:c r="D103" s="304"/>
      <x:c r="E103" s="274"/>
      <x:c r="F103" s="274"/>
      <x:c r="G103" s="274"/>
      <x:c r="H103" s="265" t="str">
        <x:f>IF(A103="","",IF(B103="","",IF(COUNTIFS('Clients'!$A$6:$A$205,B103)&lt;&gt;1,"Check Client ID",IF(INDEX('Clients'!$B$6:$B$205,MATCH(B103,'Clients'!$A$6:$A$205,0))="","Name missing",INDEX('Clients'!$B$6:$B$205,MATCH(B103,'Clients'!$A$6:$A$205,0))))))</x:f>
      </x:c>
      <x:c r="I103" s="265" t="str">
        <x:f>IF(A103="","",IF(C103="","",IF(COUNTIFS('Properties'!$A$6:$A$205,C103)&lt;&gt;1,"Check Property ID",IF(INDEX('Properties'!$B$6:$B$205,MATCH(C103,'Properties'!$A$6:$A$205,0))="","Name missing",INDEX('Properties'!$B$6:$B$205,MATCH(C103,'Properties'!$A$6:$A$205,0))))))</x:f>
      </x:c>
      <x:c r="J103" s="315" t="str">
        <x:f>IF(A103="","",IF(COUNTIFS($A$6:$A$205,A103)&gt;1,"Duplicate ID",IF(OR(B103="",COUNTIFS('Clients'!$A$6:$A$205,B103)&lt;&gt;1),"Check Client ID",IF(OR(C103="",COUNTIFS('Properties'!$A$6:$A$205,C103)&lt;&gt;1),"Check Property ID",IF(E103="","Set client response",IF(AND(E103&lt;&gt;"Not sent",NOT(ISNUMBER(D103))),"Add date sent",""))))))</x:f>
      </x:c>
    </x:row>
    <x:row r="104" ht="26" customHeight="1">
      <x:c r="A104" s="317"/>
      <x:c r="B104" s="318"/>
      <x:c r="C104" s="235"/>
      <x:c r="D104" s="238"/>
      <x:c r="E104" s="235"/>
      <x:c r="F104" s="235"/>
      <x:c r="G104" s="235"/>
      <x:c r="H104" s="265" t="str">
        <x:f>IF(A104="","",IF(B104="","",IF(COUNTIFS('Clients'!$A$6:$A$205,B104)&lt;&gt;1,"Check Client ID",IF(INDEX('Clients'!$B$6:$B$205,MATCH(B104,'Clients'!$A$6:$A$205,0))="","Name missing",INDEX('Clients'!$B$6:$B$205,MATCH(B104,'Clients'!$A$6:$A$205,0))))))</x:f>
      </x:c>
      <x:c r="I104" s="265" t="str">
        <x:f>IF(A104="","",IF(C104="","",IF(COUNTIFS('Properties'!$A$6:$A$205,C104)&lt;&gt;1,"Check Property ID",IF(INDEX('Properties'!$B$6:$B$205,MATCH(C104,'Properties'!$A$6:$A$205,0))="","Name missing",INDEX('Properties'!$B$6:$B$205,MATCH(C104,'Properties'!$A$6:$A$205,0))))))</x:f>
      </x:c>
      <x:c r="J104" s="315" t="str">
        <x:f>IF(A104="","",IF(COUNTIFS($A$6:$A$205,A104)&gt;1,"Duplicate ID",IF(OR(B104="",COUNTIFS('Clients'!$A$6:$A$205,B104)&lt;&gt;1),"Check Client ID",IF(OR(C104="",COUNTIFS('Properties'!$A$6:$A$205,C104)&lt;&gt;1),"Check Property ID",IF(E104="","Set client response",IF(AND(E104&lt;&gt;"Not sent",NOT(ISNUMBER(D104))),"Add date sent",""))))))</x:f>
      </x:c>
    </x:row>
    <x:row r="105" ht="26" customHeight="1">
      <x:c r="A105" s="319"/>
      <x:c r="B105" s="320"/>
      <x:c r="C105" s="274"/>
      <x:c r="D105" s="304"/>
      <x:c r="E105" s="274"/>
      <x:c r="F105" s="274"/>
      <x:c r="G105" s="274"/>
      <x:c r="H105" s="265" t="str">
        <x:f>IF(A105="","",IF(B105="","",IF(COUNTIFS('Clients'!$A$6:$A$205,B105)&lt;&gt;1,"Check Client ID",IF(INDEX('Clients'!$B$6:$B$205,MATCH(B105,'Clients'!$A$6:$A$205,0))="","Name missing",INDEX('Clients'!$B$6:$B$205,MATCH(B105,'Clients'!$A$6:$A$205,0))))))</x:f>
      </x:c>
      <x:c r="I105" s="265" t="str">
        <x:f>IF(A105="","",IF(C105="","",IF(COUNTIFS('Properties'!$A$6:$A$205,C105)&lt;&gt;1,"Check Property ID",IF(INDEX('Properties'!$B$6:$B$205,MATCH(C105,'Properties'!$A$6:$A$205,0))="","Name missing",INDEX('Properties'!$B$6:$B$205,MATCH(C105,'Properties'!$A$6:$A$205,0))))))</x:f>
      </x:c>
      <x:c r="J105" s="315" t="str">
        <x:f>IF(A105="","",IF(COUNTIFS($A$6:$A$205,A105)&gt;1,"Duplicate ID",IF(OR(B105="",COUNTIFS('Clients'!$A$6:$A$205,B105)&lt;&gt;1),"Check Client ID",IF(OR(C105="",COUNTIFS('Properties'!$A$6:$A$205,C105)&lt;&gt;1),"Check Property ID",IF(E105="","Set client response",IF(AND(E105&lt;&gt;"Not sent",NOT(ISNUMBER(D105))),"Add date sent",""))))))</x:f>
      </x:c>
    </x:row>
    <x:row r="106" ht="26" customHeight="1">
      <x:c r="A106" s="317"/>
      <x:c r="B106" s="318"/>
      <x:c r="C106" s="235"/>
      <x:c r="D106" s="238"/>
      <x:c r="E106" s="235"/>
      <x:c r="F106" s="235"/>
      <x:c r="G106" s="235"/>
      <x:c r="H106" s="265" t="str">
        <x:f>IF(A106="","",IF(B106="","",IF(COUNTIFS('Clients'!$A$6:$A$205,B106)&lt;&gt;1,"Check Client ID",IF(INDEX('Clients'!$B$6:$B$205,MATCH(B106,'Clients'!$A$6:$A$205,0))="","Name missing",INDEX('Clients'!$B$6:$B$205,MATCH(B106,'Clients'!$A$6:$A$205,0))))))</x:f>
      </x:c>
      <x:c r="I106" s="265" t="str">
        <x:f>IF(A106="","",IF(C106="","",IF(COUNTIFS('Properties'!$A$6:$A$205,C106)&lt;&gt;1,"Check Property ID",IF(INDEX('Properties'!$B$6:$B$205,MATCH(C106,'Properties'!$A$6:$A$205,0))="","Name missing",INDEX('Properties'!$B$6:$B$205,MATCH(C106,'Properties'!$A$6:$A$205,0))))))</x:f>
      </x:c>
      <x:c r="J106" s="315" t="str">
        <x:f>IF(A106="","",IF(COUNTIFS($A$6:$A$205,A106)&gt;1,"Duplicate ID",IF(OR(B106="",COUNTIFS('Clients'!$A$6:$A$205,B106)&lt;&gt;1),"Check Client ID",IF(OR(C106="",COUNTIFS('Properties'!$A$6:$A$205,C106)&lt;&gt;1),"Check Property ID",IF(E106="","Set client response",IF(AND(E106&lt;&gt;"Not sent",NOT(ISNUMBER(D106))),"Add date sent",""))))))</x:f>
      </x:c>
    </x:row>
    <x:row r="107" ht="26" customHeight="1">
      <x:c r="A107" s="319"/>
      <x:c r="B107" s="320"/>
      <x:c r="C107" s="274"/>
      <x:c r="D107" s="304"/>
      <x:c r="E107" s="274"/>
      <x:c r="F107" s="274"/>
      <x:c r="G107" s="274"/>
      <x:c r="H107" s="265" t="str">
        <x:f>IF(A107="","",IF(B107="","",IF(COUNTIFS('Clients'!$A$6:$A$205,B107)&lt;&gt;1,"Check Client ID",IF(INDEX('Clients'!$B$6:$B$205,MATCH(B107,'Clients'!$A$6:$A$205,0))="","Name missing",INDEX('Clients'!$B$6:$B$205,MATCH(B107,'Clients'!$A$6:$A$205,0))))))</x:f>
      </x:c>
      <x:c r="I107" s="265" t="str">
        <x:f>IF(A107="","",IF(C107="","",IF(COUNTIFS('Properties'!$A$6:$A$205,C107)&lt;&gt;1,"Check Property ID",IF(INDEX('Properties'!$B$6:$B$205,MATCH(C107,'Properties'!$A$6:$A$205,0))="","Name missing",INDEX('Properties'!$B$6:$B$205,MATCH(C107,'Properties'!$A$6:$A$205,0))))))</x:f>
      </x:c>
      <x:c r="J107" s="315" t="str">
        <x:f>IF(A107="","",IF(COUNTIFS($A$6:$A$205,A107)&gt;1,"Duplicate ID",IF(OR(B107="",COUNTIFS('Clients'!$A$6:$A$205,B107)&lt;&gt;1),"Check Client ID",IF(OR(C107="",COUNTIFS('Properties'!$A$6:$A$205,C107)&lt;&gt;1),"Check Property ID",IF(E107="","Set client response",IF(AND(E107&lt;&gt;"Not sent",NOT(ISNUMBER(D107))),"Add date sent",""))))))</x:f>
      </x:c>
    </x:row>
    <x:row r="108" ht="26" customHeight="1">
      <x:c r="A108" s="317"/>
      <x:c r="B108" s="318"/>
      <x:c r="C108" s="235"/>
      <x:c r="D108" s="238"/>
      <x:c r="E108" s="235"/>
      <x:c r="F108" s="235"/>
      <x:c r="G108" s="235"/>
      <x:c r="H108" s="265" t="str">
        <x:f>IF(A108="","",IF(B108="","",IF(COUNTIFS('Clients'!$A$6:$A$205,B108)&lt;&gt;1,"Check Client ID",IF(INDEX('Clients'!$B$6:$B$205,MATCH(B108,'Clients'!$A$6:$A$205,0))="","Name missing",INDEX('Clients'!$B$6:$B$205,MATCH(B108,'Clients'!$A$6:$A$205,0))))))</x:f>
      </x:c>
      <x:c r="I108" s="265" t="str">
        <x:f>IF(A108="","",IF(C108="","",IF(COUNTIFS('Properties'!$A$6:$A$205,C108)&lt;&gt;1,"Check Property ID",IF(INDEX('Properties'!$B$6:$B$205,MATCH(C108,'Properties'!$A$6:$A$205,0))="","Name missing",INDEX('Properties'!$B$6:$B$205,MATCH(C108,'Properties'!$A$6:$A$205,0))))))</x:f>
      </x:c>
      <x:c r="J108" s="315" t="str">
        <x:f>IF(A108="","",IF(COUNTIFS($A$6:$A$205,A108)&gt;1,"Duplicate ID",IF(OR(B108="",COUNTIFS('Clients'!$A$6:$A$205,B108)&lt;&gt;1),"Check Client ID",IF(OR(C108="",COUNTIFS('Properties'!$A$6:$A$205,C108)&lt;&gt;1),"Check Property ID",IF(E108="","Set client response",IF(AND(E108&lt;&gt;"Not sent",NOT(ISNUMBER(D108))),"Add date sent",""))))))</x:f>
      </x:c>
    </x:row>
    <x:row r="109" ht="26" customHeight="1">
      <x:c r="A109" s="319"/>
      <x:c r="B109" s="320"/>
      <x:c r="C109" s="274"/>
      <x:c r="D109" s="304"/>
      <x:c r="E109" s="274"/>
      <x:c r="F109" s="274"/>
      <x:c r="G109" s="274"/>
      <x:c r="H109" s="265" t="str">
        <x:f>IF(A109="","",IF(B109="","",IF(COUNTIFS('Clients'!$A$6:$A$205,B109)&lt;&gt;1,"Check Client ID",IF(INDEX('Clients'!$B$6:$B$205,MATCH(B109,'Clients'!$A$6:$A$205,0))="","Name missing",INDEX('Clients'!$B$6:$B$205,MATCH(B109,'Clients'!$A$6:$A$205,0))))))</x:f>
      </x:c>
      <x:c r="I109" s="265" t="str">
        <x:f>IF(A109="","",IF(C109="","",IF(COUNTIFS('Properties'!$A$6:$A$205,C109)&lt;&gt;1,"Check Property ID",IF(INDEX('Properties'!$B$6:$B$205,MATCH(C109,'Properties'!$A$6:$A$205,0))="","Name missing",INDEX('Properties'!$B$6:$B$205,MATCH(C109,'Properties'!$A$6:$A$205,0))))))</x:f>
      </x:c>
      <x:c r="J109" s="315" t="str">
        <x:f>IF(A109="","",IF(COUNTIFS($A$6:$A$205,A109)&gt;1,"Duplicate ID",IF(OR(B109="",COUNTIFS('Clients'!$A$6:$A$205,B109)&lt;&gt;1),"Check Client ID",IF(OR(C109="",COUNTIFS('Properties'!$A$6:$A$205,C109)&lt;&gt;1),"Check Property ID",IF(E109="","Set client response",IF(AND(E109&lt;&gt;"Not sent",NOT(ISNUMBER(D109))),"Add date sent",""))))))</x:f>
      </x:c>
    </x:row>
    <x:row r="110" ht="26" customHeight="1">
      <x:c r="A110" s="317"/>
      <x:c r="B110" s="318"/>
      <x:c r="C110" s="235"/>
      <x:c r="D110" s="238"/>
      <x:c r="E110" s="235"/>
      <x:c r="F110" s="235"/>
      <x:c r="G110" s="235"/>
      <x:c r="H110" s="265" t="str">
        <x:f>IF(A110="","",IF(B110="","",IF(COUNTIFS('Clients'!$A$6:$A$205,B110)&lt;&gt;1,"Check Client ID",IF(INDEX('Clients'!$B$6:$B$205,MATCH(B110,'Clients'!$A$6:$A$205,0))="","Name missing",INDEX('Clients'!$B$6:$B$205,MATCH(B110,'Clients'!$A$6:$A$205,0))))))</x:f>
      </x:c>
      <x:c r="I110" s="265" t="str">
        <x:f>IF(A110="","",IF(C110="","",IF(COUNTIFS('Properties'!$A$6:$A$205,C110)&lt;&gt;1,"Check Property ID",IF(INDEX('Properties'!$B$6:$B$205,MATCH(C110,'Properties'!$A$6:$A$205,0))="","Name missing",INDEX('Properties'!$B$6:$B$205,MATCH(C110,'Properties'!$A$6:$A$205,0))))))</x:f>
      </x:c>
      <x:c r="J110" s="315" t="str">
        <x:f>IF(A110="","",IF(COUNTIFS($A$6:$A$205,A110)&gt;1,"Duplicate ID",IF(OR(B110="",COUNTIFS('Clients'!$A$6:$A$205,B110)&lt;&gt;1),"Check Client ID",IF(OR(C110="",COUNTIFS('Properties'!$A$6:$A$205,C110)&lt;&gt;1),"Check Property ID",IF(E110="","Set client response",IF(AND(E110&lt;&gt;"Not sent",NOT(ISNUMBER(D110))),"Add date sent",""))))))</x:f>
      </x:c>
    </x:row>
    <x:row r="111" ht="26" customHeight="1">
      <x:c r="A111" s="319"/>
      <x:c r="B111" s="320"/>
      <x:c r="C111" s="274"/>
      <x:c r="D111" s="304"/>
      <x:c r="E111" s="274"/>
      <x:c r="F111" s="274"/>
      <x:c r="G111" s="274"/>
      <x:c r="H111" s="265" t="str">
        <x:f>IF(A111="","",IF(B111="","",IF(COUNTIFS('Clients'!$A$6:$A$205,B111)&lt;&gt;1,"Check Client ID",IF(INDEX('Clients'!$B$6:$B$205,MATCH(B111,'Clients'!$A$6:$A$205,0))="","Name missing",INDEX('Clients'!$B$6:$B$205,MATCH(B111,'Clients'!$A$6:$A$205,0))))))</x:f>
      </x:c>
      <x:c r="I111" s="265" t="str">
        <x:f>IF(A111="","",IF(C111="","",IF(COUNTIFS('Properties'!$A$6:$A$205,C111)&lt;&gt;1,"Check Property ID",IF(INDEX('Properties'!$B$6:$B$205,MATCH(C111,'Properties'!$A$6:$A$205,0))="","Name missing",INDEX('Properties'!$B$6:$B$205,MATCH(C111,'Properties'!$A$6:$A$205,0))))))</x:f>
      </x:c>
      <x:c r="J111" s="315" t="str">
        <x:f>IF(A111="","",IF(COUNTIFS($A$6:$A$205,A111)&gt;1,"Duplicate ID",IF(OR(B111="",COUNTIFS('Clients'!$A$6:$A$205,B111)&lt;&gt;1),"Check Client ID",IF(OR(C111="",COUNTIFS('Properties'!$A$6:$A$205,C111)&lt;&gt;1),"Check Property ID",IF(E111="","Set client response",IF(AND(E111&lt;&gt;"Not sent",NOT(ISNUMBER(D111))),"Add date sent",""))))))</x:f>
      </x:c>
    </x:row>
    <x:row r="112" ht="26" customHeight="1">
      <x:c r="A112" s="317"/>
      <x:c r="B112" s="318"/>
      <x:c r="C112" s="235"/>
      <x:c r="D112" s="238"/>
      <x:c r="E112" s="235"/>
      <x:c r="F112" s="235"/>
      <x:c r="G112" s="235"/>
      <x:c r="H112" s="265" t="str">
        <x:f>IF(A112="","",IF(B112="","",IF(COUNTIFS('Clients'!$A$6:$A$205,B112)&lt;&gt;1,"Check Client ID",IF(INDEX('Clients'!$B$6:$B$205,MATCH(B112,'Clients'!$A$6:$A$205,0))="","Name missing",INDEX('Clients'!$B$6:$B$205,MATCH(B112,'Clients'!$A$6:$A$205,0))))))</x:f>
      </x:c>
      <x:c r="I112" s="265" t="str">
        <x:f>IF(A112="","",IF(C112="","",IF(COUNTIFS('Properties'!$A$6:$A$205,C112)&lt;&gt;1,"Check Property ID",IF(INDEX('Properties'!$B$6:$B$205,MATCH(C112,'Properties'!$A$6:$A$205,0))="","Name missing",INDEX('Properties'!$B$6:$B$205,MATCH(C112,'Properties'!$A$6:$A$205,0))))))</x:f>
      </x:c>
      <x:c r="J112" s="315" t="str">
        <x:f>IF(A112="","",IF(COUNTIFS($A$6:$A$205,A112)&gt;1,"Duplicate ID",IF(OR(B112="",COUNTIFS('Clients'!$A$6:$A$205,B112)&lt;&gt;1),"Check Client ID",IF(OR(C112="",COUNTIFS('Properties'!$A$6:$A$205,C112)&lt;&gt;1),"Check Property ID",IF(E112="","Set client response",IF(AND(E112&lt;&gt;"Not sent",NOT(ISNUMBER(D112))),"Add date sent",""))))))</x:f>
      </x:c>
    </x:row>
    <x:row r="113" ht="26" customHeight="1">
      <x:c r="A113" s="319"/>
      <x:c r="B113" s="320"/>
      <x:c r="C113" s="274"/>
      <x:c r="D113" s="304"/>
      <x:c r="E113" s="274"/>
      <x:c r="F113" s="274"/>
      <x:c r="G113" s="274"/>
      <x:c r="H113" s="265" t="str">
        <x:f>IF(A113="","",IF(B113="","",IF(COUNTIFS('Clients'!$A$6:$A$205,B113)&lt;&gt;1,"Check Client ID",IF(INDEX('Clients'!$B$6:$B$205,MATCH(B113,'Clients'!$A$6:$A$205,0))="","Name missing",INDEX('Clients'!$B$6:$B$205,MATCH(B113,'Clients'!$A$6:$A$205,0))))))</x:f>
      </x:c>
      <x:c r="I113" s="265" t="str">
        <x:f>IF(A113="","",IF(C113="","",IF(COUNTIFS('Properties'!$A$6:$A$205,C113)&lt;&gt;1,"Check Property ID",IF(INDEX('Properties'!$B$6:$B$205,MATCH(C113,'Properties'!$A$6:$A$205,0))="","Name missing",INDEX('Properties'!$B$6:$B$205,MATCH(C113,'Properties'!$A$6:$A$205,0))))))</x:f>
      </x:c>
      <x:c r="J113" s="315" t="str">
        <x:f>IF(A113="","",IF(COUNTIFS($A$6:$A$205,A113)&gt;1,"Duplicate ID",IF(OR(B113="",COUNTIFS('Clients'!$A$6:$A$205,B113)&lt;&gt;1),"Check Client ID",IF(OR(C113="",COUNTIFS('Properties'!$A$6:$A$205,C113)&lt;&gt;1),"Check Property ID",IF(E113="","Set client response",IF(AND(E113&lt;&gt;"Not sent",NOT(ISNUMBER(D113))),"Add date sent",""))))))</x:f>
      </x:c>
    </x:row>
    <x:row r="114" ht="26" customHeight="1">
      <x:c r="A114" s="317"/>
      <x:c r="B114" s="318"/>
      <x:c r="C114" s="235"/>
      <x:c r="D114" s="238"/>
      <x:c r="E114" s="235"/>
      <x:c r="F114" s="235"/>
      <x:c r="G114" s="235"/>
      <x:c r="H114" s="265" t="str">
        <x:f>IF(A114="","",IF(B114="","",IF(COUNTIFS('Clients'!$A$6:$A$205,B114)&lt;&gt;1,"Check Client ID",IF(INDEX('Clients'!$B$6:$B$205,MATCH(B114,'Clients'!$A$6:$A$205,0))="","Name missing",INDEX('Clients'!$B$6:$B$205,MATCH(B114,'Clients'!$A$6:$A$205,0))))))</x:f>
      </x:c>
      <x:c r="I114" s="265" t="str">
        <x:f>IF(A114="","",IF(C114="","",IF(COUNTIFS('Properties'!$A$6:$A$205,C114)&lt;&gt;1,"Check Property ID",IF(INDEX('Properties'!$B$6:$B$205,MATCH(C114,'Properties'!$A$6:$A$205,0))="","Name missing",INDEX('Properties'!$B$6:$B$205,MATCH(C114,'Properties'!$A$6:$A$205,0))))))</x:f>
      </x:c>
      <x:c r="J114" s="315" t="str">
        <x:f>IF(A114="","",IF(COUNTIFS($A$6:$A$205,A114)&gt;1,"Duplicate ID",IF(OR(B114="",COUNTIFS('Clients'!$A$6:$A$205,B114)&lt;&gt;1),"Check Client ID",IF(OR(C114="",COUNTIFS('Properties'!$A$6:$A$205,C114)&lt;&gt;1),"Check Property ID",IF(E114="","Set client response",IF(AND(E114&lt;&gt;"Not sent",NOT(ISNUMBER(D114))),"Add date sent",""))))))</x:f>
      </x:c>
    </x:row>
    <x:row r="115" ht="26" customHeight="1">
      <x:c r="A115" s="319"/>
      <x:c r="B115" s="320"/>
      <x:c r="C115" s="274"/>
      <x:c r="D115" s="304"/>
      <x:c r="E115" s="274"/>
      <x:c r="F115" s="274"/>
      <x:c r="G115" s="274"/>
      <x:c r="H115" s="265" t="str">
        <x:f>IF(A115="","",IF(B115="","",IF(COUNTIFS('Clients'!$A$6:$A$205,B115)&lt;&gt;1,"Check Client ID",IF(INDEX('Clients'!$B$6:$B$205,MATCH(B115,'Clients'!$A$6:$A$205,0))="","Name missing",INDEX('Clients'!$B$6:$B$205,MATCH(B115,'Clients'!$A$6:$A$205,0))))))</x:f>
      </x:c>
      <x:c r="I115" s="265" t="str">
        <x:f>IF(A115="","",IF(C115="","",IF(COUNTIFS('Properties'!$A$6:$A$205,C115)&lt;&gt;1,"Check Property ID",IF(INDEX('Properties'!$B$6:$B$205,MATCH(C115,'Properties'!$A$6:$A$205,0))="","Name missing",INDEX('Properties'!$B$6:$B$205,MATCH(C115,'Properties'!$A$6:$A$205,0))))))</x:f>
      </x:c>
      <x:c r="J115" s="315" t="str">
        <x:f>IF(A115="","",IF(COUNTIFS($A$6:$A$205,A115)&gt;1,"Duplicate ID",IF(OR(B115="",COUNTIFS('Clients'!$A$6:$A$205,B115)&lt;&gt;1),"Check Client ID",IF(OR(C115="",COUNTIFS('Properties'!$A$6:$A$205,C115)&lt;&gt;1),"Check Property ID",IF(E115="","Set client response",IF(AND(E115&lt;&gt;"Not sent",NOT(ISNUMBER(D115))),"Add date sent",""))))))</x:f>
      </x:c>
    </x:row>
    <x:row r="116" ht="26" customHeight="1">
      <x:c r="A116" s="317"/>
      <x:c r="B116" s="318"/>
      <x:c r="C116" s="235"/>
      <x:c r="D116" s="238"/>
      <x:c r="E116" s="235"/>
      <x:c r="F116" s="235"/>
      <x:c r="G116" s="235"/>
      <x:c r="H116" s="265" t="str">
        <x:f>IF(A116="","",IF(B116="","",IF(COUNTIFS('Clients'!$A$6:$A$205,B116)&lt;&gt;1,"Check Client ID",IF(INDEX('Clients'!$B$6:$B$205,MATCH(B116,'Clients'!$A$6:$A$205,0))="","Name missing",INDEX('Clients'!$B$6:$B$205,MATCH(B116,'Clients'!$A$6:$A$205,0))))))</x:f>
      </x:c>
      <x:c r="I116" s="265" t="str">
        <x:f>IF(A116="","",IF(C116="","",IF(COUNTIFS('Properties'!$A$6:$A$205,C116)&lt;&gt;1,"Check Property ID",IF(INDEX('Properties'!$B$6:$B$205,MATCH(C116,'Properties'!$A$6:$A$205,0))="","Name missing",INDEX('Properties'!$B$6:$B$205,MATCH(C116,'Properties'!$A$6:$A$205,0))))))</x:f>
      </x:c>
      <x:c r="J116" s="315" t="str">
        <x:f>IF(A116="","",IF(COUNTIFS($A$6:$A$205,A116)&gt;1,"Duplicate ID",IF(OR(B116="",COUNTIFS('Clients'!$A$6:$A$205,B116)&lt;&gt;1),"Check Client ID",IF(OR(C116="",COUNTIFS('Properties'!$A$6:$A$205,C116)&lt;&gt;1),"Check Property ID",IF(E116="","Set client response",IF(AND(E116&lt;&gt;"Not sent",NOT(ISNUMBER(D116))),"Add date sent",""))))))</x:f>
      </x:c>
    </x:row>
    <x:row r="117" ht="26" customHeight="1">
      <x:c r="A117" s="319"/>
      <x:c r="B117" s="320"/>
      <x:c r="C117" s="274"/>
      <x:c r="D117" s="304"/>
      <x:c r="E117" s="274"/>
      <x:c r="F117" s="274"/>
      <x:c r="G117" s="274"/>
      <x:c r="H117" s="265" t="str">
        <x:f>IF(A117="","",IF(B117="","",IF(COUNTIFS('Clients'!$A$6:$A$205,B117)&lt;&gt;1,"Check Client ID",IF(INDEX('Clients'!$B$6:$B$205,MATCH(B117,'Clients'!$A$6:$A$205,0))="","Name missing",INDEX('Clients'!$B$6:$B$205,MATCH(B117,'Clients'!$A$6:$A$205,0))))))</x:f>
      </x:c>
      <x:c r="I117" s="265" t="str">
        <x:f>IF(A117="","",IF(C117="","",IF(COUNTIFS('Properties'!$A$6:$A$205,C117)&lt;&gt;1,"Check Property ID",IF(INDEX('Properties'!$B$6:$B$205,MATCH(C117,'Properties'!$A$6:$A$205,0))="","Name missing",INDEX('Properties'!$B$6:$B$205,MATCH(C117,'Properties'!$A$6:$A$205,0))))))</x:f>
      </x:c>
      <x:c r="J117" s="315" t="str">
        <x:f>IF(A117="","",IF(COUNTIFS($A$6:$A$205,A117)&gt;1,"Duplicate ID",IF(OR(B117="",COUNTIFS('Clients'!$A$6:$A$205,B117)&lt;&gt;1),"Check Client ID",IF(OR(C117="",COUNTIFS('Properties'!$A$6:$A$205,C117)&lt;&gt;1),"Check Property ID",IF(E117="","Set client response",IF(AND(E117&lt;&gt;"Not sent",NOT(ISNUMBER(D117))),"Add date sent",""))))))</x:f>
      </x:c>
    </x:row>
    <x:row r="118" ht="26" customHeight="1">
      <x:c r="A118" s="317"/>
      <x:c r="B118" s="318"/>
      <x:c r="C118" s="235"/>
      <x:c r="D118" s="238"/>
      <x:c r="E118" s="235"/>
      <x:c r="F118" s="235"/>
      <x:c r="G118" s="235"/>
      <x:c r="H118" s="265" t="str">
        <x:f>IF(A118="","",IF(B118="","",IF(COUNTIFS('Clients'!$A$6:$A$205,B118)&lt;&gt;1,"Check Client ID",IF(INDEX('Clients'!$B$6:$B$205,MATCH(B118,'Clients'!$A$6:$A$205,0))="","Name missing",INDEX('Clients'!$B$6:$B$205,MATCH(B118,'Clients'!$A$6:$A$205,0))))))</x:f>
      </x:c>
      <x:c r="I118" s="265" t="str">
        <x:f>IF(A118="","",IF(C118="","",IF(COUNTIFS('Properties'!$A$6:$A$205,C118)&lt;&gt;1,"Check Property ID",IF(INDEX('Properties'!$B$6:$B$205,MATCH(C118,'Properties'!$A$6:$A$205,0))="","Name missing",INDEX('Properties'!$B$6:$B$205,MATCH(C118,'Properties'!$A$6:$A$205,0))))))</x:f>
      </x:c>
      <x:c r="J118" s="315" t="str">
        <x:f>IF(A118="","",IF(COUNTIFS($A$6:$A$205,A118)&gt;1,"Duplicate ID",IF(OR(B118="",COUNTIFS('Clients'!$A$6:$A$205,B118)&lt;&gt;1),"Check Client ID",IF(OR(C118="",COUNTIFS('Properties'!$A$6:$A$205,C118)&lt;&gt;1),"Check Property ID",IF(E118="","Set client response",IF(AND(E118&lt;&gt;"Not sent",NOT(ISNUMBER(D118))),"Add date sent",""))))))</x:f>
      </x:c>
    </x:row>
    <x:row r="119" ht="26" customHeight="1">
      <x:c r="A119" s="319"/>
      <x:c r="B119" s="320"/>
      <x:c r="C119" s="274"/>
      <x:c r="D119" s="304"/>
      <x:c r="E119" s="274"/>
      <x:c r="F119" s="274"/>
      <x:c r="G119" s="274"/>
      <x:c r="H119" s="265" t="str">
        <x:f>IF(A119="","",IF(B119="","",IF(COUNTIFS('Clients'!$A$6:$A$205,B119)&lt;&gt;1,"Check Client ID",IF(INDEX('Clients'!$B$6:$B$205,MATCH(B119,'Clients'!$A$6:$A$205,0))="","Name missing",INDEX('Clients'!$B$6:$B$205,MATCH(B119,'Clients'!$A$6:$A$205,0))))))</x:f>
      </x:c>
      <x:c r="I119" s="265" t="str">
        <x:f>IF(A119="","",IF(C119="","",IF(COUNTIFS('Properties'!$A$6:$A$205,C119)&lt;&gt;1,"Check Property ID",IF(INDEX('Properties'!$B$6:$B$205,MATCH(C119,'Properties'!$A$6:$A$205,0))="","Name missing",INDEX('Properties'!$B$6:$B$205,MATCH(C119,'Properties'!$A$6:$A$205,0))))))</x:f>
      </x:c>
      <x:c r="J119" s="315" t="str">
        <x:f>IF(A119="","",IF(COUNTIFS($A$6:$A$205,A119)&gt;1,"Duplicate ID",IF(OR(B119="",COUNTIFS('Clients'!$A$6:$A$205,B119)&lt;&gt;1),"Check Client ID",IF(OR(C119="",COUNTIFS('Properties'!$A$6:$A$205,C119)&lt;&gt;1),"Check Property ID",IF(E119="","Set client response",IF(AND(E119&lt;&gt;"Not sent",NOT(ISNUMBER(D119))),"Add date sent",""))))))</x:f>
      </x:c>
    </x:row>
    <x:row r="120" ht="26" customHeight="1">
      <x:c r="A120" s="317"/>
      <x:c r="B120" s="318"/>
      <x:c r="C120" s="235"/>
      <x:c r="D120" s="238"/>
      <x:c r="E120" s="235"/>
      <x:c r="F120" s="235"/>
      <x:c r="G120" s="235"/>
      <x:c r="H120" s="265" t="str">
        <x:f>IF(A120="","",IF(B120="","",IF(COUNTIFS('Clients'!$A$6:$A$205,B120)&lt;&gt;1,"Check Client ID",IF(INDEX('Clients'!$B$6:$B$205,MATCH(B120,'Clients'!$A$6:$A$205,0))="","Name missing",INDEX('Clients'!$B$6:$B$205,MATCH(B120,'Clients'!$A$6:$A$205,0))))))</x:f>
      </x:c>
      <x:c r="I120" s="265" t="str">
        <x:f>IF(A120="","",IF(C120="","",IF(COUNTIFS('Properties'!$A$6:$A$205,C120)&lt;&gt;1,"Check Property ID",IF(INDEX('Properties'!$B$6:$B$205,MATCH(C120,'Properties'!$A$6:$A$205,0))="","Name missing",INDEX('Properties'!$B$6:$B$205,MATCH(C120,'Properties'!$A$6:$A$205,0))))))</x:f>
      </x:c>
      <x:c r="J120" s="315" t="str">
        <x:f>IF(A120="","",IF(COUNTIFS($A$6:$A$205,A120)&gt;1,"Duplicate ID",IF(OR(B120="",COUNTIFS('Clients'!$A$6:$A$205,B120)&lt;&gt;1),"Check Client ID",IF(OR(C120="",COUNTIFS('Properties'!$A$6:$A$205,C120)&lt;&gt;1),"Check Property ID",IF(E120="","Set client response",IF(AND(E120&lt;&gt;"Not sent",NOT(ISNUMBER(D120))),"Add date sent",""))))))</x:f>
      </x:c>
    </x:row>
    <x:row r="121" ht="26" customHeight="1">
      <x:c r="A121" s="319"/>
      <x:c r="B121" s="320"/>
      <x:c r="C121" s="274"/>
      <x:c r="D121" s="304"/>
      <x:c r="E121" s="274"/>
      <x:c r="F121" s="274"/>
      <x:c r="G121" s="274"/>
      <x:c r="H121" s="265" t="str">
        <x:f>IF(A121="","",IF(B121="","",IF(COUNTIFS('Clients'!$A$6:$A$205,B121)&lt;&gt;1,"Check Client ID",IF(INDEX('Clients'!$B$6:$B$205,MATCH(B121,'Clients'!$A$6:$A$205,0))="","Name missing",INDEX('Clients'!$B$6:$B$205,MATCH(B121,'Clients'!$A$6:$A$205,0))))))</x:f>
      </x:c>
      <x:c r="I121" s="265" t="str">
        <x:f>IF(A121="","",IF(C121="","",IF(COUNTIFS('Properties'!$A$6:$A$205,C121)&lt;&gt;1,"Check Property ID",IF(INDEX('Properties'!$B$6:$B$205,MATCH(C121,'Properties'!$A$6:$A$205,0))="","Name missing",INDEX('Properties'!$B$6:$B$205,MATCH(C121,'Properties'!$A$6:$A$205,0))))))</x:f>
      </x:c>
      <x:c r="J121" s="315" t="str">
        <x:f>IF(A121="","",IF(COUNTIFS($A$6:$A$205,A121)&gt;1,"Duplicate ID",IF(OR(B121="",COUNTIFS('Clients'!$A$6:$A$205,B121)&lt;&gt;1),"Check Client ID",IF(OR(C121="",COUNTIFS('Properties'!$A$6:$A$205,C121)&lt;&gt;1),"Check Property ID",IF(E121="","Set client response",IF(AND(E121&lt;&gt;"Not sent",NOT(ISNUMBER(D121))),"Add date sent",""))))))</x:f>
      </x:c>
    </x:row>
    <x:row r="122" ht="26" customHeight="1">
      <x:c r="A122" s="317"/>
      <x:c r="B122" s="318"/>
      <x:c r="C122" s="235"/>
      <x:c r="D122" s="238"/>
      <x:c r="E122" s="235"/>
      <x:c r="F122" s="235"/>
      <x:c r="G122" s="235"/>
      <x:c r="H122" s="265" t="str">
        <x:f>IF(A122="","",IF(B122="","",IF(COUNTIFS('Clients'!$A$6:$A$205,B122)&lt;&gt;1,"Check Client ID",IF(INDEX('Clients'!$B$6:$B$205,MATCH(B122,'Clients'!$A$6:$A$205,0))="","Name missing",INDEX('Clients'!$B$6:$B$205,MATCH(B122,'Clients'!$A$6:$A$205,0))))))</x:f>
      </x:c>
      <x:c r="I122" s="265" t="str">
        <x:f>IF(A122="","",IF(C122="","",IF(COUNTIFS('Properties'!$A$6:$A$205,C122)&lt;&gt;1,"Check Property ID",IF(INDEX('Properties'!$B$6:$B$205,MATCH(C122,'Properties'!$A$6:$A$205,0))="","Name missing",INDEX('Properties'!$B$6:$B$205,MATCH(C122,'Properties'!$A$6:$A$205,0))))))</x:f>
      </x:c>
      <x:c r="J122" s="315" t="str">
        <x:f>IF(A122="","",IF(COUNTIFS($A$6:$A$205,A122)&gt;1,"Duplicate ID",IF(OR(B122="",COUNTIFS('Clients'!$A$6:$A$205,B122)&lt;&gt;1),"Check Client ID",IF(OR(C122="",COUNTIFS('Properties'!$A$6:$A$205,C122)&lt;&gt;1),"Check Property ID",IF(E122="","Set client response",IF(AND(E122&lt;&gt;"Not sent",NOT(ISNUMBER(D122))),"Add date sent",""))))))</x:f>
      </x:c>
    </x:row>
    <x:row r="123" ht="26" customHeight="1">
      <x:c r="A123" s="319"/>
      <x:c r="B123" s="320"/>
      <x:c r="C123" s="274"/>
      <x:c r="D123" s="304"/>
      <x:c r="E123" s="274"/>
      <x:c r="F123" s="274"/>
      <x:c r="G123" s="274"/>
      <x:c r="H123" s="265" t="str">
        <x:f>IF(A123="","",IF(B123="","",IF(COUNTIFS('Clients'!$A$6:$A$205,B123)&lt;&gt;1,"Check Client ID",IF(INDEX('Clients'!$B$6:$B$205,MATCH(B123,'Clients'!$A$6:$A$205,0))="","Name missing",INDEX('Clients'!$B$6:$B$205,MATCH(B123,'Clients'!$A$6:$A$205,0))))))</x:f>
      </x:c>
      <x:c r="I123" s="265" t="str">
        <x:f>IF(A123="","",IF(C123="","",IF(COUNTIFS('Properties'!$A$6:$A$205,C123)&lt;&gt;1,"Check Property ID",IF(INDEX('Properties'!$B$6:$B$205,MATCH(C123,'Properties'!$A$6:$A$205,0))="","Name missing",INDEX('Properties'!$B$6:$B$205,MATCH(C123,'Properties'!$A$6:$A$205,0))))))</x:f>
      </x:c>
      <x:c r="J123" s="315" t="str">
        <x:f>IF(A123="","",IF(COUNTIFS($A$6:$A$205,A123)&gt;1,"Duplicate ID",IF(OR(B123="",COUNTIFS('Clients'!$A$6:$A$205,B123)&lt;&gt;1),"Check Client ID",IF(OR(C123="",COUNTIFS('Properties'!$A$6:$A$205,C123)&lt;&gt;1),"Check Property ID",IF(E123="","Set client response",IF(AND(E123&lt;&gt;"Not sent",NOT(ISNUMBER(D123))),"Add date sent",""))))))</x:f>
      </x:c>
    </x:row>
    <x:row r="124" ht="26" customHeight="1">
      <x:c r="A124" s="317"/>
      <x:c r="B124" s="318"/>
      <x:c r="C124" s="235"/>
      <x:c r="D124" s="238"/>
      <x:c r="E124" s="235"/>
      <x:c r="F124" s="235"/>
      <x:c r="G124" s="235"/>
      <x:c r="H124" s="265" t="str">
        <x:f>IF(A124="","",IF(B124="","",IF(COUNTIFS('Clients'!$A$6:$A$205,B124)&lt;&gt;1,"Check Client ID",IF(INDEX('Clients'!$B$6:$B$205,MATCH(B124,'Clients'!$A$6:$A$205,0))="","Name missing",INDEX('Clients'!$B$6:$B$205,MATCH(B124,'Clients'!$A$6:$A$205,0))))))</x:f>
      </x:c>
      <x:c r="I124" s="265" t="str">
        <x:f>IF(A124="","",IF(C124="","",IF(COUNTIFS('Properties'!$A$6:$A$205,C124)&lt;&gt;1,"Check Property ID",IF(INDEX('Properties'!$B$6:$B$205,MATCH(C124,'Properties'!$A$6:$A$205,0))="","Name missing",INDEX('Properties'!$B$6:$B$205,MATCH(C124,'Properties'!$A$6:$A$205,0))))))</x:f>
      </x:c>
      <x:c r="J124" s="315" t="str">
        <x:f>IF(A124="","",IF(COUNTIFS($A$6:$A$205,A124)&gt;1,"Duplicate ID",IF(OR(B124="",COUNTIFS('Clients'!$A$6:$A$205,B124)&lt;&gt;1),"Check Client ID",IF(OR(C124="",COUNTIFS('Properties'!$A$6:$A$205,C124)&lt;&gt;1),"Check Property ID",IF(E124="","Set client response",IF(AND(E124&lt;&gt;"Not sent",NOT(ISNUMBER(D124))),"Add date sent",""))))))</x:f>
      </x:c>
    </x:row>
    <x:row r="125" ht="26" customHeight="1">
      <x:c r="A125" s="319"/>
      <x:c r="B125" s="320"/>
      <x:c r="C125" s="274"/>
      <x:c r="D125" s="304"/>
      <x:c r="E125" s="274"/>
      <x:c r="F125" s="274"/>
      <x:c r="G125" s="274"/>
      <x:c r="H125" s="265" t="str">
        <x:f>IF(A125="","",IF(B125="","",IF(COUNTIFS('Clients'!$A$6:$A$205,B125)&lt;&gt;1,"Check Client ID",IF(INDEX('Clients'!$B$6:$B$205,MATCH(B125,'Clients'!$A$6:$A$205,0))="","Name missing",INDEX('Clients'!$B$6:$B$205,MATCH(B125,'Clients'!$A$6:$A$205,0))))))</x:f>
      </x:c>
      <x:c r="I125" s="265" t="str">
        <x:f>IF(A125="","",IF(C125="","",IF(COUNTIFS('Properties'!$A$6:$A$205,C125)&lt;&gt;1,"Check Property ID",IF(INDEX('Properties'!$B$6:$B$205,MATCH(C125,'Properties'!$A$6:$A$205,0))="","Name missing",INDEX('Properties'!$B$6:$B$205,MATCH(C125,'Properties'!$A$6:$A$205,0))))))</x:f>
      </x:c>
      <x:c r="J125" s="315" t="str">
        <x:f>IF(A125="","",IF(COUNTIFS($A$6:$A$205,A125)&gt;1,"Duplicate ID",IF(OR(B125="",COUNTIFS('Clients'!$A$6:$A$205,B125)&lt;&gt;1),"Check Client ID",IF(OR(C125="",COUNTIFS('Properties'!$A$6:$A$205,C125)&lt;&gt;1),"Check Property ID",IF(E125="","Set client response",IF(AND(E125&lt;&gt;"Not sent",NOT(ISNUMBER(D125))),"Add date sent",""))))))</x:f>
      </x:c>
    </x:row>
    <x:row r="126" ht="26" customHeight="1">
      <x:c r="A126" s="317"/>
      <x:c r="B126" s="318"/>
      <x:c r="C126" s="235"/>
      <x:c r="D126" s="238"/>
      <x:c r="E126" s="235"/>
      <x:c r="F126" s="235"/>
      <x:c r="G126" s="235"/>
      <x:c r="H126" s="265" t="str">
        <x:f>IF(A126="","",IF(B126="","",IF(COUNTIFS('Clients'!$A$6:$A$205,B126)&lt;&gt;1,"Check Client ID",IF(INDEX('Clients'!$B$6:$B$205,MATCH(B126,'Clients'!$A$6:$A$205,0))="","Name missing",INDEX('Clients'!$B$6:$B$205,MATCH(B126,'Clients'!$A$6:$A$205,0))))))</x:f>
      </x:c>
      <x:c r="I126" s="265" t="str">
        <x:f>IF(A126="","",IF(C126="","",IF(COUNTIFS('Properties'!$A$6:$A$205,C126)&lt;&gt;1,"Check Property ID",IF(INDEX('Properties'!$B$6:$B$205,MATCH(C126,'Properties'!$A$6:$A$205,0))="","Name missing",INDEX('Properties'!$B$6:$B$205,MATCH(C126,'Properties'!$A$6:$A$205,0))))))</x:f>
      </x:c>
      <x:c r="J126" s="315" t="str">
        <x:f>IF(A126="","",IF(COUNTIFS($A$6:$A$205,A126)&gt;1,"Duplicate ID",IF(OR(B126="",COUNTIFS('Clients'!$A$6:$A$205,B126)&lt;&gt;1),"Check Client ID",IF(OR(C126="",COUNTIFS('Properties'!$A$6:$A$205,C126)&lt;&gt;1),"Check Property ID",IF(E126="","Set client response",IF(AND(E126&lt;&gt;"Not sent",NOT(ISNUMBER(D126))),"Add date sent",""))))))</x:f>
      </x:c>
    </x:row>
    <x:row r="127" ht="26" customHeight="1">
      <x:c r="A127" s="319"/>
      <x:c r="B127" s="320"/>
      <x:c r="C127" s="274"/>
      <x:c r="D127" s="304"/>
      <x:c r="E127" s="274"/>
      <x:c r="F127" s="274"/>
      <x:c r="G127" s="274"/>
      <x:c r="H127" s="265" t="str">
        <x:f>IF(A127="","",IF(B127="","",IF(COUNTIFS('Clients'!$A$6:$A$205,B127)&lt;&gt;1,"Check Client ID",IF(INDEX('Clients'!$B$6:$B$205,MATCH(B127,'Clients'!$A$6:$A$205,0))="","Name missing",INDEX('Clients'!$B$6:$B$205,MATCH(B127,'Clients'!$A$6:$A$205,0))))))</x:f>
      </x:c>
      <x:c r="I127" s="265" t="str">
        <x:f>IF(A127="","",IF(C127="","",IF(COUNTIFS('Properties'!$A$6:$A$205,C127)&lt;&gt;1,"Check Property ID",IF(INDEX('Properties'!$B$6:$B$205,MATCH(C127,'Properties'!$A$6:$A$205,0))="","Name missing",INDEX('Properties'!$B$6:$B$205,MATCH(C127,'Properties'!$A$6:$A$205,0))))))</x:f>
      </x:c>
      <x:c r="J127" s="315" t="str">
        <x:f>IF(A127="","",IF(COUNTIFS($A$6:$A$205,A127)&gt;1,"Duplicate ID",IF(OR(B127="",COUNTIFS('Clients'!$A$6:$A$205,B127)&lt;&gt;1),"Check Client ID",IF(OR(C127="",COUNTIFS('Properties'!$A$6:$A$205,C127)&lt;&gt;1),"Check Property ID",IF(E127="","Set client response",IF(AND(E127&lt;&gt;"Not sent",NOT(ISNUMBER(D127))),"Add date sent",""))))))</x:f>
      </x:c>
    </x:row>
    <x:row r="128" ht="26" customHeight="1">
      <x:c r="A128" s="317"/>
      <x:c r="B128" s="318"/>
      <x:c r="C128" s="235"/>
      <x:c r="D128" s="238"/>
      <x:c r="E128" s="235"/>
      <x:c r="F128" s="235"/>
      <x:c r="G128" s="235"/>
      <x:c r="H128" s="265" t="str">
        <x:f>IF(A128="","",IF(B128="","",IF(COUNTIFS('Clients'!$A$6:$A$205,B128)&lt;&gt;1,"Check Client ID",IF(INDEX('Clients'!$B$6:$B$205,MATCH(B128,'Clients'!$A$6:$A$205,0))="","Name missing",INDEX('Clients'!$B$6:$B$205,MATCH(B128,'Clients'!$A$6:$A$205,0))))))</x:f>
      </x:c>
      <x:c r="I128" s="265" t="str">
        <x:f>IF(A128="","",IF(C128="","",IF(COUNTIFS('Properties'!$A$6:$A$205,C128)&lt;&gt;1,"Check Property ID",IF(INDEX('Properties'!$B$6:$B$205,MATCH(C128,'Properties'!$A$6:$A$205,0))="","Name missing",INDEX('Properties'!$B$6:$B$205,MATCH(C128,'Properties'!$A$6:$A$205,0))))))</x:f>
      </x:c>
      <x:c r="J128" s="315" t="str">
        <x:f>IF(A128="","",IF(COUNTIFS($A$6:$A$205,A128)&gt;1,"Duplicate ID",IF(OR(B128="",COUNTIFS('Clients'!$A$6:$A$205,B128)&lt;&gt;1),"Check Client ID",IF(OR(C128="",COUNTIFS('Properties'!$A$6:$A$205,C128)&lt;&gt;1),"Check Property ID",IF(E128="","Set client response",IF(AND(E128&lt;&gt;"Not sent",NOT(ISNUMBER(D128))),"Add date sent",""))))))</x:f>
      </x:c>
    </x:row>
    <x:row r="129" ht="26" customHeight="1">
      <x:c r="A129" s="319"/>
      <x:c r="B129" s="320"/>
      <x:c r="C129" s="274"/>
      <x:c r="D129" s="304"/>
      <x:c r="E129" s="274"/>
      <x:c r="F129" s="274"/>
      <x:c r="G129" s="274"/>
      <x:c r="H129" s="265" t="str">
        <x:f>IF(A129="","",IF(B129="","",IF(COUNTIFS('Clients'!$A$6:$A$205,B129)&lt;&gt;1,"Check Client ID",IF(INDEX('Clients'!$B$6:$B$205,MATCH(B129,'Clients'!$A$6:$A$205,0))="","Name missing",INDEX('Clients'!$B$6:$B$205,MATCH(B129,'Clients'!$A$6:$A$205,0))))))</x:f>
      </x:c>
      <x:c r="I129" s="265" t="str">
        <x:f>IF(A129="","",IF(C129="","",IF(COUNTIFS('Properties'!$A$6:$A$205,C129)&lt;&gt;1,"Check Property ID",IF(INDEX('Properties'!$B$6:$B$205,MATCH(C129,'Properties'!$A$6:$A$205,0))="","Name missing",INDEX('Properties'!$B$6:$B$205,MATCH(C129,'Properties'!$A$6:$A$205,0))))))</x:f>
      </x:c>
      <x:c r="J129" s="315" t="str">
        <x:f>IF(A129="","",IF(COUNTIFS($A$6:$A$205,A129)&gt;1,"Duplicate ID",IF(OR(B129="",COUNTIFS('Clients'!$A$6:$A$205,B129)&lt;&gt;1),"Check Client ID",IF(OR(C129="",COUNTIFS('Properties'!$A$6:$A$205,C129)&lt;&gt;1),"Check Property ID",IF(E129="","Set client response",IF(AND(E129&lt;&gt;"Not sent",NOT(ISNUMBER(D129))),"Add date sent",""))))))</x:f>
      </x:c>
    </x:row>
    <x:row r="130" ht="26" customHeight="1">
      <x:c r="A130" s="317"/>
      <x:c r="B130" s="318"/>
      <x:c r="C130" s="235"/>
      <x:c r="D130" s="238"/>
      <x:c r="E130" s="235"/>
      <x:c r="F130" s="235"/>
      <x:c r="G130" s="235"/>
      <x:c r="H130" s="265" t="str">
        <x:f>IF(A130="","",IF(B130="","",IF(COUNTIFS('Clients'!$A$6:$A$205,B130)&lt;&gt;1,"Check Client ID",IF(INDEX('Clients'!$B$6:$B$205,MATCH(B130,'Clients'!$A$6:$A$205,0))="","Name missing",INDEX('Clients'!$B$6:$B$205,MATCH(B130,'Clients'!$A$6:$A$205,0))))))</x:f>
      </x:c>
      <x:c r="I130" s="265" t="str">
        <x:f>IF(A130="","",IF(C130="","",IF(COUNTIFS('Properties'!$A$6:$A$205,C130)&lt;&gt;1,"Check Property ID",IF(INDEX('Properties'!$B$6:$B$205,MATCH(C130,'Properties'!$A$6:$A$205,0))="","Name missing",INDEX('Properties'!$B$6:$B$205,MATCH(C130,'Properties'!$A$6:$A$205,0))))))</x:f>
      </x:c>
      <x:c r="J130" s="315" t="str">
        <x:f>IF(A130="","",IF(COUNTIFS($A$6:$A$205,A130)&gt;1,"Duplicate ID",IF(OR(B130="",COUNTIFS('Clients'!$A$6:$A$205,B130)&lt;&gt;1),"Check Client ID",IF(OR(C130="",COUNTIFS('Properties'!$A$6:$A$205,C130)&lt;&gt;1),"Check Property ID",IF(E130="","Set client response",IF(AND(E130&lt;&gt;"Not sent",NOT(ISNUMBER(D130))),"Add date sent",""))))))</x:f>
      </x:c>
    </x:row>
    <x:row r="131" ht="26" customHeight="1">
      <x:c r="A131" s="319"/>
      <x:c r="B131" s="320"/>
      <x:c r="C131" s="274"/>
      <x:c r="D131" s="304"/>
      <x:c r="E131" s="274"/>
      <x:c r="F131" s="274"/>
      <x:c r="G131" s="274"/>
      <x:c r="H131" s="265" t="str">
        <x:f>IF(A131="","",IF(B131="","",IF(COUNTIFS('Clients'!$A$6:$A$205,B131)&lt;&gt;1,"Check Client ID",IF(INDEX('Clients'!$B$6:$B$205,MATCH(B131,'Clients'!$A$6:$A$205,0))="","Name missing",INDEX('Clients'!$B$6:$B$205,MATCH(B131,'Clients'!$A$6:$A$205,0))))))</x:f>
      </x:c>
      <x:c r="I131" s="265" t="str">
        <x:f>IF(A131="","",IF(C131="","",IF(COUNTIFS('Properties'!$A$6:$A$205,C131)&lt;&gt;1,"Check Property ID",IF(INDEX('Properties'!$B$6:$B$205,MATCH(C131,'Properties'!$A$6:$A$205,0))="","Name missing",INDEX('Properties'!$B$6:$B$205,MATCH(C131,'Properties'!$A$6:$A$205,0))))))</x:f>
      </x:c>
      <x:c r="J131" s="315" t="str">
        <x:f>IF(A131="","",IF(COUNTIFS($A$6:$A$205,A131)&gt;1,"Duplicate ID",IF(OR(B131="",COUNTIFS('Clients'!$A$6:$A$205,B131)&lt;&gt;1),"Check Client ID",IF(OR(C131="",COUNTIFS('Properties'!$A$6:$A$205,C131)&lt;&gt;1),"Check Property ID",IF(E131="","Set client response",IF(AND(E131&lt;&gt;"Not sent",NOT(ISNUMBER(D131))),"Add date sent",""))))))</x:f>
      </x:c>
    </x:row>
    <x:row r="132" ht="26" customHeight="1">
      <x:c r="A132" s="317"/>
      <x:c r="B132" s="318"/>
      <x:c r="C132" s="235"/>
      <x:c r="D132" s="238"/>
      <x:c r="E132" s="235"/>
      <x:c r="F132" s="235"/>
      <x:c r="G132" s="235"/>
      <x:c r="H132" s="265" t="str">
        <x:f>IF(A132="","",IF(B132="","",IF(COUNTIFS('Clients'!$A$6:$A$205,B132)&lt;&gt;1,"Check Client ID",IF(INDEX('Clients'!$B$6:$B$205,MATCH(B132,'Clients'!$A$6:$A$205,0))="","Name missing",INDEX('Clients'!$B$6:$B$205,MATCH(B132,'Clients'!$A$6:$A$205,0))))))</x:f>
      </x:c>
      <x:c r="I132" s="265" t="str">
        <x:f>IF(A132="","",IF(C132="","",IF(COUNTIFS('Properties'!$A$6:$A$205,C132)&lt;&gt;1,"Check Property ID",IF(INDEX('Properties'!$B$6:$B$205,MATCH(C132,'Properties'!$A$6:$A$205,0))="","Name missing",INDEX('Properties'!$B$6:$B$205,MATCH(C132,'Properties'!$A$6:$A$205,0))))))</x:f>
      </x:c>
      <x:c r="J132" s="315" t="str">
        <x:f>IF(A132="","",IF(COUNTIFS($A$6:$A$205,A132)&gt;1,"Duplicate ID",IF(OR(B132="",COUNTIFS('Clients'!$A$6:$A$205,B132)&lt;&gt;1),"Check Client ID",IF(OR(C132="",COUNTIFS('Properties'!$A$6:$A$205,C132)&lt;&gt;1),"Check Property ID",IF(E132="","Set client response",IF(AND(E132&lt;&gt;"Not sent",NOT(ISNUMBER(D132))),"Add date sent",""))))))</x:f>
      </x:c>
    </x:row>
    <x:row r="133" ht="26" customHeight="1">
      <x:c r="A133" s="319"/>
      <x:c r="B133" s="320"/>
      <x:c r="C133" s="274"/>
      <x:c r="D133" s="304"/>
      <x:c r="E133" s="274"/>
      <x:c r="F133" s="274"/>
      <x:c r="G133" s="274"/>
      <x:c r="H133" s="265" t="str">
        <x:f>IF(A133="","",IF(B133="","",IF(COUNTIFS('Clients'!$A$6:$A$205,B133)&lt;&gt;1,"Check Client ID",IF(INDEX('Clients'!$B$6:$B$205,MATCH(B133,'Clients'!$A$6:$A$205,0))="","Name missing",INDEX('Clients'!$B$6:$B$205,MATCH(B133,'Clients'!$A$6:$A$205,0))))))</x:f>
      </x:c>
      <x:c r="I133" s="265" t="str">
        <x:f>IF(A133="","",IF(C133="","",IF(COUNTIFS('Properties'!$A$6:$A$205,C133)&lt;&gt;1,"Check Property ID",IF(INDEX('Properties'!$B$6:$B$205,MATCH(C133,'Properties'!$A$6:$A$205,0))="","Name missing",INDEX('Properties'!$B$6:$B$205,MATCH(C133,'Properties'!$A$6:$A$205,0))))))</x:f>
      </x:c>
      <x:c r="J133" s="315" t="str">
        <x:f>IF(A133="","",IF(COUNTIFS($A$6:$A$205,A133)&gt;1,"Duplicate ID",IF(OR(B133="",COUNTIFS('Clients'!$A$6:$A$205,B133)&lt;&gt;1),"Check Client ID",IF(OR(C133="",COUNTIFS('Properties'!$A$6:$A$205,C133)&lt;&gt;1),"Check Property ID",IF(E133="","Set client response",IF(AND(E133&lt;&gt;"Not sent",NOT(ISNUMBER(D133))),"Add date sent",""))))))</x:f>
      </x:c>
    </x:row>
    <x:row r="134" ht="26" customHeight="1">
      <x:c r="A134" s="317"/>
      <x:c r="B134" s="318"/>
      <x:c r="C134" s="235"/>
      <x:c r="D134" s="238"/>
      <x:c r="E134" s="235"/>
      <x:c r="F134" s="235"/>
      <x:c r="G134" s="235"/>
      <x:c r="H134" s="265" t="str">
        <x:f>IF(A134="","",IF(B134="","",IF(COUNTIFS('Clients'!$A$6:$A$205,B134)&lt;&gt;1,"Check Client ID",IF(INDEX('Clients'!$B$6:$B$205,MATCH(B134,'Clients'!$A$6:$A$205,0))="","Name missing",INDEX('Clients'!$B$6:$B$205,MATCH(B134,'Clients'!$A$6:$A$205,0))))))</x:f>
      </x:c>
      <x:c r="I134" s="265" t="str">
        <x:f>IF(A134="","",IF(C134="","",IF(COUNTIFS('Properties'!$A$6:$A$205,C134)&lt;&gt;1,"Check Property ID",IF(INDEX('Properties'!$B$6:$B$205,MATCH(C134,'Properties'!$A$6:$A$205,0))="","Name missing",INDEX('Properties'!$B$6:$B$205,MATCH(C134,'Properties'!$A$6:$A$205,0))))))</x:f>
      </x:c>
      <x:c r="J134" s="315" t="str">
        <x:f>IF(A134="","",IF(COUNTIFS($A$6:$A$205,A134)&gt;1,"Duplicate ID",IF(OR(B134="",COUNTIFS('Clients'!$A$6:$A$205,B134)&lt;&gt;1),"Check Client ID",IF(OR(C134="",COUNTIFS('Properties'!$A$6:$A$205,C134)&lt;&gt;1),"Check Property ID",IF(E134="","Set client response",IF(AND(E134&lt;&gt;"Not sent",NOT(ISNUMBER(D134))),"Add date sent",""))))))</x:f>
      </x:c>
    </x:row>
    <x:row r="135" ht="26" customHeight="1">
      <x:c r="A135" s="319"/>
      <x:c r="B135" s="320"/>
      <x:c r="C135" s="274"/>
      <x:c r="D135" s="304"/>
      <x:c r="E135" s="274"/>
      <x:c r="F135" s="274"/>
      <x:c r="G135" s="274"/>
      <x:c r="H135" s="265" t="str">
        <x:f>IF(A135="","",IF(B135="","",IF(COUNTIFS('Clients'!$A$6:$A$205,B135)&lt;&gt;1,"Check Client ID",IF(INDEX('Clients'!$B$6:$B$205,MATCH(B135,'Clients'!$A$6:$A$205,0))="","Name missing",INDEX('Clients'!$B$6:$B$205,MATCH(B135,'Clients'!$A$6:$A$205,0))))))</x:f>
      </x:c>
      <x:c r="I135" s="265" t="str">
        <x:f>IF(A135="","",IF(C135="","",IF(COUNTIFS('Properties'!$A$6:$A$205,C135)&lt;&gt;1,"Check Property ID",IF(INDEX('Properties'!$B$6:$B$205,MATCH(C135,'Properties'!$A$6:$A$205,0))="","Name missing",INDEX('Properties'!$B$6:$B$205,MATCH(C135,'Properties'!$A$6:$A$205,0))))))</x:f>
      </x:c>
      <x:c r="J135" s="315" t="str">
        <x:f>IF(A135="","",IF(COUNTIFS($A$6:$A$205,A135)&gt;1,"Duplicate ID",IF(OR(B135="",COUNTIFS('Clients'!$A$6:$A$205,B135)&lt;&gt;1),"Check Client ID",IF(OR(C135="",COUNTIFS('Properties'!$A$6:$A$205,C135)&lt;&gt;1),"Check Property ID",IF(E135="","Set client response",IF(AND(E135&lt;&gt;"Not sent",NOT(ISNUMBER(D135))),"Add date sent",""))))))</x:f>
      </x:c>
    </x:row>
    <x:row r="136" ht="26" customHeight="1">
      <x:c r="A136" s="317"/>
      <x:c r="B136" s="318"/>
      <x:c r="C136" s="235"/>
      <x:c r="D136" s="238"/>
      <x:c r="E136" s="235"/>
      <x:c r="F136" s="235"/>
      <x:c r="G136" s="235"/>
      <x:c r="H136" s="265" t="str">
        <x:f>IF(A136="","",IF(B136="","",IF(COUNTIFS('Clients'!$A$6:$A$205,B136)&lt;&gt;1,"Check Client ID",IF(INDEX('Clients'!$B$6:$B$205,MATCH(B136,'Clients'!$A$6:$A$205,0))="","Name missing",INDEX('Clients'!$B$6:$B$205,MATCH(B136,'Clients'!$A$6:$A$205,0))))))</x:f>
      </x:c>
      <x:c r="I136" s="265" t="str">
        <x:f>IF(A136="","",IF(C136="","",IF(COUNTIFS('Properties'!$A$6:$A$205,C136)&lt;&gt;1,"Check Property ID",IF(INDEX('Properties'!$B$6:$B$205,MATCH(C136,'Properties'!$A$6:$A$205,0))="","Name missing",INDEX('Properties'!$B$6:$B$205,MATCH(C136,'Properties'!$A$6:$A$205,0))))))</x:f>
      </x:c>
      <x:c r="J136" s="315" t="str">
        <x:f>IF(A136="","",IF(COUNTIFS($A$6:$A$205,A136)&gt;1,"Duplicate ID",IF(OR(B136="",COUNTIFS('Clients'!$A$6:$A$205,B136)&lt;&gt;1),"Check Client ID",IF(OR(C136="",COUNTIFS('Properties'!$A$6:$A$205,C136)&lt;&gt;1),"Check Property ID",IF(E136="","Set client response",IF(AND(E136&lt;&gt;"Not sent",NOT(ISNUMBER(D136))),"Add date sent",""))))))</x:f>
      </x:c>
    </x:row>
    <x:row r="137" ht="26" customHeight="1">
      <x:c r="A137" s="319"/>
      <x:c r="B137" s="320"/>
      <x:c r="C137" s="274"/>
      <x:c r="D137" s="304"/>
      <x:c r="E137" s="274"/>
      <x:c r="F137" s="274"/>
      <x:c r="G137" s="274"/>
      <x:c r="H137" s="265" t="str">
        <x:f>IF(A137="","",IF(B137="","",IF(COUNTIFS('Clients'!$A$6:$A$205,B137)&lt;&gt;1,"Check Client ID",IF(INDEX('Clients'!$B$6:$B$205,MATCH(B137,'Clients'!$A$6:$A$205,0))="","Name missing",INDEX('Clients'!$B$6:$B$205,MATCH(B137,'Clients'!$A$6:$A$205,0))))))</x:f>
      </x:c>
      <x:c r="I137" s="265" t="str">
        <x:f>IF(A137="","",IF(C137="","",IF(COUNTIFS('Properties'!$A$6:$A$205,C137)&lt;&gt;1,"Check Property ID",IF(INDEX('Properties'!$B$6:$B$205,MATCH(C137,'Properties'!$A$6:$A$205,0))="","Name missing",INDEX('Properties'!$B$6:$B$205,MATCH(C137,'Properties'!$A$6:$A$205,0))))))</x:f>
      </x:c>
      <x:c r="J137" s="315" t="str">
        <x:f>IF(A137="","",IF(COUNTIFS($A$6:$A$205,A137)&gt;1,"Duplicate ID",IF(OR(B137="",COUNTIFS('Clients'!$A$6:$A$205,B137)&lt;&gt;1),"Check Client ID",IF(OR(C137="",COUNTIFS('Properties'!$A$6:$A$205,C137)&lt;&gt;1),"Check Property ID",IF(E137="","Set client response",IF(AND(E137&lt;&gt;"Not sent",NOT(ISNUMBER(D137))),"Add date sent",""))))))</x:f>
      </x:c>
    </x:row>
    <x:row r="138" ht="26" customHeight="1">
      <x:c r="A138" s="317"/>
      <x:c r="B138" s="318"/>
      <x:c r="C138" s="235"/>
      <x:c r="D138" s="238"/>
      <x:c r="E138" s="235"/>
      <x:c r="F138" s="235"/>
      <x:c r="G138" s="235"/>
      <x:c r="H138" s="265" t="str">
        <x:f>IF(A138="","",IF(B138="","",IF(COUNTIFS('Clients'!$A$6:$A$205,B138)&lt;&gt;1,"Check Client ID",IF(INDEX('Clients'!$B$6:$B$205,MATCH(B138,'Clients'!$A$6:$A$205,0))="","Name missing",INDEX('Clients'!$B$6:$B$205,MATCH(B138,'Clients'!$A$6:$A$205,0))))))</x:f>
      </x:c>
      <x:c r="I138" s="265" t="str">
        <x:f>IF(A138="","",IF(C138="","",IF(COUNTIFS('Properties'!$A$6:$A$205,C138)&lt;&gt;1,"Check Property ID",IF(INDEX('Properties'!$B$6:$B$205,MATCH(C138,'Properties'!$A$6:$A$205,0))="","Name missing",INDEX('Properties'!$B$6:$B$205,MATCH(C138,'Properties'!$A$6:$A$205,0))))))</x:f>
      </x:c>
      <x:c r="J138" s="315" t="str">
        <x:f>IF(A138="","",IF(COUNTIFS($A$6:$A$205,A138)&gt;1,"Duplicate ID",IF(OR(B138="",COUNTIFS('Clients'!$A$6:$A$205,B138)&lt;&gt;1),"Check Client ID",IF(OR(C138="",COUNTIFS('Properties'!$A$6:$A$205,C138)&lt;&gt;1),"Check Property ID",IF(E138="","Set client response",IF(AND(E138&lt;&gt;"Not sent",NOT(ISNUMBER(D138))),"Add date sent",""))))))</x:f>
      </x:c>
    </x:row>
    <x:row r="139" ht="26" customHeight="1">
      <x:c r="A139" s="319"/>
      <x:c r="B139" s="320"/>
      <x:c r="C139" s="274"/>
      <x:c r="D139" s="304"/>
      <x:c r="E139" s="274"/>
      <x:c r="F139" s="274"/>
      <x:c r="G139" s="274"/>
      <x:c r="H139" s="265" t="str">
        <x:f>IF(A139="","",IF(B139="","",IF(COUNTIFS('Clients'!$A$6:$A$205,B139)&lt;&gt;1,"Check Client ID",IF(INDEX('Clients'!$B$6:$B$205,MATCH(B139,'Clients'!$A$6:$A$205,0))="","Name missing",INDEX('Clients'!$B$6:$B$205,MATCH(B139,'Clients'!$A$6:$A$205,0))))))</x:f>
      </x:c>
      <x:c r="I139" s="265" t="str">
        <x:f>IF(A139="","",IF(C139="","",IF(COUNTIFS('Properties'!$A$6:$A$205,C139)&lt;&gt;1,"Check Property ID",IF(INDEX('Properties'!$B$6:$B$205,MATCH(C139,'Properties'!$A$6:$A$205,0))="","Name missing",INDEX('Properties'!$B$6:$B$205,MATCH(C139,'Properties'!$A$6:$A$205,0))))))</x:f>
      </x:c>
      <x:c r="J139" s="315" t="str">
        <x:f>IF(A139="","",IF(COUNTIFS($A$6:$A$205,A139)&gt;1,"Duplicate ID",IF(OR(B139="",COUNTIFS('Clients'!$A$6:$A$205,B139)&lt;&gt;1),"Check Client ID",IF(OR(C139="",COUNTIFS('Properties'!$A$6:$A$205,C139)&lt;&gt;1),"Check Property ID",IF(E139="","Set client response",IF(AND(E139&lt;&gt;"Not sent",NOT(ISNUMBER(D139))),"Add date sent",""))))))</x:f>
      </x:c>
    </x:row>
    <x:row r="140" ht="26" customHeight="1">
      <x:c r="A140" s="317"/>
      <x:c r="B140" s="318"/>
      <x:c r="C140" s="235"/>
      <x:c r="D140" s="238"/>
      <x:c r="E140" s="235"/>
      <x:c r="F140" s="235"/>
      <x:c r="G140" s="235"/>
      <x:c r="H140" s="265" t="str">
        <x:f>IF(A140="","",IF(B140="","",IF(COUNTIFS('Clients'!$A$6:$A$205,B140)&lt;&gt;1,"Check Client ID",IF(INDEX('Clients'!$B$6:$B$205,MATCH(B140,'Clients'!$A$6:$A$205,0))="","Name missing",INDEX('Clients'!$B$6:$B$205,MATCH(B140,'Clients'!$A$6:$A$205,0))))))</x:f>
      </x:c>
      <x:c r="I140" s="265" t="str">
        <x:f>IF(A140="","",IF(C140="","",IF(COUNTIFS('Properties'!$A$6:$A$205,C140)&lt;&gt;1,"Check Property ID",IF(INDEX('Properties'!$B$6:$B$205,MATCH(C140,'Properties'!$A$6:$A$205,0))="","Name missing",INDEX('Properties'!$B$6:$B$205,MATCH(C140,'Properties'!$A$6:$A$205,0))))))</x:f>
      </x:c>
      <x:c r="J140" s="315" t="str">
        <x:f>IF(A140="","",IF(COUNTIFS($A$6:$A$205,A140)&gt;1,"Duplicate ID",IF(OR(B140="",COUNTIFS('Clients'!$A$6:$A$205,B140)&lt;&gt;1),"Check Client ID",IF(OR(C140="",COUNTIFS('Properties'!$A$6:$A$205,C140)&lt;&gt;1),"Check Property ID",IF(E140="","Set client response",IF(AND(E140&lt;&gt;"Not sent",NOT(ISNUMBER(D140))),"Add date sent",""))))))</x:f>
      </x:c>
    </x:row>
    <x:row r="141" ht="26" customHeight="1">
      <x:c r="A141" s="319"/>
      <x:c r="B141" s="320"/>
      <x:c r="C141" s="274"/>
      <x:c r="D141" s="304"/>
      <x:c r="E141" s="274"/>
      <x:c r="F141" s="274"/>
      <x:c r="G141" s="274"/>
      <x:c r="H141" s="265" t="str">
        <x:f>IF(A141="","",IF(B141="","",IF(COUNTIFS('Clients'!$A$6:$A$205,B141)&lt;&gt;1,"Check Client ID",IF(INDEX('Clients'!$B$6:$B$205,MATCH(B141,'Clients'!$A$6:$A$205,0))="","Name missing",INDEX('Clients'!$B$6:$B$205,MATCH(B141,'Clients'!$A$6:$A$205,0))))))</x:f>
      </x:c>
      <x:c r="I141" s="265" t="str">
        <x:f>IF(A141="","",IF(C141="","",IF(COUNTIFS('Properties'!$A$6:$A$205,C141)&lt;&gt;1,"Check Property ID",IF(INDEX('Properties'!$B$6:$B$205,MATCH(C141,'Properties'!$A$6:$A$205,0))="","Name missing",INDEX('Properties'!$B$6:$B$205,MATCH(C141,'Properties'!$A$6:$A$205,0))))))</x:f>
      </x:c>
      <x:c r="J141" s="315" t="str">
        <x:f>IF(A141="","",IF(COUNTIFS($A$6:$A$205,A141)&gt;1,"Duplicate ID",IF(OR(B141="",COUNTIFS('Clients'!$A$6:$A$205,B141)&lt;&gt;1),"Check Client ID",IF(OR(C141="",COUNTIFS('Properties'!$A$6:$A$205,C141)&lt;&gt;1),"Check Property ID",IF(E141="","Set client response",IF(AND(E141&lt;&gt;"Not sent",NOT(ISNUMBER(D141))),"Add date sent",""))))))</x:f>
      </x:c>
    </x:row>
    <x:row r="142" ht="26" customHeight="1">
      <x:c r="A142" s="317"/>
      <x:c r="B142" s="318"/>
      <x:c r="C142" s="235"/>
      <x:c r="D142" s="238"/>
      <x:c r="E142" s="235"/>
      <x:c r="F142" s="235"/>
      <x:c r="G142" s="235"/>
      <x:c r="H142" s="265" t="str">
        <x:f>IF(A142="","",IF(B142="","",IF(COUNTIFS('Clients'!$A$6:$A$205,B142)&lt;&gt;1,"Check Client ID",IF(INDEX('Clients'!$B$6:$B$205,MATCH(B142,'Clients'!$A$6:$A$205,0))="","Name missing",INDEX('Clients'!$B$6:$B$205,MATCH(B142,'Clients'!$A$6:$A$205,0))))))</x:f>
      </x:c>
      <x:c r="I142" s="265" t="str">
        <x:f>IF(A142="","",IF(C142="","",IF(COUNTIFS('Properties'!$A$6:$A$205,C142)&lt;&gt;1,"Check Property ID",IF(INDEX('Properties'!$B$6:$B$205,MATCH(C142,'Properties'!$A$6:$A$205,0))="","Name missing",INDEX('Properties'!$B$6:$B$205,MATCH(C142,'Properties'!$A$6:$A$205,0))))))</x:f>
      </x:c>
      <x:c r="J142" s="315" t="str">
        <x:f>IF(A142="","",IF(COUNTIFS($A$6:$A$205,A142)&gt;1,"Duplicate ID",IF(OR(B142="",COUNTIFS('Clients'!$A$6:$A$205,B142)&lt;&gt;1),"Check Client ID",IF(OR(C142="",COUNTIFS('Properties'!$A$6:$A$205,C142)&lt;&gt;1),"Check Property ID",IF(E142="","Set client response",IF(AND(E142&lt;&gt;"Not sent",NOT(ISNUMBER(D142))),"Add date sent",""))))))</x:f>
      </x:c>
    </x:row>
    <x:row r="143" ht="26" customHeight="1">
      <x:c r="A143" s="319"/>
      <x:c r="B143" s="320"/>
      <x:c r="C143" s="274"/>
      <x:c r="D143" s="304"/>
      <x:c r="E143" s="274"/>
      <x:c r="F143" s="274"/>
      <x:c r="G143" s="274"/>
      <x:c r="H143" s="265" t="str">
        <x:f>IF(A143="","",IF(B143="","",IF(COUNTIFS('Clients'!$A$6:$A$205,B143)&lt;&gt;1,"Check Client ID",IF(INDEX('Clients'!$B$6:$B$205,MATCH(B143,'Clients'!$A$6:$A$205,0))="","Name missing",INDEX('Clients'!$B$6:$B$205,MATCH(B143,'Clients'!$A$6:$A$205,0))))))</x:f>
      </x:c>
      <x:c r="I143" s="265" t="str">
        <x:f>IF(A143="","",IF(C143="","",IF(COUNTIFS('Properties'!$A$6:$A$205,C143)&lt;&gt;1,"Check Property ID",IF(INDEX('Properties'!$B$6:$B$205,MATCH(C143,'Properties'!$A$6:$A$205,0))="","Name missing",INDEX('Properties'!$B$6:$B$205,MATCH(C143,'Properties'!$A$6:$A$205,0))))))</x:f>
      </x:c>
      <x:c r="J143" s="315" t="str">
        <x:f>IF(A143="","",IF(COUNTIFS($A$6:$A$205,A143)&gt;1,"Duplicate ID",IF(OR(B143="",COUNTIFS('Clients'!$A$6:$A$205,B143)&lt;&gt;1),"Check Client ID",IF(OR(C143="",COUNTIFS('Properties'!$A$6:$A$205,C143)&lt;&gt;1),"Check Property ID",IF(E143="","Set client response",IF(AND(E143&lt;&gt;"Not sent",NOT(ISNUMBER(D143))),"Add date sent",""))))))</x:f>
      </x:c>
    </x:row>
    <x:row r="144" ht="26" customHeight="1">
      <x:c r="A144" s="317"/>
      <x:c r="B144" s="318"/>
      <x:c r="C144" s="235"/>
      <x:c r="D144" s="238"/>
      <x:c r="E144" s="235"/>
      <x:c r="F144" s="235"/>
      <x:c r="G144" s="235"/>
      <x:c r="H144" s="265" t="str">
        <x:f>IF(A144="","",IF(B144="","",IF(COUNTIFS('Clients'!$A$6:$A$205,B144)&lt;&gt;1,"Check Client ID",IF(INDEX('Clients'!$B$6:$B$205,MATCH(B144,'Clients'!$A$6:$A$205,0))="","Name missing",INDEX('Clients'!$B$6:$B$205,MATCH(B144,'Clients'!$A$6:$A$205,0))))))</x:f>
      </x:c>
      <x:c r="I144" s="265" t="str">
        <x:f>IF(A144="","",IF(C144="","",IF(COUNTIFS('Properties'!$A$6:$A$205,C144)&lt;&gt;1,"Check Property ID",IF(INDEX('Properties'!$B$6:$B$205,MATCH(C144,'Properties'!$A$6:$A$205,0))="","Name missing",INDEX('Properties'!$B$6:$B$205,MATCH(C144,'Properties'!$A$6:$A$205,0))))))</x:f>
      </x:c>
      <x:c r="J144" s="315" t="str">
        <x:f>IF(A144="","",IF(COUNTIFS($A$6:$A$205,A144)&gt;1,"Duplicate ID",IF(OR(B144="",COUNTIFS('Clients'!$A$6:$A$205,B144)&lt;&gt;1),"Check Client ID",IF(OR(C144="",COUNTIFS('Properties'!$A$6:$A$205,C144)&lt;&gt;1),"Check Property ID",IF(E144="","Set client response",IF(AND(E144&lt;&gt;"Not sent",NOT(ISNUMBER(D144))),"Add date sent",""))))))</x:f>
      </x:c>
    </x:row>
    <x:row r="145" ht="26" customHeight="1">
      <x:c r="A145" s="319"/>
      <x:c r="B145" s="320"/>
      <x:c r="C145" s="274"/>
      <x:c r="D145" s="304"/>
      <x:c r="E145" s="274"/>
      <x:c r="F145" s="274"/>
      <x:c r="G145" s="274"/>
      <x:c r="H145" s="265" t="str">
        <x:f>IF(A145="","",IF(B145="","",IF(COUNTIFS('Clients'!$A$6:$A$205,B145)&lt;&gt;1,"Check Client ID",IF(INDEX('Clients'!$B$6:$B$205,MATCH(B145,'Clients'!$A$6:$A$205,0))="","Name missing",INDEX('Clients'!$B$6:$B$205,MATCH(B145,'Clients'!$A$6:$A$205,0))))))</x:f>
      </x:c>
      <x:c r="I145" s="265" t="str">
        <x:f>IF(A145="","",IF(C145="","",IF(COUNTIFS('Properties'!$A$6:$A$205,C145)&lt;&gt;1,"Check Property ID",IF(INDEX('Properties'!$B$6:$B$205,MATCH(C145,'Properties'!$A$6:$A$205,0))="","Name missing",INDEX('Properties'!$B$6:$B$205,MATCH(C145,'Properties'!$A$6:$A$205,0))))))</x:f>
      </x:c>
      <x:c r="J145" s="315" t="str">
        <x:f>IF(A145="","",IF(COUNTIFS($A$6:$A$205,A145)&gt;1,"Duplicate ID",IF(OR(B145="",COUNTIFS('Clients'!$A$6:$A$205,B145)&lt;&gt;1),"Check Client ID",IF(OR(C145="",COUNTIFS('Properties'!$A$6:$A$205,C145)&lt;&gt;1),"Check Property ID",IF(E145="","Set client response",IF(AND(E145&lt;&gt;"Not sent",NOT(ISNUMBER(D145))),"Add date sent",""))))))</x:f>
      </x:c>
    </x:row>
    <x:row r="146" ht="26" customHeight="1">
      <x:c r="A146" s="317"/>
      <x:c r="B146" s="318"/>
      <x:c r="C146" s="235"/>
      <x:c r="D146" s="238"/>
      <x:c r="E146" s="235"/>
      <x:c r="F146" s="235"/>
      <x:c r="G146" s="235"/>
      <x:c r="H146" s="265" t="str">
        <x:f>IF(A146="","",IF(B146="","",IF(COUNTIFS('Clients'!$A$6:$A$205,B146)&lt;&gt;1,"Check Client ID",IF(INDEX('Clients'!$B$6:$B$205,MATCH(B146,'Clients'!$A$6:$A$205,0))="","Name missing",INDEX('Clients'!$B$6:$B$205,MATCH(B146,'Clients'!$A$6:$A$205,0))))))</x:f>
      </x:c>
      <x:c r="I146" s="265" t="str">
        <x:f>IF(A146="","",IF(C146="","",IF(COUNTIFS('Properties'!$A$6:$A$205,C146)&lt;&gt;1,"Check Property ID",IF(INDEX('Properties'!$B$6:$B$205,MATCH(C146,'Properties'!$A$6:$A$205,0))="","Name missing",INDEX('Properties'!$B$6:$B$205,MATCH(C146,'Properties'!$A$6:$A$205,0))))))</x:f>
      </x:c>
      <x:c r="J146" s="315" t="str">
        <x:f>IF(A146="","",IF(COUNTIFS($A$6:$A$205,A146)&gt;1,"Duplicate ID",IF(OR(B146="",COUNTIFS('Clients'!$A$6:$A$205,B146)&lt;&gt;1),"Check Client ID",IF(OR(C146="",COUNTIFS('Properties'!$A$6:$A$205,C146)&lt;&gt;1),"Check Property ID",IF(E146="","Set client response",IF(AND(E146&lt;&gt;"Not sent",NOT(ISNUMBER(D146))),"Add date sent",""))))))</x:f>
      </x:c>
    </x:row>
    <x:row r="147" ht="26" customHeight="1">
      <x:c r="A147" s="319"/>
      <x:c r="B147" s="320"/>
      <x:c r="C147" s="274"/>
      <x:c r="D147" s="304"/>
      <x:c r="E147" s="274"/>
      <x:c r="F147" s="274"/>
      <x:c r="G147" s="274"/>
      <x:c r="H147" s="265" t="str">
        <x:f>IF(A147="","",IF(B147="","",IF(COUNTIFS('Clients'!$A$6:$A$205,B147)&lt;&gt;1,"Check Client ID",IF(INDEX('Clients'!$B$6:$B$205,MATCH(B147,'Clients'!$A$6:$A$205,0))="","Name missing",INDEX('Clients'!$B$6:$B$205,MATCH(B147,'Clients'!$A$6:$A$205,0))))))</x:f>
      </x:c>
      <x:c r="I147" s="265" t="str">
        <x:f>IF(A147="","",IF(C147="","",IF(COUNTIFS('Properties'!$A$6:$A$205,C147)&lt;&gt;1,"Check Property ID",IF(INDEX('Properties'!$B$6:$B$205,MATCH(C147,'Properties'!$A$6:$A$205,0))="","Name missing",INDEX('Properties'!$B$6:$B$205,MATCH(C147,'Properties'!$A$6:$A$205,0))))))</x:f>
      </x:c>
      <x:c r="J147" s="315" t="str">
        <x:f>IF(A147="","",IF(COUNTIFS($A$6:$A$205,A147)&gt;1,"Duplicate ID",IF(OR(B147="",COUNTIFS('Clients'!$A$6:$A$205,B147)&lt;&gt;1),"Check Client ID",IF(OR(C147="",COUNTIFS('Properties'!$A$6:$A$205,C147)&lt;&gt;1),"Check Property ID",IF(E147="","Set client response",IF(AND(E147&lt;&gt;"Not sent",NOT(ISNUMBER(D147))),"Add date sent",""))))))</x:f>
      </x:c>
    </x:row>
    <x:row r="148" ht="26" customHeight="1">
      <x:c r="A148" s="317"/>
      <x:c r="B148" s="318"/>
      <x:c r="C148" s="235"/>
      <x:c r="D148" s="238"/>
      <x:c r="E148" s="235"/>
      <x:c r="F148" s="235"/>
      <x:c r="G148" s="235"/>
      <x:c r="H148" s="265" t="str">
        <x:f>IF(A148="","",IF(B148="","",IF(COUNTIFS('Clients'!$A$6:$A$205,B148)&lt;&gt;1,"Check Client ID",IF(INDEX('Clients'!$B$6:$B$205,MATCH(B148,'Clients'!$A$6:$A$205,0))="","Name missing",INDEX('Clients'!$B$6:$B$205,MATCH(B148,'Clients'!$A$6:$A$205,0))))))</x:f>
      </x:c>
      <x:c r="I148" s="265" t="str">
        <x:f>IF(A148="","",IF(C148="","",IF(COUNTIFS('Properties'!$A$6:$A$205,C148)&lt;&gt;1,"Check Property ID",IF(INDEX('Properties'!$B$6:$B$205,MATCH(C148,'Properties'!$A$6:$A$205,0))="","Name missing",INDEX('Properties'!$B$6:$B$205,MATCH(C148,'Properties'!$A$6:$A$205,0))))))</x:f>
      </x:c>
      <x:c r="J148" s="315" t="str">
        <x:f>IF(A148="","",IF(COUNTIFS($A$6:$A$205,A148)&gt;1,"Duplicate ID",IF(OR(B148="",COUNTIFS('Clients'!$A$6:$A$205,B148)&lt;&gt;1),"Check Client ID",IF(OR(C148="",COUNTIFS('Properties'!$A$6:$A$205,C148)&lt;&gt;1),"Check Property ID",IF(E148="","Set client response",IF(AND(E148&lt;&gt;"Not sent",NOT(ISNUMBER(D148))),"Add date sent",""))))))</x:f>
      </x:c>
    </x:row>
    <x:row r="149" ht="26" customHeight="1">
      <x:c r="A149" s="319"/>
      <x:c r="B149" s="320"/>
      <x:c r="C149" s="274"/>
      <x:c r="D149" s="304"/>
      <x:c r="E149" s="274"/>
      <x:c r="F149" s="274"/>
      <x:c r="G149" s="274"/>
      <x:c r="H149" s="265" t="str">
        <x:f>IF(A149="","",IF(B149="","",IF(COUNTIFS('Clients'!$A$6:$A$205,B149)&lt;&gt;1,"Check Client ID",IF(INDEX('Clients'!$B$6:$B$205,MATCH(B149,'Clients'!$A$6:$A$205,0))="","Name missing",INDEX('Clients'!$B$6:$B$205,MATCH(B149,'Clients'!$A$6:$A$205,0))))))</x:f>
      </x:c>
      <x:c r="I149" s="265" t="str">
        <x:f>IF(A149="","",IF(C149="","",IF(COUNTIFS('Properties'!$A$6:$A$205,C149)&lt;&gt;1,"Check Property ID",IF(INDEX('Properties'!$B$6:$B$205,MATCH(C149,'Properties'!$A$6:$A$205,0))="","Name missing",INDEX('Properties'!$B$6:$B$205,MATCH(C149,'Properties'!$A$6:$A$205,0))))))</x:f>
      </x:c>
      <x:c r="J149" s="315" t="str">
        <x:f>IF(A149="","",IF(COUNTIFS($A$6:$A$205,A149)&gt;1,"Duplicate ID",IF(OR(B149="",COUNTIFS('Clients'!$A$6:$A$205,B149)&lt;&gt;1),"Check Client ID",IF(OR(C149="",COUNTIFS('Properties'!$A$6:$A$205,C149)&lt;&gt;1),"Check Property ID",IF(E149="","Set client response",IF(AND(E149&lt;&gt;"Not sent",NOT(ISNUMBER(D149))),"Add date sent",""))))))</x:f>
      </x:c>
    </x:row>
    <x:row r="150" ht="26" customHeight="1">
      <x:c r="A150" s="317"/>
      <x:c r="B150" s="318"/>
      <x:c r="C150" s="235"/>
      <x:c r="D150" s="238"/>
      <x:c r="E150" s="235"/>
      <x:c r="F150" s="235"/>
      <x:c r="G150" s="235"/>
      <x:c r="H150" s="265" t="str">
        <x:f>IF(A150="","",IF(B150="","",IF(COUNTIFS('Clients'!$A$6:$A$205,B150)&lt;&gt;1,"Check Client ID",IF(INDEX('Clients'!$B$6:$B$205,MATCH(B150,'Clients'!$A$6:$A$205,0))="","Name missing",INDEX('Clients'!$B$6:$B$205,MATCH(B150,'Clients'!$A$6:$A$205,0))))))</x:f>
      </x:c>
      <x:c r="I150" s="265" t="str">
        <x:f>IF(A150="","",IF(C150="","",IF(COUNTIFS('Properties'!$A$6:$A$205,C150)&lt;&gt;1,"Check Property ID",IF(INDEX('Properties'!$B$6:$B$205,MATCH(C150,'Properties'!$A$6:$A$205,0))="","Name missing",INDEX('Properties'!$B$6:$B$205,MATCH(C150,'Properties'!$A$6:$A$205,0))))))</x:f>
      </x:c>
      <x:c r="J150" s="315" t="str">
        <x:f>IF(A150="","",IF(COUNTIFS($A$6:$A$205,A150)&gt;1,"Duplicate ID",IF(OR(B150="",COUNTIFS('Clients'!$A$6:$A$205,B150)&lt;&gt;1),"Check Client ID",IF(OR(C150="",COUNTIFS('Properties'!$A$6:$A$205,C150)&lt;&gt;1),"Check Property ID",IF(E150="","Set client response",IF(AND(E150&lt;&gt;"Not sent",NOT(ISNUMBER(D150))),"Add date sent",""))))))</x:f>
      </x:c>
    </x:row>
    <x:row r="151" ht="26" customHeight="1">
      <x:c r="A151" s="319"/>
      <x:c r="B151" s="320"/>
      <x:c r="C151" s="274"/>
      <x:c r="D151" s="304"/>
      <x:c r="E151" s="274"/>
      <x:c r="F151" s="274"/>
      <x:c r="G151" s="274"/>
      <x:c r="H151" s="265" t="str">
        <x:f>IF(A151="","",IF(B151="","",IF(COUNTIFS('Clients'!$A$6:$A$205,B151)&lt;&gt;1,"Check Client ID",IF(INDEX('Clients'!$B$6:$B$205,MATCH(B151,'Clients'!$A$6:$A$205,0))="","Name missing",INDEX('Clients'!$B$6:$B$205,MATCH(B151,'Clients'!$A$6:$A$205,0))))))</x:f>
      </x:c>
      <x:c r="I151" s="265" t="str">
        <x:f>IF(A151="","",IF(C151="","",IF(COUNTIFS('Properties'!$A$6:$A$205,C151)&lt;&gt;1,"Check Property ID",IF(INDEX('Properties'!$B$6:$B$205,MATCH(C151,'Properties'!$A$6:$A$205,0))="","Name missing",INDEX('Properties'!$B$6:$B$205,MATCH(C151,'Properties'!$A$6:$A$205,0))))))</x:f>
      </x:c>
      <x:c r="J151" s="315" t="str">
        <x:f>IF(A151="","",IF(COUNTIFS($A$6:$A$205,A151)&gt;1,"Duplicate ID",IF(OR(B151="",COUNTIFS('Clients'!$A$6:$A$205,B151)&lt;&gt;1),"Check Client ID",IF(OR(C151="",COUNTIFS('Properties'!$A$6:$A$205,C151)&lt;&gt;1),"Check Property ID",IF(E151="","Set client response",IF(AND(E151&lt;&gt;"Not sent",NOT(ISNUMBER(D151))),"Add date sent",""))))))</x:f>
      </x:c>
    </x:row>
    <x:row r="152" ht="26" customHeight="1">
      <x:c r="A152" s="317"/>
      <x:c r="B152" s="318"/>
      <x:c r="C152" s="235"/>
      <x:c r="D152" s="238"/>
      <x:c r="E152" s="235"/>
      <x:c r="F152" s="235"/>
      <x:c r="G152" s="235"/>
      <x:c r="H152" s="265" t="str">
        <x:f>IF(A152="","",IF(B152="","",IF(COUNTIFS('Clients'!$A$6:$A$205,B152)&lt;&gt;1,"Check Client ID",IF(INDEX('Clients'!$B$6:$B$205,MATCH(B152,'Clients'!$A$6:$A$205,0))="","Name missing",INDEX('Clients'!$B$6:$B$205,MATCH(B152,'Clients'!$A$6:$A$205,0))))))</x:f>
      </x:c>
      <x:c r="I152" s="265" t="str">
        <x:f>IF(A152="","",IF(C152="","",IF(COUNTIFS('Properties'!$A$6:$A$205,C152)&lt;&gt;1,"Check Property ID",IF(INDEX('Properties'!$B$6:$B$205,MATCH(C152,'Properties'!$A$6:$A$205,0))="","Name missing",INDEX('Properties'!$B$6:$B$205,MATCH(C152,'Properties'!$A$6:$A$205,0))))))</x:f>
      </x:c>
      <x:c r="J152" s="315" t="str">
        <x:f>IF(A152="","",IF(COUNTIFS($A$6:$A$205,A152)&gt;1,"Duplicate ID",IF(OR(B152="",COUNTIFS('Clients'!$A$6:$A$205,B152)&lt;&gt;1),"Check Client ID",IF(OR(C152="",COUNTIFS('Properties'!$A$6:$A$205,C152)&lt;&gt;1),"Check Property ID",IF(E152="","Set client response",IF(AND(E152&lt;&gt;"Not sent",NOT(ISNUMBER(D152))),"Add date sent",""))))))</x:f>
      </x:c>
    </x:row>
    <x:row r="153" ht="26" customHeight="1">
      <x:c r="A153" s="319"/>
      <x:c r="B153" s="320"/>
      <x:c r="C153" s="274"/>
      <x:c r="D153" s="304"/>
      <x:c r="E153" s="274"/>
      <x:c r="F153" s="274"/>
      <x:c r="G153" s="274"/>
      <x:c r="H153" s="265" t="str">
        <x:f>IF(A153="","",IF(B153="","",IF(COUNTIFS('Clients'!$A$6:$A$205,B153)&lt;&gt;1,"Check Client ID",IF(INDEX('Clients'!$B$6:$B$205,MATCH(B153,'Clients'!$A$6:$A$205,0))="","Name missing",INDEX('Clients'!$B$6:$B$205,MATCH(B153,'Clients'!$A$6:$A$205,0))))))</x:f>
      </x:c>
      <x:c r="I153" s="265" t="str">
        <x:f>IF(A153="","",IF(C153="","",IF(COUNTIFS('Properties'!$A$6:$A$205,C153)&lt;&gt;1,"Check Property ID",IF(INDEX('Properties'!$B$6:$B$205,MATCH(C153,'Properties'!$A$6:$A$205,0))="","Name missing",INDEX('Properties'!$B$6:$B$205,MATCH(C153,'Properties'!$A$6:$A$205,0))))))</x:f>
      </x:c>
      <x:c r="J153" s="315" t="str">
        <x:f>IF(A153="","",IF(COUNTIFS($A$6:$A$205,A153)&gt;1,"Duplicate ID",IF(OR(B153="",COUNTIFS('Clients'!$A$6:$A$205,B153)&lt;&gt;1),"Check Client ID",IF(OR(C153="",COUNTIFS('Properties'!$A$6:$A$205,C153)&lt;&gt;1),"Check Property ID",IF(E153="","Set client response",IF(AND(E153&lt;&gt;"Not sent",NOT(ISNUMBER(D153))),"Add date sent",""))))))</x:f>
      </x:c>
    </x:row>
    <x:row r="154" ht="26" customHeight="1">
      <x:c r="A154" s="317"/>
      <x:c r="B154" s="318"/>
      <x:c r="C154" s="235"/>
      <x:c r="D154" s="238"/>
      <x:c r="E154" s="235"/>
      <x:c r="F154" s="235"/>
      <x:c r="G154" s="235"/>
      <x:c r="H154" s="265" t="str">
        <x:f>IF(A154="","",IF(B154="","",IF(COUNTIFS('Clients'!$A$6:$A$205,B154)&lt;&gt;1,"Check Client ID",IF(INDEX('Clients'!$B$6:$B$205,MATCH(B154,'Clients'!$A$6:$A$205,0))="","Name missing",INDEX('Clients'!$B$6:$B$205,MATCH(B154,'Clients'!$A$6:$A$205,0))))))</x:f>
      </x:c>
      <x:c r="I154" s="265" t="str">
        <x:f>IF(A154="","",IF(C154="","",IF(COUNTIFS('Properties'!$A$6:$A$205,C154)&lt;&gt;1,"Check Property ID",IF(INDEX('Properties'!$B$6:$B$205,MATCH(C154,'Properties'!$A$6:$A$205,0))="","Name missing",INDEX('Properties'!$B$6:$B$205,MATCH(C154,'Properties'!$A$6:$A$205,0))))))</x:f>
      </x:c>
      <x:c r="J154" s="315" t="str">
        <x:f>IF(A154="","",IF(COUNTIFS($A$6:$A$205,A154)&gt;1,"Duplicate ID",IF(OR(B154="",COUNTIFS('Clients'!$A$6:$A$205,B154)&lt;&gt;1),"Check Client ID",IF(OR(C154="",COUNTIFS('Properties'!$A$6:$A$205,C154)&lt;&gt;1),"Check Property ID",IF(E154="","Set client response",IF(AND(E154&lt;&gt;"Not sent",NOT(ISNUMBER(D154))),"Add date sent",""))))))</x:f>
      </x:c>
    </x:row>
    <x:row r="155" ht="26" customHeight="1">
      <x:c r="A155" s="319"/>
      <x:c r="B155" s="320"/>
      <x:c r="C155" s="274"/>
      <x:c r="D155" s="304"/>
      <x:c r="E155" s="274"/>
      <x:c r="F155" s="274"/>
      <x:c r="G155" s="274"/>
      <x:c r="H155" s="265" t="str">
        <x:f>IF(A155="","",IF(B155="","",IF(COUNTIFS('Clients'!$A$6:$A$205,B155)&lt;&gt;1,"Check Client ID",IF(INDEX('Clients'!$B$6:$B$205,MATCH(B155,'Clients'!$A$6:$A$205,0))="","Name missing",INDEX('Clients'!$B$6:$B$205,MATCH(B155,'Clients'!$A$6:$A$205,0))))))</x:f>
      </x:c>
      <x:c r="I155" s="265" t="str">
        <x:f>IF(A155="","",IF(C155="","",IF(COUNTIFS('Properties'!$A$6:$A$205,C155)&lt;&gt;1,"Check Property ID",IF(INDEX('Properties'!$B$6:$B$205,MATCH(C155,'Properties'!$A$6:$A$205,0))="","Name missing",INDEX('Properties'!$B$6:$B$205,MATCH(C155,'Properties'!$A$6:$A$205,0))))))</x:f>
      </x:c>
      <x:c r="J155" s="315" t="str">
        <x:f>IF(A155="","",IF(COUNTIFS($A$6:$A$205,A155)&gt;1,"Duplicate ID",IF(OR(B155="",COUNTIFS('Clients'!$A$6:$A$205,B155)&lt;&gt;1),"Check Client ID",IF(OR(C155="",COUNTIFS('Properties'!$A$6:$A$205,C155)&lt;&gt;1),"Check Property ID",IF(E155="","Set client response",IF(AND(E155&lt;&gt;"Not sent",NOT(ISNUMBER(D155))),"Add date sent",""))))))</x:f>
      </x:c>
    </x:row>
    <x:row r="156" ht="26" customHeight="1">
      <x:c r="A156" s="317"/>
      <x:c r="B156" s="318"/>
      <x:c r="C156" s="235"/>
      <x:c r="D156" s="238"/>
      <x:c r="E156" s="235"/>
      <x:c r="F156" s="235"/>
      <x:c r="G156" s="235"/>
      <x:c r="H156" s="265" t="str">
        <x:f>IF(A156="","",IF(B156="","",IF(COUNTIFS('Clients'!$A$6:$A$205,B156)&lt;&gt;1,"Check Client ID",IF(INDEX('Clients'!$B$6:$B$205,MATCH(B156,'Clients'!$A$6:$A$205,0))="","Name missing",INDEX('Clients'!$B$6:$B$205,MATCH(B156,'Clients'!$A$6:$A$205,0))))))</x:f>
      </x:c>
      <x:c r="I156" s="265" t="str">
        <x:f>IF(A156="","",IF(C156="","",IF(COUNTIFS('Properties'!$A$6:$A$205,C156)&lt;&gt;1,"Check Property ID",IF(INDEX('Properties'!$B$6:$B$205,MATCH(C156,'Properties'!$A$6:$A$205,0))="","Name missing",INDEX('Properties'!$B$6:$B$205,MATCH(C156,'Properties'!$A$6:$A$205,0))))))</x:f>
      </x:c>
      <x:c r="J156" s="315" t="str">
        <x:f>IF(A156="","",IF(COUNTIFS($A$6:$A$205,A156)&gt;1,"Duplicate ID",IF(OR(B156="",COUNTIFS('Clients'!$A$6:$A$205,B156)&lt;&gt;1),"Check Client ID",IF(OR(C156="",COUNTIFS('Properties'!$A$6:$A$205,C156)&lt;&gt;1),"Check Property ID",IF(E156="","Set client response",IF(AND(E156&lt;&gt;"Not sent",NOT(ISNUMBER(D156))),"Add date sent",""))))))</x:f>
      </x:c>
    </x:row>
    <x:row r="157" ht="26" customHeight="1">
      <x:c r="A157" s="319"/>
      <x:c r="B157" s="320"/>
      <x:c r="C157" s="274"/>
      <x:c r="D157" s="304"/>
      <x:c r="E157" s="274"/>
      <x:c r="F157" s="274"/>
      <x:c r="G157" s="274"/>
      <x:c r="H157" s="265" t="str">
        <x:f>IF(A157="","",IF(B157="","",IF(COUNTIFS('Clients'!$A$6:$A$205,B157)&lt;&gt;1,"Check Client ID",IF(INDEX('Clients'!$B$6:$B$205,MATCH(B157,'Clients'!$A$6:$A$205,0))="","Name missing",INDEX('Clients'!$B$6:$B$205,MATCH(B157,'Clients'!$A$6:$A$205,0))))))</x:f>
      </x:c>
      <x:c r="I157" s="265" t="str">
        <x:f>IF(A157="","",IF(C157="","",IF(COUNTIFS('Properties'!$A$6:$A$205,C157)&lt;&gt;1,"Check Property ID",IF(INDEX('Properties'!$B$6:$B$205,MATCH(C157,'Properties'!$A$6:$A$205,0))="","Name missing",INDEX('Properties'!$B$6:$B$205,MATCH(C157,'Properties'!$A$6:$A$205,0))))))</x:f>
      </x:c>
      <x:c r="J157" s="315" t="str">
        <x:f>IF(A157="","",IF(COUNTIFS($A$6:$A$205,A157)&gt;1,"Duplicate ID",IF(OR(B157="",COUNTIFS('Clients'!$A$6:$A$205,B157)&lt;&gt;1),"Check Client ID",IF(OR(C157="",COUNTIFS('Properties'!$A$6:$A$205,C157)&lt;&gt;1),"Check Property ID",IF(E157="","Set client response",IF(AND(E157&lt;&gt;"Not sent",NOT(ISNUMBER(D157))),"Add date sent",""))))))</x:f>
      </x:c>
    </x:row>
    <x:row r="158" ht="26" customHeight="1">
      <x:c r="A158" s="317"/>
      <x:c r="B158" s="318"/>
      <x:c r="C158" s="235"/>
      <x:c r="D158" s="238"/>
      <x:c r="E158" s="235"/>
      <x:c r="F158" s="235"/>
      <x:c r="G158" s="235"/>
      <x:c r="H158" s="265" t="str">
        <x:f>IF(A158="","",IF(B158="","",IF(COUNTIFS('Clients'!$A$6:$A$205,B158)&lt;&gt;1,"Check Client ID",IF(INDEX('Clients'!$B$6:$B$205,MATCH(B158,'Clients'!$A$6:$A$205,0))="","Name missing",INDEX('Clients'!$B$6:$B$205,MATCH(B158,'Clients'!$A$6:$A$205,0))))))</x:f>
      </x:c>
      <x:c r="I158" s="265" t="str">
        <x:f>IF(A158="","",IF(C158="","",IF(COUNTIFS('Properties'!$A$6:$A$205,C158)&lt;&gt;1,"Check Property ID",IF(INDEX('Properties'!$B$6:$B$205,MATCH(C158,'Properties'!$A$6:$A$205,0))="","Name missing",INDEX('Properties'!$B$6:$B$205,MATCH(C158,'Properties'!$A$6:$A$205,0))))))</x:f>
      </x:c>
      <x:c r="J158" s="315" t="str">
        <x:f>IF(A158="","",IF(COUNTIFS($A$6:$A$205,A158)&gt;1,"Duplicate ID",IF(OR(B158="",COUNTIFS('Clients'!$A$6:$A$205,B158)&lt;&gt;1),"Check Client ID",IF(OR(C158="",COUNTIFS('Properties'!$A$6:$A$205,C158)&lt;&gt;1),"Check Property ID",IF(E158="","Set client response",IF(AND(E158&lt;&gt;"Not sent",NOT(ISNUMBER(D158))),"Add date sent",""))))))</x:f>
      </x:c>
    </x:row>
    <x:row r="159" ht="26" customHeight="1">
      <x:c r="A159" s="319"/>
      <x:c r="B159" s="320"/>
      <x:c r="C159" s="274"/>
      <x:c r="D159" s="304"/>
      <x:c r="E159" s="274"/>
      <x:c r="F159" s="274"/>
      <x:c r="G159" s="274"/>
      <x:c r="H159" s="265" t="str">
        <x:f>IF(A159="","",IF(B159="","",IF(COUNTIFS('Clients'!$A$6:$A$205,B159)&lt;&gt;1,"Check Client ID",IF(INDEX('Clients'!$B$6:$B$205,MATCH(B159,'Clients'!$A$6:$A$205,0))="","Name missing",INDEX('Clients'!$B$6:$B$205,MATCH(B159,'Clients'!$A$6:$A$205,0))))))</x:f>
      </x:c>
      <x:c r="I159" s="265" t="str">
        <x:f>IF(A159="","",IF(C159="","",IF(COUNTIFS('Properties'!$A$6:$A$205,C159)&lt;&gt;1,"Check Property ID",IF(INDEX('Properties'!$B$6:$B$205,MATCH(C159,'Properties'!$A$6:$A$205,0))="","Name missing",INDEX('Properties'!$B$6:$B$205,MATCH(C159,'Properties'!$A$6:$A$205,0))))))</x:f>
      </x:c>
      <x:c r="J159" s="315" t="str">
        <x:f>IF(A159="","",IF(COUNTIFS($A$6:$A$205,A159)&gt;1,"Duplicate ID",IF(OR(B159="",COUNTIFS('Clients'!$A$6:$A$205,B159)&lt;&gt;1),"Check Client ID",IF(OR(C159="",COUNTIFS('Properties'!$A$6:$A$205,C159)&lt;&gt;1),"Check Property ID",IF(E159="","Set client response",IF(AND(E159&lt;&gt;"Not sent",NOT(ISNUMBER(D159))),"Add date sent",""))))))</x:f>
      </x:c>
    </x:row>
    <x:row r="160" ht="26" customHeight="1">
      <x:c r="A160" s="317"/>
      <x:c r="B160" s="318"/>
      <x:c r="C160" s="235"/>
      <x:c r="D160" s="238"/>
      <x:c r="E160" s="235"/>
      <x:c r="F160" s="235"/>
      <x:c r="G160" s="235"/>
      <x:c r="H160" s="265" t="str">
        <x:f>IF(A160="","",IF(B160="","",IF(COUNTIFS('Clients'!$A$6:$A$205,B160)&lt;&gt;1,"Check Client ID",IF(INDEX('Clients'!$B$6:$B$205,MATCH(B160,'Clients'!$A$6:$A$205,0))="","Name missing",INDEX('Clients'!$B$6:$B$205,MATCH(B160,'Clients'!$A$6:$A$205,0))))))</x:f>
      </x:c>
      <x:c r="I160" s="265" t="str">
        <x:f>IF(A160="","",IF(C160="","",IF(COUNTIFS('Properties'!$A$6:$A$205,C160)&lt;&gt;1,"Check Property ID",IF(INDEX('Properties'!$B$6:$B$205,MATCH(C160,'Properties'!$A$6:$A$205,0))="","Name missing",INDEX('Properties'!$B$6:$B$205,MATCH(C160,'Properties'!$A$6:$A$205,0))))))</x:f>
      </x:c>
      <x:c r="J160" s="315" t="str">
        <x:f>IF(A160="","",IF(COUNTIFS($A$6:$A$205,A160)&gt;1,"Duplicate ID",IF(OR(B160="",COUNTIFS('Clients'!$A$6:$A$205,B160)&lt;&gt;1),"Check Client ID",IF(OR(C160="",COUNTIFS('Properties'!$A$6:$A$205,C160)&lt;&gt;1),"Check Property ID",IF(E160="","Set client response",IF(AND(E160&lt;&gt;"Not sent",NOT(ISNUMBER(D160))),"Add date sent",""))))))</x:f>
      </x:c>
    </x:row>
    <x:row r="161" ht="26" customHeight="1">
      <x:c r="A161" s="319"/>
      <x:c r="B161" s="320"/>
      <x:c r="C161" s="274"/>
      <x:c r="D161" s="304"/>
      <x:c r="E161" s="274"/>
      <x:c r="F161" s="274"/>
      <x:c r="G161" s="274"/>
      <x:c r="H161" s="265" t="str">
        <x:f>IF(A161="","",IF(B161="","",IF(COUNTIFS('Clients'!$A$6:$A$205,B161)&lt;&gt;1,"Check Client ID",IF(INDEX('Clients'!$B$6:$B$205,MATCH(B161,'Clients'!$A$6:$A$205,0))="","Name missing",INDEX('Clients'!$B$6:$B$205,MATCH(B161,'Clients'!$A$6:$A$205,0))))))</x:f>
      </x:c>
      <x:c r="I161" s="265" t="str">
        <x:f>IF(A161="","",IF(C161="","",IF(COUNTIFS('Properties'!$A$6:$A$205,C161)&lt;&gt;1,"Check Property ID",IF(INDEX('Properties'!$B$6:$B$205,MATCH(C161,'Properties'!$A$6:$A$205,0))="","Name missing",INDEX('Properties'!$B$6:$B$205,MATCH(C161,'Properties'!$A$6:$A$205,0))))))</x:f>
      </x:c>
      <x:c r="J161" s="315" t="str">
        <x:f>IF(A161="","",IF(COUNTIFS($A$6:$A$205,A161)&gt;1,"Duplicate ID",IF(OR(B161="",COUNTIFS('Clients'!$A$6:$A$205,B161)&lt;&gt;1),"Check Client ID",IF(OR(C161="",COUNTIFS('Properties'!$A$6:$A$205,C161)&lt;&gt;1),"Check Property ID",IF(E161="","Set client response",IF(AND(E161&lt;&gt;"Not sent",NOT(ISNUMBER(D161))),"Add date sent",""))))))</x:f>
      </x:c>
    </x:row>
    <x:row r="162" ht="26" customHeight="1">
      <x:c r="A162" s="317"/>
      <x:c r="B162" s="318"/>
      <x:c r="C162" s="235"/>
      <x:c r="D162" s="238"/>
      <x:c r="E162" s="235"/>
      <x:c r="F162" s="235"/>
      <x:c r="G162" s="235"/>
      <x:c r="H162" s="265" t="str">
        <x:f>IF(A162="","",IF(B162="","",IF(COUNTIFS('Clients'!$A$6:$A$205,B162)&lt;&gt;1,"Check Client ID",IF(INDEX('Clients'!$B$6:$B$205,MATCH(B162,'Clients'!$A$6:$A$205,0))="","Name missing",INDEX('Clients'!$B$6:$B$205,MATCH(B162,'Clients'!$A$6:$A$205,0))))))</x:f>
      </x:c>
      <x:c r="I162" s="265" t="str">
        <x:f>IF(A162="","",IF(C162="","",IF(COUNTIFS('Properties'!$A$6:$A$205,C162)&lt;&gt;1,"Check Property ID",IF(INDEX('Properties'!$B$6:$B$205,MATCH(C162,'Properties'!$A$6:$A$205,0))="","Name missing",INDEX('Properties'!$B$6:$B$205,MATCH(C162,'Properties'!$A$6:$A$205,0))))))</x:f>
      </x:c>
      <x:c r="J162" s="315" t="str">
        <x:f>IF(A162="","",IF(COUNTIFS($A$6:$A$205,A162)&gt;1,"Duplicate ID",IF(OR(B162="",COUNTIFS('Clients'!$A$6:$A$205,B162)&lt;&gt;1),"Check Client ID",IF(OR(C162="",COUNTIFS('Properties'!$A$6:$A$205,C162)&lt;&gt;1),"Check Property ID",IF(E162="","Set client response",IF(AND(E162&lt;&gt;"Not sent",NOT(ISNUMBER(D162))),"Add date sent",""))))))</x:f>
      </x:c>
    </x:row>
    <x:row r="163" ht="26" customHeight="1">
      <x:c r="A163" s="319"/>
      <x:c r="B163" s="320"/>
      <x:c r="C163" s="274"/>
      <x:c r="D163" s="304"/>
      <x:c r="E163" s="274"/>
      <x:c r="F163" s="274"/>
      <x:c r="G163" s="274"/>
      <x:c r="H163" s="265" t="str">
        <x:f>IF(A163="","",IF(B163="","",IF(COUNTIFS('Clients'!$A$6:$A$205,B163)&lt;&gt;1,"Check Client ID",IF(INDEX('Clients'!$B$6:$B$205,MATCH(B163,'Clients'!$A$6:$A$205,0))="","Name missing",INDEX('Clients'!$B$6:$B$205,MATCH(B163,'Clients'!$A$6:$A$205,0))))))</x:f>
      </x:c>
      <x:c r="I163" s="265" t="str">
        <x:f>IF(A163="","",IF(C163="","",IF(COUNTIFS('Properties'!$A$6:$A$205,C163)&lt;&gt;1,"Check Property ID",IF(INDEX('Properties'!$B$6:$B$205,MATCH(C163,'Properties'!$A$6:$A$205,0))="","Name missing",INDEX('Properties'!$B$6:$B$205,MATCH(C163,'Properties'!$A$6:$A$205,0))))))</x:f>
      </x:c>
      <x:c r="J163" s="315" t="str">
        <x:f>IF(A163="","",IF(COUNTIFS($A$6:$A$205,A163)&gt;1,"Duplicate ID",IF(OR(B163="",COUNTIFS('Clients'!$A$6:$A$205,B163)&lt;&gt;1),"Check Client ID",IF(OR(C163="",COUNTIFS('Properties'!$A$6:$A$205,C163)&lt;&gt;1),"Check Property ID",IF(E163="","Set client response",IF(AND(E163&lt;&gt;"Not sent",NOT(ISNUMBER(D163))),"Add date sent",""))))))</x:f>
      </x:c>
    </x:row>
    <x:row r="164" ht="26" customHeight="1">
      <x:c r="A164" s="317"/>
      <x:c r="B164" s="318"/>
      <x:c r="C164" s="235"/>
      <x:c r="D164" s="238"/>
      <x:c r="E164" s="235"/>
      <x:c r="F164" s="235"/>
      <x:c r="G164" s="235"/>
      <x:c r="H164" s="265" t="str">
        <x:f>IF(A164="","",IF(B164="","",IF(COUNTIFS('Clients'!$A$6:$A$205,B164)&lt;&gt;1,"Check Client ID",IF(INDEX('Clients'!$B$6:$B$205,MATCH(B164,'Clients'!$A$6:$A$205,0))="","Name missing",INDEX('Clients'!$B$6:$B$205,MATCH(B164,'Clients'!$A$6:$A$205,0))))))</x:f>
      </x:c>
      <x:c r="I164" s="265" t="str">
        <x:f>IF(A164="","",IF(C164="","",IF(COUNTIFS('Properties'!$A$6:$A$205,C164)&lt;&gt;1,"Check Property ID",IF(INDEX('Properties'!$B$6:$B$205,MATCH(C164,'Properties'!$A$6:$A$205,0))="","Name missing",INDEX('Properties'!$B$6:$B$205,MATCH(C164,'Properties'!$A$6:$A$205,0))))))</x:f>
      </x:c>
      <x:c r="J164" s="315" t="str">
        <x:f>IF(A164="","",IF(COUNTIFS($A$6:$A$205,A164)&gt;1,"Duplicate ID",IF(OR(B164="",COUNTIFS('Clients'!$A$6:$A$205,B164)&lt;&gt;1),"Check Client ID",IF(OR(C164="",COUNTIFS('Properties'!$A$6:$A$205,C164)&lt;&gt;1),"Check Property ID",IF(E164="","Set client response",IF(AND(E164&lt;&gt;"Not sent",NOT(ISNUMBER(D164))),"Add date sent",""))))))</x:f>
      </x:c>
    </x:row>
    <x:row r="165" ht="26" customHeight="1">
      <x:c r="A165" s="319"/>
      <x:c r="B165" s="320"/>
      <x:c r="C165" s="274"/>
      <x:c r="D165" s="304"/>
      <x:c r="E165" s="274"/>
      <x:c r="F165" s="274"/>
      <x:c r="G165" s="274"/>
      <x:c r="H165" s="265" t="str">
        <x:f>IF(A165="","",IF(B165="","",IF(COUNTIFS('Clients'!$A$6:$A$205,B165)&lt;&gt;1,"Check Client ID",IF(INDEX('Clients'!$B$6:$B$205,MATCH(B165,'Clients'!$A$6:$A$205,0))="","Name missing",INDEX('Clients'!$B$6:$B$205,MATCH(B165,'Clients'!$A$6:$A$205,0))))))</x:f>
      </x:c>
      <x:c r="I165" s="265" t="str">
        <x:f>IF(A165="","",IF(C165="","",IF(COUNTIFS('Properties'!$A$6:$A$205,C165)&lt;&gt;1,"Check Property ID",IF(INDEX('Properties'!$B$6:$B$205,MATCH(C165,'Properties'!$A$6:$A$205,0))="","Name missing",INDEX('Properties'!$B$6:$B$205,MATCH(C165,'Properties'!$A$6:$A$205,0))))))</x:f>
      </x:c>
      <x:c r="J165" s="315" t="str">
        <x:f>IF(A165="","",IF(COUNTIFS($A$6:$A$205,A165)&gt;1,"Duplicate ID",IF(OR(B165="",COUNTIFS('Clients'!$A$6:$A$205,B165)&lt;&gt;1),"Check Client ID",IF(OR(C165="",COUNTIFS('Properties'!$A$6:$A$205,C165)&lt;&gt;1),"Check Property ID",IF(E165="","Set client response",IF(AND(E165&lt;&gt;"Not sent",NOT(ISNUMBER(D165))),"Add date sent",""))))))</x:f>
      </x:c>
    </x:row>
    <x:row r="166" ht="26" customHeight="1">
      <x:c r="A166" s="317"/>
      <x:c r="B166" s="318"/>
      <x:c r="C166" s="235"/>
      <x:c r="D166" s="238"/>
      <x:c r="E166" s="235"/>
      <x:c r="F166" s="235"/>
      <x:c r="G166" s="235"/>
      <x:c r="H166" s="265" t="str">
        <x:f>IF(A166="","",IF(B166="","",IF(COUNTIFS('Clients'!$A$6:$A$205,B166)&lt;&gt;1,"Check Client ID",IF(INDEX('Clients'!$B$6:$B$205,MATCH(B166,'Clients'!$A$6:$A$205,0))="","Name missing",INDEX('Clients'!$B$6:$B$205,MATCH(B166,'Clients'!$A$6:$A$205,0))))))</x:f>
      </x:c>
      <x:c r="I166" s="265" t="str">
        <x:f>IF(A166="","",IF(C166="","",IF(COUNTIFS('Properties'!$A$6:$A$205,C166)&lt;&gt;1,"Check Property ID",IF(INDEX('Properties'!$B$6:$B$205,MATCH(C166,'Properties'!$A$6:$A$205,0))="","Name missing",INDEX('Properties'!$B$6:$B$205,MATCH(C166,'Properties'!$A$6:$A$205,0))))))</x:f>
      </x:c>
      <x:c r="J166" s="315" t="str">
        <x:f>IF(A166="","",IF(COUNTIFS($A$6:$A$205,A166)&gt;1,"Duplicate ID",IF(OR(B166="",COUNTIFS('Clients'!$A$6:$A$205,B166)&lt;&gt;1),"Check Client ID",IF(OR(C166="",COUNTIFS('Properties'!$A$6:$A$205,C166)&lt;&gt;1),"Check Property ID",IF(E166="","Set client response",IF(AND(E166&lt;&gt;"Not sent",NOT(ISNUMBER(D166))),"Add date sent",""))))))</x:f>
      </x:c>
    </x:row>
    <x:row r="167" ht="26" customHeight="1">
      <x:c r="A167" s="319"/>
      <x:c r="B167" s="320"/>
      <x:c r="C167" s="274"/>
      <x:c r="D167" s="304"/>
      <x:c r="E167" s="274"/>
      <x:c r="F167" s="274"/>
      <x:c r="G167" s="274"/>
      <x:c r="H167" s="265" t="str">
        <x:f>IF(A167="","",IF(B167="","",IF(COUNTIFS('Clients'!$A$6:$A$205,B167)&lt;&gt;1,"Check Client ID",IF(INDEX('Clients'!$B$6:$B$205,MATCH(B167,'Clients'!$A$6:$A$205,0))="","Name missing",INDEX('Clients'!$B$6:$B$205,MATCH(B167,'Clients'!$A$6:$A$205,0))))))</x:f>
      </x:c>
      <x:c r="I167" s="265" t="str">
        <x:f>IF(A167="","",IF(C167="","",IF(COUNTIFS('Properties'!$A$6:$A$205,C167)&lt;&gt;1,"Check Property ID",IF(INDEX('Properties'!$B$6:$B$205,MATCH(C167,'Properties'!$A$6:$A$205,0))="","Name missing",INDEX('Properties'!$B$6:$B$205,MATCH(C167,'Properties'!$A$6:$A$205,0))))))</x:f>
      </x:c>
      <x:c r="J167" s="315" t="str">
        <x:f>IF(A167="","",IF(COUNTIFS($A$6:$A$205,A167)&gt;1,"Duplicate ID",IF(OR(B167="",COUNTIFS('Clients'!$A$6:$A$205,B167)&lt;&gt;1),"Check Client ID",IF(OR(C167="",COUNTIFS('Properties'!$A$6:$A$205,C167)&lt;&gt;1),"Check Property ID",IF(E167="","Set client response",IF(AND(E167&lt;&gt;"Not sent",NOT(ISNUMBER(D167))),"Add date sent",""))))))</x:f>
      </x:c>
    </x:row>
    <x:row r="168" ht="26" customHeight="1">
      <x:c r="A168" s="317"/>
      <x:c r="B168" s="318"/>
      <x:c r="C168" s="235"/>
      <x:c r="D168" s="238"/>
      <x:c r="E168" s="235"/>
      <x:c r="F168" s="235"/>
      <x:c r="G168" s="235"/>
      <x:c r="H168" s="265" t="str">
        <x:f>IF(A168="","",IF(B168="","",IF(COUNTIFS('Clients'!$A$6:$A$205,B168)&lt;&gt;1,"Check Client ID",IF(INDEX('Clients'!$B$6:$B$205,MATCH(B168,'Clients'!$A$6:$A$205,0))="","Name missing",INDEX('Clients'!$B$6:$B$205,MATCH(B168,'Clients'!$A$6:$A$205,0))))))</x:f>
      </x:c>
      <x:c r="I168" s="265" t="str">
        <x:f>IF(A168="","",IF(C168="","",IF(COUNTIFS('Properties'!$A$6:$A$205,C168)&lt;&gt;1,"Check Property ID",IF(INDEX('Properties'!$B$6:$B$205,MATCH(C168,'Properties'!$A$6:$A$205,0))="","Name missing",INDEX('Properties'!$B$6:$B$205,MATCH(C168,'Properties'!$A$6:$A$205,0))))))</x:f>
      </x:c>
      <x:c r="J168" s="315" t="str">
        <x:f>IF(A168="","",IF(COUNTIFS($A$6:$A$205,A168)&gt;1,"Duplicate ID",IF(OR(B168="",COUNTIFS('Clients'!$A$6:$A$205,B168)&lt;&gt;1),"Check Client ID",IF(OR(C168="",COUNTIFS('Properties'!$A$6:$A$205,C168)&lt;&gt;1),"Check Property ID",IF(E168="","Set client response",IF(AND(E168&lt;&gt;"Not sent",NOT(ISNUMBER(D168))),"Add date sent",""))))))</x:f>
      </x:c>
    </x:row>
    <x:row r="169" ht="26" customHeight="1">
      <x:c r="A169" s="319"/>
      <x:c r="B169" s="320"/>
      <x:c r="C169" s="274"/>
      <x:c r="D169" s="304"/>
      <x:c r="E169" s="274"/>
      <x:c r="F169" s="274"/>
      <x:c r="G169" s="274"/>
      <x:c r="H169" s="265" t="str">
        <x:f>IF(A169="","",IF(B169="","",IF(COUNTIFS('Clients'!$A$6:$A$205,B169)&lt;&gt;1,"Check Client ID",IF(INDEX('Clients'!$B$6:$B$205,MATCH(B169,'Clients'!$A$6:$A$205,0))="","Name missing",INDEX('Clients'!$B$6:$B$205,MATCH(B169,'Clients'!$A$6:$A$205,0))))))</x:f>
      </x:c>
      <x:c r="I169" s="265" t="str">
        <x:f>IF(A169="","",IF(C169="","",IF(COUNTIFS('Properties'!$A$6:$A$205,C169)&lt;&gt;1,"Check Property ID",IF(INDEX('Properties'!$B$6:$B$205,MATCH(C169,'Properties'!$A$6:$A$205,0))="","Name missing",INDEX('Properties'!$B$6:$B$205,MATCH(C169,'Properties'!$A$6:$A$205,0))))))</x:f>
      </x:c>
      <x:c r="J169" s="315" t="str">
        <x:f>IF(A169="","",IF(COUNTIFS($A$6:$A$205,A169)&gt;1,"Duplicate ID",IF(OR(B169="",COUNTIFS('Clients'!$A$6:$A$205,B169)&lt;&gt;1),"Check Client ID",IF(OR(C169="",COUNTIFS('Properties'!$A$6:$A$205,C169)&lt;&gt;1),"Check Property ID",IF(E169="","Set client response",IF(AND(E169&lt;&gt;"Not sent",NOT(ISNUMBER(D169))),"Add date sent",""))))))</x:f>
      </x:c>
    </x:row>
    <x:row r="170" ht="26" customHeight="1">
      <x:c r="A170" s="317"/>
      <x:c r="B170" s="318"/>
      <x:c r="C170" s="235"/>
      <x:c r="D170" s="238"/>
      <x:c r="E170" s="235"/>
      <x:c r="F170" s="235"/>
      <x:c r="G170" s="235"/>
      <x:c r="H170" s="265" t="str">
        <x:f>IF(A170="","",IF(B170="","",IF(COUNTIFS('Clients'!$A$6:$A$205,B170)&lt;&gt;1,"Check Client ID",IF(INDEX('Clients'!$B$6:$B$205,MATCH(B170,'Clients'!$A$6:$A$205,0))="","Name missing",INDEX('Clients'!$B$6:$B$205,MATCH(B170,'Clients'!$A$6:$A$205,0))))))</x:f>
      </x:c>
      <x:c r="I170" s="265" t="str">
        <x:f>IF(A170="","",IF(C170="","",IF(COUNTIFS('Properties'!$A$6:$A$205,C170)&lt;&gt;1,"Check Property ID",IF(INDEX('Properties'!$B$6:$B$205,MATCH(C170,'Properties'!$A$6:$A$205,0))="","Name missing",INDEX('Properties'!$B$6:$B$205,MATCH(C170,'Properties'!$A$6:$A$205,0))))))</x:f>
      </x:c>
      <x:c r="J170" s="315" t="str">
        <x:f>IF(A170="","",IF(COUNTIFS($A$6:$A$205,A170)&gt;1,"Duplicate ID",IF(OR(B170="",COUNTIFS('Clients'!$A$6:$A$205,B170)&lt;&gt;1),"Check Client ID",IF(OR(C170="",COUNTIFS('Properties'!$A$6:$A$205,C170)&lt;&gt;1),"Check Property ID",IF(E170="","Set client response",IF(AND(E170&lt;&gt;"Not sent",NOT(ISNUMBER(D170))),"Add date sent",""))))))</x:f>
      </x:c>
    </x:row>
    <x:row r="171" ht="26" customHeight="1">
      <x:c r="A171" s="319"/>
      <x:c r="B171" s="320"/>
      <x:c r="C171" s="274"/>
      <x:c r="D171" s="304"/>
      <x:c r="E171" s="274"/>
      <x:c r="F171" s="274"/>
      <x:c r="G171" s="274"/>
      <x:c r="H171" s="265" t="str">
        <x:f>IF(A171="","",IF(B171="","",IF(COUNTIFS('Clients'!$A$6:$A$205,B171)&lt;&gt;1,"Check Client ID",IF(INDEX('Clients'!$B$6:$B$205,MATCH(B171,'Clients'!$A$6:$A$205,0))="","Name missing",INDEX('Clients'!$B$6:$B$205,MATCH(B171,'Clients'!$A$6:$A$205,0))))))</x:f>
      </x:c>
      <x:c r="I171" s="265" t="str">
        <x:f>IF(A171="","",IF(C171="","",IF(COUNTIFS('Properties'!$A$6:$A$205,C171)&lt;&gt;1,"Check Property ID",IF(INDEX('Properties'!$B$6:$B$205,MATCH(C171,'Properties'!$A$6:$A$205,0))="","Name missing",INDEX('Properties'!$B$6:$B$205,MATCH(C171,'Properties'!$A$6:$A$205,0))))))</x:f>
      </x:c>
      <x:c r="J171" s="315" t="str">
        <x:f>IF(A171="","",IF(COUNTIFS($A$6:$A$205,A171)&gt;1,"Duplicate ID",IF(OR(B171="",COUNTIFS('Clients'!$A$6:$A$205,B171)&lt;&gt;1),"Check Client ID",IF(OR(C171="",COUNTIFS('Properties'!$A$6:$A$205,C171)&lt;&gt;1),"Check Property ID",IF(E171="","Set client response",IF(AND(E171&lt;&gt;"Not sent",NOT(ISNUMBER(D171))),"Add date sent",""))))))</x:f>
      </x:c>
    </x:row>
    <x:row r="172" ht="26" customHeight="1">
      <x:c r="A172" s="317"/>
      <x:c r="B172" s="318"/>
      <x:c r="C172" s="235"/>
      <x:c r="D172" s="238"/>
      <x:c r="E172" s="235"/>
      <x:c r="F172" s="235"/>
      <x:c r="G172" s="235"/>
      <x:c r="H172" s="265" t="str">
        <x:f>IF(A172="","",IF(B172="","",IF(COUNTIFS('Clients'!$A$6:$A$205,B172)&lt;&gt;1,"Check Client ID",IF(INDEX('Clients'!$B$6:$B$205,MATCH(B172,'Clients'!$A$6:$A$205,0))="","Name missing",INDEX('Clients'!$B$6:$B$205,MATCH(B172,'Clients'!$A$6:$A$205,0))))))</x:f>
      </x:c>
      <x:c r="I172" s="265" t="str">
        <x:f>IF(A172="","",IF(C172="","",IF(COUNTIFS('Properties'!$A$6:$A$205,C172)&lt;&gt;1,"Check Property ID",IF(INDEX('Properties'!$B$6:$B$205,MATCH(C172,'Properties'!$A$6:$A$205,0))="","Name missing",INDEX('Properties'!$B$6:$B$205,MATCH(C172,'Properties'!$A$6:$A$205,0))))))</x:f>
      </x:c>
      <x:c r="J172" s="315" t="str">
        <x:f>IF(A172="","",IF(COUNTIFS($A$6:$A$205,A172)&gt;1,"Duplicate ID",IF(OR(B172="",COUNTIFS('Clients'!$A$6:$A$205,B172)&lt;&gt;1),"Check Client ID",IF(OR(C172="",COUNTIFS('Properties'!$A$6:$A$205,C172)&lt;&gt;1),"Check Property ID",IF(E172="","Set client response",IF(AND(E172&lt;&gt;"Not sent",NOT(ISNUMBER(D172))),"Add date sent",""))))))</x:f>
      </x:c>
    </x:row>
    <x:row r="173" ht="26" customHeight="1">
      <x:c r="A173" s="319"/>
      <x:c r="B173" s="320"/>
      <x:c r="C173" s="274"/>
      <x:c r="D173" s="304"/>
      <x:c r="E173" s="274"/>
      <x:c r="F173" s="274"/>
      <x:c r="G173" s="274"/>
      <x:c r="H173" s="265" t="str">
        <x:f>IF(A173="","",IF(B173="","",IF(COUNTIFS('Clients'!$A$6:$A$205,B173)&lt;&gt;1,"Check Client ID",IF(INDEX('Clients'!$B$6:$B$205,MATCH(B173,'Clients'!$A$6:$A$205,0))="","Name missing",INDEX('Clients'!$B$6:$B$205,MATCH(B173,'Clients'!$A$6:$A$205,0))))))</x:f>
      </x:c>
      <x:c r="I173" s="265" t="str">
        <x:f>IF(A173="","",IF(C173="","",IF(COUNTIFS('Properties'!$A$6:$A$205,C173)&lt;&gt;1,"Check Property ID",IF(INDEX('Properties'!$B$6:$B$205,MATCH(C173,'Properties'!$A$6:$A$205,0))="","Name missing",INDEX('Properties'!$B$6:$B$205,MATCH(C173,'Properties'!$A$6:$A$205,0))))))</x:f>
      </x:c>
      <x:c r="J173" s="315" t="str">
        <x:f>IF(A173="","",IF(COUNTIFS($A$6:$A$205,A173)&gt;1,"Duplicate ID",IF(OR(B173="",COUNTIFS('Clients'!$A$6:$A$205,B173)&lt;&gt;1),"Check Client ID",IF(OR(C173="",COUNTIFS('Properties'!$A$6:$A$205,C173)&lt;&gt;1),"Check Property ID",IF(E173="","Set client response",IF(AND(E173&lt;&gt;"Not sent",NOT(ISNUMBER(D173))),"Add date sent",""))))))</x:f>
      </x:c>
    </x:row>
    <x:row r="174" ht="26" customHeight="1">
      <x:c r="A174" s="317"/>
      <x:c r="B174" s="318"/>
      <x:c r="C174" s="235"/>
      <x:c r="D174" s="238"/>
      <x:c r="E174" s="235"/>
      <x:c r="F174" s="235"/>
      <x:c r="G174" s="235"/>
      <x:c r="H174" s="265" t="str">
        <x:f>IF(A174="","",IF(B174="","",IF(COUNTIFS('Clients'!$A$6:$A$205,B174)&lt;&gt;1,"Check Client ID",IF(INDEX('Clients'!$B$6:$B$205,MATCH(B174,'Clients'!$A$6:$A$205,0))="","Name missing",INDEX('Clients'!$B$6:$B$205,MATCH(B174,'Clients'!$A$6:$A$205,0))))))</x:f>
      </x:c>
      <x:c r="I174" s="265" t="str">
        <x:f>IF(A174="","",IF(C174="","",IF(COUNTIFS('Properties'!$A$6:$A$205,C174)&lt;&gt;1,"Check Property ID",IF(INDEX('Properties'!$B$6:$B$205,MATCH(C174,'Properties'!$A$6:$A$205,0))="","Name missing",INDEX('Properties'!$B$6:$B$205,MATCH(C174,'Properties'!$A$6:$A$205,0))))))</x:f>
      </x:c>
      <x:c r="J174" s="315" t="str">
        <x:f>IF(A174="","",IF(COUNTIFS($A$6:$A$205,A174)&gt;1,"Duplicate ID",IF(OR(B174="",COUNTIFS('Clients'!$A$6:$A$205,B174)&lt;&gt;1),"Check Client ID",IF(OR(C174="",COUNTIFS('Properties'!$A$6:$A$205,C174)&lt;&gt;1),"Check Property ID",IF(E174="","Set client response",IF(AND(E174&lt;&gt;"Not sent",NOT(ISNUMBER(D174))),"Add date sent",""))))))</x:f>
      </x:c>
    </x:row>
    <x:row r="175" ht="26" customHeight="1">
      <x:c r="A175" s="319"/>
      <x:c r="B175" s="320"/>
      <x:c r="C175" s="274"/>
      <x:c r="D175" s="304"/>
      <x:c r="E175" s="274"/>
      <x:c r="F175" s="274"/>
      <x:c r="G175" s="274"/>
      <x:c r="H175" s="265" t="str">
        <x:f>IF(A175="","",IF(B175="","",IF(COUNTIFS('Clients'!$A$6:$A$205,B175)&lt;&gt;1,"Check Client ID",IF(INDEX('Clients'!$B$6:$B$205,MATCH(B175,'Clients'!$A$6:$A$205,0))="","Name missing",INDEX('Clients'!$B$6:$B$205,MATCH(B175,'Clients'!$A$6:$A$205,0))))))</x:f>
      </x:c>
      <x:c r="I175" s="265" t="str">
        <x:f>IF(A175="","",IF(C175="","",IF(COUNTIFS('Properties'!$A$6:$A$205,C175)&lt;&gt;1,"Check Property ID",IF(INDEX('Properties'!$B$6:$B$205,MATCH(C175,'Properties'!$A$6:$A$205,0))="","Name missing",INDEX('Properties'!$B$6:$B$205,MATCH(C175,'Properties'!$A$6:$A$205,0))))))</x:f>
      </x:c>
      <x:c r="J175" s="315" t="str">
        <x:f>IF(A175="","",IF(COUNTIFS($A$6:$A$205,A175)&gt;1,"Duplicate ID",IF(OR(B175="",COUNTIFS('Clients'!$A$6:$A$205,B175)&lt;&gt;1),"Check Client ID",IF(OR(C175="",COUNTIFS('Properties'!$A$6:$A$205,C175)&lt;&gt;1),"Check Property ID",IF(E175="","Set client response",IF(AND(E175&lt;&gt;"Not sent",NOT(ISNUMBER(D175))),"Add date sent",""))))))</x:f>
      </x:c>
    </x:row>
    <x:row r="176" ht="26" customHeight="1">
      <x:c r="A176" s="317"/>
      <x:c r="B176" s="318"/>
      <x:c r="C176" s="235"/>
      <x:c r="D176" s="238"/>
      <x:c r="E176" s="235"/>
      <x:c r="F176" s="235"/>
      <x:c r="G176" s="235"/>
      <x:c r="H176" s="265" t="str">
        <x:f>IF(A176="","",IF(B176="","",IF(COUNTIFS('Clients'!$A$6:$A$205,B176)&lt;&gt;1,"Check Client ID",IF(INDEX('Clients'!$B$6:$B$205,MATCH(B176,'Clients'!$A$6:$A$205,0))="","Name missing",INDEX('Clients'!$B$6:$B$205,MATCH(B176,'Clients'!$A$6:$A$205,0))))))</x:f>
      </x:c>
      <x:c r="I176" s="265" t="str">
        <x:f>IF(A176="","",IF(C176="","",IF(COUNTIFS('Properties'!$A$6:$A$205,C176)&lt;&gt;1,"Check Property ID",IF(INDEX('Properties'!$B$6:$B$205,MATCH(C176,'Properties'!$A$6:$A$205,0))="","Name missing",INDEX('Properties'!$B$6:$B$205,MATCH(C176,'Properties'!$A$6:$A$205,0))))))</x:f>
      </x:c>
      <x:c r="J176" s="315" t="str">
        <x:f>IF(A176="","",IF(COUNTIFS($A$6:$A$205,A176)&gt;1,"Duplicate ID",IF(OR(B176="",COUNTIFS('Clients'!$A$6:$A$205,B176)&lt;&gt;1),"Check Client ID",IF(OR(C176="",COUNTIFS('Properties'!$A$6:$A$205,C176)&lt;&gt;1),"Check Property ID",IF(E176="","Set client response",IF(AND(E176&lt;&gt;"Not sent",NOT(ISNUMBER(D176))),"Add date sent",""))))))</x:f>
      </x:c>
    </x:row>
    <x:row r="177" ht="26" customHeight="1">
      <x:c r="A177" s="319"/>
      <x:c r="B177" s="320"/>
      <x:c r="C177" s="274"/>
      <x:c r="D177" s="304"/>
      <x:c r="E177" s="274"/>
      <x:c r="F177" s="274"/>
      <x:c r="G177" s="274"/>
      <x:c r="H177" s="265" t="str">
        <x:f>IF(A177="","",IF(B177="","",IF(COUNTIFS('Clients'!$A$6:$A$205,B177)&lt;&gt;1,"Check Client ID",IF(INDEX('Clients'!$B$6:$B$205,MATCH(B177,'Clients'!$A$6:$A$205,0))="","Name missing",INDEX('Clients'!$B$6:$B$205,MATCH(B177,'Clients'!$A$6:$A$205,0))))))</x:f>
      </x:c>
      <x:c r="I177" s="265" t="str">
        <x:f>IF(A177="","",IF(C177="","",IF(COUNTIFS('Properties'!$A$6:$A$205,C177)&lt;&gt;1,"Check Property ID",IF(INDEX('Properties'!$B$6:$B$205,MATCH(C177,'Properties'!$A$6:$A$205,0))="","Name missing",INDEX('Properties'!$B$6:$B$205,MATCH(C177,'Properties'!$A$6:$A$205,0))))))</x:f>
      </x:c>
      <x:c r="J177" s="315" t="str">
        <x:f>IF(A177="","",IF(COUNTIFS($A$6:$A$205,A177)&gt;1,"Duplicate ID",IF(OR(B177="",COUNTIFS('Clients'!$A$6:$A$205,B177)&lt;&gt;1),"Check Client ID",IF(OR(C177="",COUNTIFS('Properties'!$A$6:$A$205,C177)&lt;&gt;1),"Check Property ID",IF(E177="","Set client response",IF(AND(E177&lt;&gt;"Not sent",NOT(ISNUMBER(D177))),"Add date sent",""))))))</x:f>
      </x:c>
    </x:row>
    <x:row r="178" ht="26" customHeight="1">
      <x:c r="A178" s="317"/>
      <x:c r="B178" s="318"/>
      <x:c r="C178" s="235"/>
      <x:c r="D178" s="238"/>
      <x:c r="E178" s="235"/>
      <x:c r="F178" s="235"/>
      <x:c r="G178" s="235"/>
      <x:c r="H178" s="265" t="str">
        <x:f>IF(A178="","",IF(B178="","",IF(COUNTIFS('Clients'!$A$6:$A$205,B178)&lt;&gt;1,"Check Client ID",IF(INDEX('Clients'!$B$6:$B$205,MATCH(B178,'Clients'!$A$6:$A$205,0))="","Name missing",INDEX('Clients'!$B$6:$B$205,MATCH(B178,'Clients'!$A$6:$A$205,0))))))</x:f>
      </x:c>
      <x:c r="I178" s="265" t="str">
        <x:f>IF(A178="","",IF(C178="","",IF(COUNTIFS('Properties'!$A$6:$A$205,C178)&lt;&gt;1,"Check Property ID",IF(INDEX('Properties'!$B$6:$B$205,MATCH(C178,'Properties'!$A$6:$A$205,0))="","Name missing",INDEX('Properties'!$B$6:$B$205,MATCH(C178,'Properties'!$A$6:$A$205,0))))))</x:f>
      </x:c>
      <x:c r="J178" s="315" t="str">
        <x:f>IF(A178="","",IF(COUNTIFS($A$6:$A$205,A178)&gt;1,"Duplicate ID",IF(OR(B178="",COUNTIFS('Clients'!$A$6:$A$205,B178)&lt;&gt;1),"Check Client ID",IF(OR(C178="",COUNTIFS('Properties'!$A$6:$A$205,C178)&lt;&gt;1),"Check Property ID",IF(E178="","Set client response",IF(AND(E178&lt;&gt;"Not sent",NOT(ISNUMBER(D178))),"Add date sent",""))))))</x:f>
      </x:c>
    </x:row>
    <x:row r="179" ht="26" customHeight="1">
      <x:c r="A179" s="319"/>
      <x:c r="B179" s="320"/>
      <x:c r="C179" s="274"/>
      <x:c r="D179" s="304"/>
      <x:c r="E179" s="274"/>
      <x:c r="F179" s="274"/>
      <x:c r="G179" s="274"/>
      <x:c r="H179" s="265" t="str">
        <x:f>IF(A179="","",IF(B179="","",IF(COUNTIFS('Clients'!$A$6:$A$205,B179)&lt;&gt;1,"Check Client ID",IF(INDEX('Clients'!$B$6:$B$205,MATCH(B179,'Clients'!$A$6:$A$205,0))="","Name missing",INDEX('Clients'!$B$6:$B$205,MATCH(B179,'Clients'!$A$6:$A$205,0))))))</x:f>
      </x:c>
      <x:c r="I179" s="265" t="str">
        <x:f>IF(A179="","",IF(C179="","",IF(COUNTIFS('Properties'!$A$6:$A$205,C179)&lt;&gt;1,"Check Property ID",IF(INDEX('Properties'!$B$6:$B$205,MATCH(C179,'Properties'!$A$6:$A$205,0))="","Name missing",INDEX('Properties'!$B$6:$B$205,MATCH(C179,'Properties'!$A$6:$A$205,0))))))</x:f>
      </x:c>
      <x:c r="J179" s="315" t="str">
        <x:f>IF(A179="","",IF(COUNTIFS($A$6:$A$205,A179)&gt;1,"Duplicate ID",IF(OR(B179="",COUNTIFS('Clients'!$A$6:$A$205,B179)&lt;&gt;1),"Check Client ID",IF(OR(C179="",COUNTIFS('Properties'!$A$6:$A$205,C179)&lt;&gt;1),"Check Property ID",IF(E179="","Set client response",IF(AND(E179&lt;&gt;"Not sent",NOT(ISNUMBER(D179))),"Add date sent",""))))))</x:f>
      </x:c>
    </x:row>
    <x:row r="180" ht="26" customHeight="1">
      <x:c r="A180" s="317"/>
      <x:c r="B180" s="318"/>
      <x:c r="C180" s="235"/>
      <x:c r="D180" s="238"/>
      <x:c r="E180" s="235"/>
      <x:c r="F180" s="235"/>
      <x:c r="G180" s="235"/>
      <x:c r="H180" s="265" t="str">
        <x:f>IF(A180="","",IF(B180="","",IF(COUNTIFS('Clients'!$A$6:$A$205,B180)&lt;&gt;1,"Check Client ID",IF(INDEX('Clients'!$B$6:$B$205,MATCH(B180,'Clients'!$A$6:$A$205,0))="","Name missing",INDEX('Clients'!$B$6:$B$205,MATCH(B180,'Clients'!$A$6:$A$205,0))))))</x:f>
      </x:c>
      <x:c r="I180" s="265" t="str">
        <x:f>IF(A180="","",IF(C180="","",IF(COUNTIFS('Properties'!$A$6:$A$205,C180)&lt;&gt;1,"Check Property ID",IF(INDEX('Properties'!$B$6:$B$205,MATCH(C180,'Properties'!$A$6:$A$205,0))="","Name missing",INDEX('Properties'!$B$6:$B$205,MATCH(C180,'Properties'!$A$6:$A$205,0))))))</x:f>
      </x:c>
      <x:c r="J180" s="315" t="str">
        <x:f>IF(A180="","",IF(COUNTIFS($A$6:$A$205,A180)&gt;1,"Duplicate ID",IF(OR(B180="",COUNTIFS('Clients'!$A$6:$A$205,B180)&lt;&gt;1),"Check Client ID",IF(OR(C180="",COUNTIFS('Properties'!$A$6:$A$205,C180)&lt;&gt;1),"Check Property ID",IF(E180="","Set client response",IF(AND(E180&lt;&gt;"Not sent",NOT(ISNUMBER(D180))),"Add date sent",""))))))</x:f>
      </x:c>
    </x:row>
    <x:row r="181" ht="26" customHeight="1">
      <x:c r="A181" s="319"/>
      <x:c r="B181" s="320"/>
      <x:c r="C181" s="274"/>
      <x:c r="D181" s="304"/>
      <x:c r="E181" s="274"/>
      <x:c r="F181" s="274"/>
      <x:c r="G181" s="274"/>
      <x:c r="H181" s="265" t="str">
        <x:f>IF(A181="","",IF(B181="","",IF(COUNTIFS('Clients'!$A$6:$A$205,B181)&lt;&gt;1,"Check Client ID",IF(INDEX('Clients'!$B$6:$B$205,MATCH(B181,'Clients'!$A$6:$A$205,0))="","Name missing",INDEX('Clients'!$B$6:$B$205,MATCH(B181,'Clients'!$A$6:$A$205,0))))))</x:f>
      </x:c>
      <x:c r="I181" s="265" t="str">
        <x:f>IF(A181="","",IF(C181="","",IF(COUNTIFS('Properties'!$A$6:$A$205,C181)&lt;&gt;1,"Check Property ID",IF(INDEX('Properties'!$B$6:$B$205,MATCH(C181,'Properties'!$A$6:$A$205,0))="","Name missing",INDEX('Properties'!$B$6:$B$205,MATCH(C181,'Properties'!$A$6:$A$205,0))))))</x:f>
      </x:c>
      <x:c r="J181" s="315" t="str">
        <x:f>IF(A181="","",IF(COUNTIFS($A$6:$A$205,A181)&gt;1,"Duplicate ID",IF(OR(B181="",COUNTIFS('Clients'!$A$6:$A$205,B181)&lt;&gt;1),"Check Client ID",IF(OR(C181="",COUNTIFS('Properties'!$A$6:$A$205,C181)&lt;&gt;1),"Check Property ID",IF(E181="","Set client response",IF(AND(E181&lt;&gt;"Not sent",NOT(ISNUMBER(D181))),"Add date sent",""))))))</x:f>
      </x:c>
    </x:row>
    <x:row r="182" ht="26" customHeight="1">
      <x:c r="A182" s="317"/>
      <x:c r="B182" s="318"/>
      <x:c r="C182" s="235"/>
      <x:c r="D182" s="238"/>
      <x:c r="E182" s="235"/>
      <x:c r="F182" s="235"/>
      <x:c r="G182" s="235"/>
      <x:c r="H182" s="265" t="str">
        <x:f>IF(A182="","",IF(B182="","",IF(COUNTIFS('Clients'!$A$6:$A$205,B182)&lt;&gt;1,"Check Client ID",IF(INDEX('Clients'!$B$6:$B$205,MATCH(B182,'Clients'!$A$6:$A$205,0))="","Name missing",INDEX('Clients'!$B$6:$B$205,MATCH(B182,'Clients'!$A$6:$A$205,0))))))</x:f>
      </x:c>
      <x:c r="I182" s="265" t="str">
        <x:f>IF(A182="","",IF(C182="","",IF(COUNTIFS('Properties'!$A$6:$A$205,C182)&lt;&gt;1,"Check Property ID",IF(INDEX('Properties'!$B$6:$B$205,MATCH(C182,'Properties'!$A$6:$A$205,0))="","Name missing",INDEX('Properties'!$B$6:$B$205,MATCH(C182,'Properties'!$A$6:$A$205,0))))))</x:f>
      </x:c>
      <x:c r="J182" s="315" t="str">
        <x:f>IF(A182="","",IF(COUNTIFS($A$6:$A$205,A182)&gt;1,"Duplicate ID",IF(OR(B182="",COUNTIFS('Clients'!$A$6:$A$205,B182)&lt;&gt;1),"Check Client ID",IF(OR(C182="",COUNTIFS('Properties'!$A$6:$A$205,C182)&lt;&gt;1),"Check Property ID",IF(E182="","Set client response",IF(AND(E182&lt;&gt;"Not sent",NOT(ISNUMBER(D182))),"Add date sent",""))))))</x:f>
      </x:c>
    </x:row>
    <x:row r="183" ht="26" customHeight="1">
      <x:c r="A183" s="319"/>
      <x:c r="B183" s="320"/>
      <x:c r="C183" s="274"/>
      <x:c r="D183" s="304"/>
      <x:c r="E183" s="274"/>
      <x:c r="F183" s="274"/>
      <x:c r="G183" s="274"/>
      <x:c r="H183" s="265" t="str">
        <x:f>IF(A183="","",IF(B183="","",IF(COUNTIFS('Clients'!$A$6:$A$205,B183)&lt;&gt;1,"Check Client ID",IF(INDEX('Clients'!$B$6:$B$205,MATCH(B183,'Clients'!$A$6:$A$205,0))="","Name missing",INDEX('Clients'!$B$6:$B$205,MATCH(B183,'Clients'!$A$6:$A$205,0))))))</x:f>
      </x:c>
      <x:c r="I183" s="265" t="str">
        <x:f>IF(A183="","",IF(C183="","",IF(COUNTIFS('Properties'!$A$6:$A$205,C183)&lt;&gt;1,"Check Property ID",IF(INDEX('Properties'!$B$6:$B$205,MATCH(C183,'Properties'!$A$6:$A$205,0))="","Name missing",INDEX('Properties'!$B$6:$B$205,MATCH(C183,'Properties'!$A$6:$A$205,0))))))</x:f>
      </x:c>
      <x:c r="J183" s="315" t="str">
        <x:f>IF(A183="","",IF(COUNTIFS($A$6:$A$205,A183)&gt;1,"Duplicate ID",IF(OR(B183="",COUNTIFS('Clients'!$A$6:$A$205,B183)&lt;&gt;1),"Check Client ID",IF(OR(C183="",COUNTIFS('Properties'!$A$6:$A$205,C183)&lt;&gt;1),"Check Property ID",IF(E183="","Set client response",IF(AND(E183&lt;&gt;"Not sent",NOT(ISNUMBER(D183))),"Add date sent",""))))))</x:f>
      </x:c>
    </x:row>
    <x:row r="184" ht="26" customHeight="1">
      <x:c r="A184" s="317"/>
      <x:c r="B184" s="318"/>
      <x:c r="C184" s="235"/>
      <x:c r="D184" s="238"/>
      <x:c r="E184" s="235"/>
      <x:c r="F184" s="235"/>
      <x:c r="G184" s="235"/>
      <x:c r="H184" s="265" t="str">
        <x:f>IF(A184="","",IF(B184="","",IF(COUNTIFS('Clients'!$A$6:$A$205,B184)&lt;&gt;1,"Check Client ID",IF(INDEX('Clients'!$B$6:$B$205,MATCH(B184,'Clients'!$A$6:$A$205,0))="","Name missing",INDEX('Clients'!$B$6:$B$205,MATCH(B184,'Clients'!$A$6:$A$205,0))))))</x:f>
      </x:c>
      <x:c r="I184" s="265" t="str">
        <x:f>IF(A184="","",IF(C184="","",IF(COUNTIFS('Properties'!$A$6:$A$205,C184)&lt;&gt;1,"Check Property ID",IF(INDEX('Properties'!$B$6:$B$205,MATCH(C184,'Properties'!$A$6:$A$205,0))="","Name missing",INDEX('Properties'!$B$6:$B$205,MATCH(C184,'Properties'!$A$6:$A$205,0))))))</x:f>
      </x:c>
      <x:c r="J184" s="315" t="str">
        <x:f>IF(A184="","",IF(COUNTIFS($A$6:$A$205,A184)&gt;1,"Duplicate ID",IF(OR(B184="",COUNTIFS('Clients'!$A$6:$A$205,B184)&lt;&gt;1),"Check Client ID",IF(OR(C184="",COUNTIFS('Properties'!$A$6:$A$205,C184)&lt;&gt;1),"Check Property ID",IF(E184="","Set client response",IF(AND(E184&lt;&gt;"Not sent",NOT(ISNUMBER(D184))),"Add date sent",""))))))</x:f>
      </x:c>
    </x:row>
    <x:row r="185" ht="26" customHeight="1">
      <x:c r="A185" s="319"/>
      <x:c r="B185" s="320"/>
      <x:c r="C185" s="274"/>
      <x:c r="D185" s="304"/>
      <x:c r="E185" s="274"/>
      <x:c r="F185" s="274"/>
      <x:c r="G185" s="274"/>
      <x:c r="H185" s="265" t="str">
        <x:f>IF(A185="","",IF(B185="","",IF(COUNTIFS('Clients'!$A$6:$A$205,B185)&lt;&gt;1,"Check Client ID",IF(INDEX('Clients'!$B$6:$B$205,MATCH(B185,'Clients'!$A$6:$A$205,0))="","Name missing",INDEX('Clients'!$B$6:$B$205,MATCH(B185,'Clients'!$A$6:$A$205,0))))))</x:f>
      </x:c>
      <x:c r="I185" s="265" t="str">
        <x:f>IF(A185="","",IF(C185="","",IF(COUNTIFS('Properties'!$A$6:$A$205,C185)&lt;&gt;1,"Check Property ID",IF(INDEX('Properties'!$B$6:$B$205,MATCH(C185,'Properties'!$A$6:$A$205,0))="","Name missing",INDEX('Properties'!$B$6:$B$205,MATCH(C185,'Properties'!$A$6:$A$205,0))))))</x:f>
      </x:c>
      <x:c r="J185" s="315" t="str">
        <x:f>IF(A185="","",IF(COUNTIFS($A$6:$A$205,A185)&gt;1,"Duplicate ID",IF(OR(B185="",COUNTIFS('Clients'!$A$6:$A$205,B185)&lt;&gt;1),"Check Client ID",IF(OR(C185="",COUNTIFS('Properties'!$A$6:$A$205,C185)&lt;&gt;1),"Check Property ID",IF(E185="","Set client response",IF(AND(E185&lt;&gt;"Not sent",NOT(ISNUMBER(D185))),"Add date sent",""))))))</x:f>
      </x:c>
    </x:row>
    <x:row r="186" ht="26" customHeight="1">
      <x:c r="A186" s="317"/>
      <x:c r="B186" s="318"/>
      <x:c r="C186" s="235"/>
      <x:c r="D186" s="238"/>
      <x:c r="E186" s="235"/>
      <x:c r="F186" s="235"/>
      <x:c r="G186" s="235"/>
      <x:c r="H186" s="265" t="str">
        <x:f>IF(A186="","",IF(B186="","",IF(COUNTIFS('Clients'!$A$6:$A$205,B186)&lt;&gt;1,"Check Client ID",IF(INDEX('Clients'!$B$6:$B$205,MATCH(B186,'Clients'!$A$6:$A$205,0))="","Name missing",INDEX('Clients'!$B$6:$B$205,MATCH(B186,'Clients'!$A$6:$A$205,0))))))</x:f>
      </x:c>
      <x:c r="I186" s="265" t="str">
        <x:f>IF(A186="","",IF(C186="","",IF(COUNTIFS('Properties'!$A$6:$A$205,C186)&lt;&gt;1,"Check Property ID",IF(INDEX('Properties'!$B$6:$B$205,MATCH(C186,'Properties'!$A$6:$A$205,0))="","Name missing",INDEX('Properties'!$B$6:$B$205,MATCH(C186,'Properties'!$A$6:$A$205,0))))))</x:f>
      </x:c>
      <x:c r="J186" s="315" t="str">
        <x:f>IF(A186="","",IF(COUNTIFS($A$6:$A$205,A186)&gt;1,"Duplicate ID",IF(OR(B186="",COUNTIFS('Clients'!$A$6:$A$205,B186)&lt;&gt;1),"Check Client ID",IF(OR(C186="",COUNTIFS('Properties'!$A$6:$A$205,C186)&lt;&gt;1),"Check Property ID",IF(E186="","Set client response",IF(AND(E186&lt;&gt;"Not sent",NOT(ISNUMBER(D186))),"Add date sent",""))))))</x:f>
      </x:c>
    </x:row>
    <x:row r="187" ht="26" customHeight="1">
      <x:c r="A187" s="319"/>
      <x:c r="B187" s="320"/>
      <x:c r="C187" s="274"/>
      <x:c r="D187" s="304"/>
      <x:c r="E187" s="274"/>
      <x:c r="F187" s="274"/>
      <x:c r="G187" s="274"/>
      <x:c r="H187" s="265" t="str">
        <x:f>IF(A187="","",IF(B187="","",IF(COUNTIFS('Clients'!$A$6:$A$205,B187)&lt;&gt;1,"Check Client ID",IF(INDEX('Clients'!$B$6:$B$205,MATCH(B187,'Clients'!$A$6:$A$205,0))="","Name missing",INDEX('Clients'!$B$6:$B$205,MATCH(B187,'Clients'!$A$6:$A$205,0))))))</x:f>
      </x:c>
      <x:c r="I187" s="265" t="str">
        <x:f>IF(A187="","",IF(C187="","",IF(COUNTIFS('Properties'!$A$6:$A$205,C187)&lt;&gt;1,"Check Property ID",IF(INDEX('Properties'!$B$6:$B$205,MATCH(C187,'Properties'!$A$6:$A$205,0))="","Name missing",INDEX('Properties'!$B$6:$B$205,MATCH(C187,'Properties'!$A$6:$A$205,0))))))</x:f>
      </x:c>
      <x:c r="J187" s="315" t="str">
        <x:f>IF(A187="","",IF(COUNTIFS($A$6:$A$205,A187)&gt;1,"Duplicate ID",IF(OR(B187="",COUNTIFS('Clients'!$A$6:$A$205,B187)&lt;&gt;1),"Check Client ID",IF(OR(C187="",COUNTIFS('Properties'!$A$6:$A$205,C187)&lt;&gt;1),"Check Property ID",IF(E187="","Set client response",IF(AND(E187&lt;&gt;"Not sent",NOT(ISNUMBER(D187))),"Add date sent",""))))))</x:f>
      </x:c>
    </x:row>
    <x:row r="188" ht="26" customHeight="1">
      <x:c r="A188" s="317"/>
      <x:c r="B188" s="318"/>
      <x:c r="C188" s="235"/>
      <x:c r="D188" s="238"/>
      <x:c r="E188" s="235"/>
      <x:c r="F188" s="235"/>
      <x:c r="G188" s="235"/>
      <x:c r="H188" s="265" t="str">
        <x:f>IF(A188="","",IF(B188="","",IF(COUNTIFS('Clients'!$A$6:$A$205,B188)&lt;&gt;1,"Check Client ID",IF(INDEX('Clients'!$B$6:$B$205,MATCH(B188,'Clients'!$A$6:$A$205,0))="","Name missing",INDEX('Clients'!$B$6:$B$205,MATCH(B188,'Clients'!$A$6:$A$205,0))))))</x:f>
      </x:c>
      <x:c r="I188" s="265" t="str">
        <x:f>IF(A188="","",IF(C188="","",IF(COUNTIFS('Properties'!$A$6:$A$205,C188)&lt;&gt;1,"Check Property ID",IF(INDEX('Properties'!$B$6:$B$205,MATCH(C188,'Properties'!$A$6:$A$205,0))="","Name missing",INDEX('Properties'!$B$6:$B$205,MATCH(C188,'Properties'!$A$6:$A$205,0))))))</x:f>
      </x:c>
      <x:c r="J188" s="315" t="str">
        <x:f>IF(A188="","",IF(COUNTIFS($A$6:$A$205,A188)&gt;1,"Duplicate ID",IF(OR(B188="",COUNTIFS('Clients'!$A$6:$A$205,B188)&lt;&gt;1),"Check Client ID",IF(OR(C188="",COUNTIFS('Properties'!$A$6:$A$205,C188)&lt;&gt;1),"Check Property ID",IF(E188="","Set client response",IF(AND(E188&lt;&gt;"Not sent",NOT(ISNUMBER(D188))),"Add date sent",""))))))</x:f>
      </x:c>
    </x:row>
    <x:row r="189" ht="26" customHeight="1">
      <x:c r="A189" s="319"/>
      <x:c r="B189" s="320"/>
      <x:c r="C189" s="274"/>
      <x:c r="D189" s="304"/>
      <x:c r="E189" s="274"/>
      <x:c r="F189" s="274"/>
      <x:c r="G189" s="274"/>
      <x:c r="H189" s="265" t="str">
        <x:f>IF(A189="","",IF(B189="","",IF(COUNTIFS('Clients'!$A$6:$A$205,B189)&lt;&gt;1,"Check Client ID",IF(INDEX('Clients'!$B$6:$B$205,MATCH(B189,'Clients'!$A$6:$A$205,0))="","Name missing",INDEX('Clients'!$B$6:$B$205,MATCH(B189,'Clients'!$A$6:$A$205,0))))))</x:f>
      </x:c>
      <x:c r="I189" s="265" t="str">
        <x:f>IF(A189="","",IF(C189="","",IF(COUNTIFS('Properties'!$A$6:$A$205,C189)&lt;&gt;1,"Check Property ID",IF(INDEX('Properties'!$B$6:$B$205,MATCH(C189,'Properties'!$A$6:$A$205,0))="","Name missing",INDEX('Properties'!$B$6:$B$205,MATCH(C189,'Properties'!$A$6:$A$205,0))))))</x:f>
      </x:c>
      <x:c r="J189" s="315" t="str">
        <x:f>IF(A189="","",IF(COUNTIFS($A$6:$A$205,A189)&gt;1,"Duplicate ID",IF(OR(B189="",COUNTIFS('Clients'!$A$6:$A$205,B189)&lt;&gt;1),"Check Client ID",IF(OR(C189="",COUNTIFS('Properties'!$A$6:$A$205,C189)&lt;&gt;1),"Check Property ID",IF(E189="","Set client response",IF(AND(E189&lt;&gt;"Not sent",NOT(ISNUMBER(D189))),"Add date sent",""))))))</x:f>
      </x:c>
    </x:row>
    <x:row r="190" ht="26" customHeight="1">
      <x:c r="A190" s="317"/>
      <x:c r="B190" s="318"/>
      <x:c r="C190" s="235"/>
      <x:c r="D190" s="238"/>
      <x:c r="E190" s="235"/>
      <x:c r="F190" s="235"/>
      <x:c r="G190" s="235"/>
      <x:c r="H190" s="265" t="str">
        <x:f>IF(A190="","",IF(B190="","",IF(COUNTIFS('Clients'!$A$6:$A$205,B190)&lt;&gt;1,"Check Client ID",IF(INDEX('Clients'!$B$6:$B$205,MATCH(B190,'Clients'!$A$6:$A$205,0))="","Name missing",INDEX('Clients'!$B$6:$B$205,MATCH(B190,'Clients'!$A$6:$A$205,0))))))</x:f>
      </x:c>
      <x:c r="I190" s="265" t="str">
        <x:f>IF(A190="","",IF(C190="","",IF(COUNTIFS('Properties'!$A$6:$A$205,C190)&lt;&gt;1,"Check Property ID",IF(INDEX('Properties'!$B$6:$B$205,MATCH(C190,'Properties'!$A$6:$A$205,0))="","Name missing",INDEX('Properties'!$B$6:$B$205,MATCH(C190,'Properties'!$A$6:$A$205,0))))))</x:f>
      </x:c>
      <x:c r="J190" s="315" t="str">
        <x:f>IF(A190="","",IF(COUNTIFS($A$6:$A$205,A190)&gt;1,"Duplicate ID",IF(OR(B190="",COUNTIFS('Clients'!$A$6:$A$205,B190)&lt;&gt;1),"Check Client ID",IF(OR(C190="",COUNTIFS('Properties'!$A$6:$A$205,C190)&lt;&gt;1),"Check Property ID",IF(E190="","Set client response",IF(AND(E190&lt;&gt;"Not sent",NOT(ISNUMBER(D190))),"Add date sent",""))))))</x:f>
      </x:c>
    </x:row>
    <x:row r="191" ht="26" customHeight="1">
      <x:c r="A191" s="319"/>
      <x:c r="B191" s="320"/>
      <x:c r="C191" s="274"/>
      <x:c r="D191" s="304"/>
      <x:c r="E191" s="274"/>
      <x:c r="F191" s="274"/>
      <x:c r="G191" s="274"/>
      <x:c r="H191" s="265" t="str">
        <x:f>IF(A191="","",IF(B191="","",IF(COUNTIFS('Clients'!$A$6:$A$205,B191)&lt;&gt;1,"Check Client ID",IF(INDEX('Clients'!$B$6:$B$205,MATCH(B191,'Clients'!$A$6:$A$205,0))="","Name missing",INDEX('Clients'!$B$6:$B$205,MATCH(B191,'Clients'!$A$6:$A$205,0))))))</x:f>
      </x:c>
      <x:c r="I191" s="265" t="str">
        <x:f>IF(A191="","",IF(C191="","",IF(COUNTIFS('Properties'!$A$6:$A$205,C191)&lt;&gt;1,"Check Property ID",IF(INDEX('Properties'!$B$6:$B$205,MATCH(C191,'Properties'!$A$6:$A$205,0))="","Name missing",INDEX('Properties'!$B$6:$B$205,MATCH(C191,'Properties'!$A$6:$A$205,0))))))</x:f>
      </x:c>
      <x:c r="J191" s="315" t="str">
        <x:f>IF(A191="","",IF(COUNTIFS($A$6:$A$205,A191)&gt;1,"Duplicate ID",IF(OR(B191="",COUNTIFS('Clients'!$A$6:$A$205,B191)&lt;&gt;1),"Check Client ID",IF(OR(C191="",COUNTIFS('Properties'!$A$6:$A$205,C191)&lt;&gt;1),"Check Property ID",IF(E191="","Set client response",IF(AND(E191&lt;&gt;"Not sent",NOT(ISNUMBER(D191))),"Add date sent",""))))))</x:f>
      </x:c>
    </x:row>
    <x:row r="192" ht="26" customHeight="1">
      <x:c r="A192" s="317"/>
      <x:c r="B192" s="318"/>
      <x:c r="C192" s="235"/>
      <x:c r="D192" s="238"/>
      <x:c r="E192" s="235"/>
      <x:c r="F192" s="235"/>
      <x:c r="G192" s="235"/>
      <x:c r="H192" s="265" t="str">
        <x:f>IF(A192="","",IF(B192="","",IF(COUNTIFS('Clients'!$A$6:$A$205,B192)&lt;&gt;1,"Check Client ID",IF(INDEX('Clients'!$B$6:$B$205,MATCH(B192,'Clients'!$A$6:$A$205,0))="","Name missing",INDEX('Clients'!$B$6:$B$205,MATCH(B192,'Clients'!$A$6:$A$205,0))))))</x:f>
      </x:c>
      <x:c r="I192" s="265" t="str">
        <x:f>IF(A192="","",IF(C192="","",IF(COUNTIFS('Properties'!$A$6:$A$205,C192)&lt;&gt;1,"Check Property ID",IF(INDEX('Properties'!$B$6:$B$205,MATCH(C192,'Properties'!$A$6:$A$205,0))="","Name missing",INDEX('Properties'!$B$6:$B$205,MATCH(C192,'Properties'!$A$6:$A$205,0))))))</x:f>
      </x:c>
      <x:c r="J192" s="315" t="str">
        <x:f>IF(A192="","",IF(COUNTIFS($A$6:$A$205,A192)&gt;1,"Duplicate ID",IF(OR(B192="",COUNTIFS('Clients'!$A$6:$A$205,B192)&lt;&gt;1),"Check Client ID",IF(OR(C192="",COUNTIFS('Properties'!$A$6:$A$205,C192)&lt;&gt;1),"Check Property ID",IF(E192="","Set client response",IF(AND(E192&lt;&gt;"Not sent",NOT(ISNUMBER(D192))),"Add date sent",""))))))</x:f>
      </x:c>
    </x:row>
    <x:row r="193" ht="26" customHeight="1">
      <x:c r="A193" s="319"/>
      <x:c r="B193" s="320"/>
      <x:c r="C193" s="274"/>
      <x:c r="D193" s="304"/>
      <x:c r="E193" s="274"/>
      <x:c r="F193" s="274"/>
      <x:c r="G193" s="274"/>
      <x:c r="H193" s="265" t="str">
        <x:f>IF(A193="","",IF(B193="","",IF(COUNTIFS('Clients'!$A$6:$A$205,B193)&lt;&gt;1,"Check Client ID",IF(INDEX('Clients'!$B$6:$B$205,MATCH(B193,'Clients'!$A$6:$A$205,0))="","Name missing",INDEX('Clients'!$B$6:$B$205,MATCH(B193,'Clients'!$A$6:$A$205,0))))))</x:f>
      </x:c>
      <x:c r="I193" s="265" t="str">
        <x:f>IF(A193="","",IF(C193="","",IF(COUNTIFS('Properties'!$A$6:$A$205,C193)&lt;&gt;1,"Check Property ID",IF(INDEX('Properties'!$B$6:$B$205,MATCH(C193,'Properties'!$A$6:$A$205,0))="","Name missing",INDEX('Properties'!$B$6:$B$205,MATCH(C193,'Properties'!$A$6:$A$205,0))))))</x:f>
      </x:c>
      <x:c r="J193" s="315" t="str">
        <x:f>IF(A193="","",IF(COUNTIFS($A$6:$A$205,A193)&gt;1,"Duplicate ID",IF(OR(B193="",COUNTIFS('Clients'!$A$6:$A$205,B193)&lt;&gt;1),"Check Client ID",IF(OR(C193="",COUNTIFS('Properties'!$A$6:$A$205,C193)&lt;&gt;1),"Check Property ID",IF(E193="","Set client response",IF(AND(E193&lt;&gt;"Not sent",NOT(ISNUMBER(D193))),"Add date sent",""))))))</x:f>
      </x:c>
    </x:row>
    <x:row r="194" ht="26" customHeight="1">
      <x:c r="A194" s="317"/>
      <x:c r="B194" s="318"/>
      <x:c r="C194" s="235"/>
      <x:c r="D194" s="238"/>
      <x:c r="E194" s="235"/>
      <x:c r="F194" s="235"/>
      <x:c r="G194" s="235"/>
      <x:c r="H194" s="265" t="str">
        <x:f>IF(A194="","",IF(B194="","",IF(COUNTIFS('Clients'!$A$6:$A$205,B194)&lt;&gt;1,"Check Client ID",IF(INDEX('Clients'!$B$6:$B$205,MATCH(B194,'Clients'!$A$6:$A$205,0))="","Name missing",INDEX('Clients'!$B$6:$B$205,MATCH(B194,'Clients'!$A$6:$A$205,0))))))</x:f>
      </x:c>
      <x:c r="I194" s="265" t="str">
        <x:f>IF(A194="","",IF(C194="","",IF(COUNTIFS('Properties'!$A$6:$A$205,C194)&lt;&gt;1,"Check Property ID",IF(INDEX('Properties'!$B$6:$B$205,MATCH(C194,'Properties'!$A$6:$A$205,0))="","Name missing",INDEX('Properties'!$B$6:$B$205,MATCH(C194,'Properties'!$A$6:$A$205,0))))))</x:f>
      </x:c>
      <x:c r="J194" s="315" t="str">
        <x:f>IF(A194="","",IF(COUNTIFS($A$6:$A$205,A194)&gt;1,"Duplicate ID",IF(OR(B194="",COUNTIFS('Clients'!$A$6:$A$205,B194)&lt;&gt;1),"Check Client ID",IF(OR(C194="",COUNTIFS('Properties'!$A$6:$A$205,C194)&lt;&gt;1),"Check Property ID",IF(E194="","Set client response",IF(AND(E194&lt;&gt;"Not sent",NOT(ISNUMBER(D194))),"Add date sent",""))))))</x:f>
      </x:c>
    </x:row>
    <x:row r="195" ht="26" customHeight="1">
      <x:c r="A195" s="319"/>
      <x:c r="B195" s="320"/>
      <x:c r="C195" s="274"/>
      <x:c r="D195" s="304"/>
      <x:c r="E195" s="274"/>
      <x:c r="F195" s="274"/>
      <x:c r="G195" s="274"/>
      <x:c r="H195" s="265" t="str">
        <x:f>IF(A195="","",IF(B195="","",IF(COUNTIFS('Clients'!$A$6:$A$205,B195)&lt;&gt;1,"Check Client ID",IF(INDEX('Clients'!$B$6:$B$205,MATCH(B195,'Clients'!$A$6:$A$205,0))="","Name missing",INDEX('Clients'!$B$6:$B$205,MATCH(B195,'Clients'!$A$6:$A$205,0))))))</x:f>
      </x:c>
      <x:c r="I195" s="265" t="str">
        <x:f>IF(A195="","",IF(C195="","",IF(COUNTIFS('Properties'!$A$6:$A$205,C195)&lt;&gt;1,"Check Property ID",IF(INDEX('Properties'!$B$6:$B$205,MATCH(C195,'Properties'!$A$6:$A$205,0))="","Name missing",INDEX('Properties'!$B$6:$B$205,MATCH(C195,'Properties'!$A$6:$A$205,0))))))</x:f>
      </x:c>
      <x:c r="J195" s="315" t="str">
        <x:f>IF(A195="","",IF(COUNTIFS($A$6:$A$205,A195)&gt;1,"Duplicate ID",IF(OR(B195="",COUNTIFS('Clients'!$A$6:$A$205,B195)&lt;&gt;1),"Check Client ID",IF(OR(C195="",COUNTIFS('Properties'!$A$6:$A$205,C195)&lt;&gt;1),"Check Property ID",IF(E195="","Set client response",IF(AND(E195&lt;&gt;"Not sent",NOT(ISNUMBER(D195))),"Add date sent",""))))))</x:f>
      </x:c>
    </x:row>
    <x:row r="196" ht="26" customHeight="1">
      <x:c r="A196" s="317"/>
      <x:c r="B196" s="318"/>
      <x:c r="C196" s="235"/>
      <x:c r="D196" s="238"/>
      <x:c r="E196" s="235"/>
      <x:c r="F196" s="235"/>
      <x:c r="G196" s="235"/>
      <x:c r="H196" s="265" t="str">
        <x:f>IF(A196="","",IF(B196="","",IF(COUNTIFS('Clients'!$A$6:$A$205,B196)&lt;&gt;1,"Check Client ID",IF(INDEX('Clients'!$B$6:$B$205,MATCH(B196,'Clients'!$A$6:$A$205,0))="","Name missing",INDEX('Clients'!$B$6:$B$205,MATCH(B196,'Clients'!$A$6:$A$205,0))))))</x:f>
      </x:c>
      <x:c r="I196" s="265" t="str">
        <x:f>IF(A196="","",IF(C196="","",IF(COUNTIFS('Properties'!$A$6:$A$205,C196)&lt;&gt;1,"Check Property ID",IF(INDEX('Properties'!$B$6:$B$205,MATCH(C196,'Properties'!$A$6:$A$205,0))="","Name missing",INDEX('Properties'!$B$6:$B$205,MATCH(C196,'Properties'!$A$6:$A$205,0))))))</x:f>
      </x:c>
      <x:c r="J196" s="315" t="str">
        <x:f>IF(A196="","",IF(COUNTIFS($A$6:$A$205,A196)&gt;1,"Duplicate ID",IF(OR(B196="",COUNTIFS('Clients'!$A$6:$A$205,B196)&lt;&gt;1),"Check Client ID",IF(OR(C196="",COUNTIFS('Properties'!$A$6:$A$205,C196)&lt;&gt;1),"Check Property ID",IF(E196="","Set client response",IF(AND(E196&lt;&gt;"Not sent",NOT(ISNUMBER(D196))),"Add date sent",""))))))</x:f>
      </x:c>
    </x:row>
    <x:row r="197" ht="26" customHeight="1">
      <x:c r="A197" s="319"/>
      <x:c r="B197" s="320"/>
      <x:c r="C197" s="274"/>
      <x:c r="D197" s="304"/>
      <x:c r="E197" s="274"/>
      <x:c r="F197" s="274"/>
      <x:c r="G197" s="274"/>
      <x:c r="H197" s="265" t="str">
        <x:f>IF(A197="","",IF(B197="","",IF(COUNTIFS('Clients'!$A$6:$A$205,B197)&lt;&gt;1,"Check Client ID",IF(INDEX('Clients'!$B$6:$B$205,MATCH(B197,'Clients'!$A$6:$A$205,0))="","Name missing",INDEX('Clients'!$B$6:$B$205,MATCH(B197,'Clients'!$A$6:$A$205,0))))))</x:f>
      </x:c>
      <x:c r="I197" s="265" t="str">
        <x:f>IF(A197="","",IF(C197="","",IF(COUNTIFS('Properties'!$A$6:$A$205,C197)&lt;&gt;1,"Check Property ID",IF(INDEX('Properties'!$B$6:$B$205,MATCH(C197,'Properties'!$A$6:$A$205,0))="","Name missing",INDEX('Properties'!$B$6:$B$205,MATCH(C197,'Properties'!$A$6:$A$205,0))))))</x:f>
      </x:c>
      <x:c r="J197" s="315" t="str">
        <x:f>IF(A197="","",IF(COUNTIFS($A$6:$A$205,A197)&gt;1,"Duplicate ID",IF(OR(B197="",COUNTIFS('Clients'!$A$6:$A$205,B197)&lt;&gt;1),"Check Client ID",IF(OR(C197="",COUNTIFS('Properties'!$A$6:$A$205,C197)&lt;&gt;1),"Check Property ID",IF(E197="","Set client response",IF(AND(E197&lt;&gt;"Not sent",NOT(ISNUMBER(D197))),"Add date sent",""))))))</x:f>
      </x:c>
    </x:row>
    <x:row r="198" ht="26" customHeight="1">
      <x:c r="A198" s="317"/>
      <x:c r="B198" s="318"/>
      <x:c r="C198" s="235"/>
      <x:c r="D198" s="238"/>
      <x:c r="E198" s="235"/>
      <x:c r="F198" s="235"/>
      <x:c r="G198" s="235"/>
      <x:c r="H198" s="265" t="str">
        <x:f>IF(A198="","",IF(B198="","",IF(COUNTIFS('Clients'!$A$6:$A$205,B198)&lt;&gt;1,"Check Client ID",IF(INDEX('Clients'!$B$6:$B$205,MATCH(B198,'Clients'!$A$6:$A$205,0))="","Name missing",INDEX('Clients'!$B$6:$B$205,MATCH(B198,'Clients'!$A$6:$A$205,0))))))</x:f>
      </x:c>
      <x:c r="I198" s="265" t="str">
        <x:f>IF(A198="","",IF(C198="","",IF(COUNTIFS('Properties'!$A$6:$A$205,C198)&lt;&gt;1,"Check Property ID",IF(INDEX('Properties'!$B$6:$B$205,MATCH(C198,'Properties'!$A$6:$A$205,0))="","Name missing",INDEX('Properties'!$B$6:$B$205,MATCH(C198,'Properties'!$A$6:$A$205,0))))))</x:f>
      </x:c>
      <x:c r="J198" s="315" t="str">
        <x:f>IF(A198="","",IF(COUNTIFS($A$6:$A$205,A198)&gt;1,"Duplicate ID",IF(OR(B198="",COUNTIFS('Clients'!$A$6:$A$205,B198)&lt;&gt;1),"Check Client ID",IF(OR(C198="",COUNTIFS('Properties'!$A$6:$A$205,C198)&lt;&gt;1),"Check Property ID",IF(E198="","Set client response",IF(AND(E198&lt;&gt;"Not sent",NOT(ISNUMBER(D198))),"Add date sent",""))))))</x:f>
      </x:c>
    </x:row>
    <x:row r="199" ht="26" customHeight="1">
      <x:c r="A199" s="319"/>
      <x:c r="B199" s="320"/>
      <x:c r="C199" s="274"/>
      <x:c r="D199" s="304"/>
      <x:c r="E199" s="274"/>
      <x:c r="F199" s="274"/>
      <x:c r="G199" s="274"/>
      <x:c r="H199" s="265" t="str">
        <x:f>IF(A199="","",IF(B199="","",IF(COUNTIFS('Clients'!$A$6:$A$205,B199)&lt;&gt;1,"Check Client ID",IF(INDEX('Clients'!$B$6:$B$205,MATCH(B199,'Clients'!$A$6:$A$205,0))="","Name missing",INDEX('Clients'!$B$6:$B$205,MATCH(B199,'Clients'!$A$6:$A$205,0))))))</x:f>
      </x:c>
      <x:c r="I199" s="265" t="str">
        <x:f>IF(A199="","",IF(C199="","",IF(COUNTIFS('Properties'!$A$6:$A$205,C199)&lt;&gt;1,"Check Property ID",IF(INDEX('Properties'!$B$6:$B$205,MATCH(C199,'Properties'!$A$6:$A$205,0))="","Name missing",INDEX('Properties'!$B$6:$B$205,MATCH(C199,'Properties'!$A$6:$A$205,0))))))</x:f>
      </x:c>
      <x:c r="J199" s="315" t="str">
        <x:f>IF(A199="","",IF(COUNTIFS($A$6:$A$205,A199)&gt;1,"Duplicate ID",IF(OR(B199="",COUNTIFS('Clients'!$A$6:$A$205,B199)&lt;&gt;1),"Check Client ID",IF(OR(C199="",COUNTIFS('Properties'!$A$6:$A$205,C199)&lt;&gt;1),"Check Property ID",IF(E199="","Set client response",IF(AND(E199&lt;&gt;"Not sent",NOT(ISNUMBER(D199))),"Add date sent",""))))))</x:f>
      </x:c>
    </x:row>
    <x:row r="200" ht="26" customHeight="1">
      <x:c r="A200" s="317"/>
      <x:c r="B200" s="318"/>
      <x:c r="C200" s="235"/>
      <x:c r="D200" s="238"/>
      <x:c r="E200" s="235"/>
      <x:c r="F200" s="235"/>
      <x:c r="G200" s="235"/>
      <x:c r="H200" s="265" t="str">
        <x:f>IF(A200="","",IF(B200="","",IF(COUNTIFS('Clients'!$A$6:$A$205,B200)&lt;&gt;1,"Check Client ID",IF(INDEX('Clients'!$B$6:$B$205,MATCH(B200,'Clients'!$A$6:$A$205,0))="","Name missing",INDEX('Clients'!$B$6:$B$205,MATCH(B200,'Clients'!$A$6:$A$205,0))))))</x:f>
      </x:c>
      <x:c r="I200" s="265" t="str">
        <x:f>IF(A200="","",IF(C200="","",IF(COUNTIFS('Properties'!$A$6:$A$205,C200)&lt;&gt;1,"Check Property ID",IF(INDEX('Properties'!$B$6:$B$205,MATCH(C200,'Properties'!$A$6:$A$205,0))="","Name missing",INDEX('Properties'!$B$6:$B$205,MATCH(C200,'Properties'!$A$6:$A$205,0))))))</x:f>
      </x:c>
      <x:c r="J200" s="315" t="str">
        <x:f>IF(A200="","",IF(COUNTIFS($A$6:$A$205,A200)&gt;1,"Duplicate ID",IF(OR(B200="",COUNTIFS('Clients'!$A$6:$A$205,B200)&lt;&gt;1),"Check Client ID",IF(OR(C200="",COUNTIFS('Properties'!$A$6:$A$205,C200)&lt;&gt;1),"Check Property ID",IF(E200="","Set client response",IF(AND(E200&lt;&gt;"Not sent",NOT(ISNUMBER(D200))),"Add date sent",""))))))</x:f>
      </x:c>
    </x:row>
    <x:row r="201" ht="26" customHeight="1">
      <x:c r="A201" s="319"/>
      <x:c r="B201" s="320"/>
      <x:c r="C201" s="274"/>
      <x:c r="D201" s="304"/>
      <x:c r="E201" s="274"/>
      <x:c r="F201" s="274"/>
      <x:c r="G201" s="274"/>
      <x:c r="H201" s="265" t="str">
        <x:f>IF(A201="","",IF(B201="","",IF(COUNTIFS('Clients'!$A$6:$A$205,B201)&lt;&gt;1,"Check Client ID",IF(INDEX('Clients'!$B$6:$B$205,MATCH(B201,'Clients'!$A$6:$A$205,0))="","Name missing",INDEX('Clients'!$B$6:$B$205,MATCH(B201,'Clients'!$A$6:$A$205,0))))))</x:f>
      </x:c>
      <x:c r="I201" s="265" t="str">
        <x:f>IF(A201="","",IF(C201="","",IF(COUNTIFS('Properties'!$A$6:$A$205,C201)&lt;&gt;1,"Check Property ID",IF(INDEX('Properties'!$B$6:$B$205,MATCH(C201,'Properties'!$A$6:$A$205,0))="","Name missing",INDEX('Properties'!$B$6:$B$205,MATCH(C201,'Properties'!$A$6:$A$205,0))))))</x:f>
      </x:c>
      <x:c r="J201" s="315" t="str">
        <x:f>IF(A201="","",IF(COUNTIFS($A$6:$A$205,A201)&gt;1,"Duplicate ID",IF(OR(B201="",COUNTIFS('Clients'!$A$6:$A$205,B201)&lt;&gt;1),"Check Client ID",IF(OR(C201="",COUNTIFS('Properties'!$A$6:$A$205,C201)&lt;&gt;1),"Check Property ID",IF(E201="","Set client response",IF(AND(E201&lt;&gt;"Not sent",NOT(ISNUMBER(D201))),"Add date sent",""))))))</x:f>
      </x:c>
    </x:row>
    <x:row r="202" ht="26" customHeight="1">
      <x:c r="A202" s="317"/>
      <x:c r="B202" s="318"/>
      <x:c r="C202" s="235"/>
      <x:c r="D202" s="238"/>
      <x:c r="E202" s="235"/>
      <x:c r="F202" s="235"/>
      <x:c r="G202" s="235"/>
      <x:c r="H202" s="265" t="str">
        <x:f>IF(A202="","",IF(B202="","",IF(COUNTIFS('Clients'!$A$6:$A$205,B202)&lt;&gt;1,"Check Client ID",IF(INDEX('Clients'!$B$6:$B$205,MATCH(B202,'Clients'!$A$6:$A$205,0))="","Name missing",INDEX('Clients'!$B$6:$B$205,MATCH(B202,'Clients'!$A$6:$A$205,0))))))</x:f>
      </x:c>
      <x:c r="I202" s="265" t="str">
        <x:f>IF(A202="","",IF(C202="","",IF(COUNTIFS('Properties'!$A$6:$A$205,C202)&lt;&gt;1,"Check Property ID",IF(INDEX('Properties'!$B$6:$B$205,MATCH(C202,'Properties'!$A$6:$A$205,0))="","Name missing",INDEX('Properties'!$B$6:$B$205,MATCH(C202,'Properties'!$A$6:$A$205,0))))))</x:f>
      </x:c>
      <x:c r="J202" s="315" t="str">
        <x:f>IF(A202="","",IF(COUNTIFS($A$6:$A$205,A202)&gt;1,"Duplicate ID",IF(OR(B202="",COUNTIFS('Clients'!$A$6:$A$205,B202)&lt;&gt;1),"Check Client ID",IF(OR(C202="",COUNTIFS('Properties'!$A$6:$A$205,C202)&lt;&gt;1),"Check Property ID",IF(E202="","Set client response",IF(AND(E202&lt;&gt;"Not sent",NOT(ISNUMBER(D202))),"Add date sent",""))))))</x:f>
      </x:c>
    </x:row>
    <x:row r="203" ht="26" customHeight="1">
      <x:c r="A203" s="319"/>
      <x:c r="B203" s="320"/>
      <x:c r="C203" s="274"/>
      <x:c r="D203" s="304"/>
      <x:c r="E203" s="274"/>
      <x:c r="F203" s="274"/>
      <x:c r="G203" s="274"/>
      <x:c r="H203" s="265" t="str">
        <x:f>IF(A203="","",IF(B203="","",IF(COUNTIFS('Clients'!$A$6:$A$205,B203)&lt;&gt;1,"Check Client ID",IF(INDEX('Clients'!$B$6:$B$205,MATCH(B203,'Clients'!$A$6:$A$205,0))="","Name missing",INDEX('Clients'!$B$6:$B$205,MATCH(B203,'Clients'!$A$6:$A$205,0))))))</x:f>
      </x:c>
      <x:c r="I203" s="265" t="str">
        <x:f>IF(A203="","",IF(C203="","",IF(COUNTIFS('Properties'!$A$6:$A$205,C203)&lt;&gt;1,"Check Property ID",IF(INDEX('Properties'!$B$6:$B$205,MATCH(C203,'Properties'!$A$6:$A$205,0))="","Name missing",INDEX('Properties'!$B$6:$B$205,MATCH(C203,'Properties'!$A$6:$A$205,0))))))</x:f>
      </x:c>
      <x:c r="J203" s="315" t="str">
        <x:f>IF(A203="","",IF(COUNTIFS($A$6:$A$205,A203)&gt;1,"Duplicate ID",IF(OR(B203="",COUNTIFS('Clients'!$A$6:$A$205,B203)&lt;&gt;1),"Check Client ID",IF(OR(C203="",COUNTIFS('Properties'!$A$6:$A$205,C203)&lt;&gt;1),"Check Property ID",IF(E203="","Set client response",IF(AND(E203&lt;&gt;"Not sent",NOT(ISNUMBER(D203))),"Add date sent",""))))))</x:f>
      </x:c>
    </x:row>
    <x:row r="204" ht="26" customHeight="1">
      <x:c r="A204" s="317"/>
      <x:c r="B204" s="318"/>
      <x:c r="C204" s="235"/>
      <x:c r="D204" s="238"/>
      <x:c r="E204" s="235"/>
      <x:c r="F204" s="235"/>
      <x:c r="G204" s="235"/>
      <x:c r="H204" s="265" t="str">
        <x:f>IF(A204="","",IF(B204="","",IF(COUNTIFS('Clients'!$A$6:$A$205,B204)&lt;&gt;1,"Check Client ID",IF(INDEX('Clients'!$B$6:$B$205,MATCH(B204,'Clients'!$A$6:$A$205,0))="","Name missing",INDEX('Clients'!$B$6:$B$205,MATCH(B204,'Clients'!$A$6:$A$205,0))))))</x:f>
      </x:c>
      <x:c r="I204" s="265" t="str">
        <x:f>IF(A204="","",IF(C204="","",IF(COUNTIFS('Properties'!$A$6:$A$205,C204)&lt;&gt;1,"Check Property ID",IF(INDEX('Properties'!$B$6:$B$205,MATCH(C204,'Properties'!$A$6:$A$205,0))="","Name missing",INDEX('Properties'!$B$6:$B$205,MATCH(C204,'Properties'!$A$6:$A$205,0))))))</x:f>
      </x:c>
      <x:c r="J204" s="315" t="str">
        <x:f>IF(A204="","",IF(COUNTIFS($A$6:$A$205,A204)&gt;1,"Duplicate ID",IF(OR(B204="",COUNTIFS('Clients'!$A$6:$A$205,B204)&lt;&gt;1),"Check Client ID",IF(OR(C204="",COUNTIFS('Properties'!$A$6:$A$205,C204)&lt;&gt;1),"Check Property ID",IF(E204="","Set client response",IF(AND(E204&lt;&gt;"Not sent",NOT(ISNUMBER(D204))),"Add date sent",""))))))</x:f>
      </x:c>
    </x:row>
    <x:row r="205" ht="26" customHeight="1">
      <x:c r="A205" s="321"/>
      <x:c r="B205" s="322"/>
      <x:c r="C205" s="307"/>
      <x:c r="D205" s="310"/>
      <x:c r="E205" s="307"/>
      <x:c r="F205" s="307"/>
      <x:c r="G205" s="307"/>
      <x:c r="H205" s="314" t="str">
        <x:f>IF(A205="","",IF(B205="","",IF(COUNTIFS('Clients'!$A$6:$A$205,B205)&lt;&gt;1,"Check Client ID",IF(INDEX('Clients'!$B$6:$B$205,MATCH(B205,'Clients'!$A$6:$A$205,0))="","Name missing",INDEX('Clients'!$B$6:$B$205,MATCH(B205,'Clients'!$A$6:$A$205,0))))))</x:f>
      </x:c>
      <x:c r="I205" s="314" t="str">
        <x:f>IF(A205="","",IF(C205="","",IF(COUNTIFS('Properties'!$A$6:$A$205,C205)&lt;&gt;1,"Check Property ID",IF(INDEX('Properties'!$B$6:$B$205,MATCH(C205,'Properties'!$A$6:$A$205,0))="","Name missing",INDEX('Properties'!$B$6:$B$205,MATCH(C205,'Properties'!$A$6:$A$205,0))))))</x:f>
      </x:c>
      <x:c r="J205" s="316" t="str">
        <x:f>IF(A205="","",IF(COUNTIFS($A$6:$A$205,A205)&gt;1,"Duplicate ID",IF(OR(B205="",COUNTIFS('Clients'!$A$6:$A$205,B205)&lt;&gt;1),"Check Client ID",IF(OR(C205="",COUNTIFS('Properties'!$A$6:$A$205,C205)&lt;&gt;1),"Check Property ID",IF(E205="","Set client response",IF(AND(E205&lt;&gt;"Not sent",NOT(ISNUMBER(D205))),"Add date sent",""))))))</x:f>
      </x:c>
    </x:row>
  </x:sheetData>
  <x:mergeCells>
    <x:mergeCell ref="A1:D1"/>
    <x:mergeCell ref="A2:E2"/>
    <x:mergeCell ref="F2:H2"/>
    <x:mergeCell ref="A3:H3"/>
    <x:mergeCell ref="E1:G1"/>
  </x:mergeCells>
  <x:conditionalFormatting sqref="J6:J205">
    <x:cfRule type="expression" dxfId="40" priority="1">
      <x:formula>J6&lt;&gt;""</x:formula>
    </x:cfRule>
  </x:conditionalFormatting>
  <x:conditionalFormatting sqref="A6:A205">
    <x:cfRule type="expression" dxfId="41" priority="2">
      <x:formula>AND(A6&lt;&gt;"",COUNTIFS($A$6:$A$205,A6)&gt;1)</x:formula>
    </x:cfRule>
  </x:conditionalFormatting>
  <x:conditionalFormatting sqref="E6:E205">
    <x:cfRule type="cellIs" dxfId="47" priority="3" operator="equal">
      <x:formula>"Interested"</x:formula>
    </x:cfRule>
    <x:cfRule type="cellIs" dxfId="48" priority="4" operator="equal">
      <x:formula>"Viewing requested"</x:formula>
    </x:cfRule>
  </x:conditionalFormatting>
  <x:dataValidations count="3">
    <x:dataValidation type="list" sqref="B6:B205">
      <x:formula1>'Clients'!$A$6:$A$205</x:formula1>
    </x:dataValidation>
    <x:dataValidation type="list" sqref="C6:C205">
      <x:formula1>'Properties'!$A$6:$A$205</x:formula1>
    </x:dataValidation>
    <x:dataValidation type="list" sqref="E6:E205">
      <x:formula1>"Not sent,Sent,Interested,Not suitable,Viewing requested"</x:formula1>
    </x:dataValidation>
  </x:dataValidations>
  <x:pageMargins left="0.7" right="0.7" top="0.75" bottom="0.75" header="0.3" footer="0.3"/>
  <x:tableParts count="1">
    <x:tablePart xmlns:r="http://schemas.openxmlformats.org/officeDocument/2006/relationships" r:id="R2b82dbcb725743e0"/>
  </x:tableParts>
</x:worksheet>
</file>

<file path=xl/worksheets/sheet12.xml><?xml version="1.0" encoding="utf-8"?>
<x:worksheet xmlns:x="http://schemas.openxmlformats.org/spreadsheetml/2006/main">
  <x:sheetPr>
    <x:tabColor rgb="FFA18350"/>
  </x:sheetPr>
  <x:sheetViews>
    <x:sheetView showGridLines="0" workbookViewId="0">
      <x:pane ySplit="6" topLeftCell="A7" activePane="bottomLeft" state="frozen"/>
    </x:sheetView>
  </x:sheetViews>
  <x:sheetFormatPr defaultRowHeight="15"/>
  <x:cols>
    <x:col min="1" max="1" width="3"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3" hidden="0" customWidth="1"/>
  </x:cols>
  <x:sheetData>
    <x:row r="1" ht="25" customHeight="1">
      <x:c r="A1" s="432"/>
      <x:c r="B1" s="432"/>
      <x:c r="C1" s="432"/>
      <x:c r="D1" s="432"/>
      <x:c r="E1" s="432"/>
      <x:c r="F1" s="432"/>
      <x:c r="G1" s="432"/>
      <x:c r="H1" s="432"/>
      <x:c r="I1" s="432"/>
      <x:c r="J1" s="432"/>
      <x:c r="K1" s="432"/>
      <x:c r="L1" s="432"/>
      <x:c r="M1" s="432"/>
      <x:c r="N1" s="432"/>
      <x:c r="O1" s="432"/>
      <x:c r="P1" s="432"/>
      <x:c r="Q1" s="432"/>
    </x:row>
    <x:row r="2" ht="25" customHeight="1">
      <x:c r="A2" s="432"/>
      <x:c r="B2" s="434" t="str">
        <x:v>KEYS WITH SIMONI</x:v>
      </x:c>
      <x:c r="C2" s="434"/>
      <x:c r="D2" s="434"/>
      <x:c r="E2" s="434"/>
      <x:c r="F2" s="434"/>
      <x:c r="G2" s="434"/>
      <x:c r="H2" s="434"/>
      <x:c r="I2" s="434"/>
      <x:c r="J2" s="434"/>
      <x:c r="K2" s="434"/>
      <x:c r="L2" s="434"/>
      <x:c r="M2" s="434"/>
      <x:c r="N2" s="434"/>
      <x:c r="O2" s="434"/>
      <x:c r="P2" s="434"/>
      <x:c r="Q2" s="432"/>
    </x:row>
    <x:row r="3" ht="37" customHeight="1">
      <x:c r="A3" s="432"/>
      <x:c r="B3" s="436" t="str">
        <x:v>Client search &amp; property matches</x:v>
      </x:c>
      <x:c r="C3" s="436"/>
      <x:c r="D3" s="436"/>
      <x:c r="E3" s="436"/>
      <x:c r="F3" s="436"/>
      <x:c r="G3" s="436"/>
      <x:c r="H3" s="436"/>
      <x:c r="I3" s="436"/>
      <x:c r="J3" s="436"/>
      <x:c r="K3" s="436"/>
      <x:c r="L3" s="436"/>
      <x:c r="M3" s="436"/>
      <x:c r="N3" s="436"/>
      <x:c r="O3" s="436"/>
      <x:c r="P3" s="436"/>
      <x:c r="Q3" s="432"/>
    </x:row>
    <x:row r="4" ht="30" customHeight="1">
      <x:c r="A4" s="432"/>
      <x:c r="B4" s="438" t="str">
        <x:v>Search by name, phone, email or ID. Select a Client ID to view details and matching properties.</x:v>
      </x:c>
      <x:c r="C4" s="438"/>
      <x:c r="D4" s="438"/>
      <x:c r="E4" s="438"/>
      <x:c r="F4" s="438"/>
      <x:c r="G4" s="438"/>
      <x:c r="H4" s="438"/>
      <x:c r="I4" s="438"/>
      <x:c r="J4" s="438"/>
      <x:c r="K4" s="438"/>
      <x:c r="L4" s="438"/>
      <x:c r="M4" s="438"/>
      <x:c r="N4" s="438"/>
      <x:c r="O4" s="438"/>
      <x:c r="P4" s="438"/>
      <x:c r="Q4" s="432"/>
    </x:row>
    <x:row r="5" ht="25" customHeight="1">
      <x:c r="A5" s="432"/>
      <x:c r="B5" s="439" t="str">
        <x:v>Name, phone, email or ID</x:v>
      </x:c>
      <x:c r="C5" s="439"/>
      <x:c r="D5" s="439"/>
      <x:c r="E5" s="439"/>
      <x:c r="F5" s="439"/>
      <x:c r="G5" s="439" t="str">
        <x:v>Search page</x:v>
      </x:c>
      <x:c r="H5" s="439"/>
      <x:c r="I5" s="432"/>
      <x:c r="J5" s="439" t="str">
        <x:v>Selected Client ID</x:v>
      </x:c>
      <x:c r="K5" s="439"/>
      <x:c r="L5" s="439"/>
      <x:c r="M5" s="432"/>
      <x:c r="N5" s="439" t="str">
        <x:v>Matches page</x:v>
      </x:c>
      <x:c r="O5" s="439"/>
      <x:c r="P5" s="439"/>
      <x:c r="Q5" s="432"/>
    </x:row>
    <x:row r="6" ht="30" customHeight="1">
      <x:c r="A6" s="432"/>
      <x:c r="B6" s="507" t="str"/>
      <x:c r="C6" s="508"/>
      <x:c r="D6" s="508"/>
      <x:c r="E6" s="508"/>
      <x:c r="F6" s="509"/>
      <x:c r="G6" s="510" t="n">
        <x:v>1</x:v>
      </x:c>
      <x:c r="H6" s="511"/>
      <x:c r="I6" s="432"/>
      <x:c r="J6" s="507" t="str"/>
      <x:c r="K6" s="508"/>
      <x:c r="L6" s="509"/>
      <x:c r="M6" s="432"/>
      <x:c r="N6" s="510" t="n">
        <x:v>1</x:v>
      </x:c>
      <x:c r="O6" s="512"/>
      <x:c r="P6" s="511"/>
      <x:c r="Q6" s="432"/>
    </x:row>
    <x:row r="7" ht="25" customHeight="1">
      <x:c r="A7" s="432"/>
      <x:c r="B7" s="432"/>
      <x:c r="C7" s="432"/>
      <x:c r="D7" s="432"/>
      <x:c r="E7" s="432"/>
      <x:c r="F7" s="432"/>
      <x:c r="G7" s="432"/>
      <x:c r="H7" s="432"/>
      <x:c r="I7" s="432"/>
      <x:c r="J7" s="432"/>
      <x:c r="K7" s="432"/>
      <x:c r="L7" s="432"/>
      <x:c r="M7" s="432"/>
      <x:c r="N7" s="432"/>
      <x:c r="O7" s="432"/>
      <x:c r="P7" s="432"/>
      <x:c r="Q7" s="432"/>
    </x:row>
    <x:row r="8" ht="28" customHeight="1">
      <x:c r="A8" s="432"/>
      <x:c r="B8" s="437" t="str">
        <x:f>SUM(O48:O247)&amp;" clients. Page "&amp;J44&amp;" of "&amp;MAX(1,ROUNDUP(SUM(O48:O247)/10,0))</x:f>
        <x:v>0 clients. Page 1 of 1</x:v>
      </x:c>
      <x:c r="C8" s="437"/>
      <x:c r="D8" s="437"/>
      <x:c r="E8" s="437"/>
      <x:c r="F8" s="437"/>
      <x:c r="G8" s="437"/>
      <x:c r="H8" s="437"/>
      <x:c r="I8" s="432"/>
      <x:c r="J8" s="444" t="str">
        <x:v>Selected client</x:v>
      </x:c>
      <x:c r="K8" s="444"/>
      <x:c r="L8" s="444"/>
      <x:c r="M8" s="444"/>
      <x:c r="N8" s="444"/>
      <x:c r="O8" s="444"/>
      <x:c r="P8" s="444"/>
      <x:c r="Q8" s="432"/>
    </x:row>
    <x:row r="9" ht="36" customHeight="1">
      <x:c r="A9" s="432"/>
      <x:c r="B9" s="447" t="str">
        <x:v>Client ID</x:v>
      </x:c>
      <x:c r="C9" s="447"/>
      <x:c r="D9" s="447" t="str">
        <x:v>Name</x:v>
      </x:c>
      <x:c r="E9" s="447"/>
      <x:c r="F9" s="447"/>
      <x:c r="G9" s="447" t="str">
        <x:v>Phone</x:v>
      </x:c>
      <x:c r="H9" s="447"/>
      <x:c r="I9" s="432"/>
      <x:c r="J9" s="432"/>
      <x:c r="K9" s="432"/>
      <x:c r="L9" s="432"/>
      <x:c r="M9" s="432"/>
      <x:c r="N9" s="432"/>
      <x:c r="O9" s="432"/>
      <x:c r="P9" s="432"/>
      <x:c r="Q9" s="432"/>
    </x:row>
    <x:row r="10" ht="28" customHeight="1">
      <x:c r="A10" s="432"/>
      <x:c r="B10" s="465" t="str">
        <x:f>IF((($J$44-1)*10+1)&gt;SUM($O$48:$O$247),"",INDEX('Clients'!$A$6:$A$205,MATCH((($J$44-1)*10+1),$P$48:$P$247,0)))</x:f>
      </x:c>
      <x:c r="C10" s="465"/>
      <x:c r="D10" s="465" t="str">
        <x:f>IF((($J$44-1)*10+1)&gt;SUM($O$48:$O$247),"",INDEX('Clients'!$B$6:$B$205,MATCH((($J$44-1)*10+1),$P$48:$P$247,0)))</x:f>
      </x:c>
      <x:c r="E10" s="465"/>
      <x:c r="F10" s="465"/>
      <x:c r="G10" s="465" t="str">
        <x:f>IF((($J$44-1)*10+1)&gt;SUM($O$48:$O$247),"",INDEX('Clients'!$C$6:$C$205,MATCH((($J$44-1)*10+1),$P$48:$P$247,0)))</x:f>
      </x:c>
      <x:c r="H10" s="465"/>
      <x:c r="I10" s="432"/>
      <x:c r="J10" s="449" t="str">
        <x:v>Name</x:v>
      </x:c>
      <x:c r="K10" s="449"/>
      <x:c r="L10" s="449"/>
      <x:c r="M10" s="451" t="str">
        <x:f>IF($O$44=0,"",IF(ISNUMBER(INDEX('Clients'!$B$6:$B$205,$O$44)),INDEX('Clients'!$B$6:$B$205,$O$44),IF(INDEX('Clients'!$B$6:$B$205,$O$44)="","",INDEX('Clients'!$B$6:$B$205,$O$44))))</x:f>
      </x:c>
      <x:c r="N10" s="451"/>
      <x:c r="O10" s="451"/>
      <x:c r="P10" s="451"/>
      <x:c r="Q10" s="432"/>
    </x:row>
    <x:row r="11" ht="28" customHeight="1">
      <x:c r="A11" s="432"/>
      <x:c r="B11" s="468" t="str">
        <x:f>IF((($J$44-1)*10+2)&gt;SUM($O$48:$O$247),"",INDEX('Clients'!$A$6:$A$205,MATCH((($J$44-1)*10+2),$P$48:$P$247,0)))</x:f>
      </x:c>
      <x:c r="C11" s="468"/>
      <x:c r="D11" s="468" t="str">
        <x:f>IF((($J$44-1)*10+2)&gt;SUM($O$48:$O$247),"",INDEX('Clients'!$B$6:$B$205,MATCH((($J$44-1)*10+2),$P$48:$P$247,0)))</x:f>
      </x:c>
      <x:c r="E11" s="468"/>
      <x:c r="F11" s="468"/>
      <x:c r="G11" s="468" t="str">
        <x:f>IF((($J$44-1)*10+2)&gt;SUM($O$48:$O$247),"",INDEX('Clients'!$C$6:$C$205,MATCH((($J$44-1)*10+2),$P$48:$P$247,0)))</x:f>
      </x:c>
      <x:c r="H11" s="468"/>
      <x:c r="I11" s="432"/>
      <x:c r="J11" s="453" t="str">
        <x:v>Phone</x:v>
      </x:c>
      <x:c r="K11" s="453"/>
      <x:c r="L11" s="453"/>
      <x:c r="M11" s="455" t="str">
        <x:f>IF($O$44=0,"",IF(ISNUMBER(INDEX('Clients'!$C$6:$C$205,$O$44)),INDEX('Clients'!$C$6:$C$205,$O$44),IF(INDEX('Clients'!$C$6:$C$205,$O$44)="","",INDEX('Clients'!$C$6:$C$205,$O$44))))</x:f>
      </x:c>
      <x:c r="N11" s="455"/>
      <x:c r="O11" s="455"/>
      <x:c r="P11" s="455"/>
      <x:c r="Q11" s="432"/>
    </x:row>
    <x:row r="12" ht="28" customHeight="1">
      <x:c r="A12" s="432"/>
      <x:c r="B12" s="465" t="str">
        <x:f>IF((($J$44-1)*10+3)&gt;SUM($O$48:$O$247),"",INDEX('Clients'!$A$6:$A$205,MATCH((($J$44-1)*10+3),$P$48:$P$247,0)))</x:f>
      </x:c>
      <x:c r="C12" s="465"/>
      <x:c r="D12" s="465" t="str">
        <x:f>IF((($J$44-1)*10+3)&gt;SUM($O$48:$O$247),"",INDEX('Clients'!$B$6:$B$205,MATCH((($J$44-1)*10+3),$P$48:$P$247,0)))</x:f>
      </x:c>
      <x:c r="E12" s="465"/>
      <x:c r="F12" s="465"/>
      <x:c r="G12" s="465" t="str">
        <x:f>IF((($J$44-1)*10+3)&gt;SUM($O$48:$O$247),"",INDEX('Clients'!$C$6:$C$205,MATCH((($J$44-1)*10+3),$P$48:$P$247,0)))</x:f>
      </x:c>
      <x:c r="H12" s="465"/>
      <x:c r="I12" s="432"/>
      <x:c r="J12" s="449" t="str">
        <x:v>Lead stage</x:v>
      </x:c>
      <x:c r="K12" s="449"/>
      <x:c r="L12" s="449"/>
      <x:c r="M12" s="451" t="str">
        <x:f>IF($O$44=0,"",IF(ISNUMBER(INDEX('Clients'!$H$6:$H$205,$O$44)),INDEX('Clients'!$H$6:$H$205,$O$44),IF(INDEX('Clients'!$H$6:$H$205,$O$44)="","",INDEX('Clients'!$H$6:$H$205,$O$44))))</x:f>
      </x:c>
      <x:c r="N12" s="451"/>
      <x:c r="O12" s="451"/>
      <x:c r="P12" s="451"/>
      <x:c r="Q12" s="432"/>
    </x:row>
    <x:row r="13" ht="28" customHeight="1">
      <x:c r="A13" s="432"/>
      <x:c r="B13" s="468" t="str">
        <x:f>IF((($J$44-1)*10+4)&gt;SUM($O$48:$O$247),"",INDEX('Clients'!$A$6:$A$205,MATCH((($J$44-1)*10+4),$P$48:$P$247,0)))</x:f>
      </x:c>
      <x:c r="C13" s="468"/>
      <x:c r="D13" s="468" t="str">
        <x:f>IF((($J$44-1)*10+4)&gt;SUM($O$48:$O$247),"",INDEX('Clients'!$B$6:$B$205,MATCH((($J$44-1)*10+4),$P$48:$P$247,0)))</x:f>
      </x:c>
      <x:c r="E13" s="468"/>
      <x:c r="F13" s="468"/>
      <x:c r="G13" s="468" t="str">
        <x:f>IF((($J$44-1)*10+4)&gt;SUM($O$48:$O$247),"",INDEX('Clients'!$C$6:$C$205,MATCH((($J$44-1)*10+4),$P$48:$P$247,0)))</x:f>
      </x:c>
      <x:c r="H13" s="468"/>
      <x:c r="I13" s="432"/>
      <x:c r="J13" s="453" t="str">
        <x:v>Buy / rent</x:v>
      </x:c>
      <x:c r="K13" s="453"/>
      <x:c r="L13" s="453"/>
      <x:c r="M13" s="455" t="str">
        <x:f>IF($O$44=0,"",IF(ISNUMBER(INDEX('Clients'!$I$6:$I$205,$O$44)),INDEX('Clients'!$I$6:$I$205,$O$44),IF(INDEX('Clients'!$I$6:$I$205,$O$44)="","",INDEX('Clients'!$I$6:$I$205,$O$44))))</x:f>
      </x:c>
      <x:c r="N13" s="455"/>
      <x:c r="O13" s="455"/>
      <x:c r="P13" s="455"/>
      <x:c r="Q13" s="432"/>
    </x:row>
    <x:row r="14" ht="28" customHeight="1">
      <x:c r="A14" s="432"/>
      <x:c r="B14" s="465" t="str">
        <x:f>IF((($J$44-1)*10+5)&gt;SUM($O$48:$O$247),"",INDEX('Clients'!$A$6:$A$205,MATCH((($J$44-1)*10+5),$P$48:$P$247,0)))</x:f>
      </x:c>
      <x:c r="C14" s="465"/>
      <x:c r="D14" s="465" t="str">
        <x:f>IF((($J$44-1)*10+5)&gt;SUM($O$48:$O$247),"",INDEX('Clients'!$B$6:$B$205,MATCH((($J$44-1)*10+5),$P$48:$P$247,0)))</x:f>
      </x:c>
      <x:c r="E14" s="465"/>
      <x:c r="F14" s="465"/>
      <x:c r="G14" s="465" t="str">
        <x:f>IF((($J$44-1)*10+5)&gt;SUM($O$48:$O$247),"",INDEX('Clients'!$C$6:$C$205,MATCH((($J$44-1)*10+5),$P$48:$P$247,0)))</x:f>
      </x:c>
      <x:c r="H14" s="465"/>
      <x:c r="I14" s="432"/>
      <x:c r="J14" s="449" t="str">
        <x:v>Emirate</x:v>
      </x:c>
      <x:c r="K14" s="449"/>
      <x:c r="L14" s="449"/>
      <x:c r="M14" s="451" t="str">
        <x:f>IF($O$44=0,"",IF(ISNUMBER(INDEX('Clients'!$J$6:$J$205,$O$44)),INDEX('Clients'!$J$6:$J$205,$O$44),IF(INDEX('Clients'!$J$6:$J$205,$O$44)="","",INDEX('Clients'!$J$6:$J$205,$O$44))))</x:f>
      </x:c>
      <x:c r="N14" s="451"/>
      <x:c r="O14" s="451"/>
      <x:c r="P14" s="451"/>
      <x:c r="Q14" s="432"/>
    </x:row>
    <x:row r="15" ht="28" customHeight="1">
      <x:c r="A15" s="432"/>
      <x:c r="B15" s="468" t="str">
        <x:f>IF((($J$44-1)*10+6)&gt;SUM($O$48:$O$247),"",INDEX('Clients'!$A$6:$A$205,MATCH((($J$44-1)*10+6),$P$48:$P$247,0)))</x:f>
      </x:c>
      <x:c r="C15" s="468"/>
      <x:c r="D15" s="468" t="str">
        <x:f>IF((($J$44-1)*10+6)&gt;SUM($O$48:$O$247),"",INDEX('Clients'!$B$6:$B$205,MATCH((($J$44-1)*10+6),$P$48:$P$247,0)))</x:f>
      </x:c>
      <x:c r="E15" s="468"/>
      <x:c r="F15" s="468"/>
      <x:c r="G15" s="468" t="str">
        <x:f>IF((($J$44-1)*10+6)&gt;SUM($O$48:$O$247),"",INDEX('Clients'!$C$6:$C$205,MATCH((($J$44-1)*10+6),$P$48:$P$247,0)))</x:f>
      </x:c>
      <x:c r="H15" s="468"/>
      <x:c r="I15" s="432"/>
      <x:c r="J15" s="453" t="str">
        <x:v>Property type</x:v>
      </x:c>
      <x:c r="K15" s="453"/>
      <x:c r="L15" s="453"/>
      <x:c r="M15" s="455" t="str">
        <x:f>IF($O$44=0,"",IF(ISNUMBER(INDEX('Clients'!$L$6:$L$205,$O$44)),INDEX('Clients'!$L$6:$L$205,$O$44),IF(INDEX('Clients'!$L$6:$L$205,$O$44)="","",INDEX('Clients'!$L$6:$L$205,$O$44))))</x:f>
      </x:c>
      <x:c r="N15" s="455"/>
      <x:c r="O15" s="455"/>
      <x:c r="P15" s="455"/>
      <x:c r="Q15" s="432"/>
    </x:row>
    <x:row r="16" ht="28" customHeight="1">
      <x:c r="A16" s="432"/>
      <x:c r="B16" s="465" t="str">
        <x:f>IF((($J$44-1)*10+7)&gt;SUM($O$48:$O$247),"",INDEX('Clients'!$A$6:$A$205,MATCH((($J$44-1)*10+7),$P$48:$P$247,0)))</x:f>
      </x:c>
      <x:c r="C16" s="465"/>
      <x:c r="D16" s="465" t="str">
        <x:f>IF((($J$44-1)*10+7)&gt;SUM($O$48:$O$247),"",INDEX('Clients'!$B$6:$B$205,MATCH((($J$44-1)*10+7),$P$48:$P$247,0)))</x:f>
      </x:c>
      <x:c r="E16" s="465"/>
      <x:c r="F16" s="465"/>
      <x:c r="G16" s="465" t="str">
        <x:f>IF((($J$44-1)*10+7)&gt;SUM($O$48:$O$247),"",INDEX('Clients'!$C$6:$C$205,MATCH((($J$44-1)*10+7),$P$48:$P$247,0)))</x:f>
      </x:c>
      <x:c r="H16" s="465"/>
      <x:c r="I16" s="432"/>
      <x:c r="J16" s="449" t="str">
        <x:v>Bedrooms</x:v>
      </x:c>
      <x:c r="K16" s="449"/>
      <x:c r="L16" s="449"/>
      <x:c r="M16" s="459" t="str">
        <x:f>IF($O$44=0,"",IF(ISNUMBER(INDEX('Clients'!$M$6:$M$205,$O$44)),INDEX('Clients'!$M$6:$M$205,$O$44),IF(INDEX('Clients'!$M$6:$M$205,$O$44)="","",INDEX('Clients'!$M$6:$M$205,$O$44))))</x:f>
      </x:c>
      <x:c r="N16" s="459"/>
      <x:c r="O16" s="459"/>
      <x:c r="P16" s="459"/>
      <x:c r="Q16" s="432"/>
    </x:row>
    <x:row r="17" ht="28" customHeight="1">
      <x:c r="A17" s="432"/>
      <x:c r="B17" s="468" t="str">
        <x:f>IF((($J$44-1)*10+8)&gt;SUM($O$48:$O$247),"",INDEX('Clients'!$A$6:$A$205,MATCH((($J$44-1)*10+8),$P$48:$P$247,0)))</x:f>
      </x:c>
      <x:c r="C17" s="468"/>
      <x:c r="D17" s="468" t="str">
        <x:f>IF((($J$44-1)*10+8)&gt;SUM($O$48:$O$247),"",INDEX('Clients'!$B$6:$B$205,MATCH((($J$44-1)*10+8),$P$48:$P$247,0)))</x:f>
      </x:c>
      <x:c r="E17" s="468"/>
      <x:c r="F17" s="468"/>
      <x:c r="G17" s="468" t="str">
        <x:f>IF((($J$44-1)*10+8)&gt;SUM($O$48:$O$247),"",INDEX('Clients'!$C$6:$C$205,MATCH((($J$44-1)*10+8),$P$48:$P$247,0)))</x:f>
      </x:c>
      <x:c r="H17" s="468"/>
      <x:c r="I17" s="432"/>
      <x:c r="J17" s="453" t="str">
        <x:v>Minimum budget</x:v>
      </x:c>
      <x:c r="K17" s="453"/>
      <x:c r="L17" s="453"/>
      <x:c r="M17" s="457" t="str">
        <x:f>IF($O$44=0,"",IF(ISNUMBER(INDEX('Clients'!$N$6:$N$205,$O$44)),INDEX('Clients'!$N$6:$N$205,$O$44),IF(INDEX('Clients'!$N$6:$N$205,$O$44)="","",INDEX('Clients'!$N$6:$N$205,$O$44))))</x:f>
      </x:c>
      <x:c r="N17" s="457"/>
      <x:c r="O17" s="457"/>
      <x:c r="P17" s="457"/>
      <x:c r="Q17" s="432"/>
    </x:row>
    <x:row r="18" ht="28" customHeight="1">
      <x:c r="A18" s="432"/>
      <x:c r="B18" s="465" t="str">
        <x:f>IF((($J$44-1)*10+9)&gt;SUM($O$48:$O$247),"",INDEX('Clients'!$A$6:$A$205,MATCH((($J$44-1)*10+9),$P$48:$P$247,0)))</x:f>
      </x:c>
      <x:c r="C18" s="465"/>
      <x:c r="D18" s="465" t="str">
        <x:f>IF((($J$44-1)*10+9)&gt;SUM($O$48:$O$247),"",INDEX('Clients'!$B$6:$B$205,MATCH((($J$44-1)*10+9),$P$48:$P$247,0)))</x:f>
      </x:c>
      <x:c r="E18" s="465"/>
      <x:c r="F18" s="465"/>
      <x:c r="G18" s="465" t="str">
        <x:f>IF((($J$44-1)*10+9)&gt;SUM($O$48:$O$247),"",INDEX('Clients'!$C$6:$C$205,MATCH((($J$44-1)*10+9),$P$48:$P$247,0)))</x:f>
      </x:c>
      <x:c r="H18" s="465"/>
      <x:c r="I18" s="432"/>
      <x:c r="J18" s="449" t="str">
        <x:v>Maximum budget</x:v>
      </x:c>
      <x:c r="K18" s="449"/>
      <x:c r="L18" s="449"/>
      <x:c r="M18" s="458" t="str">
        <x:f>IF($O$44=0,"",IF(ISNUMBER(INDEX('Clients'!$O$6:$O$205,$O$44)),INDEX('Clients'!$O$6:$O$205,$O$44),IF(INDEX('Clients'!$O$6:$O$205,$O$44)="","",INDEX('Clients'!$O$6:$O$205,$O$44))))</x:f>
      </x:c>
      <x:c r="N18" s="458"/>
      <x:c r="O18" s="458"/>
      <x:c r="P18" s="458"/>
      <x:c r="Q18" s="432"/>
    </x:row>
    <x:row r="19" ht="28" customHeight="1">
      <x:c r="A19" s="432"/>
      <x:c r="B19" s="468" t="str">
        <x:f>IF((($J$44-1)*10+10)&gt;SUM($O$48:$O$247),"",INDEX('Clients'!$A$6:$A$205,MATCH((($J$44-1)*10+10),$P$48:$P$247,0)))</x:f>
      </x:c>
      <x:c r="C19" s="468"/>
      <x:c r="D19" s="468" t="str">
        <x:f>IF((($J$44-1)*10+10)&gt;SUM($O$48:$O$247),"",INDEX('Clients'!$B$6:$B$205,MATCH((($J$44-1)*10+10),$P$48:$P$247,0)))</x:f>
      </x:c>
      <x:c r="E19" s="468"/>
      <x:c r="F19" s="468"/>
      <x:c r="G19" s="468" t="str">
        <x:f>IF((($J$44-1)*10+10)&gt;SUM($O$48:$O$247),"",INDEX('Clients'!$C$6:$C$205,MATCH((($J$44-1)*10+10),$P$48:$P$247,0)))</x:f>
      </x:c>
      <x:c r="H19" s="468"/>
      <x:c r="I19" s="432"/>
      <x:c r="J19" s="453" t="str">
        <x:v>Communities</x:v>
      </x:c>
      <x:c r="K19" s="453"/>
      <x:c r="L19" s="453"/>
      <x:c r="M19" s="455" t="str">
        <x:f>IF($O$44=0,"",IF(ISNUMBER(INDEX('Clients'!$K$6:$K$205,$O$44)),INDEX('Clients'!$K$6:$K$205,$O$44),IF(INDEX('Clients'!$K$6:$K$205,$O$44)="","",INDEX('Clients'!$K$6:$K$205,$O$44))))</x:f>
      </x:c>
      <x:c r="N19" s="455"/>
      <x:c r="O19" s="455"/>
      <x:c r="P19" s="455"/>
      <x:c r="Q19" s="432"/>
    </x:row>
    <x:row r="20" ht="26" customHeight="1">
      <x:c r="A20" s="432"/>
      <x:c r="B20" s="432"/>
      <x:c r="C20" s="432"/>
      <x:c r="D20" s="432"/>
      <x:c r="E20" s="432"/>
      <x:c r="F20" s="432"/>
      <x:c r="G20" s="432"/>
      <x:c r="H20" s="432"/>
      <x:c r="I20" s="432"/>
      <x:c r="J20" s="449" t="str">
        <x:v>Next follow-up</x:v>
      </x:c>
      <x:c r="K20" s="449"/>
      <x:c r="L20" s="449"/>
      <x:c r="M20" s="456" t="str">
        <x:f>IF($O$44=0,"",IF(ISNUMBER(INDEX('Clients'!$V$6:$V$205,$O$44)),INDEX('Clients'!$V$6:$V$205,$O$44),IF(INDEX('Clients'!$V$6:$V$205,$O$44)="","",INDEX('Clients'!$V$6:$V$205,$O$44))))</x:f>
      </x:c>
      <x:c r="N20" s="456"/>
      <x:c r="O20" s="456"/>
      <x:c r="P20" s="456"/>
      <x:c r="Q20" s="432"/>
    </x:row>
    <x:row r="21" ht="26" customHeight="1">
      <x:c r="A21" s="432"/>
      <x:c r="B21" s="461" t="str">
        <x:v>Select an ID from the results in the amber Client ID field. Reset page numbers to 1 when you change filters.</x:v>
      </x:c>
      <x:c r="C21" s="461"/>
      <x:c r="D21" s="461"/>
      <x:c r="E21" s="461"/>
      <x:c r="F21" s="461"/>
      <x:c r="G21" s="461"/>
      <x:c r="H21" s="461"/>
      <x:c r="I21" s="432"/>
      <x:c r="J21" s="453" t="str">
        <x:v>Follow-up status</x:v>
      </x:c>
      <x:c r="K21" s="453"/>
      <x:c r="L21" s="453"/>
      <x:c r="M21" s="455" t="str">
        <x:f>IF($O$44=0,"",IF(ISNUMBER(INDEX('Clients'!$W$6:$W$205,$O$44)),INDEX('Clients'!$W$6:$W$205,$O$44),IF(INDEX('Clients'!$W$6:$W$205,$O$44)="","",INDEX('Clients'!$W$6:$W$205,$O$44))))</x:f>
      </x:c>
      <x:c r="N21" s="455"/>
      <x:c r="O21" s="455"/>
      <x:c r="P21" s="455"/>
      <x:c r="Q21" s="432"/>
    </x:row>
    <x:row r="22" ht="26" customHeight="1">
      <x:c r="A22" s="432"/>
      <x:c r="B22" s="461"/>
      <x:c r="C22" s="461"/>
      <x:c r="D22" s="461"/>
      <x:c r="E22" s="461"/>
      <x:c r="F22" s="461"/>
      <x:c r="G22" s="461"/>
      <x:c r="H22" s="461"/>
      <x:c r="I22" s="432"/>
      <x:c r="J22" s="449" t="str">
        <x:v>Last contact</x:v>
      </x:c>
      <x:c r="K22" s="449"/>
      <x:c r="L22" s="449"/>
      <x:c r="M22" s="456" t="str">
        <x:f>IF($O$44=0,"",IF(ISNUMBER(INDEX('Clients'!$U$6:$U$205,$O$44)),INDEX('Clients'!$U$6:$U$205,$O$44),IF(INDEX('Clients'!$U$6:$U$205,$O$44)="","",INDEX('Clients'!$U$6:$U$205,$O$44))))</x:f>
      </x:c>
      <x:c r="N22" s="456"/>
      <x:c r="O22" s="456"/>
      <x:c r="P22" s="456"/>
      <x:c r="Q22" s="432"/>
    </x:row>
    <x:row r="23" ht="25" customHeight="1">
      <x:c r="A23" s="432"/>
      <x:c r="B23" s="432"/>
      <x:c r="C23" s="432"/>
      <x:c r="D23" s="432"/>
      <x:c r="E23" s="432"/>
      <x:c r="F23" s="432"/>
      <x:c r="G23" s="432"/>
      <x:c r="H23" s="432"/>
      <x:c r="I23" s="432"/>
      <x:c r="J23" s="432"/>
      <x:c r="K23" s="432"/>
      <x:c r="L23" s="432"/>
      <x:c r="M23" s="432"/>
      <x:c r="N23" s="432"/>
      <x:c r="O23" s="432"/>
      <x:c r="P23" s="432"/>
      <x:c r="Q23" s="432"/>
    </x:row>
    <x:row r="24" ht="28" customHeight="1">
      <x:c r="A24" s="432"/>
      <x:c r="B24" s="444" t="str">
        <x:v>Available property matches</x:v>
      </x:c>
      <x:c r="C24" s="444"/>
      <x:c r="D24" s="444"/>
      <x:c r="E24" s="444"/>
      <x:c r="F24" s="444"/>
      <x:c r="G24" s="444"/>
      <x:c r="H24" s="444"/>
      <x:c r="I24" s="444"/>
      <x:c r="J24" s="444"/>
      <x:c r="K24" s="444"/>
      <x:c r="L24" s="444"/>
      <x:c r="M24" s="444"/>
      <x:c r="N24" s="444"/>
      <x:c r="O24" s="444"/>
      <x:c r="P24" s="444"/>
      <x:c r="Q24" s="432"/>
    </x:row>
    <x:row r="25" ht="30" customHeight="1">
      <x:c r="A25" s="432"/>
      <x:c r="B25" s="437" t="str">
        <x:f>IF(J6="","Select a client to see suggestions",IF(O44=0,"Select a unique, valid Client ID",IF(OR(AND(M13&lt;&gt;"Buy",M13&lt;&gt;"Rent"),NOT(ISNUMBER(M18)),M18&lt;=0),"Add Buy / Rent and a positive maximum budget in Clients",SUM(J48:J247)&amp;" properties. Page "&amp;K44&amp;" of "&amp;MAX(1,ROUNDUP(SUM(J48:J247)/10,0)))))</x:f>
        <x:v>Select a client to see suggestions</x:v>
      </x:c>
      <x:c r="C25" s="437"/>
      <x:c r="D25" s="437"/>
      <x:c r="E25" s="437"/>
      <x:c r="F25" s="437"/>
      <x:c r="G25" s="437"/>
      <x:c r="H25" s="437"/>
      <x:c r="I25" s="437"/>
      <x:c r="J25" s="437"/>
      <x:c r="K25" s="437"/>
      <x:c r="L25" s="437"/>
      <x:c r="M25" s="437"/>
      <x:c r="N25" s="437"/>
      <x:c r="O25" s="437"/>
      <x:c r="P25" s="437"/>
      <x:c r="Q25" s="432"/>
    </x:row>
    <x:row r="26" ht="25" customHeight="1">
      <x:c r="A26" s="432"/>
      <x:c r="B26" s="432"/>
      <x:c r="C26" s="432"/>
      <x:c r="D26" s="432"/>
      <x:c r="E26" s="432"/>
      <x:c r="F26" s="432"/>
      <x:c r="G26" s="432"/>
      <x:c r="H26" s="432"/>
      <x:c r="I26" s="432"/>
      <x:c r="J26" s="432"/>
      <x:c r="K26" s="432"/>
      <x:c r="L26" s="432"/>
      <x:c r="M26" s="432"/>
      <x:c r="N26" s="432"/>
      <x:c r="O26" s="432"/>
      <x:c r="P26" s="432"/>
      <x:c r="Q26" s="432"/>
    </x:row>
    <x:row r="27" ht="36" customHeight="1">
      <x:c r="A27" s="432"/>
      <x:c r="B27" s="447" t="str">
        <x:v>Property ID</x:v>
      </x:c>
      <x:c r="C27" s="447"/>
      <x:c r="D27" s="447" t="str">
        <x:v>Listing title</x:v>
      </x:c>
      <x:c r="E27" s="447"/>
      <x:c r="F27" s="447"/>
      <x:c r="G27" s="447"/>
      <x:c r="H27" s="447" t="str">
        <x:v>Community</x:v>
      </x:c>
      <x:c r="I27" s="447"/>
      <x:c r="J27" s="447"/>
      <x:c r="K27" s="447" t="str">
        <x:v>Bedrooms</x:v>
      </x:c>
      <x:c r="L27" s="447"/>
      <x:c r="M27" s="447" t="str">
        <x:v>Price / annual rent</x:v>
      </x:c>
      <x:c r="N27" s="447"/>
      <x:c r="O27" s="447" t="str">
        <x:v>Last verified</x:v>
      </x:c>
      <x:c r="P27" s="447"/>
      <x:c r="Q27" s="432"/>
    </x:row>
    <x:row r="28" ht="30" customHeight="1">
      <x:c r="A28" s="432"/>
      <x:c r="B28" s="465" t="str">
        <x:f>IF((($K$44-1)*10+1)&gt;SUM($J$48:$J$247),"",IF(ISNUMBER(INDEX('Properties'!$A$6:$A$205,MATCH((($K$44-1)*10+1),$K$48:$K$247,0))),INDEX('Properties'!$A$6:$A$205,MATCH((($K$44-1)*10+1),$K$48:$K$247,0)),IF(INDEX('Properties'!$A$6:$A$205,MATCH((($K$44-1)*10+1),$K$48:$K$247,0))="","",INDEX('Properties'!$A$6:$A$205,MATCH((($K$44-1)*10+1),$K$48:$K$247,0)))))</x:f>
      </x:c>
      <x:c r="C28" s="465"/>
      <x:c r="D28" s="465" t="str">
        <x:f>IF((($K$44-1)*10+1)&gt;SUM($J$48:$J$247),"",IF(ISNUMBER(INDEX('Properties'!$B$6:$B$205,MATCH((($K$44-1)*10+1),$K$48:$K$247,0))),INDEX('Properties'!$B$6:$B$205,MATCH((($K$44-1)*10+1),$K$48:$K$247,0)),IF(INDEX('Properties'!$B$6:$B$205,MATCH((($K$44-1)*10+1),$K$48:$K$247,0))="","",INDEX('Properties'!$B$6:$B$205,MATCH((($K$44-1)*10+1),$K$48:$K$247,0)))))</x:f>
      </x:c>
      <x:c r="E28" s="465"/>
      <x:c r="F28" s="465"/>
      <x:c r="G28" s="465"/>
      <x:c r="H28" s="465" t="str">
        <x:f>IF((($K$44-1)*10+1)&gt;SUM($J$48:$J$247),"",IF(ISNUMBER(INDEX('Properties'!$F$6:$F$205,MATCH((($K$44-1)*10+1),$K$48:$K$247,0))),INDEX('Properties'!$F$6:$F$205,MATCH((($K$44-1)*10+1),$K$48:$K$247,0)),IF(INDEX('Properties'!$F$6:$F$205,MATCH((($K$44-1)*10+1),$K$48:$K$247,0))="","",INDEX('Properties'!$F$6:$F$205,MATCH((($K$44-1)*10+1),$K$48:$K$247,0)))))</x:f>
      </x:c>
      <x:c r="I28" s="465"/>
      <x:c r="J28" s="465"/>
      <x:c r="K28" s="465" t="str">
        <x:f>IF((($K$44-1)*10+1)&gt;SUM($J$48:$J$247),"",IF(ISNUMBER(INDEX('Properties'!$J$6:$J$205,MATCH((($K$44-1)*10+1),$K$48:$K$247,0))),INDEX('Properties'!$J$6:$J$205,MATCH((($K$44-1)*10+1),$K$48:$K$247,0)),IF(INDEX('Properties'!$J$6:$J$205,MATCH((($K$44-1)*10+1),$K$48:$K$247,0))="","",INDEX('Properties'!$J$6:$J$205,MATCH((($K$44-1)*10+1),$K$48:$K$247,0)))))</x:f>
      </x:c>
      <x:c r="L28" s="465"/>
      <x:c r="M28" s="466" t="str">
        <x:f>IF((($K$44-1)*10+1)&gt;SUM($J$48:$J$247),"",IF(ISNUMBER(INDEX('Properties'!$L$6:$L$205,MATCH((($K$44-1)*10+1),$K$48:$K$247,0))),INDEX('Properties'!$L$6:$L$205,MATCH((($K$44-1)*10+1),$K$48:$K$247,0)),IF(INDEX('Properties'!$L$6:$L$205,MATCH((($K$44-1)*10+1),$K$48:$K$247,0))="","",INDEX('Properties'!$L$6:$L$205,MATCH((($K$44-1)*10+1),$K$48:$K$247,0)))))</x:f>
      </x:c>
      <x:c r="N28" s="466"/>
      <x:c r="O28" s="467" t="str">
        <x:f>IF((($K$44-1)*10+1)&gt;SUM($J$48:$J$247),"",IF(ISNUMBER(INDEX('Properties'!$S$6:$S$205,MATCH((($K$44-1)*10+1),$K$48:$K$247,0))),INDEX('Properties'!$S$6:$S$205,MATCH((($K$44-1)*10+1),$K$48:$K$247,0)),IF(INDEX('Properties'!$S$6:$S$205,MATCH((($K$44-1)*10+1),$K$48:$K$247,0))="","",INDEX('Properties'!$S$6:$S$205,MATCH((($K$44-1)*10+1),$K$48:$K$247,0)))))</x:f>
      </x:c>
      <x:c r="P28" s="467"/>
      <x:c r="Q28" s="432"/>
    </x:row>
    <x:row r="29" ht="30" customHeight="1">
      <x:c r="A29" s="432"/>
      <x:c r="B29" s="468" t="str">
        <x:f>IF((($K$44-1)*10+2)&gt;SUM($J$48:$J$247),"",IF(ISNUMBER(INDEX('Properties'!$A$6:$A$205,MATCH((($K$44-1)*10+2),$K$48:$K$247,0))),INDEX('Properties'!$A$6:$A$205,MATCH((($K$44-1)*10+2),$K$48:$K$247,0)),IF(INDEX('Properties'!$A$6:$A$205,MATCH((($K$44-1)*10+2),$K$48:$K$247,0))="","",INDEX('Properties'!$A$6:$A$205,MATCH((($K$44-1)*10+2),$K$48:$K$247,0)))))</x:f>
      </x:c>
      <x:c r="C29" s="468"/>
      <x:c r="D29" s="468" t="str">
        <x:f>IF((($K$44-1)*10+2)&gt;SUM($J$48:$J$247),"",IF(ISNUMBER(INDEX('Properties'!$B$6:$B$205,MATCH((($K$44-1)*10+2),$K$48:$K$247,0))),INDEX('Properties'!$B$6:$B$205,MATCH((($K$44-1)*10+2),$K$48:$K$247,0)),IF(INDEX('Properties'!$B$6:$B$205,MATCH((($K$44-1)*10+2),$K$48:$K$247,0))="","",INDEX('Properties'!$B$6:$B$205,MATCH((($K$44-1)*10+2),$K$48:$K$247,0)))))</x:f>
      </x:c>
      <x:c r="E29" s="468"/>
      <x:c r="F29" s="468"/>
      <x:c r="G29" s="468"/>
      <x:c r="H29" s="468" t="str">
        <x:f>IF((($K$44-1)*10+2)&gt;SUM($J$48:$J$247),"",IF(ISNUMBER(INDEX('Properties'!$F$6:$F$205,MATCH((($K$44-1)*10+2),$K$48:$K$247,0))),INDEX('Properties'!$F$6:$F$205,MATCH((($K$44-1)*10+2),$K$48:$K$247,0)),IF(INDEX('Properties'!$F$6:$F$205,MATCH((($K$44-1)*10+2),$K$48:$K$247,0))="","",INDEX('Properties'!$F$6:$F$205,MATCH((($K$44-1)*10+2),$K$48:$K$247,0)))))</x:f>
      </x:c>
      <x:c r="I29" s="468"/>
      <x:c r="J29" s="468"/>
      <x:c r="K29" s="468" t="str">
        <x:f>IF((($K$44-1)*10+2)&gt;SUM($J$48:$J$247),"",IF(ISNUMBER(INDEX('Properties'!$J$6:$J$205,MATCH((($K$44-1)*10+2),$K$48:$K$247,0))),INDEX('Properties'!$J$6:$J$205,MATCH((($K$44-1)*10+2),$K$48:$K$247,0)),IF(INDEX('Properties'!$J$6:$J$205,MATCH((($K$44-1)*10+2),$K$48:$K$247,0))="","",INDEX('Properties'!$J$6:$J$205,MATCH((($K$44-1)*10+2),$K$48:$K$247,0)))))</x:f>
      </x:c>
      <x:c r="L29" s="468"/>
      <x:c r="M29" s="469" t="str">
        <x:f>IF((($K$44-1)*10+2)&gt;SUM($J$48:$J$247),"",IF(ISNUMBER(INDEX('Properties'!$L$6:$L$205,MATCH((($K$44-1)*10+2),$K$48:$K$247,0))),INDEX('Properties'!$L$6:$L$205,MATCH((($K$44-1)*10+2),$K$48:$K$247,0)),IF(INDEX('Properties'!$L$6:$L$205,MATCH((($K$44-1)*10+2),$K$48:$K$247,0))="","",INDEX('Properties'!$L$6:$L$205,MATCH((($K$44-1)*10+2),$K$48:$K$247,0)))))</x:f>
      </x:c>
      <x:c r="N29" s="469"/>
      <x:c r="O29" s="470" t="str">
        <x:f>IF((($K$44-1)*10+2)&gt;SUM($J$48:$J$247),"",IF(ISNUMBER(INDEX('Properties'!$S$6:$S$205,MATCH((($K$44-1)*10+2),$K$48:$K$247,0))),INDEX('Properties'!$S$6:$S$205,MATCH((($K$44-1)*10+2),$K$48:$K$247,0)),IF(INDEX('Properties'!$S$6:$S$205,MATCH((($K$44-1)*10+2),$K$48:$K$247,0))="","",INDEX('Properties'!$S$6:$S$205,MATCH((($K$44-1)*10+2),$K$48:$K$247,0)))))</x:f>
      </x:c>
      <x:c r="P29" s="470"/>
      <x:c r="Q29" s="432"/>
    </x:row>
    <x:row r="30" ht="30" customHeight="1">
      <x:c r="A30" s="432"/>
      <x:c r="B30" s="465" t="str">
        <x:f>IF((($K$44-1)*10+3)&gt;SUM($J$48:$J$247),"",IF(ISNUMBER(INDEX('Properties'!$A$6:$A$205,MATCH((($K$44-1)*10+3),$K$48:$K$247,0))),INDEX('Properties'!$A$6:$A$205,MATCH((($K$44-1)*10+3),$K$48:$K$247,0)),IF(INDEX('Properties'!$A$6:$A$205,MATCH((($K$44-1)*10+3),$K$48:$K$247,0))="","",INDEX('Properties'!$A$6:$A$205,MATCH((($K$44-1)*10+3),$K$48:$K$247,0)))))</x:f>
      </x:c>
      <x:c r="C30" s="465"/>
      <x:c r="D30" s="465" t="str">
        <x:f>IF((($K$44-1)*10+3)&gt;SUM($J$48:$J$247),"",IF(ISNUMBER(INDEX('Properties'!$B$6:$B$205,MATCH((($K$44-1)*10+3),$K$48:$K$247,0))),INDEX('Properties'!$B$6:$B$205,MATCH((($K$44-1)*10+3),$K$48:$K$247,0)),IF(INDEX('Properties'!$B$6:$B$205,MATCH((($K$44-1)*10+3),$K$48:$K$247,0))="","",INDEX('Properties'!$B$6:$B$205,MATCH((($K$44-1)*10+3),$K$48:$K$247,0)))))</x:f>
      </x:c>
      <x:c r="E30" s="465"/>
      <x:c r="F30" s="465"/>
      <x:c r="G30" s="465"/>
      <x:c r="H30" s="465" t="str">
        <x:f>IF((($K$44-1)*10+3)&gt;SUM($J$48:$J$247),"",IF(ISNUMBER(INDEX('Properties'!$F$6:$F$205,MATCH((($K$44-1)*10+3),$K$48:$K$247,0))),INDEX('Properties'!$F$6:$F$205,MATCH((($K$44-1)*10+3),$K$48:$K$247,0)),IF(INDEX('Properties'!$F$6:$F$205,MATCH((($K$44-1)*10+3),$K$48:$K$247,0))="","",INDEX('Properties'!$F$6:$F$205,MATCH((($K$44-1)*10+3),$K$48:$K$247,0)))))</x:f>
      </x:c>
      <x:c r="I30" s="465"/>
      <x:c r="J30" s="465"/>
      <x:c r="K30" s="465" t="str">
        <x:f>IF((($K$44-1)*10+3)&gt;SUM($J$48:$J$247),"",IF(ISNUMBER(INDEX('Properties'!$J$6:$J$205,MATCH((($K$44-1)*10+3),$K$48:$K$247,0))),INDEX('Properties'!$J$6:$J$205,MATCH((($K$44-1)*10+3),$K$48:$K$247,0)),IF(INDEX('Properties'!$J$6:$J$205,MATCH((($K$44-1)*10+3),$K$48:$K$247,0))="","",INDEX('Properties'!$J$6:$J$205,MATCH((($K$44-1)*10+3),$K$48:$K$247,0)))))</x:f>
      </x:c>
      <x:c r="L30" s="465"/>
      <x:c r="M30" s="466" t="str">
        <x:f>IF((($K$44-1)*10+3)&gt;SUM($J$48:$J$247),"",IF(ISNUMBER(INDEX('Properties'!$L$6:$L$205,MATCH((($K$44-1)*10+3),$K$48:$K$247,0))),INDEX('Properties'!$L$6:$L$205,MATCH((($K$44-1)*10+3),$K$48:$K$247,0)),IF(INDEX('Properties'!$L$6:$L$205,MATCH((($K$44-1)*10+3),$K$48:$K$247,0))="","",INDEX('Properties'!$L$6:$L$205,MATCH((($K$44-1)*10+3),$K$48:$K$247,0)))))</x:f>
      </x:c>
      <x:c r="N30" s="466"/>
      <x:c r="O30" s="467" t="str">
        <x:f>IF((($K$44-1)*10+3)&gt;SUM($J$48:$J$247),"",IF(ISNUMBER(INDEX('Properties'!$S$6:$S$205,MATCH((($K$44-1)*10+3),$K$48:$K$247,0))),INDEX('Properties'!$S$6:$S$205,MATCH((($K$44-1)*10+3),$K$48:$K$247,0)),IF(INDEX('Properties'!$S$6:$S$205,MATCH((($K$44-1)*10+3),$K$48:$K$247,0))="","",INDEX('Properties'!$S$6:$S$205,MATCH((($K$44-1)*10+3),$K$48:$K$247,0)))))</x:f>
      </x:c>
      <x:c r="P30" s="467"/>
      <x:c r="Q30" s="432"/>
    </x:row>
    <x:row r="31" ht="30" customHeight="1">
      <x:c r="A31" s="432"/>
      <x:c r="B31" s="468" t="str">
        <x:f>IF((($K$44-1)*10+4)&gt;SUM($J$48:$J$247),"",IF(ISNUMBER(INDEX('Properties'!$A$6:$A$205,MATCH((($K$44-1)*10+4),$K$48:$K$247,0))),INDEX('Properties'!$A$6:$A$205,MATCH((($K$44-1)*10+4),$K$48:$K$247,0)),IF(INDEX('Properties'!$A$6:$A$205,MATCH((($K$44-1)*10+4),$K$48:$K$247,0))="","",INDEX('Properties'!$A$6:$A$205,MATCH((($K$44-1)*10+4),$K$48:$K$247,0)))))</x:f>
      </x:c>
      <x:c r="C31" s="468"/>
      <x:c r="D31" s="468" t="str">
        <x:f>IF((($K$44-1)*10+4)&gt;SUM($J$48:$J$247),"",IF(ISNUMBER(INDEX('Properties'!$B$6:$B$205,MATCH((($K$44-1)*10+4),$K$48:$K$247,0))),INDEX('Properties'!$B$6:$B$205,MATCH((($K$44-1)*10+4),$K$48:$K$247,0)),IF(INDEX('Properties'!$B$6:$B$205,MATCH((($K$44-1)*10+4),$K$48:$K$247,0))="","",INDEX('Properties'!$B$6:$B$205,MATCH((($K$44-1)*10+4),$K$48:$K$247,0)))))</x:f>
      </x:c>
      <x:c r="E31" s="468"/>
      <x:c r="F31" s="468"/>
      <x:c r="G31" s="468"/>
      <x:c r="H31" s="468" t="str">
        <x:f>IF((($K$44-1)*10+4)&gt;SUM($J$48:$J$247),"",IF(ISNUMBER(INDEX('Properties'!$F$6:$F$205,MATCH((($K$44-1)*10+4),$K$48:$K$247,0))),INDEX('Properties'!$F$6:$F$205,MATCH((($K$44-1)*10+4),$K$48:$K$247,0)),IF(INDEX('Properties'!$F$6:$F$205,MATCH((($K$44-1)*10+4),$K$48:$K$247,0))="","",INDEX('Properties'!$F$6:$F$205,MATCH((($K$44-1)*10+4),$K$48:$K$247,0)))))</x:f>
      </x:c>
      <x:c r="I31" s="468"/>
      <x:c r="J31" s="468"/>
      <x:c r="K31" s="468" t="str">
        <x:f>IF((($K$44-1)*10+4)&gt;SUM($J$48:$J$247),"",IF(ISNUMBER(INDEX('Properties'!$J$6:$J$205,MATCH((($K$44-1)*10+4),$K$48:$K$247,0))),INDEX('Properties'!$J$6:$J$205,MATCH((($K$44-1)*10+4),$K$48:$K$247,0)),IF(INDEX('Properties'!$J$6:$J$205,MATCH((($K$44-1)*10+4),$K$48:$K$247,0))="","",INDEX('Properties'!$J$6:$J$205,MATCH((($K$44-1)*10+4),$K$48:$K$247,0)))))</x:f>
      </x:c>
      <x:c r="L31" s="468"/>
      <x:c r="M31" s="469" t="str">
        <x:f>IF((($K$44-1)*10+4)&gt;SUM($J$48:$J$247),"",IF(ISNUMBER(INDEX('Properties'!$L$6:$L$205,MATCH((($K$44-1)*10+4),$K$48:$K$247,0))),INDEX('Properties'!$L$6:$L$205,MATCH((($K$44-1)*10+4),$K$48:$K$247,0)),IF(INDEX('Properties'!$L$6:$L$205,MATCH((($K$44-1)*10+4),$K$48:$K$247,0))="","",INDEX('Properties'!$L$6:$L$205,MATCH((($K$44-1)*10+4),$K$48:$K$247,0)))))</x:f>
      </x:c>
      <x:c r="N31" s="469"/>
      <x:c r="O31" s="470" t="str">
        <x:f>IF((($K$44-1)*10+4)&gt;SUM($J$48:$J$247),"",IF(ISNUMBER(INDEX('Properties'!$S$6:$S$205,MATCH((($K$44-1)*10+4),$K$48:$K$247,0))),INDEX('Properties'!$S$6:$S$205,MATCH((($K$44-1)*10+4),$K$48:$K$247,0)),IF(INDEX('Properties'!$S$6:$S$205,MATCH((($K$44-1)*10+4),$K$48:$K$247,0))="","",INDEX('Properties'!$S$6:$S$205,MATCH((($K$44-1)*10+4),$K$48:$K$247,0)))))</x:f>
      </x:c>
      <x:c r="P31" s="470"/>
      <x:c r="Q31" s="432"/>
    </x:row>
    <x:row r="32" ht="30" customHeight="1">
      <x:c r="A32" s="432"/>
      <x:c r="B32" s="465" t="str">
        <x:f>IF((($K$44-1)*10+5)&gt;SUM($J$48:$J$247),"",IF(ISNUMBER(INDEX('Properties'!$A$6:$A$205,MATCH((($K$44-1)*10+5),$K$48:$K$247,0))),INDEX('Properties'!$A$6:$A$205,MATCH((($K$44-1)*10+5),$K$48:$K$247,0)),IF(INDEX('Properties'!$A$6:$A$205,MATCH((($K$44-1)*10+5),$K$48:$K$247,0))="","",INDEX('Properties'!$A$6:$A$205,MATCH((($K$44-1)*10+5),$K$48:$K$247,0)))))</x:f>
      </x:c>
      <x:c r="C32" s="465"/>
      <x:c r="D32" s="465" t="str">
        <x:f>IF((($K$44-1)*10+5)&gt;SUM($J$48:$J$247),"",IF(ISNUMBER(INDEX('Properties'!$B$6:$B$205,MATCH((($K$44-1)*10+5),$K$48:$K$247,0))),INDEX('Properties'!$B$6:$B$205,MATCH((($K$44-1)*10+5),$K$48:$K$247,0)),IF(INDEX('Properties'!$B$6:$B$205,MATCH((($K$44-1)*10+5),$K$48:$K$247,0))="","",INDEX('Properties'!$B$6:$B$205,MATCH((($K$44-1)*10+5),$K$48:$K$247,0)))))</x:f>
      </x:c>
      <x:c r="E32" s="465"/>
      <x:c r="F32" s="465"/>
      <x:c r="G32" s="465"/>
      <x:c r="H32" s="465" t="str">
        <x:f>IF((($K$44-1)*10+5)&gt;SUM($J$48:$J$247),"",IF(ISNUMBER(INDEX('Properties'!$F$6:$F$205,MATCH((($K$44-1)*10+5),$K$48:$K$247,0))),INDEX('Properties'!$F$6:$F$205,MATCH((($K$44-1)*10+5),$K$48:$K$247,0)),IF(INDEX('Properties'!$F$6:$F$205,MATCH((($K$44-1)*10+5),$K$48:$K$247,0))="","",INDEX('Properties'!$F$6:$F$205,MATCH((($K$44-1)*10+5),$K$48:$K$247,0)))))</x:f>
      </x:c>
      <x:c r="I32" s="465"/>
      <x:c r="J32" s="465"/>
      <x:c r="K32" s="465" t="str">
        <x:f>IF((($K$44-1)*10+5)&gt;SUM($J$48:$J$247),"",IF(ISNUMBER(INDEX('Properties'!$J$6:$J$205,MATCH((($K$44-1)*10+5),$K$48:$K$247,0))),INDEX('Properties'!$J$6:$J$205,MATCH((($K$44-1)*10+5),$K$48:$K$247,0)),IF(INDEX('Properties'!$J$6:$J$205,MATCH((($K$44-1)*10+5),$K$48:$K$247,0))="","",INDEX('Properties'!$J$6:$J$205,MATCH((($K$44-1)*10+5),$K$48:$K$247,0)))))</x:f>
      </x:c>
      <x:c r="L32" s="465"/>
      <x:c r="M32" s="466" t="str">
        <x:f>IF((($K$44-1)*10+5)&gt;SUM($J$48:$J$247),"",IF(ISNUMBER(INDEX('Properties'!$L$6:$L$205,MATCH((($K$44-1)*10+5),$K$48:$K$247,0))),INDEX('Properties'!$L$6:$L$205,MATCH((($K$44-1)*10+5),$K$48:$K$247,0)),IF(INDEX('Properties'!$L$6:$L$205,MATCH((($K$44-1)*10+5),$K$48:$K$247,0))="","",INDEX('Properties'!$L$6:$L$205,MATCH((($K$44-1)*10+5),$K$48:$K$247,0)))))</x:f>
      </x:c>
      <x:c r="N32" s="466"/>
      <x:c r="O32" s="467" t="str">
        <x:f>IF((($K$44-1)*10+5)&gt;SUM($J$48:$J$247),"",IF(ISNUMBER(INDEX('Properties'!$S$6:$S$205,MATCH((($K$44-1)*10+5),$K$48:$K$247,0))),INDEX('Properties'!$S$6:$S$205,MATCH((($K$44-1)*10+5),$K$48:$K$247,0)),IF(INDEX('Properties'!$S$6:$S$205,MATCH((($K$44-1)*10+5),$K$48:$K$247,0))="","",INDEX('Properties'!$S$6:$S$205,MATCH((($K$44-1)*10+5),$K$48:$K$247,0)))))</x:f>
      </x:c>
      <x:c r="P32" s="467"/>
      <x:c r="Q32" s="432"/>
    </x:row>
    <x:row r="33" ht="30" customHeight="1">
      <x:c r="A33" s="432"/>
      <x:c r="B33" s="468" t="str">
        <x:f>IF((($K$44-1)*10+6)&gt;SUM($J$48:$J$247),"",IF(ISNUMBER(INDEX('Properties'!$A$6:$A$205,MATCH((($K$44-1)*10+6),$K$48:$K$247,0))),INDEX('Properties'!$A$6:$A$205,MATCH((($K$44-1)*10+6),$K$48:$K$247,0)),IF(INDEX('Properties'!$A$6:$A$205,MATCH((($K$44-1)*10+6),$K$48:$K$247,0))="","",INDEX('Properties'!$A$6:$A$205,MATCH((($K$44-1)*10+6),$K$48:$K$247,0)))))</x:f>
      </x:c>
      <x:c r="C33" s="468"/>
      <x:c r="D33" s="468" t="str">
        <x:f>IF((($K$44-1)*10+6)&gt;SUM($J$48:$J$247),"",IF(ISNUMBER(INDEX('Properties'!$B$6:$B$205,MATCH((($K$44-1)*10+6),$K$48:$K$247,0))),INDEX('Properties'!$B$6:$B$205,MATCH((($K$44-1)*10+6),$K$48:$K$247,0)),IF(INDEX('Properties'!$B$6:$B$205,MATCH((($K$44-1)*10+6),$K$48:$K$247,0))="","",INDEX('Properties'!$B$6:$B$205,MATCH((($K$44-1)*10+6),$K$48:$K$247,0)))))</x:f>
      </x:c>
      <x:c r="E33" s="468"/>
      <x:c r="F33" s="468"/>
      <x:c r="G33" s="468"/>
      <x:c r="H33" s="468" t="str">
        <x:f>IF((($K$44-1)*10+6)&gt;SUM($J$48:$J$247),"",IF(ISNUMBER(INDEX('Properties'!$F$6:$F$205,MATCH((($K$44-1)*10+6),$K$48:$K$247,0))),INDEX('Properties'!$F$6:$F$205,MATCH((($K$44-1)*10+6),$K$48:$K$247,0)),IF(INDEX('Properties'!$F$6:$F$205,MATCH((($K$44-1)*10+6),$K$48:$K$247,0))="","",INDEX('Properties'!$F$6:$F$205,MATCH((($K$44-1)*10+6),$K$48:$K$247,0)))))</x:f>
      </x:c>
      <x:c r="I33" s="468"/>
      <x:c r="J33" s="468"/>
      <x:c r="K33" s="468" t="str">
        <x:f>IF((($K$44-1)*10+6)&gt;SUM($J$48:$J$247),"",IF(ISNUMBER(INDEX('Properties'!$J$6:$J$205,MATCH((($K$44-1)*10+6),$K$48:$K$247,0))),INDEX('Properties'!$J$6:$J$205,MATCH((($K$44-1)*10+6),$K$48:$K$247,0)),IF(INDEX('Properties'!$J$6:$J$205,MATCH((($K$44-1)*10+6),$K$48:$K$247,0))="","",INDEX('Properties'!$J$6:$J$205,MATCH((($K$44-1)*10+6),$K$48:$K$247,0)))))</x:f>
      </x:c>
      <x:c r="L33" s="468"/>
      <x:c r="M33" s="469" t="str">
        <x:f>IF((($K$44-1)*10+6)&gt;SUM($J$48:$J$247),"",IF(ISNUMBER(INDEX('Properties'!$L$6:$L$205,MATCH((($K$44-1)*10+6),$K$48:$K$247,0))),INDEX('Properties'!$L$6:$L$205,MATCH((($K$44-1)*10+6),$K$48:$K$247,0)),IF(INDEX('Properties'!$L$6:$L$205,MATCH((($K$44-1)*10+6),$K$48:$K$247,0))="","",INDEX('Properties'!$L$6:$L$205,MATCH((($K$44-1)*10+6),$K$48:$K$247,0)))))</x:f>
      </x:c>
      <x:c r="N33" s="469"/>
      <x:c r="O33" s="470" t="str">
        <x:f>IF((($K$44-1)*10+6)&gt;SUM($J$48:$J$247),"",IF(ISNUMBER(INDEX('Properties'!$S$6:$S$205,MATCH((($K$44-1)*10+6),$K$48:$K$247,0))),INDEX('Properties'!$S$6:$S$205,MATCH((($K$44-1)*10+6),$K$48:$K$247,0)),IF(INDEX('Properties'!$S$6:$S$205,MATCH((($K$44-1)*10+6),$K$48:$K$247,0))="","",INDEX('Properties'!$S$6:$S$205,MATCH((($K$44-1)*10+6),$K$48:$K$247,0)))))</x:f>
      </x:c>
      <x:c r="P33" s="470"/>
      <x:c r="Q33" s="432"/>
    </x:row>
    <x:row r="34" ht="30" customHeight="1">
      <x:c r="A34" s="432"/>
      <x:c r="B34" s="465" t="str">
        <x:f>IF((($K$44-1)*10+7)&gt;SUM($J$48:$J$247),"",IF(ISNUMBER(INDEX('Properties'!$A$6:$A$205,MATCH((($K$44-1)*10+7),$K$48:$K$247,0))),INDEX('Properties'!$A$6:$A$205,MATCH((($K$44-1)*10+7),$K$48:$K$247,0)),IF(INDEX('Properties'!$A$6:$A$205,MATCH((($K$44-1)*10+7),$K$48:$K$247,0))="","",INDEX('Properties'!$A$6:$A$205,MATCH((($K$44-1)*10+7),$K$48:$K$247,0)))))</x:f>
      </x:c>
      <x:c r="C34" s="465"/>
      <x:c r="D34" s="465" t="str">
        <x:f>IF((($K$44-1)*10+7)&gt;SUM($J$48:$J$247),"",IF(ISNUMBER(INDEX('Properties'!$B$6:$B$205,MATCH((($K$44-1)*10+7),$K$48:$K$247,0))),INDEX('Properties'!$B$6:$B$205,MATCH((($K$44-1)*10+7),$K$48:$K$247,0)),IF(INDEX('Properties'!$B$6:$B$205,MATCH((($K$44-1)*10+7),$K$48:$K$247,0))="","",INDEX('Properties'!$B$6:$B$205,MATCH((($K$44-1)*10+7),$K$48:$K$247,0)))))</x:f>
      </x:c>
      <x:c r="E34" s="465"/>
      <x:c r="F34" s="465"/>
      <x:c r="G34" s="465"/>
      <x:c r="H34" s="465" t="str">
        <x:f>IF((($K$44-1)*10+7)&gt;SUM($J$48:$J$247),"",IF(ISNUMBER(INDEX('Properties'!$F$6:$F$205,MATCH((($K$44-1)*10+7),$K$48:$K$247,0))),INDEX('Properties'!$F$6:$F$205,MATCH((($K$44-1)*10+7),$K$48:$K$247,0)),IF(INDEX('Properties'!$F$6:$F$205,MATCH((($K$44-1)*10+7),$K$48:$K$247,0))="","",INDEX('Properties'!$F$6:$F$205,MATCH((($K$44-1)*10+7),$K$48:$K$247,0)))))</x:f>
      </x:c>
      <x:c r="I34" s="465"/>
      <x:c r="J34" s="465"/>
      <x:c r="K34" s="465" t="str">
        <x:f>IF((($K$44-1)*10+7)&gt;SUM($J$48:$J$247),"",IF(ISNUMBER(INDEX('Properties'!$J$6:$J$205,MATCH((($K$44-1)*10+7),$K$48:$K$247,0))),INDEX('Properties'!$J$6:$J$205,MATCH((($K$44-1)*10+7),$K$48:$K$247,0)),IF(INDEX('Properties'!$J$6:$J$205,MATCH((($K$44-1)*10+7),$K$48:$K$247,0))="","",INDEX('Properties'!$J$6:$J$205,MATCH((($K$44-1)*10+7),$K$48:$K$247,0)))))</x:f>
      </x:c>
      <x:c r="L34" s="465"/>
      <x:c r="M34" s="466" t="str">
        <x:f>IF((($K$44-1)*10+7)&gt;SUM($J$48:$J$247),"",IF(ISNUMBER(INDEX('Properties'!$L$6:$L$205,MATCH((($K$44-1)*10+7),$K$48:$K$247,0))),INDEX('Properties'!$L$6:$L$205,MATCH((($K$44-1)*10+7),$K$48:$K$247,0)),IF(INDEX('Properties'!$L$6:$L$205,MATCH((($K$44-1)*10+7),$K$48:$K$247,0))="","",INDEX('Properties'!$L$6:$L$205,MATCH((($K$44-1)*10+7),$K$48:$K$247,0)))))</x:f>
      </x:c>
      <x:c r="N34" s="466"/>
      <x:c r="O34" s="467" t="str">
        <x:f>IF((($K$44-1)*10+7)&gt;SUM($J$48:$J$247),"",IF(ISNUMBER(INDEX('Properties'!$S$6:$S$205,MATCH((($K$44-1)*10+7),$K$48:$K$247,0))),INDEX('Properties'!$S$6:$S$205,MATCH((($K$44-1)*10+7),$K$48:$K$247,0)),IF(INDEX('Properties'!$S$6:$S$205,MATCH((($K$44-1)*10+7),$K$48:$K$247,0))="","",INDEX('Properties'!$S$6:$S$205,MATCH((($K$44-1)*10+7),$K$48:$K$247,0)))))</x:f>
      </x:c>
      <x:c r="P34" s="467"/>
      <x:c r="Q34" s="432"/>
    </x:row>
    <x:row r="35" ht="30" customHeight="1">
      <x:c r="A35" s="432"/>
      <x:c r="B35" s="468" t="str">
        <x:f>IF((($K$44-1)*10+8)&gt;SUM($J$48:$J$247),"",IF(ISNUMBER(INDEX('Properties'!$A$6:$A$205,MATCH((($K$44-1)*10+8),$K$48:$K$247,0))),INDEX('Properties'!$A$6:$A$205,MATCH((($K$44-1)*10+8),$K$48:$K$247,0)),IF(INDEX('Properties'!$A$6:$A$205,MATCH((($K$44-1)*10+8),$K$48:$K$247,0))="","",INDEX('Properties'!$A$6:$A$205,MATCH((($K$44-1)*10+8),$K$48:$K$247,0)))))</x:f>
      </x:c>
      <x:c r="C35" s="468"/>
      <x:c r="D35" s="468" t="str">
        <x:f>IF((($K$44-1)*10+8)&gt;SUM($J$48:$J$247),"",IF(ISNUMBER(INDEX('Properties'!$B$6:$B$205,MATCH((($K$44-1)*10+8),$K$48:$K$247,0))),INDEX('Properties'!$B$6:$B$205,MATCH((($K$44-1)*10+8),$K$48:$K$247,0)),IF(INDEX('Properties'!$B$6:$B$205,MATCH((($K$44-1)*10+8),$K$48:$K$247,0))="","",INDEX('Properties'!$B$6:$B$205,MATCH((($K$44-1)*10+8),$K$48:$K$247,0)))))</x:f>
      </x:c>
      <x:c r="E35" s="468"/>
      <x:c r="F35" s="468"/>
      <x:c r="G35" s="468"/>
      <x:c r="H35" s="468" t="str">
        <x:f>IF((($K$44-1)*10+8)&gt;SUM($J$48:$J$247),"",IF(ISNUMBER(INDEX('Properties'!$F$6:$F$205,MATCH((($K$44-1)*10+8),$K$48:$K$247,0))),INDEX('Properties'!$F$6:$F$205,MATCH((($K$44-1)*10+8),$K$48:$K$247,0)),IF(INDEX('Properties'!$F$6:$F$205,MATCH((($K$44-1)*10+8),$K$48:$K$247,0))="","",INDEX('Properties'!$F$6:$F$205,MATCH((($K$44-1)*10+8),$K$48:$K$247,0)))))</x:f>
      </x:c>
      <x:c r="I35" s="468"/>
      <x:c r="J35" s="468"/>
      <x:c r="K35" s="468" t="str">
        <x:f>IF((($K$44-1)*10+8)&gt;SUM($J$48:$J$247),"",IF(ISNUMBER(INDEX('Properties'!$J$6:$J$205,MATCH((($K$44-1)*10+8),$K$48:$K$247,0))),INDEX('Properties'!$J$6:$J$205,MATCH((($K$44-1)*10+8),$K$48:$K$247,0)),IF(INDEX('Properties'!$J$6:$J$205,MATCH((($K$44-1)*10+8),$K$48:$K$247,0))="","",INDEX('Properties'!$J$6:$J$205,MATCH((($K$44-1)*10+8),$K$48:$K$247,0)))))</x:f>
      </x:c>
      <x:c r="L35" s="468"/>
      <x:c r="M35" s="469" t="str">
        <x:f>IF((($K$44-1)*10+8)&gt;SUM($J$48:$J$247),"",IF(ISNUMBER(INDEX('Properties'!$L$6:$L$205,MATCH((($K$44-1)*10+8),$K$48:$K$247,0))),INDEX('Properties'!$L$6:$L$205,MATCH((($K$44-1)*10+8),$K$48:$K$247,0)),IF(INDEX('Properties'!$L$6:$L$205,MATCH((($K$44-1)*10+8),$K$48:$K$247,0))="","",INDEX('Properties'!$L$6:$L$205,MATCH((($K$44-1)*10+8),$K$48:$K$247,0)))))</x:f>
      </x:c>
      <x:c r="N35" s="469"/>
      <x:c r="O35" s="470" t="str">
        <x:f>IF((($K$44-1)*10+8)&gt;SUM($J$48:$J$247),"",IF(ISNUMBER(INDEX('Properties'!$S$6:$S$205,MATCH((($K$44-1)*10+8),$K$48:$K$247,0))),INDEX('Properties'!$S$6:$S$205,MATCH((($K$44-1)*10+8),$K$48:$K$247,0)),IF(INDEX('Properties'!$S$6:$S$205,MATCH((($K$44-1)*10+8),$K$48:$K$247,0))="","",INDEX('Properties'!$S$6:$S$205,MATCH((($K$44-1)*10+8),$K$48:$K$247,0)))))</x:f>
      </x:c>
      <x:c r="P35" s="470"/>
      <x:c r="Q35" s="432"/>
    </x:row>
    <x:row r="36" ht="30" customHeight="1">
      <x:c r="A36" s="432"/>
      <x:c r="B36" s="465" t="str">
        <x:f>IF((($K$44-1)*10+9)&gt;SUM($J$48:$J$247),"",IF(ISNUMBER(INDEX('Properties'!$A$6:$A$205,MATCH((($K$44-1)*10+9),$K$48:$K$247,0))),INDEX('Properties'!$A$6:$A$205,MATCH((($K$44-1)*10+9),$K$48:$K$247,0)),IF(INDEX('Properties'!$A$6:$A$205,MATCH((($K$44-1)*10+9),$K$48:$K$247,0))="","",INDEX('Properties'!$A$6:$A$205,MATCH((($K$44-1)*10+9),$K$48:$K$247,0)))))</x:f>
      </x:c>
      <x:c r="C36" s="465"/>
      <x:c r="D36" s="465" t="str">
        <x:f>IF((($K$44-1)*10+9)&gt;SUM($J$48:$J$247),"",IF(ISNUMBER(INDEX('Properties'!$B$6:$B$205,MATCH((($K$44-1)*10+9),$K$48:$K$247,0))),INDEX('Properties'!$B$6:$B$205,MATCH((($K$44-1)*10+9),$K$48:$K$247,0)),IF(INDEX('Properties'!$B$6:$B$205,MATCH((($K$44-1)*10+9),$K$48:$K$247,0))="","",INDEX('Properties'!$B$6:$B$205,MATCH((($K$44-1)*10+9),$K$48:$K$247,0)))))</x:f>
      </x:c>
      <x:c r="E36" s="465"/>
      <x:c r="F36" s="465"/>
      <x:c r="G36" s="465"/>
      <x:c r="H36" s="465" t="str">
        <x:f>IF((($K$44-1)*10+9)&gt;SUM($J$48:$J$247),"",IF(ISNUMBER(INDEX('Properties'!$F$6:$F$205,MATCH((($K$44-1)*10+9),$K$48:$K$247,0))),INDEX('Properties'!$F$6:$F$205,MATCH((($K$44-1)*10+9),$K$48:$K$247,0)),IF(INDEX('Properties'!$F$6:$F$205,MATCH((($K$44-1)*10+9),$K$48:$K$247,0))="","",INDEX('Properties'!$F$6:$F$205,MATCH((($K$44-1)*10+9),$K$48:$K$247,0)))))</x:f>
      </x:c>
      <x:c r="I36" s="465"/>
      <x:c r="J36" s="465"/>
      <x:c r="K36" s="465" t="str">
        <x:f>IF((($K$44-1)*10+9)&gt;SUM($J$48:$J$247),"",IF(ISNUMBER(INDEX('Properties'!$J$6:$J$205,MATCH((($K$44-1)*10+9),$K$48:$K$247,0))),INDEX('Properties'!$J$6:$J$205,MATCH((($K$44-1)*10+9),$K$48:$K$247,0)),IF(INDEX('Properties'!$J$6:$J$205,MATCH((($K$44-1)*10+9),$K$48:$K$247,0))="","",INDEX('Properties'!$J$6:$J$205,MATCH((($K$44-1)*10+9),$K$48:$K$247,0)))))</x:f>
      </x:c>
      <x:c r="L36" s="465"/>
      <x:c r="M36" s="466" t="str">
        <x:f>IF((($K$44-1)*10+9)&gt;SUM($J$48:$J$247),"",IF(ISNUMBER(INDEX('Properties'!$L$6:$L$205,MATCH((($K$44-1)*10+9),$K$48:$K$247,0))),INDEX('Properties'!$L$6:$L$205,MATCH((($K$44-1)*10+9),$K$48:$K$247,0)),IF(INDEX('Properties'!$L$6:$L$205,MATCH((($K$44-1)*10+9),$K$48:$K$247,0))="","",INDEX('Properties'!$L$6:$L$205,MATCH((($K$44-1)*10+9),$K$48:$K$247,0)))))</x:f>
      </x:c>
      <x:c r="N36" s="466"/>
      <x:c r="O36" s="467" t="str">
        <x:f>IF((($K$44-1)*10+9)&gt;SUM($J$48:$J$247),"",IF(ISNUMBER(INDEX('Properties'!$S$6:$S$205,MATCH((($K$44-1)*10+9),$K$48:$K$247,0))),INDEX('Properties'!$S$6:$S$205,MATCH((($K$44-1)*10+9),$K$48:$K$247,0)),IF(INDEX('Properties'!$S$6:$S$205,MATCH((($K$44-1)*10+9),$K$48:$K$247,0))="","",INDEX('Properties'!$S$6:$S$205,MATCH((($K$44-1)*10+9),$K$48:$K$247,0)))))</x:f>
      </x:c>
      <x:c r="P36" s="467"/>
      <x:c r="Q36" s="432"/>
    </x:row>
    <x:row r="37" ht="30" customHeight="1">
      <x:c r="A37" s="432"/>
      <x:c r="B37" s="468" t="str">
        <x:f>IF((($K$44-1)*10+10)&gt;SUM($J$48:$J$247),"",IF(ISNUMBER(INDEX('Properties'!$A$6:$A$205,MATCH((($K$44-1)*10+10),$K$48:$K$247,0))),INDEX('Properties'!$A$6:$A$205,MATCH((($K$44-1)*10+10),$K$48:$K$247,0)),IF(INDEX('Properties'!$A$6:$A$205,MATCH((($K$44-1)*10+10),$K$48:$K$247,0))="","",INDEX('Properties'!$A$6:$A$205,MATCH((($K$44-1)*10+10),$K$48:$K$247,0)))))</x:f>
      </x:c>
      <x:c r="C37" s="468"/>
      <x:c r="D37" s="468" t="str">
        <x:f>IF((($K$44-1)*10+10)&gt;SUM($J$48:$J$247),"",IF(ISNUMBER(INDEX('Properties'!$B$6:$B$205,MATCH((($K$44-1)*10+10),$K$48:$K$247,0))),INDEX('Properties'!$B$6:$B$205,MATCH((($K$44-1)*10+10),$K$48:$K$247,0)),IF(INDEX('Properties'!$B$6:$B$205,MATCH((($K$44-1)*10+10),$K$48:$K$247,0))="","",INDEX('Properties'!$B$6:$B$205,MATCH((($K$44-1)*10+10),$K$48:$K$247,0)))))</x:f>
      </x:c>
      <x:c r="E37" s="468"/>
      <x:c r="F37" s="468"/>
      <x:c r="G37" s="468"/>
      <x:c r="H37" s="468" t="str">
        <x:f>IF((($K$44-1)*10+10)&gt;SUM($J$48:$J$247),"",IF(ISNUMBER(INDEX('Properties'!$F$6:$F$205,MATCH((($K$44-1)*10+10),$K$48:$K$247,0))),INDEX('Properties'!$F$6:$F$205,MATCH((($K$44-1)*10+10),$K$48:$K$247,0)),IF(INDEX('Properties'!$F$6:$F$205,MATCH((($K$44-1)*10+10),$K$48:$K$247,0))="","",INDEX('Properties'!$F$6:$F$205,MATCH((($K$44-1)*10+10),$K$48:$K$247,0)))))</x:f>
      </x:c>
      <x:c r="I37" s="468"/>
      <x:c r="J37" s="468"/>
      <x:c r="K37" s="468" t="str">
        <x:f>IF((($K$44-1)*10+10)&gt;SUM($J$48:$J$247),"",IF(ISNUMBER(INDEX('Properties'!$J$6:$J$205,MATCH((($K$44-1)*10+10),$K$48:$K$247,0))),INDEX('Properties'!$J$6:$J$205,MATCH((($K$44-1)*10+10),$K$48:$K$247,0)),IF(INDEX('Properties'!$J$6:$J$205,MATCH((($K$44-1)*10+10),$K$48:$K$247,0))="","",INDEX('Properties'!$J$6:$J$205,MATCH((($K$44-1)*10+10),$K$48:$K$247,0)))))</x:f>
      </x:c>
      <x:c r="L37" s="468"/>
      <x:c r="M37" s="469" t="str">
        <x:f>IF((($K$44-1)*10+10)&gt;SUM($J$48:$J$247),"",IF(ISNUMBER(INDEX('Properties'!$L$6:$L$205,MATCH((($K$44-1)*10+10),$K$48:$K$247,0))),INDEX('Properties'!$L$6:$L$205,MATCH((($K$44-1)*10+10),$K$48:$K$247,0)),IF(INDEX('Properties'!$L$6:$L$205,MATCH((($K$44-1)*10+10),$K$48:$K$247,0))="","",INDEX('Properties'!$L$6:$L$205,MATCH((($K$44-1)*10+10),$K$48:$K$247,0)))))</x:f>
      </x:c>
      <x:c r="N37" s="469"/>
      <x:c r="O37" s="470" t="str">
        <x:f>IF((($K$44-1)*10+10)&gt;SUM($J$48:$J$247),"",IF(ISNUMBER(INDEX('Properties'!$S$6:$S$205,MATCH((($K$44-1)*10+10),$K$48:$K$247,0))),INDEX('Properties'!$S$6:$S$205,MATCH((($K$44-1)*10+10),$K$48:$K$247,0)),IF(INDEX('Properties'!$S$6:$S$205,MATCH((($K$44-1)*10+10),$K$48:$K$247,0))="","",INDEX('Properties'!$S$6:$S$205,MATCH((($K$44-1)*10+10),$K$48:$K$247,0)))))</x:f>
      </x:c>
      <x:c r="P37" s="470"/>
      <x:c r="Q37" s="432"/>
    </x:row>
    <x:row r="38" ht="25" customHeight="1">
      <x:c r="A38" s="432"/>
      <x:c r="B38" s="432"/>
      <x:c r="C38" s="432"/>
      <x:c r="D38" s="432"/>
      <x:c r="E38" s="432"/>
      <x:c r="F38" s="432"/>
      <x:c r="G38" s="432"/>
      <x:c r="H38" s="432"/>
      <x:c r="I38" s="432"/>
      <x:c r="J38" s="432"/>
      <x:c r="K38" s="432"/>
      <x:c r="L38" s="432"/>
      <x:c r="M38" s="432"/>
      <x:c r="N38" s="432"/>
      <x:c r="O38" s="432"/>
      <x:c r="P38" s="432"/>
      <x:c r="Q38" s="432"/>
    </x:row>
    <x:row r="39" ht="25" customHeight="1">
      <x:c r="A39" s="432"/>
      <x:c r="B39" s="461" t="str">
        <x:v>Suggestions require Available status, transaction type and a price within budget. Emirate, property type, bedrooms and communities apply when entered. Review each suggestion before adding it to Shortlist.</x:v>
      </x:c>
      <x:c r="C39" s="461"/>
      <x:c r="D39" s="461"/>
      <x:c r="E39" s="461"/>
      <x:c r="F39" s="461"/>
      <x:c r="G39" s="461"/>
      <x:c r="H39" s="461"/>
      <x:c r="I39" s="461"/>
      <x:c r="J39" s="461"/>
      <x:c r="K39" s="461"/>
      <x:c r="L39" s="461"/>
      <x:c r="M39" s="461"/>
      <x:c r="N39" s="461"/>
      <x:c r="O39" s="461"/>
      <x:c r="P39" s="461"/>
      <x:c r="Q39" s="432"/>
    </x:row>
    <x:row r="40" ht="25" customHeight="1">
      <x:c r="A40" s="432"/>
      <x:c r="B40" s="461"/>
      <x:c r="C40" s="461"/>
      <x:c r="D40" s="461"/>
      <x:c r="E40" s="461"/>
      <x:c r="F40" s="461"/>
      <x:c r="G40" s="461"/>
      <x:c r="H40" s="461"/>
      <x:c r="I40" s="461"/>
      <x:c r="J40" s="461"/>
      <x:c r="K40" s="461"/>
      <x:c r="L40" s="461"/>
      <x:c r="M40" s="461"/>
      <x:c r="N40" s="461"/>
      <x:c r="O40" s="461"/>
      <x:c r="P40" s="461"/>
      <x:c r="Q40" s="432"/>
    </x:row>
    <x:row r="41" ht="25" customHeight="1">
      <x:c r="A41" s="432"/>
      <x:c r="B41" s="432"/>
      <x:c r="C41" s="432"/>
      <x:c r="D41" s="432"/>
      <x:c r="E41" s="432"/>
      <x:c r="F41" s="432"/>
      <x:c r="G41" s="432"/>
      <x:c r="H41" s="432"/>
      <x:c r="I41" s="432"/>
      <x:c r="J41" s="432"/>
      <x:c r="K41" s="432"/>
      <x:c r="L41" s="432"/>
      <x:c r="M41" s="432"/>
      <x:c r="N41" s="432"/>
      <x:c r="O41" s="432"/>
      <x:c r="P41" s="432"/>
      <x:c r="Q41" s="432"/>
    </x:row>
    <x:row r="42" ht="25" customHeight="1">
      <x:c r="A42" s="432"/>
      <x:c r="B42" s="462" t="str">
        <x:f>IF(J6="","",COUNTIFS('Shortlist'!B6:B205,J6)&amp;" saved shortlist rows")</x:f>
      </x:c>
      <x:c r="C42" s="462"/>
      <x:c r="D42" s="462"/>
      <x:c r="E42" s="462"/>
      <x:c r="F42" s="462"/>
      <x:c r="G42" s="462"/>
      <x:c r="H42" s="462"/>
      <x:c r="I42" s="462"/>
      <x:c r="J42" s="462"/>
      <x:c r="K42" s="462"/>
      <x:c r="L42" s="462"/>
      <x:c r="M42" s="462"/>
      <x:c r="N42" s="462"/>
      <x:c r="O42" s="462"/>
      <x:c r="P42" s="462"/>
      <x:c r="Q42" s="432"/>
    </x:row>
    <x:row r="43" ht="25" customHeight="1">
      <x:c r="A43" s="432"/>
      <x:c r="B43" s="432"/>
      <x:c r="C43" s="432"/>
      <x:c r="D43" s="432"/>
      <x:c r="E43" s="432"/>
      <x:c r="F43" s="432"/>
      <x:c r="G43" s="432"/>
      <x:c r="H43" s="432"/>
      <x:c r="I43" s="432"/>
      <x:c r="J43" s="432"/>
      <x:c r="K43" s="432"/>
      <x:c r="L43" s="432"/>
      <x:c r="M43" s="432"/>
      <x:c r="N43" s="432"/>
      <x:c r="O43" s="432"/>
      <x:c r="P43" s="432"/>
      <x:c r="Q43" s="432"/>
    </x:row>
    <x:row r="44" ht="25" customHeight="1">
      <x:c r="A44" s="432"/>
      <x:c r="B44" s="432"/>
      <x:c r="C44" s="432"/>
      <x:c r="D44" s="432"/>
      <x:c r="E44" s="432"/>
      <x:c r="F44" s="432"/>
      <x:c r="G44" s="432"/>
      <x:c r="H44" s="432"/>
      <x:c r="I44" s="432" t="str">
        <x:v>Pages</x:v>
      </x:c>
      <x:c r="J44" s="432" t="n">
        <x:f>IF(ISNUMBER(G6),MAX(1,INT(G6)),1)</x:f>
        <x:v>1</x:v>
      </x:c>
      <x:c r="K44" s="432" t="n">
        <x:f>IF(ISNUMBER(N6),MAX(1,INT(N6)),1)</x:f>
        <x:v>1</x:v>
      </x:c>
      <x:c r="L44" s="432"/>
      <x:c r="M44" s="432"/>
      <x:c r="N44" s="432" t="str">
        <x:v>Selected row</x:v>
      </x:c>
      <x:c r="O44" s="432" t="n">
        <x:f>IF(J6="",0,IF(COUNTIFS('Clients'!A6:A205,J6)=1,MATCH(J6,'Clients'!A6:A205,0),0))</x:f>
        <x:v>0</x:v>
      </x:c>
      <x:c r="P44" s="432"/>
      <x:c r="Q44" s="432"/>
    </x:row>
    <x:row r="45" ht="25" customHeight="1">
      <x:c r="A45" s="432"/>
      <x:c r="B45" s="432"/>
      <x:c r="C45" s="432"/>
      <x:c r="D45" s="432"/>
      <x:c r="E45" s="432"/>
      <x:c r="F45" s="432"/>
      <x:c r="G45" s="432"/>
      <x:c r="H45" s="432"/>
      <x:c r="I45" s="432"/>
      <x:c r="J45" s="432"/>
      <x:c r="K45" s="432"/>
      <x:c r="L45" s="432"/>
      <x:c r="M45" s="432"/>
      <x:c r="N45" s="432"/>
      <x:c r="O45" s="432"/>
      <x:c r="P45" s="432"/>
      <x:c r="Q45" s="432"/>
    </x:row>
    <x:row r="46" ht="28" customHeight="1">
      <x:c r="A46" s="432"/>
      <x:c r="B46" s="444" t="str">
        <x:v>Property matching calculations</x:v>
      </x:c>
      <x:c r="C46" s="444"/>
      <x:c r="D46" s="444"/>
      <x:c r="E46" s="444"/>
      <x:c r="F46" s="444"/>
      <x:c r="G46" s="444"/>
      <x:c r="H46" s="444"/>
      <x:c r="I46" s="444"/>
      <x:c r="J46" s="444"/>
      <x:c r="K46" s="444"/>
      <x:c r="L46" s="432"/>
      <x:c r="M46" s="432"/>
      <x:c r="N46" s="444" t="str">
        <x:v>Client search calculations</x:v>
      </x:c>
      <x:c r="O46" s="444"/>
      <x:c r="P46" s="444"/>
      <x:c r="Q46" s="432"/>
    </x:row>
    <x:row r="47" ht="36" customHeight="1">
      <x:c r="A47" s="432"/>
      <x:c r="B47" s="464" t="str">
        <x:v>Property ID</x:v>
      </x:c>
      <x:c r="C47" s="464" t="str">
        <x:v>Available</x:v>
      </x:c>
      <x:c r="D47" s="464" t="str">
        <x:v>Buy / rent</x:v>
      </x:c>
      <x:c r="E47" s="464" t="str">
        <x:v>Budget</x:v>
      </x:c>
      <x:c r="F47" s="464" t="str">
        <x:v>Emirate</x:v>
      </x:c>
      <x:c r="G47" s="464" t="str">
        <x:v>Type</x:v>
      </x:c>
      <x:c r="H47" s="464" t="str">
        <x:v>Bedrooms</x:v>
      </x:c>
      <x:c r="I47" s="464" t="str">
        <x:v>Community</x:v>
      </x:c>
      <x:c r="J47" s="464" t="str">
        <x:v>Match</x:v>
      </x:c>
      <x:c r="K47" s="464" t="str">
        <x:v>Order</x:v>
      </x:c>
      <x:c r="L47" s="464"/>
      <x:c r="M47" s="464"/>
      <x:c r="N47" s="464" t="str">
        <x:v>Client ID</x:v>
      </x:c>
      <x:c r="O47" s="464" t="str">
        <x:v>Found</x:v>
      </x:c>
      <x:c r="P47" s="464" t="str">
        <x:v>Order</x:v>
      </x:c>
      <x:c r="Q47" s="432"/>
    </x:row>
    <x:row r="48" ht="25" customHeight="1">
      <x:c r="A48" s="432"/>
      <x:c r="B48" s="432" t="str">
        <x:f>IF('Properties'!A6="","",'Properties'!A6)</x:f>
      </x:c>
      <x:c r="C48" s="432" t="n">
        <x:f>IF(AND(B48&lt;&gt;"",'Properties'!M6="Available"),1,0)</x:f>
        <x:v>0</x:v>
      </x:c>
      <x:c r="D48" s="432" t="n">
        <x:f>IF($M$13="Buy",IF('Properties'!D6="Sale",1,0),IF($M$13="Rent",IF('Properties'!D6="Rental",1,0),0))</x:f>
        <x:v>0</x:v>
      </x:c>
      <x:c r="E48" s="432" t="n">
        <x:f>IF(AND(ISNUMBER('Properties'!L6),'Properties'!L6&gt;0,ISNUMBER($M$18),$M$18&gt;0,'Properties'!L6&lt;=$M$18,OR(NOT(ISNUMBER($M$17)),'Properties'!L6&gt;=$M$17)),1,0)</x:f>
        <x:v>0</x:v>
      </x:c>
      <x:c r="F48" s="432" t="n">
        <x:f>IF($M$14="",1,IF('Properties'!E6=$M$14,1,0))</x:f>
        <x:v>1</x:v>
      </x:c>
      <x:c r="G48" s="432" t="n">
        <x:f>IF($M$15="",1,IF('Properties'!I6=$M$15,1,0))</x:f>
        <x:v>1</x:v>
      </x:c>
      <x:c r="H48" s="432" t="n">
        <x:f>IF(NOT(ISNUMBER($M$16)),1,IF(AND(ISNUMBER('Properties'!J6),'Properties'!J6=$M$16),1,0))</x:f>
        <x:v>1</x:v>
      </x:c>
      <x:c r="I48" s="432" t="n">
        <x:f>IF($M$19="",1,IF('Properties'!F6="",0,IF(ISNUMBER(SEARCH(","&amp;TRIM('Properties'!F6)&amp;",",","&amp;SUBSTITUTE(TRIM($M$19),", ",",")&amp;",")),1,0)))</x:f>
        <x:v>1</x:v>
      </x:c>
      <x:c r="J48" s="432" t="n">
        <x:f>IF($O$44=0,0,PRODUCT(C48:I48))</x:f>
        <x:v>0</x:v>
      </x:c>
      <x:c r="K48" s="432" t="str">
        <x:f>IF(J48=1,SUM($J$48:J48),"")</x:f>
      </x:c>
      <x:c r="L48" s="432"/>
      <x:c r="M48" s="432"/>
      <x:c r="N48" s="432" t="str">
        <x:f>IF('Clients'!A6="","",'Clients'!A6)</x:f>
      </x:c>
      <x:c r="O48" s="432" t="n">
        <x:f>IF(N48="",0,IF($B$6="",1,IF(ISNUMBER(SEARCH($B$6,'Clients'!A6&amp;" "&amp;'Clients'!B6&amp;" "&amp;'Clients'!C6&amp;" "&amp;'Clients'!D6)),1,0)))</x:f>
        <x:v>0</x:v>
      </x:c>
      <x:c r="P48" s="432" t="str">
        <x:f>IF(O48=1,SUM($O$48:O48),"")</x:f>
      </x:c>
      <x:c r="Q48" s="432"/>
    </x:row>
    <x:row r="49" ht="25" customHeight="1">
      <x:c r="A49" s="432"/>
      <x:c r="B49" s="432" t="str">
        <x:f>IF('Properties'!A7="","",'Properties'!A7)</x:f>
      </x:c>
      <x:c r="C49" s="432" t="n">
        <x:f>IF(AND(B49&lt;&gt;"",'Properties'!M7="Available"),1,0)</x:f>
        <x:v>0</x:v>
      </x:c>
      <x:c r="D49" s="432" t="n">
        <x:f>IF($M$13="Buy",IF('Properties'!D7="Sale",1,0),IF($M$13="Rent",IF('Properties'!D7="Rental",1,0),0))</x:f>
        <x:v>0</x:v>
      </x:c>
      <x:c r="E49" s="432" t="n">
        <x:f>IF(AND(ISNUMBER('Properties'!L7),'Properties'!L7&gt;0,ISNUMBER($M$18),$M$18&gt;0,'Properties'!L7&lt;=$M$18,OR(NOT(ISNUMBER($M$17)),'Properties'!L7&gt;=$M$17)),1,0)</x:f>
        <x:v>0</x:v>
      </x:c>
      <x:c r="F49" s="432" t="n">
        <x:f>IF($M$14="",1,IF('Properties'!E7=$M$14,1,0))</x:f>
        <x:v>1</x:v>
      </x:c>
      <x:c r="G49" s="432" t="n">
        <x:f>IF($M$15="",1,IF('Properties'!I7=$M$15,1,0))</x:f>
        <x:v>1</x:v>
      </x:c>
      <x:c r="H49" s="432" t="n">
        <x:f>IF(NOT(ISNUMBER($M$16)),1,IF(AND(ISNUMBER('Properties'!J7),'Properties'!J7=$M$16),1,0))</x:f>
        <x:v>1</x:v>
      </x:c>
      <x:c r="I49" s="432" t="n">
        <x:f>IF($M$19="",1,IF('Properties'!F7="",0,IF(ISNUMBER(SEARCH(","&amp;TRIM('Properties'!F7)&amp;",",","&amp;SUBSTITUTE(TRIM($M$19),", ",",")&amp;",")),1,0)))</x:f>
        <x:v>1</x:v>
      </x:c>
      <x:c r="J49" s="432" t="n">
        <x:f>IF($O$44=0,0,PRODUCT(C49:I49))</x:f>
        <x:v>0</x:v>
      </x:c>
      <x:c r="K49" s="432" t="str">
        <x:f>IF(J49=1,SUM($J$48:J49),"")</x:f>
      </x:c>
      <x:c r="L49" s="432"/>
      <x:c r="M49" s="432"/>
      <x:c r="N49" s="432" t="str">
        <x:f>IF('Clients'!A7="","",'Clients'!A7)</x:f>
      </x:c>
      <x:c r="O49" s="432" t="n">
        <x:f>IF(N49="",0,IF($B$6="",1,IF(ISNUMBER(SEARCH($B$6,'Clients'!A7&amp;" "&amp;'Clients'!B7&amp;" "&amp;'Clients'!C7&amp;" "&amp;'Clients'!D7)),1,0)))</x:f>
        <x:v>0</x:v>
      </x:c>
      <x:c r="P49" s="432" t="str">
        <x:f>IF(O49=1,SUM($O$48:O49),"")</x:f>
      </x:c>
      <x:c r="Q49" s="432"/>
    </x:row>
    <x:row r="50" ht="25" customHeight="1">
      <x:c r="A50" s="432"/>
      <x:c r="B50" s="432" t="str">
        <x:f>IF('Properties'!A8="","",'Properties'!A8)</x:f>
      </x:c>
      <x:c r="C50" s="432" t="n">
        <x:f>IF(AND(B50&lt;&gt;"",'Properties'!M8="Available"),1,0)</x:f>
        <x:v>0</x:v>
      </x:c>
      <x:c r="D50" s="432" t="n">
        <x:f>IF($M$13="Buy",IF('Properties'!D8="Sale",1,0),IF($M$13="Rent",IF('Properties'!D8="Rental",1,0),0))</x:f>
        <x:v>0</x:v>
      </x:c>
      <x:c r="E50" s="432" t="n">
        <x:f>IF(AND(ISNUMBER('Properties'!L8),'Properties'!L8&gt;0,ISNUMBER($M$18),$M$18&gt;0,'Properties'!L8&lt;=$M$18,OR(NOT(ISNUMBER($M$17)),'Properties'!L8&gt;=$M$17)),1,0)</x:f>
        <x:v>0</x:v>
      </x:c>
      <x:c r="F50" s="432" t="n">
        <x:f>IF($M$14="",1,IF('Properties'!E8=$M$14,1,0))</x:f>
        <x:v>1</x:v>
      </x:c>
      <x:c r="G50" s="432" t="n">
        <x:f>IF($M$15="",1,IF('Properties'!I8=$M$15,1,0))</x:f>
        <x:v>1</x:v>
      </x:c>
      <x:c r="H50" s="432" t="n">
        <x:f>IF(NOT(ISNUMBER($M$16)),1,IF(AND(ISNUMBER('Properties'!J8),'Properties'!J8=$M$16),1,0))</x:f>
        <x:v>1</x:v>
      </x:c>
      <x:c r="I50" s="432" t="n">
        <x:f>IF($M$19="",1,IF('Properties'!F8="",0,IF(ISNUMBER(SEARCH(","&amp;TRIM('Properties'!F8)&amp;",",","&amp;SUBSTITUTE(TRIM($M$19),", ",",")&amp;",")),1,0)))</x:f>
        <x:v>1</x:v>
      </x:c>
      <x:c r="J50" s="432" t="n">
        <x:f>IF($O$44=0,0,PRODUCT(C50:I50))</x:f>
        <x:v>0</x:v>
      </x:c>
      <x:c r="K50" s="432" t="str">
        <x:f>IF(J50=1,SUM($J$48:J50),"")</x:f>
      </x:c>
      <x:c r="L50" s="432"/>
      <x:c r="M50" s="432"/>
      <x:c r="N50" s="432" t="str">
        <x:f>IF('Clients'!A8="","",'Clients'!A8)</x:f>
      </x:c>
      <x:c r="O50" s="432" t="n">
        <x:f>IF(N50="",0,IF($B$6="",1,IF(ISNUMBER(SEARCH($B$6,'Clients'!A8&amp;" "&amp;'Clients'!B8&amp;" "&amp;'Clients'!C8&amp;" "&amp;'Clients'!D8)),1,0)))</x:f>
        <x:v>0</x:v>
      </x:c>
      <x:c r="P50" s="432" t="str">
        <x:f>IF(O50=1,SUM($O$48:O50),"")</x:f>
      </x:c>
      <x:c r="Q50" s="432"/>
    </x:row>
    <x:row r="51" ht="25" customHeight="1">
      <x:c r="A51" s="432"/>
      <x:c r="B51" s="432" t="str">
        <x:f>IF('Properties'!A9="","",'Properties'!A9)</x:f>
      </x:c>
      <x:c r="C51" s="432" t="n">
        <x:f>IF(AND(B51&lt;&gt;"",'Properties'!M9="Available"),1,0)</x:f>
        <x:v>0</x:v>
      </x:c>
      <x:c r="D51" s="432" t="n">
        <x:f>IF($M$13="Buy",IF('Properties'!D9="Sale",1,0),IF($M$13="Rent",IF('Properties'!D9="Rental",1,0),0))</x:f>
        <x:v>0</x:v>
      </x:c>
      <x:c r="E51" s="432" t="n">
        <x:f>IF(AND(ISNUMBER('Properties'!L9),'Properties'!L9&gt;0,ISNUMBER($M$18),$M$18&gt;0,'Properties'!L9&lt;=$M$18,OR(NOT(ISNUMBER($M$17)),'Properties'!L9&gt;=$M$17)),1,0)</x:f>
        <x:v>0</x:v>
      </x:c>
      <x:c r="F51" s="432" t="n">
        <x:f>IF($M$14="",1,IF('Properties'!E9=$M$14,1,0))</x:f>
        <x:v>1</x:v>
      </x:c>
      <x:c r="G51" s="432" t="n">
        <x:f>IF($M$15="",1,IF('Properties'!I9=$M$15,1,0))</x:f>
        <x:v>1</x:v>
      </x:c>
      <x:c r="H51" s="432" t="n">
        <x:f>IF(NOT(ISNUMBER($M$16)),1,IF(AND(ISNUMBER('Properties'!J9),'Properties'!J9=$M$16),1,0))</x:f>
        <x:v>1</x:v>
      </x:c>
      <x:c r="I51" s="432" t="n">
        <x:f>IF($M$19="",1,IF('Properties'!F9="",0,IF(ISNUMBER(SEARCH(","&amp;TRIM('Properties'!F9)&amp;",",","&amp;SUBSTITUTE(TRIM($M$19),", ",",")&amp;",")),1,0)))</x:f>
        <x:v>1</x:v>
      </x:c>
      <x:c r="J51" s="432" t="n">
        <x:f>IF($O$44=0,0,PRODUCT(C51:I51))</x:f>
        <x:v>0</x:v>
      </x:c>
      <x:c r="K51" s="432" t="str">
        <x:f>IF(J51=1,SUM($J$48:J51),"")</x:f>
      </x:c>
      <x:c r="L51" s="432"/>
      <x:c r="M51" s="432"/>
      <x:c r="N51" s="432" t="str">
        <x:f>IF('Clients'!A9="","",'Clients'!A9)</x:f>
      </x:c>
      <x:c r="O51" s="432" t="n">
        <x:f>IF(N51="",0,IF($B$6="",1,IF(ISNUMBER(SEARCH($B$6,'Clients'!A9&amp;" "&amp;'Clients'!B9&amp;" "&amp;'Clients'!C9&amp;" "&amp;'Clients'!D9)),1,0)))</x:f>
        <x:v>0</x:v>
      </x:c>
      <x:c r="P51" s="432" t="str">
        <x:f>IF(O51=1,SUM($O$48:O51),"")</x:f>
      </x:c>
      <x:c r="Q51" s="432"/>
    </x:row>
    <x:row r="52" ht="25" customHeight="1">
      <x:c r="A52" s="432"/>
      <x:c r="B52" s="432" t="str">
        <x:f>IF('Properties'!A10="","",'Properties'!A10)</x:f>
      </x:c>
      <x:c r="C52" s="432" t="n">
        <x:f>IF(AND(B52&lt;&gt;"",'Properties'!M10="Available"),1,0)</x:f>
        <x:v>0</x:v>
      </x:c>
      <x:c r="D52" s="432" t="n">
        <x:f>IF($M$13="Buy",IF('Properties'!D10="Sale",1,0),IF($M$13="Rent",IF('Properties'!D10="Rental",1,0),0))</x:f>
        <x:v>0</x:v>
      </x:c>
      <x:c r="E52" s="432" t="n">
        <x:f>IF(AND(ISNUMBER('Properties'!L10),'Properties'!L10&gt;0,ISNUMBER($M$18),$M$18&gt;0,'Properties'!L10&lt;=$M$18,OR(NOT(ISNUMBER($M$17)),'Properties'!L10&gt;=$M$17)),1,0)</x:f>
        <x:v>0</x:v>
      </x:c>
      <x:c r="F52" s="432" t="n">
        <x:f>IF($M$14="",1,IF('Properties'!E10=$M$14,1,0))</x:f>
        <x:v>1</x:v>
      </x:c>
      <x:c r="G52" s="432" t="n">
        <x:f>IF($M$15="",1,IF('Properties'!I10=$M$15,1,0))</x:f>
        <x:v>1</x:v>
      </x:c>
      <x:c r="H52" s="432" t="n">
        <x:f>IF(NOT(ISNUMBER($M$16)),1,IF(AND(ISNUMBER('Properties'!J10),'Properties'!J10=$M$16),1,0))</x:f>
        <x:v>1</x:v>
      </x:c>
      <x:c r="I52" s="432" t="n">
        <x:f>IF($M$19="",1,IF('Properties'!F10="",0,IF(ISNUMBER(SEARCH(","&amp;TRIM('Properties'!F10)&amp;",",","&amp;SUBSTITUTE(TRIM($M$19),", ",",")&amp;",")),1,0)))</x:f>
        <x:v>1</x:v>
      </x:c>
      <x:c r="J52" s="432" t="n">
        <x:f>IF($O$44=0,0,PRODUCT(C52:I52))</x:f>
        <x:v>0</x:v>
      </x:c>
      <x:c r="K52" s="432" t="str">
        <x:f>IF(J52=1,SUM($J$48:J52),"")</x:f>
      </x:c>
      <x:c r="L52" s="432"/>
      <x:c r="M52" s="432"/>
      <x:c r="N52" s="432" t="str">
        <x:f>IF('Clients'!A10="","",'Clients'!A10)</x:f>
      </x:c>
      <x:c r="O52" s="432" t="n">
        <x:f>IF(N52="",0,IF($B$6="",1,IF(ISNUMBER(SEARCH($B$6,'Clients'!A10&amp;" "&amp;'Clients'!B10&amp;" "&amp;'Clients'!C10&amp;" "&amp;'Clients'!D10)),1,0)))</x:f>
        <x:v>0</x:v>
      </x:c>
      <x:c r="P52" s="432" t="str">
        <x:f>IF(O52=1,SUM($O$48:O52),"")</x:f>
      </x:c>
      <x:c r="Q52" s="432"/>
    </x:row>
    <x:row r="53" ht="25" customHeight="1">
      <x:c r="A53" s="432"/>
      <x:c r="B53" s="432" t="str">
        <x:f>IF('Properties'!A11="","",'Properties'!A11)</x:f>
      </x:c>
      <x:c r="C53" s="432" t="n">
        <x:f>IF(AND(B53&lt;&gt;"",'Properties'!M11="Available"),1,0)</x:f>
        <x:v>0</x:v>
      </x:c>
      <x:c r="D53" s="432" t="n">
        <x:f>IF($M$13="Buy",IF('Properties'!D11="Sale",1,0),IF($M$13="Rent",IF('Properties'!D11="Rental",1,0),0))</x:f>
        <x:v>0</x:v>
      </x:c>
      <x:c r="E53" s="432" t="n">
        <x:f>IF(AND(ISNUMBER('Properties'!L11),'Properties'!L11&gt;0,ISNUMBER($M$18),$M$18&gt;0,'Properties'!L11&lt;=$M$18,OR(NOT(ISNUMBER($M$17)),'Properties'!L11&gt;=$M$17)),1,0)</x:f>
        <x:v>0</x:v>
      </x:c>
      <x:c r="F53" s="432" t="n">
        <x:f>IF($M$14="",1,IF('Properties'!E11=$M$14,1,0))</x:f>
        <x:v>1</x:v>
      </x:c>
      <x:c r="G53" s="432" t="n">
        <x:f>IF($M$15="",1,IF('Properties'!I11=$M$15,1,0))</x:f>
        <x:v>1</x:v>
      </x:c>
      <x:c r="H53" s="432" t="n">
        <x:f>IF(NOT(ISNUMBER($M$16)),1,IF(AND(ISNUMBER('Properties'!J11),'Properties'!J11=$M$16),1,0))</x:f>
        <x:v>1</x:v>
      </x:c>
      <x:c r="I53" s="432" t="n">
        <x:f>IF($M$19="",1,IF('Properties'!F11="",0,IF(ISNUMBER(SEARCH(","&amp;TRIM('Properties'!F11)&amp;",",","&amp;SUBSTITUTE(TRIM($M$19),", ",",")&amp;",")),1,0)))</x:f>
        <x:v>1</x:v>
      </x:c>
      <x:c r="J53" s="432" t="n">
        <x:f>IF($O$44=0,0,PRODUCT(C53:I53))</x:f>
        <x:v>0</x:v>
      </x:c>
      <x:c r="K53" s="432" t="str">
        <x:f>IF(J53=1,SUM($J$48:J53),"")</x:f>
      </x:c>
      <x:c r="L53" s="432"/>
      <x:c r="M53" s="432"/>
      <x:c r="N53" s="432" t="str">
        <x:f>IF('Clients'!A11="","",'Clients'!A11)</x:f>
      </x:c>
      <x:c r="O53" s="432" t="n">
        <x:f>IF(N53="",0,IF($B$6="",1,IF(ISNUMBER(SEARCH($B$6,'Clients'!A11&amp;" "&amp;'Clients'!B11&amp;" "&amp;'Clients'!C11&amp;" "&amp;'Clients'!D11)),1,0)))</x:f>
        <x:v>0</x:v>
      </x:c>
      <x:c r="P53" s="432" t="str">
        <x:f>IF(O53=1,SUM($O$48:O53),"")</x:f>
      </x:c>
      <x:c r="Q53" s="432"/>
    </x:row>
    <x:row r="54" ht="25" customHeight="1">
      <x:c r="A54" s="432"/>
      <x:c r="B54" s="432" t="str">
        <x:f>IF('Properties'!A12="","",'Properties'!A12)</x:f>
      </x:c>
      <x:c r="C54" s="432" t="n">
        <x:f>IF(AND(B54&lt;&gt;"",'Properties'!M12="Available"),1,0)</x:f>
        <x:v>0</x:v>
      </x:c>
      <x:c r="D54" s="432" t="n">
        <x:f>IF($M$13="Buy",IF('Properties'!D12="Sale",1,0),IF($M$13="Rent",IF('Properties'!D12="Rental",1,0),0))</x:f>
        <x:v>0</x:v>
      </x:c>
      <x:c r="E54" s="432" t="n">
        <x:f>IF(AND(ISNUMBER('Properties'!L12),'Properties'!L12&gt;0,ISNUMBER($M$18),$M$18&gt;0,'Properties'!L12&lt;=$M$18,OR(NOT(ISNUMBER($M$17)),'Properties'!L12&gt;=$M$17)),1,0)</x:f>
        <x:v>0</x:v>
      </x:c>
      <x:c r="F54" s="432" t="n">
        <x:f>IF($M$14="",1,IF('Properties'!E12=$M$14,1,0))</x:f>
        <x:v>1</x:v>
      </x:c>
      <x:c r="G54" s="432" t="n">
        <x:f>IF($M$15="",1,IF('Properties'!I12=$M$15,1,0))</x:f>
        <x:v>1</x:v>
      </x:c>
      <x:c r="H54" s="432" t="n">
        <x:f>IF(NOT(ISNUMBER($M$16)),1,IF(AND(ISNUMBER('Properties'!J12),'Properties'!J12=$M$16),1,0))</x:f>
        <x:v>1</x:v>
      </x:c>
      <x:c r="I54" s="432" t="n">
        <x:f>IF($M$19="",1,IF('Properties'!F12="",0,IF(ISNUMBER(SEARCH(","&amp;TRIM('Properties'!F12)&amp;",",","&amp;SUBSTITUTE(TRIM($M$19),", ",",")&amp;",")),1,0)))</x:f>
        <x:v>1</x:v>
      </x:c>
      <x:c r="J54" s="432" t="n">
        <x:f>IF($O$44=0,0,PRODUCT(C54:I54))</x:f>
        <x:v>0</x:v>
      </x:c>
      <x:c r="K54" s="432" t="str">
        <x:f>IF(J54=1,SUM($J$48:J54),"")</x:f>
      </x:c>
      <x:c r="L54" s="432"/>
      <x:c r="M54" s="432"/>
      <x:c r="N54" s="432" t="str">
        <x:f>IF('Clients'!A12="","",'Clients'!A12)</x:f>
      </x:c>
      <x:c r="O54" s="432" t="n">
        <x:f>IF(N54="",0,IF($B$6="",1,IF(ISNUMBER(SEARCH($B$6,'Clients'!A12&amp;" "&amp;'Clients'!B12&amp;" "&amp;'Clients'!C12&amp;" "&amp;'Clients'!D12)),1,0)))</x:f>
        <x:v>0</x:v>
      </x:c>
      <x:c r="P54" s="432" t="str">
        <x:f>IF(O54=1,SUM($O$48:O54),"")</x:f>
      </x:c>
      <x:c r="Q54" s="432"/>
    </x:row>
    <x:row r="55" ht="25" customHeight="1">
      <x:c r="A55" s="432"/>
      <x:c r="B55" s="432" t="str">
        <x:f>IF('Properties'!A13="","",'Properties'!A13)</x:f>
      </x:c>
      <x:c r="C55" s="432" t="n">
        <x:f>IF(AND(B55&lt;&gt;"",'Properties'!M13="Available"),1,0)</x:f>
        <x:v>0</x:v>
      </x:c>
      <x:c r="D55" s="432" t="n">
        <x:f>IF($M$13="Buy",IF('Properties'!D13="Sale",1,0),IF($M$13="Rent",IF('Properties'!D13="Rental",1,0),0))</x:f>
        <x:v>0</x:v>
      </x:c>
      <x:c r="E55" s="432" t="n">
        <x:f>IF(AND(ISNUMBER('Properties'!L13),'Properties'!L13&gt;0,ISNUMBER($M$18),$M$18&gt;0,'Properties'!L13&lt;=$M$18,OR(NOT(ISNUMBER($M$17)),'Properties'!L13&gt;=$M$17)),1,0)</x:f>
        <x:v>0</x:v>
      </x:c>
      <x:c r="F55" s="432" t="n">
        <x:f>IF($M$14="",1,IF('Properties'!E13=$M$14,1,0))</x:f>
        <x:v>1</x:v>
      </x:c>
      <x:c r="G55" s="432" t="n">
        <x:f>IF($M$15="",1,IF('Properties'!I13=$M$15,1,0))</x:f>
        <x:v>1</x:v>
      </x:c>
      <x:c r="H55" s="432" t="n">
        <x:f>IF(NOT(ISNUMBER($M$16)),1,IF(AND(ISNUMBER('Properties'!J13),'Properties'!J13=$M$16),1,0))</x:f>
        <x:v>1</x:v>
      </x:c>
      <x:c r="I55" s="432" t="n">
        <x:f>IF($M$19="",1,IF('Properties'!F13="",0,IF(ISNUMBER(SEARCH(","&amp;TRIM('Properties'!F13)&amp;",",","&amp;SUBSTITUTE(TRIM($M$19),", ",",")&amp;",")),1,0)))</x:f>
        <x:v>1</x:v>
      </x:c>
      <x:c r="J55" s="432" t="n">
        <x:f>IF($O$44=0,0,PRODUCT(C55:I55))</x:f>
        <x:v>0</x:v>
      </x:c>
      <x:c r="K55" s="432" t="str">
        <x:f>IF(J55=1,SUM($J$48:J55),"")</x:f>
      </x:c>
      <x:c r="L55" s="432"/>
      <x:c r="M55" s="432"/>
      <x:c r="N55" s="432" t="str">
        <x:f>IF('Clients'!A13="","",'Clients'!A13)</x:f>
      </x:c>
      <x:c r="O55" s="432" t="n">
        <x:f>IF(N55="",0,IF($B$6="",1,IF(ISNUMBER(SEARCH($B$6,'Clients'!A13&amp;" "&amp;'Clients'!B13&amp;" "&amp;'Clients'!C13&amp;" "&amp;'Clients'!D13)),1,0)))</x:f>
        <x:v>0</x:v>
      </x:c>
      <x:c r="P55" s="432" t="str">
        <x:f>IF(O55=1,SUM($O$48:O55),"")</x:f>
      </x:c>
      <x:c r="Q55" s="432"/>
    </x:row>
    <x:row r="56" ht="25" customHeight="1">
      <x:c r="A56" s="432"/>
      <x:c r="B56" s="432" t="str">
        <x:f>IF('Properties'!A14="","",'Properties'!A14)</x:f>
      </x:c>
      <x:c r="C56" s="432" t="n">
        <x:f>IF(AND(B56&lt;&gt;"",'Properties'!M14="Available"),1,0)</x:f>
        <x:v>0</x:v>
      </x:c>
      <x:c r="D56" s="432" t="n">
        <x:f>IF($M$13="Buy",IF('Properties'!D14="Sale",1,0),IF($M$13="Rent",IF('Properties'!D14="Rental",1,0),0))</x:f>
        <x:v>0</x:v>
      </x:c>
      <x:c r="E56" s="432" t="n">
        <x:f>IF(AND(ISNUMBER('Properties'!L14),'Properties'!L14&gt;0,ISNUMBER($M$18),$M$18&gt;0,'Properties'!L14&lt;=$M$18,OR(NOT(ISNUMBER($M$17)),'Properties'!L14&gt;=$M$17)),1,0)</x:f>
        <x:v>0</x:v>
      </x:c>
      <x:c r="F56" s="432" t="n">
        <x:f>IF($M$14="",1,IF('Properties'!E14=$M$14,1,0))</x:f>
        <x:v>1</x:v>
      </x:c>
      <x:c r="G56" s="432" t="n">
        <x:f>IF($M$15="",1,IF('Properties'!I14=$M$15,1,0))</x:f>
        <x:v>1</x:v>
      </x:c>
      <x:c r="H56" s="432" t="n">
        <x:f>IF(NOT(ISNUMBER($M$16)),1,IF(AND(ISNUMBER('Properties'!J14),'Properties'!J14=$M$16),1,0))</x:f>
        <x:v>1</x:v>
      </x:c>
      <x:c r="I56" s="432" t="n">
        <x:f>IF($M$19="",1,IF('Properties'!F14="",0,IF(ISNUMBER(SEARCH(","&amp;TRIM('Properties'!F14)&amp;",",","&amp;SUBSTITUTE(TRIM($M$19),", ",",")&amp;",")),1,0)))</x:f>
        <x:v>1</x:v>
      </x:c>
      <x:c r="J56" s="432" t="n">
        <x:f>IF($O$44=0,0,PRODUCT(C56:I56))</x:f>
        <x:v>0</x:v>
      </x:c>
      <x:c r="K56" s="432" t="str">
        <x:f>IF(J56=1,SUM($J$48:J56),"")</x:f>
      </x:c>
      <x:c r="L56" s="432"/>
      <x:c r="M56" s="432"/>
      <x:c r="N56" s="432" t="str">
        <x:f>IF('Clients'!A14="","",'Clients'!A14)</x:f>
      </x:c>
      <x:c r="O56" s="432" t="n">
        <x:f>IF(N56="",0,IF($B$6="",1,IF(ISNUMBER(SEARCH($B$6,'Clients'!A14&amp;" "&amp;'Clients'!B14&amp;" "&amp;'Clients'!C14&amp;" "&amp;'Clients'!D14)),1,0)))</x:f>
        <x:v>0</x:v>
      </x:c>
      <x:c r="P56" s="432" t="str">
        <x:f>IF(O56=1,SUM($O$48:O56),"")</x:f>
      </x:c>
      <x:c r="Q56" s="432"/>
    </x:row>
    <x:row r="57" ht="25" customHeight="1">
      <x:c r="A57" s="432"/>
      <x:c r="B57" s="432" t="str">
        <x:f>IF('Properties'!A15="","",'Properties'!A15)</x:f>
      </x:c>
      <x:c r="C57" s="432" t="n">
        <x:f>IF(AND(B57&lt;&gt;"",'Properties'!M15="Available"),1,0)</x:f>
        <x:v>0</x:v>
      </x:c>
      <x:c r="D57" s="432" t="n">
        <x:f>IF($M$13="Buy",IF('Properties'!D15="Sale",1,0),IF($M$13="Rent",IF('Properties'!D15="Rental",1,0),0))</x:f>
        <x:v>0</x:v>
      </x:c>
      <x:c r="E57" s="432" t="n">
        <x:f>IF(AND(ISNUMBER('Properties'!L15),'Properties'!L15&gt;0,ISNUMBER($M$18),$M$18&gt;0,'Properties'!L15&lt;=$M$18,OR(NOT(ISNUMBER($M$17)),'Properties'!L15&gt;=$M$17)),1,0)</x:f>
        <x:v>0</x:v>
      </x:c>
      <x:c r="F57" s="432" t="n">
        <x:f>IF($M$14="",1,IF('Properties'!E15=$M$14,1,0))</x:f>
        <x:v>1</x:v>
      </x:c>
      <x:c r="G57" s="432" t="n">
        <x:f>IF($M$15="",1,IF('Properties'!I15=$M$15,1,0))</x:f>
        <x:v>1</x:v>
      </x:c>
      <x:c r="H57" s="432" t="n">
        <x:f>IF(NOT(ISNUMBER($M$16)),1,IF(AND(ISNUMBER('Properties'!J15),'Properties'!J15=$M$16),1,0))</x:f>
        <x:v>1</x:v>
      </x:c>
      <x:c r="I57" s="432" t="n">
        <x:f>IF($M$19="",1,IF('Properties'!F15="",0,IF(ISNUMBER(SEARCH(","&amp;TRIM('Properties'!F15)&amp;",",","&amp;SUBSTITUTE(TRIM($M$19),", ",",")&amp;",")),1,0)))</x:f>
        <x:v>1</x:v>
      </x:c>
      <x:c r="J57" s="432" t="n">
        <x:f>IF($O$44=0,0,PRODUCT(C57:I57))</x:f>
        <x:v>0</x:v>
      </x:c>
      <x:c r="K57" s="432" t="str">
        <x:f>IF(J57=1,SUM($J$48:J57),"")</x:f>
      </x:c>
      <x:c r="L57" s="432"/>
      <x:c r="M57" s="432"/>
      <x:c r="N57" s="432" t="str">
        <x:f>IF('Clients'!A15="","",'Clients'!A15)</x:f>
      </x:c>
      <x:c r="O57" s="432" t="n">
        <x:f>IF(N57="",0,IF($B$6="",1,IF(ISNUMBER(SEARCH($B$6,'Clients'!A15&amp;" "&amp;'Clients'!B15&amp;" "&amp;'Clients'!C15&amp;" "&amp;'Clients'!D15)),1,0)))</x:f>
        <x:v>0</x:v>
      </x:c>
      <x:c r="P57" s="432" t="str">
        <x:f>IF(O57=1,SUM($O$48:O57),"")</x:f>
      </x:c>
      <x:c r="Q57" s="432"/>
    </x:row>
    <x:row r="58" ht="25" customHeight="1">
      <x:c r="A58" s="432"/>
      <x:c r="B58" s="432" t="str">
        <x:f>IF('Properties'!A16="","",'Properties'!A16)</x:f>
      </x:c>
      <x:c r="C58" s="432" t="n">
        <x:f>IF(AND(B58&lt;&gt;"",'Properties'!M16="Available"),1,0)</x:f>
        <x:v>0</x:v>
      </x:c>
      <x:c r="D58" s="432" t="n">
        <x:f>IF($M$13="Buy",IF('Properties'!D16="Sale",1,0),IF($M$13="Rent",IF('Properties'!D16="Rental",1,0),0))</x:f>
        <x:v>0</x:v>
      </x:c>
      <x:c r="E58" s="432" t="n">
        <x:f>IF(AND(ISNUMBER('Properties'!L16),'Properties'!L16&gt;0,ISNUMBER($M$18),$M$18&gt;0,'Properties'!L16&lt;=$M$18,OR(NOT(ISNUMBER($M$17)),'Properties'!L16&gt;=$M$17)),1,0)</x:f>
        <x:v>0</x:v>
      </x:c>
      <x:c r="F58" s="432" t="n">
        <x:f>IF($M$14="",1,IF('Properties'!E16=$M$14,1,0))</x:f>
        <x:v>1</x:v>
      </x:c>
      <x:c r="G58" s="432" t="n">
        <x:f>IF($M$15="",1,IF('Properties'!I16=$M$15,1,0))</x:f>
        <x:v>1</x:v>
      </x:c>
      <x:c r="H58" s="432" t="n">
        <x:f>IF(NOT(ISNUMBER($M$16)),1,IF(AND(ISNUMBER('Properties'!J16),'Properties'!J16=$M$16),1,0))</x:f>
        <x:v>1</x:v>
      </x:c>
      <x:c r="I58" s="432" t="n">
        <x:f>IF($M$19="",1,IF('Properties'!F16="",0,IF(ISNUMBER(SEARCH(","&amp;TRIM('Properties'!F16)&amp;",",","&amp;SUBSTITUTE(TRIM($M$19),", ",",")&amp;",")),1,0)))</x:f>
        <x:v>1</x:v>
      </x:c>
      <x:c r="J58" s="432" t="n">
        <x:f>IF($O$44=0,0,PRODUCT(C58:I58))</x:f>
        <x:v>0</x:v>
      </x:c>
      <x:c r="K58" s="432" t="str">
        <x:f>IF(J58=1,SUM($J$48:J58),"")</x:f>
      </x:c>
      <x:c r="L58" s="432"/>
      <x:c r="M58" s="432"/>
      <x:c r="N58" s="432" t="str">
        <x:f>IF('Clients'!A16="","",'Clients'!A16)</x:f>
      </x:c>
      <x:c r="O58" s="432" t="n">
        <x:f>IF(N58="",0,IF($B$6="",1,IF(ISNUMBER(SEARCH($B$6,'Clients'!A16&amp;" "&amp;'Clients'!B16&amp;" "&amp;'Clients'!C16&amp;" "&amp;'Clients'!D16)),1,0)))</x:f>
        <x:v>0</x:v>
      </x:c>
      <x:c r="P58" s="432" t="str">
        <x:f>IF(O58=1,SUM($O$48:O58),"")</x:f>
      </x:c>
      <x:c r="Q58" s="432"/>
    </x:row>
    <x:row r="59" ht="25" customHeight="1">
      <x:c r="A59" s="432"/>
      <x:c r="B59" s="432" t="str">
        <x:f>IF('Properties'!A17="","",'Properties'!A17)</x:f>
      </x:c>
      <x:c r="C59" s="432" t="n">
        <x:f>IF(AND(B59&lt;&gt;"",'Properties'!M17="Available"),1,0)</x:f>
        <x:v>0</x:v>
      </x:c>
      <x:c r="D59" s="432" t="n">
        <x:f>IF($M$13="Buy",IF('Properties'!D17="Sale",1,0),IF($M$13="Rent",IF('Properties'!D17="Rental",1,0),0))</x:f>
        <x:v>0</x:v>
      </x:c>
      <x:c r="E59" s="432" t="n">
        <x:f>IF(AND(ISNUMBER('Properties'!L17),'Properties'!L17&gt;0,ISNUMBER($M$18),$M$18&gt;0,'Properties'!L17&lt;=$M$18,OR(NOT(ISNUMBER($M$17)),'Properties'!L17&gt;=$M$17)),1,0)</x:f>
        <x:v>0</x:v>
      </x:c>
      <x:c r="F59" s="432" t="n">
        <x:f>IF($M$14="",1,IF('Properties'!E17=$M$14,1,0))</x:f>
        <x:v>1</x:v>
      </x:c>
      <x:c r="G59" s="432" t="n">
        <x:f>IF($M$15="",1,IF('Properties'!I17=$M$15,1,0))</x:f>
        <x:v>1</x:v>
      </x:c>
      <x:c r="H59" s="432" t="n">
        <x:f>IF(NOT(ISNUMBER($M$16)),1,IF(AND(ISNUMBER('Properties'!J17),'Properties'!J17=$M$16),1,0))</x:f>
        <x:v>1</x:v>
      </x:c>
      <x:c r="I59" s="432" t="n">
        <x:f>IF($M$19="",1,IF('Properties'!F17="",0,IF(ISNUMBER(SEARCH(","&amp;TRIM('Properties'!F17)&amp;",",","&amp;SUBSTITUTE(TRIM($M$19),", ",",")&amp;",")),1,0)))</x:f>
        <x:v>1</x:v>
      </x:c>
      <x:c r="J59" s="432" t="n">
        <x:f>IF($O$44=0,0,PRODUCT(C59:I59))</x:f>
        <x:v>0</x:v>
      </x:c>
      <x:c r="K59" s="432" t="str">
        <x:f>IF(J59=1,SUM($J$48:J59),"")</x:f>
      </x:c>
      <x:c r="L59" s="432"/>
      <x:c r="M59" s="432"/>
      <x:c r="N59" s="432" t="str">
        <x:f>IF('Clients'!A17="","",'Clients'!A17)</x:f>
      </x:c>
      <x:c r="O59" s="432" t="n">
        <x:f>IF(N59="",0,IF($B$6="",1,IF(ISNUMBER(SEARCH($B$6,'Clients'!A17&amp;" "&amp;'Clients'!B17&amp;" "&amp;'Clients'!C17&amp;" "&amp;'Clients'!D17)),1,0)))</x:f>
        <x:v>0</x:v>
      </x:c>
      <x:c r="P59" s="432" t="str">
        <x:f>IF(O59=1,SUM($O$48:O59),"")</x:f>
      </x:c>
      <x:c r="Q59" s="432"/>
    </x:row>
    <x:row r="60" ht="25" customHeight="1">
      <x:c r="A60" s="432"/>
      <x:c r="B60" s="432" t="str">
        <x:f>IF('Properties'!A18="","",'Properties'!A18)</x:f>
      </x:c>
      <x:c r="C60" s="432" t="n">
        <x:f>IF(AND(B60&lt;&gt;"",'Properties'!M18="Available"),1,0)</x:f>
        <x:v>0</x:v>
      </x:c>
      <x:c r="D60" s="432" t="n">
        <x:f>IF($M$13="Buy",IF('Properties'!D18="Sale",1,0),IF($M$13="Rent",IF('Properties'!D18="Rental",1,0),0))</x:f>
        <x:v>0</x:v>
      </x:c>
      <x:c r="E60" s="432" t="n">
        <x:f>IF(AND(ISNUMBER('Properties'!L18),'Properties'!L18&gt;0,ISNUMBER($M$18),$M$18&gt;0,'Properties'!L18&lt;=$M$18,OR(NOT(ISNUMBER($M$17)),'Properties'!L18&gt;=$M$17)),1,0)</x:f>
        <x:v>0</x:v>
      </x:c>
      <x:c r="F60" s="432" t="n">
        <x:f>IF($M$14="",1,IF('Properties'!E18=$M$14,1,0))</x:f>
        <x:v>1</x:v>
      </x:c>
      <x:c r="G60" s="432" t="n">
        <x:f>IF($M$15="",1,IF('Properties'!I18=$M$15,1,0))</x:f>
        <x:v>1</x:v>
      </x:c>
      <x:c r="H60" s="432" t="n">
        <x:f>IF(NOT(ISNUMBER($M$16)),1,IF(AND(ISNUMBER('Properties'!J18),'Properties'!J18=$M$16),1,0))</x:f>
        <x:v>1</x:v>
      </x:c>
      <x:c r="I60" s="432" t="n">
        <x:f>IF($M$19="",1,IF('Properties'!F18="",0,IF(ISNUMBER(SEARCH(","&amp;TRIM('Properties'!F18)&amp;",",","&amp;SUBSTITUTE(TRIM($M$19),", ",",")&amp;",")),1,0)))</x:f>
        <x:v>1</x:v>
      </x:c>
      <x:c r="J60" s="432" t="n">
        <x:f>IF($O$44=0,0,PRODUCT(C60:I60))</x:f>
        <x:v>0</x:v>
      </x:c>
      <x:c r="K60" s="432" t="str">
        <x:f>IF(J60=1,SUM($J$48:J60),"")</x:f>
      </x:c>
      <x:c r="L60" s="432"/>
      <x:c r="M60" s="432"/>
      <x:c r="N60" s="432" t="str">
        <x:f>IF('Clients'!A18="","",'Clients'!A18)</x:f>
      </x:c>
      <x:c r="O60" s="432" t="n">
        <x:f>IF(N60="",0,IF($B$6="",1,IF(ISNUMBER(SEARCH($B$6,'Clients'!A18&amp;" "&amp;'Clients'!B18&amp;" "&amp;'Clients'!C18&amp;" "&amp;'Clients'!D18)),1,0)))</x:f>
        <x:v>0</x:v>
      </x:c>
      <x:c r="P60" s="432" t="str">
        <x:f>IF(O60=1,SUM($O$48:O60),"")</x:f>
      </x:c>
      <x:c r="Q60" s="432"/>
    </x:row>
    <x:row r="61" ht="25" customHeight="1">
      <x:c r="A61" s="432"/>
      <x:c r="B61" s="432" t="str">
        <x:f>IF('Properties'!A19="","",'Properties'!A19)</x:f>
      </x:c>
      <x:c r="C61" s="432" t="n">
        <x:f>IF(AND(B61&lt;&gt;"",'Properties'!M19="Available"),1,0)</x:f>
        <x:v>0</x:v>
      </x:c>
      <x:c r="D61" s="432" t="n">
        <x:f>IF($M$13="Buy",IF('Properties'!D19="Sale",1,0),IF($M$13="Rent",IF('Properties'!D19="Rental",1,0),0))</x:f>
        <x:v>0</x:v>
      </x:c>
      <x:c r="E61" s="432" t="n">
        <x:f>IF(AND(ISNUMBER('Properties'!L19),'Properties'!L19&gt;0,ISNUMBER($M$18),$M$18&gt;0,'Properties'!L19&lt;=$M$18,OR(NOT(ISNUMBER($M$17)),'Properties'!L19&gt;=$M$17)),1,0)</x:f>
        <x:v>0</x:v>
      </x:c>
      <x:c r="F61" s="432" t="n">
        <x:f>IF($M$14="",1,IF('Properties'!E19=$M$14,1,0))</x:f>
        <x:v>1</x:v>
      </x:c>
      <x:c r="G61" s="432" t="n">
        <x:f>IF($M$15="",1,IF('Properties'!I19=$M$15,1,0))</x:f>
        <x:v>1</x:v>
      </x:c>
      <x:c r="H61" s="432" t="n">
        <x:f>IF(NOT(ISNUMBER($M$16)),1,IF(AND(ISNUMBER('Properties'!J19),'Properties'!J19=$M$16),1,0))</x:f>
        <x:v>1</x:v>
      </x:c>
      <x:c r="I61" s="432" t="n">
        <x:f>IF($M$19="",1,IF('Properties'!F19="",0,IF(ISNUMBER(SEARCH(","&amp;TRIM('Properties'!F19)&amp;",",","&amp;SUBSTITUTE(TRIM($M$19),", ",",")&amp;",")),1,0)))</x:f>
        <x:v>1</x:v>
      </x:c>
      <x:c r="J61" s="432" t="n">
        <x:f>IF($O$44=0,0,PRODUCT(C61:I61))</x:f>
        <x:v>0</x:v>
      </x:c>
      <x:c r="K61" s="432" t="str">
        <x:f>IF(J61=1,SUM($J$48:J61),"")</x:f>
      </x:c>
      <x:c r="L61" s="432"/>
      <x:c r="M61" s="432"/>
      <x:c r="N61" s="432" t="str">
        <x:f>IF('Clients'!A19="","",'Clients'!A19)</x:f>
      </x:c>
      <x:c r="O61" s="432" t="n">
        <x:f>IF(N61="",0,IF($B$6="",1,IF(ISNUMBER(SEARCH($B$6,'Clients'!A19&amp;" "&amp;'Clients'!B19&amp;" "&amp;'Clients'!C19&amp;" "&amp;'Clients'!D19)),1,0)))</x:f>
        <x:v>0</x:v>
      </x:c>
      <x:c r="P61" s="432" t="str">
        <x:f>IF(O61=1,SUM($O$48:O61),"")</x:f>
      </x:c>
      <x:c r="Q61" s="432"/>
    </x:row>
    <x:row r="62" ht="25" customHeight="1">
      <x:c r="A62" s="432"/>
      <x:c r="B62" s="432" t="str">
        <x:f>IF('Properties'!A20="","",'Properties'!A20)</x:f>
      </x:c>
      <x:c r="C62" s="432" t="n">
        <x:f>IF(AND(B62&lt;&gt;"",'Properties'!M20="Available"),1,0)</x:f>
        <x:v>0</x:v>
      </x:c>
      <x:c r="D62" s="432" t="n">
        <x:f>IF($M$13="Buy",IF('Properties'!D20="Sale",1,0),IF($M$13="Rent",IF('Properties'!D20="Rental",1,0),0))</x:f>
        <x:v>0</x:v>
      </x:c>
      <x:c r="E62" s="432" t="n">
        <x:f>IF(AND(ISNUMBER('Properties'!L20),'Properties'!L20&gt;0,ISNUMBER($M$18),$M$18&gt;0,'Properties'!L20&lt;=$M$18,OR(NOT(ISNUMBER($M$17)),'Properties'!L20&gt;=$M$17)),1,0)</x:f>
        <x:v>0</x:v>
      </x:c>
      <x:c r="F62" s="432" t="n">
        <x:f>IF($M$14="",1,IF('Properties'!E20=$M$14,1,0))</x:f>
        <x:v>1</x:v>
      </x:c>
      <x:c r="G62" s="432" t="n">
        <x:f>IF($M$15="",1,IF('Properties'!I20=$M$15,1,0))</x:f>
        <x:v>1</x:v>
      </x:c>
      <x:c r="H62" s="432" t="n">
        <x:f>IF(NOT(ISNUMBER($M$16)),1,IF(AND(ISNUMBER('Properties'!J20),'Properties'!J20=$M$16),1,0))</x:f>
        <x:v>1</x:v>
      </x:c>
      <x:c r="I62" s="432" t="n">
        <x:f>IF($M$19="",1,IF('Properties'!F20="",0,IF(ISNUMBER(SEARCH(","&amp;TRIM('Properties'!F20)&amp;",",","&amp;SUBSTITUTE(TRIM($M$19),", ",",")&amp;",")),1,0)))</x:f>
        <x:v>1</x:v>
      </x:c>
      <x:c r="J62" s="432" t="n">
        <x:f>IF($O$44=0,0,PRODUCT(C62:I62))</x:f>
        <x:v>0</x:v>
      </x:c>
      <x:c r="K62" s="432" t="str">
        <x:f>IF(J62=1,SUM($J$48:J62),"")</x:f>
      </x:c>
      <x:c r="L62" s="432"/>
      <x:c r="M62" s="432"/>
      <x:c r="N62" s="432" t="str">
        <x:f>IF('Clients'!A20="","",'Clients'!A20)</x:f>
      </x:c>
      <x:c r="O62" s="432" t="n">
        <x:f>IF(N62="",0,IF($B$6="",1,IF(ISNUMBER(SEARCH($B$6,'Clients'!A20&amp;" "&amp;'Clients'!B20&amp;" "&amp;'Clients'!C20&amp;" "&amp;'Clients'!D20)),1,0)))</x:f>
        <x:v>0</x:v>
      </x:c>
      <x:c r="P62" s="432" t="str">
        <x:f>IF(O62=1,SUM($O$48:O62),"")</x:f>
      </x:c>
      <x:c r="Q62" s="432"/>
    </x:row>
    <x:row r="63" ht="25" customHeight="1">
      <x:c r="A63" s="432"/>
      <x:c r="B63" s="432" t="str">
        <x:f>IF('Properties'!A21="","",'Properties'!A21)</x:f>
      </x:c>
      <x:c r="C63" s="432" t="n">
        <x:f>IF(AND(B63&lt;&gt;"",'Properties'!M21="Available"),1,0)</x:f>
        <x:v>0</x:v>
      </x:c>
      <x:c r="D63" s="432" t="n">
        <x:f>IF($M$13="Buy",IF('Properties'!D21="Sale",1,0),IF($M$13="Rent",IF('Properties'!D21="Rental",1,0),0))</x:f>
        <x:v>0</x:v>
      </x:c>
      <x:c r="E63" s="432" t="n">
        <x:f>IF(AND(ISNUMBER('Properties'!L21),'Properties'!L21&gt;0,ISNUMBER($M$18),$M$18&gt;0,'Properties'!L21&lt;=$M$18,OR(NOT(ISNUMBER($M$17)),'Properties'!L21&gt;=$M$17)),1,0)</x:f>
        <x:v>0</x:v>
      </x:c>
      <x:c r="F63" s="432" t="n">
        <x:f>IF($M$14="",1,IF('Properties'!E21=$M$14,1,0))</x:f>
        <x:v>1</x:v>
      </x:c>
      <x:c r="G63" s="432" t="n">
        <x:f>IF($M$15="",1,IF('Properties'!I21=$M$15,1,0))</x:f>
        <x:v>1</x:v>
      </x:c>
      <x:c r="H63" s="432" t="n">
        <x:f>IF(NOT(ISNUMBER($M$16)),1,IF(AND(ISNUMBER('Properties'!J21),'Properties'!J21=$M$16),1,0))</x:f>
        <x:v>1</x:v>
      </x:c>
      <x:c r="I63" s="432" t="n">
        <x:f>IF($M$19="",1,IF('Properties'!F21="",0,IF(ISNUMBER(SEARCH(","&amp;TRIM('Properties'!F21)&amp;",",","&amp;SUBSTITUTE(TRIM($M$19),", ",",")&amp;",")),1,0)))</x:f>
        <x:v>1</x:v>
      </x:c>
      <x:c r="J63" s="432" t="n">
        <x:f>IF($O$44=0,0,PRODUCT(C63:I63))</x:f>
        <x:v>0</x:v>
      </x:c>
      <x:c r="K63" s="432" t="str">
        <x:f>IF(J63=1,SUM($J$48:J63),"")</x:f>
      </x:c>
      <x:c r="L63" s="432"/>
      <x:c r="M63" s="432"/>
      <x:c r="N63" s="432" t="str">
        <x:f>IF('Clients'!A21="","",'Clients'!A21)</x:f>
      </x:c>
      <x:c r="O63" s="432" t="n">
        <x:f>IF(N63="",0,IF($B$6="",1,IF(ISNUMBER(SEARCH($B$6,'Clients'!A21&amp;" "&amp;'Clients'!B21&amp;" "&amp;'Clients'!C21&amp;" "&amp;'Clients'!D21)),1,0)))</x:f>
        <x:v>0</x:v>
      </x:c>
      <x:c r="P63" s="432" t="str">
        <x:f>IF(O63=1,SUM($O$48:O63),"")</x:f>
      </x:c>
      <x:c r="Q63" s="432"/>
    </x:row>
    <x:row r="64" ht="25" customHeight="1">
      <x:c r="A64" s="432"/>
      <x:c r="B64" s="432" t="str">
        <x:f>IF('Properties'!A22="","",'Properties'!A22)</x:f>
      </x:c>
      <x:c r="C64" s="432" t="n">
        <x:f>IF(AND(B64&lt;&gt;"",'Properties'!M22="Available"),1,0)</x:f>
        <x:v>0</x:v>
      </x:c>
      <x:c r="D64" s="432" t="n">
        <x:f>IF($M$13="Buy",IF('Properties'!D22="Sale",1,0),IF($M$13="Rent",IF('Properties'!D22="Rental",1,0),0))</x:f>
        <x:v>0</x:v>
      </x:c>
      <x:c r="E64" s="432" t="n">
        <x:f>IF(AND(ISNUMBER('Properties'!L22),'Properties'!L22&gt;0,ISNUMBER($M$18),$M$18&gt;0,'Properties'!L22&lt;=$M$18,OR(NOT(ISNUMBER($M$17)),'Properties'!L22&gt;=$M$17)),1,0)</x:f>
        <x:v>0</x:v>
      </x:c>
      <x:c r="F64" s="432" t="n">
        <x:f>IF($M$14="",1,IF('Properties'!E22=$M$14,1,0))</x:f>
        <x:v>1</x:v>
      </x:c>
      <x:c r="G64" s="432" t="n">
        <x:f>IF($M$15="",1,IF('Properties'!I22=$M$15,1,0))</x:f>
        <x:v>1</x:v>
      </x:c>
      <x:c r="H64" s="432" t="n">
        <x:f>IF(NOT(ISNUMBER($M$16)),1,IF(AND(ISNUMBER('Properties'!J22),'Properties'!J22=$M$16),1,0))</x:f>
        <x:v>1</x:v>
      </x:c>
      <x:c r="I64" s="432" t="n">
        <x:f>IF($M$19="",1,IF('Properties'!F22="",0,IF(ISNUMBER(SEARCH(","&amp;TRIM('Properties'!F22)&amp;",",","&amp;SUBSTITUTE(TRIM($M$19),", ",",")&amp;",")),1,0)))</x:f>
        <x:v>1</x:v>
      </x:c>
      <x:c r="J64" s="432" t="n">
        <x:f>IF($O$44=0,0,PRODUCT(C64:I64))</x:f>
        <x:v>0</x:v>
      </x:c>
      <x:c r="K64" s="432" t="str">
        <x:f>IF(J64=1,SUM($J$48:J64),"")</x:f>
      </x:c>
      <x:c r="L64" s="432"/>
      <x:c r="M64" s="432"/>
      <x:c r="N64" s="432" t="str">
        <x:f>IF('Clients'!A22="","",'Clients'!A22)</x:f>
      </x:c>
      <x:c r="O64" s="432" t="n">
        <x:f>IF(N64="",0,IF($B$6="",1,IF(ISNUMBER(SEARCH($B$6,'Clients'!A22&amp;" "&amp;'Clients'!B22&amp;" "&amp;'Clients'!C22&amp;" "&amp;'Clients'!D22)),1,0)))</x:f>
        <x:v>0</x:v>
      </x:c>
      <x:c r="P64" s="432" t="str">
        <x:f>IF(O64=1,SUM($O$48:O64),"")</x:f>
      </x:c>
      <x:c r="Q64" s="432"/>
    </x:row>
    <x:row r="65" ht="25" customHeight="1">
      <x:c r="A65" s="432"/>
      <x:c r="B65" s="432" t="str">
        <x:f>IF('Properties'!A23="","",'Properties'!A23)</x:f>
      </x:c>
      <x:c r="C65" s="432" t="n">
        <x:f>IF(AND(B65&lt;&gt;"",'Properties'!M23="Available"),1,0)</x:f>
        <x:v>0</x:v>
      </x:c>
      <x:c r="D65" s="432" t="n">
        <x:f>IF($M$13="Buy",IF('Properties'!D23="Sale",1,0),IF($M$13="Rent",IF('Properties'!D23="Rental",1,0),0))</x:f>
        <x:v>0</x:v>
      </x:c>
      <x:c r="E65" s="432" t="n">
        <x:f>IF(AND(ISNUMBER('Properties'!L23),'Properties'!L23&gt;0,ISNUMBER($M$18),$M$18&gt;0,'Properties'!L23&lt;=$M$18,OR(NOT(ISNUMBER($M$17)),'Properties'!L23&gt;=$M$17)),1,0)</x:f>
        <x:v>0</x:v>
      </x:c>
      <x:c r="F65" s="432" t="n">
        <x:f>IF($M$14="",1,IF('Properties'!E23=$M$14,1,0))</x:f>
        <x:v>1</x:v>
      </x:c>
      <x:c r="G65" s="432" t="n">
        <x:f>IF($M$15="",1,IF('Properties'!I23=$M$15,1,0))</x:f>
        <x:v>1</x:v>
      </x:c>
      <x:c r="H65" s="432" t="n">
        <x:f>IF(NOT(ISNUMBER($M$16)),1,IF(AND(ISNUMBER('Properties'!J23),'Properties'!J23=$M$16),1,0))</x:f>
        <x:v>1</x:v>
      </x:c>
      <x:c r="I65" s="432" t="n">
        <x:f>IF($M$19="",1,IF('Properties'!F23="",0,IF(ISNUMBER(SEARCH(","&amp;TRIM('Properties'!F23)&amp;",",","&amp;SUBSTITUTE(TRIM($M$19),", ",",")&amp;",")),1,0)))</x:f>
        <x:v>1</x:v>
      </x:c>
      <x:c r="J65" s="432" t="n">
        <x:f>IF($O$44=0,0,PRODUCT(C65:I65))</x:f>
        <x:v>0</x:v>
      </x:c>
      <x:c r="K65" s="432" t="str">
        <x:f>IF(J65=1,SUM($J$48:J65),"")</x:f>
      </x:c>
      <x:c r="L65" s="432"/>
      <x:c r="M65" s="432"/>
      <x:c r="N65" s="432" t="str">
        <x:f>IF('Clients'!A23="","",'Clients'!A23)</x:f>
      </x:c>
      <x:c r="O65" s="432" t="n">
        <x:f>IF(N65="",0,IF($B$6="",1,IF(ISNUMBER(SEARCH($B$6,'Clients'!A23&amp;" "&amp;'Clients'!B23&amp;" "&amp;'Clients'!C23&amp;" "&amp;'Clients'!D23)),1,0)))</x:f>
        <x:v>0</x:v>
      </x:c>
      <x:c r="P65" s="432" t="str">
        <x:f>IF(O65=1,SUM($O$48:O65),"")</x:f>
      </x:c>
      <x:c r="Q65" s="432"/>
    </x:row>
    <x:row r="66" ht="25" customHeight="1">
      <x:c r="A66" s="432"/>
      <x:c r="B66" s="432" t="str">
        <x:f>IF('Properties'!A24="","",'Properties'!A24)</x:f>
      </x:c>
      <x:c r="C66" s="432" t="n">
        <x:f>IF(AND(B66&lt;&gt;"",'Properties'!M24="Available"),1,0)</x:f>
        <x:v>0</x:v>
      </x:c>
      <x:c r="D66" s="432" t="n">
        <x:f>IF($M$13="Buy",IF('Properties'!D24="Sale",1,0),IF($M$13="Rent",IF('Properties'!D24="Rental",1,0),0))</x:f>
        <x:v>0</x:v>
      </x:c>
      <x:c r="E66" s="432" t="n">
        <x:f>IF(AND(ISNUMBER('Properties'!L24),'Properties'!L24&gt;0,ISNUMBER($M$18),$M$18&gt;0,'Properties'!L24&lt;=$M$18,OR(NOT(ISNUMBER($M$17)),'Properties'!L24&gt;=$M$17)),1,0)</x:f>
        <x:v>0</x:v>
      </x:c>
      <x:c r="F66" s="432" t="n">
        <x:f>IF($M$14="",1,IF('Properties'!E24=$M$14,1,0))</x:f>
        <x:v>1</x:v>
      </x:c>
      <x:c r="G66" s="432" t="n">
        <x:f>IF($M$15="",1,IF('Properties'!I24=$M$15,1,0))</x:f>
        <x:v>1</x:v>
      </x:c>
      <x:c r="H66" s="432" t="n">
        <x:f>IF(NOT(ISNUMBER($M$16)),1,IF(AND(ISNUMBER('Properties'!J24),'Properties'!J24=$M$16),1,0))</x:f>
        <x:v>1</x:v>
      </x:c>
      <x:c r="I66" s="432" t="n">
        <x:f>IF($M$19="",1,IF('Properties'!F24="",0,IF(ISNUMBER(SEARCH(","&amp;TRIM('Properties'!F24)&amp;",",","&amp;SUBSTITUTE(TRIM($M$19),", ",",")&amp;",")),1,0)))</x:f>
        <x:v>1</x:v>
      </x:c>
      <x:c r="J66" s="432" t="n">
        <x:f>IF($O$44=0,0,PRODUCT(C66:I66))</x:f>
        <x:v>0</x:v>
      </x:c>
      <x:c r="K66" s="432" t="str">
        <x:f>IF(J66=1,SUM($J$48:J66),"")</x:f>
      </x:c>
      <x:c r="L66" s="432"/>
      <x:c r="M66" s="432"/>
      <x:c r="N66" s="432" t="str">
        <x:f>IF('Clients'!A24="","",'Clients'!A24)</x:f>
      </x:c>
      <x:c r="O66" s="432" t="n">
        <x:f>IF(N66="",0,IF($B$6="",1,IF(ISNUMBER(SEARCH($B$6,'Clients'!A24&amp;" "&amp;'Clients'!B24&amp;" "&amp;'Clients'!C24&amp;" "&amp;'Clients'!D24)),1,0)))</x:f>
        <x:v>0</x:v>
      </x:c>
      <x:c r="P66" s="432" t="str">
        <x:f>IF(O66=1,SUM($O$48:O66),"")</x:f>
      </x:c>
      <x:c r="Q66" s="432"/>
    </x:row>
    <x:row r="67" ht="25" customHeight="1">
      <x:c r="A67" s="432"/>
      <x:c r="B67" s="432" t="str">
        <x:f>IF('Properties'!A25="","",'Properties'!A25)</x:f>
      </x:c>
      <x:c r="C67" s="432" t="n">
        <x:f>IF(AND(B67&lt;&gt;"",'Properties'!M25="Available"),1,0)</x:f>
        <x:v>0</x:v>
      </x:c>
      <x:c r="D67" s="432" t="n">
        <x:f>IF($M$13="Buy",IF('Properties'!D25="Sale",1,0),IF($M$13="Rent",IF('Properties'!D25="Rental",1,0),0))</x:f>
        <x:v>0</x:v>
      </x:c>
      <x:c r="E67" s="432" t="n">
        <x:f>IF(AND(ISNUMBER('Properties'!L25),'Properties'!L25&gt;0,ISNUMBER($M$18),$M$18&gt;0,'Properties'!L25&lt;=$M$18,OR(NOT(ISNUMBER($M$17)),'Properties'!L25&gt;=$M$17)),1,0)</x:f>
        <x:v>0</x:v>
      </x:c>
      <x:c r="F67" s="432" t="n">
        <x:f>IF($M$14="",1,IF('Properties'!E25=$M$14,1,0))</x:f>
        <x:v>1</x:v>
      </x:c>
      <x:c r="G67" s="432" t="n">
        <x:f>IF($M$15="",1,IF('Properties'!I25=$M$15,1,0))</x:f>
        <x:v>1</x:v>
      </x:c>
      <x:c r="H67" s="432" t="n">
        <x:f>IF(NOT(ISNUMBER($M$16)),1,IF(AND(ISNUMBER('Properties'!J25),'Properties'!J25=$M$16),1,0))</x:f>
        <x:v>1</x:v>
      </x:c>
      <x:c r="I67" s="432" t="n">
        <x:f>IF($M$19="",1,IF('Properties'!F25="",0,IF(ISNUMBER(SEARCH(","&amp;TRIM('Properties'!F25)&amp;",",","&amp;SUBSTITUTE(TRIM($M$19),", ",",")&amp;",")),1,0)))</x:f>
        <x:v>1</x:v>
      </x:c>
      <x:c r="J67" s="432" t="n">
        <x:f>IF($O$44=0,0,PRODUCT(C67:I67))</x:f>
        <x:v>0</x:v>
      </x:c>
      <x:c r="K67" s="432" t="str">
        <x:f>IF(J67=1,SUM($J$48:J67),"")</x:f>
      </x:c>
      <x:c r="L67" s="432"/>
      <x:c r="M67" s="432"/>
      <x:c r="N67" s="432" t="str">
        <x:f>IF('Clients'!A25="","",'Clients'!A25)</x:f>
      </x:c>
      <x:c r="O67" s="432" t="n">
        <x:f>IF(N67="",0,IF($B$6="",1,IF(ISNUMBER(SEARCH($B$6,'Clients'!A25&amp;" "&amp;'Clients'!B25&amp;" "&amp;'Clients'!C25&amp;" "&amp;'Clients'!D25)),1,0)))</x:f>
        <x:v>0</x:v>
      </x:c>
      <x:c r="P67" s="432" t="str">
        <x:f>IF(O67=1,SUM($O$48:O67),"")</x:f>
      </x:c>
      <x:c r="Q67" s="432"/>
    </x:row>
    <x:row r="68" ht="25" customHeight="1">
      <x:c r="A68" s="432"/>
      <x:c r="B68" s="432" t="str">
        <x:f>IF('Properties'!A26="","",'Properties'!A26)</x:f>
      </x:c>
      <x:c r="C68" s="432" t="n">
        <x:f>IF(AND(B68&lt;&gt;"",'Properties'!M26="Available"),1,0)</x:f>
        <x:v>0</x:v>
      </x:c>
      <x:c r="D68" s="432" t="n">
        <x:f>IF($M$13="Buy",IF('Properties'!D26="Sale",1,0),IF($M$13="Rent",IF('Properties'!D26="Rental",1,0),0))</x:f>
        <x:v>0</x:v>
      </x:c>
      <x:c r="E68" s="432" t="n">
        <x:f>IF(AND(ISNUMBER('Properties'!L26),'Properties'!L26&gt;0,ISNUMBER($M$18),$M$18&gt;0,'Properties'!L26&lt;=$M$18,OR(NOT(ISNUMBER($M$17)),'Properties'!L26&gt;=$M$17)),1,0)</x:f>
        <x:v>0</x:v>
      </x:c>
      <x:c r="F68" s="432" t="n">
        <x:f>IF($M$14="",1,IF('Properties'!E26=$M$14,1,0))</x:f>
        <x:v>1</x:v>
      </x:c>
      <x:c r="G68" s="432" t="n">
        <x:f>IF($M$15="",1,IF('Properties'!I26=$M$15,1,0))</x:f>
        <x:v>1</x:v>
      </x:c>
      <x:c r="H68" s="432" t="n">
        <x:f>IF(NOT(ISNUMBER($M$16)),1,IF(AND(ISNUMBER('Properties'!J26),'Properties'!J26=$M$16),1,0))</x:f>
        <x:v>1</x:v>
      </x:c>
      <x:c r="I68" s="432" t="n">
        <x:f>IF($M$19="",1,IF('Properties'!F26="",0,IF(ISNUMBER(SEARCH(","&amp;TRIM('Properties'!F26)&amp;",",","&amp;SUBSTITUTE(TRIM($M$19),", ",",")&amp;",")),1,0)))</x:f>
        <x:v>1</x:v>
      </x:c>
      <x:c r="J68" s="432" t="n">
        <x:f>IF($O$44=0,0,PRODUCT(C68:I68))</x:f>
        <x:v>0</x:v>
      </x:c>
      <x:c r="K68" s="432" t="str">
        <x:f>IF(J68=1,SUM($J$48:J68),"")</x:f>
      </x:c>
      <x:c r="L68" s="432"/>
      <x:c r="M68" s="432"/>
      <x:c r="N68" s="432" t="str">
        <x:f>IF('Clients'!A26="","",'Clients'!A26)</x:f>
      </x:c>
      <x:c r="O68" s="432" t="n">
        <x:f>IF(N68="",0,IF($B$6="",1,IF(ISNUMBER(SEARCH($B$6,'Clients'!A26&amp;" "&amp;'Clients'!B26&amp;" "&amp;'Clients'!C26&amp;" "&amp;'Clients'!D26)),1,0)))</x:f>
        <x:v>0</x:v>
      </x:c>
      <x:c r="P68" s="432" t="str">
        <x:f>IF(O68=1,SUM($O$48:O68),"")</x:f>
      </x:c>
      <x:c r="Q68" s="432"/>
    </x:row>
    <x:row r="69" ht="25" customHeight="1">
      <x:c r="A69" s="432"/>
      <x:c r="B69" s="432" t="str">
        <x:f>IF('Properties'!A27="","",'Properties'!A27)</x:f>
      </x:c>
      <x:c r="C69" s="432" t="n">
        <x:f>IF(AND(B69&lt;&gt;"",'Properties'!M27="Available"),1,0)</x:f>
        <x:v>0</x:v>
      </x:c>
      <x:c r="D69" s="432" t="n">
        <x:f>IF($M$13="Buy",IF('Properties'!D27="Sale",1,0),IF($M$13="Rent",IF('Properties'!D27="Rental",1,0),0))</x:f>
        <x:v>0</x:v>
      </x:c>
      <x:c r="E69" s="432" t="n">
        <x:f>IF(AND(ISNUMBER('Properties'!L27),'Properties'!L27&gt;0,ISNUMBER($M$18),$M$18&gt;0,'Properties'!L27&lt;=$M$18,OR(NOT(ISNUMBER($M$17)),'Properties'!L27&gt;=$M$17)),1,0)</x:f>
        <x:v>0</x:v>
      </x:c>
      <x:c r="F69" s="432" t="n">
        <x:f>IF($M$14="",1,IF('Properties'!E27=$M$14,1,0))</x:f>
        <x:v>1</x:v>
      </x:c>
      <x:c r="G69" s="432" t="n">
        <x:f>IF($M$15="",1,IF('Properties'!I27=$M$15,1,0))</x:f>
        <x:v>1</x:v>
      </x:c>
      <x:c r="H69" s="432" t="n">
        <x:f>IF(NOT(ISNUMBER($M$16)),1,IF(AND(ISNUMBER('Properties'!J27),'Properties'!J27=$M$16),1,0))</x:f>
        <x:v>1</x:v>
      </x:c>
      <x:c r="I69" s="432" t="n">
        <x:f>IF($M$19="",1,IF('Properties'!F27="",0,IF(ISNUMBER(SEARCH(","&amp;TRIM('Properties'!F27)&amp;",",","&amp;SUBSTITUTE(TRIM($M$19),", ",",")&amp;",")),1,0)))</x:f>
        <x:v>1</x:v>
      </x:c>
      <x:c r="J69" s="432" t="n">
        <x:f>IF($O$44=0,0,PRODUCT(C69:I69))</x:f>
        <x:v>0</x:v>
      </x:c>
      <x:c r="K69" s="432" t="str">
        <x:f>IF(J69=1,SUM($J$48:J69),"")</x:f>
      </x:c>
      <x:c r="L69" s="432"/>
      <x:c r="M69" s="432"/>
      <x:c r="N69" s="432" t="str">
        <x:f>IF('Clients'!A27="","",'Clients'!A27)</x:f>
      </x:c>
      <x:c r="O69" s="432" t="n">
        <x:f>IF(N69="",0,IF($B$6="",1,IF(ISNUMBER(SEARCH($B$6,'Clients'!A27&amp;" "&amp;'Clients'!B27&amp;" "&amp;'Clients'!C27&amp;" "&amp;'Clients'!D27)),1,0)))</x:f>
        <x:v>0</x:v>
      </x:c>
      <x:c r="P69" s="432" t="str">
        <x:f>IF(O69=1,SUM($O$48:O69),"")</x:f>
      </x:c>
      <x:c r="Q69" s="432"/>
    </x:row>
    <x:row r="70" ht="25" customHeight="1">
      <x:c r="A70" s="432"/>
      <x:c r="B70" s="432" t="str">
        <x:f>IF('Properties'!A28="","",'Properties'!A28)</x:f>
      </x:c>
      <x:c r="C70" s="432" t="n">
        <x:f>IF(AND(B70&lt;&gt;"",'Properties'!M28="Available"),1,0)</x:f>
        <x:v>0</x:v>
      </x:c>
      <x:c r="D70" s="432" t="n">
        <x:f>IF($M$13="Buy",IF('Properties'!D28="Sale",1,0),IF($M$13="Rent",IF('Properties'!D28="Rental",1,0),0))</x:f>
        <x:v>0</x:v>
      </x:c>
      <x:c r="E70" s="432" t="n">
        <x:f>IF(AND(ISNUMBER('Properties'!L28),'Properties'!L28&gt;0,ISNUMBER($M$18),$M$18&gt;0,'Properties'!L28&lt;=$M$18,OR(NOT(ISNUMBER($M$17)),'Properties'!L28&gt;=$M$17)),1,0)</x:f>
        <x:v>0</x:v>
      </x:c>
      <x:c r="F70" s="432" t="n">
        <x:f>IF($M$14="",1,IF('Properties'!E28=$M$14,1,0))</x:f>
        <x:v>1</x:v>
      </x:c>
      <x:c r="G70" s="432" t="n">
        <x:f>IF($M$15="",1,IF('Properties'!I28=$M$15,1,0))</x:f>
        <x:v>1</x:v>
      </x:c>
      <x:c r="H70" s="432" t="n">
        <x:f>IF(NOT(ISNUMBER($M$16)),1,IF(AND(ISNUMBER('Properties'!J28),'Properties'!J28=$M$16),1,0))</x:f>
        <x:v>1</x:v>
      </x:c>
      <x:c r="I70" s="432" t="n">
        <x:f>IF($M$19="",1,IF('Properties'!F28="",0,IF(ISNUMBER(SEARCH(","&amp;TRIM('Properties'!F28)&amp;",",","&amp;SUBSTITUTE(TRIM($M$19),", ",",")&amp;",")),1,0)))</x:f>
        <x:v>1</x:v>
      </x:c>
      <x:c r="J70" s="432" t="n">
        <x:f>IF($O$44=0,0,PRODUCT(C70:I70))</x:f>
        <x:v>0</x:v>
      </x:c>
      <x:c r="K70" s="432" t="str">
        <x:f>IF(J70=1,SUM($J$48:J70),"")</x:f>
      </x:c>
      <x:c r="L70" s="432"/>
      <x:c r="M70" s="432"/>
      <x:c r="N70" s="432" t="str">
        <x:f>IF('Clients'!A28="","",'Clients'!A28)</x:f>
      </x:c>
      <x:c r="O70" s="432" t="n">
        <x:f>IF(N70="",0,IF($B$6="",1,IF(ISNUMBER(SEARCH($B$6,'Clients'!A28&amp;" "&amp;'Clients'!B28&amp;" "&amp;'Clients'!C28&amp;" "&amp;'Clients'!D28)),1,0)))</x:f>
        <x:v>0</x:v>
      </x:c>
      <x:c r="P70" s="432" t="str">
        <x:f>IF(O70=1,SUM($O$48:O70),"")</x:f>
      </x:c>
      <x:c r="Q70" s="432"/>
    </x:row>
    <x:row r="71" ht="25" customHeight="1">
      <x:c r="A71" s="432"/>
      <x:c r="B71" s="432" t="str">
        <x:f>IF('Properties'!A29="","",'Properties'!A29)</x:f>
      </x:c>
      <x:c r="C71" s="432" t="n">
        <x:f>IF(AND(B71&lt;&gt;"",'Properties'!M29="Available"),1,0)</x:f>
        <x:v>0</x:v>
      </x:c>
      <x:c r="D71" s="432" t="n">
        <x:f>IF($M$13="Buy",IF('Properties'!D29="Sale",1,0),IF($M$13="Rent",IF('Properties'!D29="Rental",1,0),0))</x:f>
        <x:v>0</x:v>
      </x:c>
      <x:c r="E71" s="432" t="n">
        <x:f>IF(AND(ISNUMBER('Properties'!L29),'Properties'!L29&gt;0,ISNUMBER($M$18),$M$18&gt;0,'Properties'!L29&lt;=$M$18,OR(NOT(ISNUMBER($M$17)),'Properties'!L29&gt;=$M$17)),1,0)</x:f>
        <x:v>0</x:v>
      </x:c>
      <x:c r="F71" s="432" t="n">
        <x:f>IF($M$14="",1,IF('Properties'!E29=$M$14,1,0))</x:f>
        <x:v>1</x:v>
      </x:c>
      <x:c r="G71" s="432" t="n">
        <x:f>IF($M$15="",1,IF('Properties'!I29=$M$15,1,0))</x:f>
        <x:v>1</x:v>
      </x:c>
      <x:c r="H71" s="432" t="n">
        <x:f>IF(NOT(ISNUMBER($M$16)),1,IF(AND(ISNUMBER('Properties'!J29),'Properties'!J29=$M$16),1,0))</x:f>
        <x:v>1</x:v>
      </x:c>
      <x:c r="I71" s="432" t="n">
        <x:f>IF($M$19="",1,IF('Properties'!F29="",0,IF(ISNUMBER(SEARCH(","&amp;TRIM('Properties'!F29)&amp;",",","&amp;SUBSTITUTE(TRIM($M$19),", ",",")&amp;",")),1,0)))</x:f>
        <x:v>1</x:v>
      </x:c>
      <x:c r="J71" s="432" t="n">
        <x:f>IF($O$44=0,0,PRODUCT(C71:I71))</x:f>
        <x:v>0</x:v>
      </x:c>
      <x:c r="K71" s="432" t="str">
        <x:f>IF(J71=1,SUM($J$48:J71),"")</x:f>
      </x:c>
      <x:c r="L71" s="432"/>
      <x:c r="M71" s="432"/>
      <x:c r="N71" s="432" t="str">
        <x:f>IF('Clients'!A29="","",'Clients'!A29)</x:f>
      </x:c>
      <x:c r="O71" s="432" t="n">
        <x:f>IF(N71="",0,IF($B$6="",1,IF(ISNUMBER(SEARCH($B$6,'Clients'!A29&amp;" "&amp;'Clients'!B29&amp;" "&amp;'Clients'!C29&amp;" "&amp;'Clients'!D29)),1,0)))</x:f>
        <x:v>0</x:v>
      </x:c>
      <x:c r="P71" s="432" t="str">
        <x:f>IF(O71=1,SUM($O$48:O71),"")</x:f>
      </x:c>
      <x:c r="Q71" s="432"/>
    </x:row>
    <x:row r="72" ht="25" customHeight="1">
      <x:c r="A72" s="432"/>
      <x:c r="B72" s="432" t="str">
        <x:f>IF('Properties'!A30="","",'Properties'!A30)</x:f>
      </x:c>
      <x:c r="C72" s="432" t="n">
        <x:f>IF(AND(B72&lt;&gt;"",'Properties'!M30="Available"),1,0)</x:f>
        <x:v>0</x:v>
      </x:c>
      <x:c r="D72" s="432" t="n">
        <x:f>IF($M$13="Buy",IF('Properties'!D30="Sale",1,0),IF($M$13="Rent",IF('Properties'!D30="Rental",1,0),0))</x:f>
        <x:v>0</x:v>
      </x:c>
      <x:c r="E72" s="432" t="n">
        <x:f>IF(AND(ISNUMBER('Properties'!L30),'Properties'!L30&gt;0,ISNUMBER($M$18),$M$18&gt;0,'Properties'!L30&lt;=$M$18,OR(NOT(ISNUMBER($M$17)),'Properties'!L30&gt;=$M$17)),1,0)</x:f>
        <x:v>0</x:v>
      </x:c>
      <x:c r="F72" s="432" t="n">
        <x:f>IF($M$14="",1,IF('Properties'!E30=$M$14,1,0))</x:f>
        <x:v>1</x:v>
      </x:c>
      <x:c r="G72" s="432" t="n">
        <x:f>IF($M$15="",1,IF('Properties'!I30=$M$15,1,0))</x:f>
        <x:v>1</x:v>
      </x:c>
      <x:c r="H72" s="432" t="n">
        <x:f>IF(NOT(ISNUMBER($M$16)),1,IF(AND(ISNUMBER('Properties'!J30),'Properties'!J30=$M$16),1,0))</x:f>
        <x:v>1</x:v>
      </x:c>
      <x:c r="I72" s="432" t="n">
        <x:f>IF($M$19="",1,IF('Properties'!F30="",0,IF(ISNUMBER(SEARCH(","&amp;TRIM('Properties'!F30)&amp;",",","&amp;SUBSTITUTE(TRIM($M$19),", ",",")&amp;",")),1,0)))</x:f>
        <x:v>1</x:v>
      </x:c>
      <x:c r="J72" s="432" t="n">
        <x:f>IF($O$44=0,0,PRODUCT(C72:I72))</x:f>
        <x:v>0</x:v>
      </x:c>
      <x:c r="K72" s="432" t="str">
        <x:f>IF(J72=1,SUM($J$48:J72),"")</x:f>
      </x:c>
      <x:c r="L72" s="432"/>
      <x:c r="M72" s="432"/>
      <x:c r="N72" s="432" t="str">
        <x:f>IF('Clients'!A30="","",'Clients'!A30)</x:f>
      </x:c>
      <x:c r="O72" s="432" t="n">
        <x:f>IF(N72="",0,IF($B$6="",1,IF(ISNUMBER(SEARCH($B$6,'Clients'!A30&amp;" "&amp;'Clients'!B30&amp;" "&amp;'Clients'!C30&amp;" "&amp;'Clients'!D30)),1,0)))</x:f>
        <x:v>0</x:v>
      </x:c>
      <x:c r="P72" s="432" t="str">
        <x:f>IF(O72=1,SUM($O$48:O72),"")</x:f>
      </x:c>
      <x:c r="Q72" s="432"/>
    </x:row>
    <x:row r="73" ht="25" customHeight="1">
      <x:c r="A73" s="432"/>
      <x:c r="B73" s="432" t="str">
        <x:f>IF('Properties'!A31="","",'Properties'!A31)</x:f>
      </x:c>
      <x:c r="C73" s="432" t="n">
        <x:f>IF(AND(B73&lt;&gt;"",'Properties'!M31="Available"),1,0)</x:f>
        <x:v>0</x:v>
      </x:c>
      <x:c r="D73" s="432" t="n">
        <x:f>IF($M$13="Buy",IF('Properties'!D31="Sale",1,0),IF($M$13="Rent",IF('Properties'!D31="Rental",1,0),0))</x:f>
        <x:v>0</x:v>
      </x:c>
      <x:c r="E73" s="432" t="n">
        <x:f>IF(AND(ISNUMBER('Properties'!L31),'Properties'!L31&gt;0,ISNUMBER($M$18),$M$18&gt;0,'Properties'!L31&lt;=$M$18,OR(NOT(ISNUMBER($M$17)),'Properties'!L31&gt;=$M$17)),1,0)</x:f>
        <x:v>0</x:v>
      </x:c>
      <x:c r="F73" s="432" t="n">
        <x:f>IF($M$14="",1,IF('Properties'!E31=$M$14,1,0))</x:f>
        <x:v>1</x:v>
      </x:c>
      <x:c r="G73" s="432" t="n">
        <x:f>IF($M$15="",1,IF('Properties'!I31=$M$15,1,0))</x:f>
        <x:v>1</x:v>
      </x:c>
      <x:c r="H73" s="432" t="n">
        <x:f>IF(NOT(ISNUMBER($M$16)),1,IF(AND(ISNUMBER('Properties'!J31),'Properties'!J31=$M$16),1,0))</x:f>
        <x:v>1</x:v>
      </x:c>
      <x:c r="I73" s="432" t="n">
        <x:f>IF($M$19="",1,IF('Properties'!F31="",0,IF(ISNUMBER(SEARCH(","&amp;TRIM('Properties'!F31)&amp;",",","&amp;SUBSTITUTE(TRIM($M$19),", ",",")&amp;",")),1,0)))</x:f>
        <x:v>1</x:v>
      </x:c>
      <x:c r="J73" s="432" t="n">
        <x:f>IF($O$44=0,0,PRODUCT(C73:I73))</x:f>
        <x:v>0</x:v>
      </x:c>
      <x:c r="K73" s="432" t="str">
        <x:f>IF(J73=1,SUM($J$48:J73),"")</x:f>
      </x:c>
      <x:c r="L73" s="432"/>
      <x:c r="M73" s="432"/>
      <x:c r="N73" s="432" t="str">
        <x:f>IF('Clients'!A31="","",'Clients'!A31)</x:f>
      </x:c>
      <x:c r="O73" s="432" t="n">
        <x:f>IF(N73="",0,IF($B$6="",1,IF(ISNUMBER(SEARCH($B$6,'Clients'!A31&amp;" "&amp;'Clients'!B31&amp;" "&amp;'Clients'!C31&amp;" "&amp;'Clients'!D31)),1,0)))</x:f>
        <x:v>0</x:v>
      </x:c>
      <x:c r="P73" s="432" t="str">
        <x:f>IF(O73=1,SUM($O$48:O73),"")</x:f>
      </x:c>
      <x:c r="Q73" s="432"/>
    </x:row>
    <x:row r="74" ht="25" customHeight="1">
      <x:c r="A74" s="432"/>
      <x:c r="B74" s="432" t="str">
        <x:f>IF('Properties'!A32="","",'Properties'!A32)</x:f>
      </x:c>
      <x:c r="C74" s="432" t="n">
        <x:f>IF(AND(B74&lt;&gt;"",'Properties'!M32="Available"),1,0)</x:f>
        <x:v>0</x:v>
      </x:c>
      <x:c r="D74" s="432" t="n">
        <x:f>IF($M$13="Buy",IF('Properties'!D32="Sale",1,0),IF($M$13="Rent",IF('Properties'!D32="Rental",1,0),0))</x:f>
        <x:v>0</x:v>
      </x:c>
      <x:c r="E74" s="432" t="n">
        <x:f>IF(AND(ISNUMBER('Properties'!L32),'Properties'!L32&gt;0,ISNUMBER($M$18),$M$18&gt;0,'Properties'!L32&lt;=$M$18,OR(NOT(ISNUMBER($M$17)),'Properties'!L32&gt;=$M$17)),1,0)</x:f>
        <x:v>0</x:v>
      </x:c>
      <x:c r="F74" s="432" t="n">
        <x:f>IF($M$14="",1,IF('Properties'!E32=$M$14,1,0))</x:f>
        <x:v>1</x:v>
      </x:c>
      <x:c r="G74" s="432" t="n">
        <x:f>IF($M$15="",1,IF('Properties'!I32=$M$15,1,0))</x:f>
        <x:v>1</x:v>
      </x:c>
      <x:c r="H74" s="432" t="n">
        <x:f>IF(NOT(ISNUMBER($M$16)),1,IF(AND(ISNUMBER('Properties'!J32),'Properties'!J32=$M$16),1,0))</x:f>
        <x:v>1</x:v>
      </x:c>
      <x:c r="I74" s="432" t="n">
        <x:f>IF($M$19="",1,IF('Properties'!F32="",0,IF(ISNUMBER(SEARCH(","&amp;TRIM('Properties'!F32)&amp;",",","&amp;SUBSTITUTE(TRIM($M$19),", ",",")&amp;",")),1,0)))</x:f>
        <x:v>1</x:v>
      </x:c>
      <x:c r="J74" s="432" t="n">
        <x:f>IF($O$44=0,0,PRODUCT(C74:I74))</x:f>
        <x:v>0</x:v>
      </x:c>
      <x:c r="K74" s="432" t="str">
        <x:f>IF(J74=1,SUM($J$48:J74),"")</x:f>
      </x:c>
      <x:c r="L74" s="432"/>
      <x:c r="M74" s="432"/>
      <x:c r="N74" s="432" t="str">
        <x:f>IF('Clients'!A32="","",'Clients'!A32)</x:f>
      </x:c>
      <x:c r="O74" s="432" t="n">
        <x:f>IF(N74="",0,IF($B$6="",1,IF(ISNUMBER(SEARCH($B$6,'Clients'!A32&amp;" "&amp;'Clients'!B32&amp;" "&amp;'Clients'!C32&amp;" "&amp;'Clients'!D32)),1,0)))</x:f>
        <x:v>0</x:v>
      </x:c>
      <x:c r="P74" s="432" t="str">
        <x:f>IF(O74=1,SUM($O$48:O74),"")</x:f>
      </x:c>
      <x:c r="Q74" s="432"/>
    </x:row>
    <x:row r="75" ht="25" customHeight="1">
      <x:c r="A75" s="432"/>
      <x:c r="B75" s="432" t="str">
        <x:f>IF('Properties'!A33="","",'Properties'!A33)</x:f>
      </x:c>
      <x:c r="C75" s="432" t="n">
        <x:f>IF(AND(B75&lt;&gt;"",'Properties'!M33="Available"),1,0)</x:f>
        <x:v>0</x:v>
      </x:c>
      <x:c r="D75" s="432" t="n">
        <x:f>IF($M$13="Buy",IF('Properties'!D33="Sale",1,0),IF($M$13="Rent",IF('Properties'!D33="Rental",1,0),0))</x:f>
        <x:v>0</x:v>
      </x:c>
      <x:c r="E75" s="432" t="n">
        <x:f>IF(AND(ISNUMBER('Properties'!L33),'Properties'!L33&gt;0,ISNUMBER($M$18),$M$18&gt;0,'Properties'!L33&lt;=$M$18,OR(NOT(ISNUMBER($M$17)),'Properties'!L33&gt;=$M$17)),1,0)</x:f>
        <x:v>0</x:v>
      </x:c>
      <x:c r="F75" s="432" t="n">
        <x:f>IF($M$14="",1,IF('Properties'!E33=$M$14,1,0))</x:f>
        <x:v>1</x:v>
      </x:c>
      <x:c r="G75" s="432" t="n">
        <x:f>IF($M$15="",1,IF('Properties'!I33=$M$15,1,0))</x:f>
        <x:v>1</x:v>
      </x:c>
      <x:c r="H75" s="432" t="n">
        <x:f>IF(NOT(ISNUMBER($M$16)),1,IF(AND(ISNUMBER('Properties'!J33),'Properties'!J33=$M$16),1,0))</x:f>
        <x:v>1</x:v>
      </x:c>
      <x:c r="I75" s="432" t="n">
        <x:f>IF($M$19="",1,IF('Properties'!F33="",0,IF(ISNUMBER(SEARCH(","&amp;TRIM('Properties'!F33)&amp;",",","&amp;SUBSTITUTE(TRIM($M$19),", ",",")&amp;",")),1,0)))</x:f>
        <x:v>1</x:v>
      </x:c>
      <x:c r="J75" s="432" t="n">
        <x:f>IF($O$44=0,0,PRODUCT(C75:I75))</x:f>
        <x:v>0</x:v>
      </x:c>
      <x:c r="K75" s="432" t="str">
        <x:f>IF(J75=1,SUM($J$48:J75),"")</x:f>
      </x:c>
      <x:c r="L75" s="432"/>
      <x:c r="M75" s="432"/>
      <x:c r="N75" s="432" t="str">
        <x:f>IF('Clients'!A33="","",'Clients'!A33)</x:f>
      </x:c>
      <x:c r="O75" s="432" t="n">
        <x:f>IF(N75="",0,IF($B$6="",1,IF(ISNUMBER(SEARCH($B$6,'Clients'!A33&amp;" "&amp;'Clients'!B33&amp;" "&amp;'Clients'!C33&amp;" "&amp;'Clients'!D33)),1,0)))</x:f>
        <x:v>0</x:v>
      </x:c>
      <x:c r="P75" s="432" t="str">
        <x:f>IF(O75=1,SUM($O$48:O75),"")</x:f>
      </x:c>
      <x:c r="Q75" s="432"/>
    </x:row>
    <x:row r="76" ht="25" customHeight="1">
      <x:c r="A76" s="432"/>
      <x:c r="B76" s="432" t="str">
        <x:f>IF('Properties'!A34="","",'Properties'!A34)</x:f>
      </x:c>
      <x:c r="C76" s="432" t="n">
        <x:f>IF(AND(B76&lt;&gt;"",'Properties'!M34="Available"),1,0)</x:f>
        <x:v>0</x:v>
      </x:c>
      <x:c r="D76" s="432" t="n">
        <x:f>IF($M$13="Buy",IF('Properties'!D34="Sale",1,0),IF($M$13="Rent",IF('Properties'!D34="Rental",1,0),0))</x:f>
        <x:v>0</x:v>
      </x:c>
      <x:c r="E76" s="432" t="n">
        <x:f>IF(AND(ISNUMBER('Properties'!L34),'Properties'!L34&gt;0,ISNUMBER($M$18),$M$18&gt;0,'Properties'!L34&lt;=$M$18,OR(NOT(ISNUMBER($M$17)),'Properties'!L34&gt;=$M$17)),1,0)</x:f>
        <x:v>0</x:v>
      </x:c>
      <x:c r="F76" s="432" t="n">
        <x:f>IF($M$14="",1,IF('Properties'!E34=$M$14,1,0))</x:f>
        <x:v>1</x:v>
      </x:c>
      <x:c r="G76" s="432" t="n">
        <x:f>IF($M$15="",1,IF('Properties'!I34=$M$15,1,0))</x:f>
        <x:v>1</x:v>
      </x:c>
      <x:c r="H76" s="432" t="n">
        <x:f>IF(NOT(ISNUMBER($M$16)),1,IF(AND(ISNUMBER('Properties'!J34),'Properties'!J34=$M$16),1,0))</x:f>
        <x:v>1</x:v>
      </x:c>
      <x:c r="I76" s="432" t="n">
        <x:f>IF($M$19="",1,IF('Properties'!F34="",0,IF(ISNUMBER(SEARCH(","&amp;TRIM('Properties'!F34)&amp;",",","&amp;SUBSTITUTE(TRIM($M$19),", ",",")&amp;",")),1,0)))</x:f>
        <x:v>1</x:v>
      </x:c>
      <x:c r="J76" s="432" t="n">
        <x:f>IF($O$44=0,0,PRODUCT(C76:I76))</x:f>
        <x:v>0</x:v>
      </x:c>
      <x:c r="K76" s="432" t="str">
        <x:f>IF(J76=1,SUM($J$48:J76),"")</x:f>
      </x:c>
      <x:c r="L76" s="432"/>
      <x:c r="M76" s="432"/>
      <x:c r="N76" s="432" t="str">
        <x:f>IF('Clients'!A34="","",'Clients'!A34)</x:f>
      </x:c>
      <x:c r="O76" s="432" t="n">
        <x:f>IF(N76="",0,IF($B$6="",1,IF(ISNUMBER(SEARCH($B$6,'Clients'!A34&amp;" "&amp;'Clients'!B34&amp;" "&amp;'Clients'!C34&amp;" "&amp;'Clients'!D34)),1,0)))</x:f>
        <x:v>0</x:v>
      </x:c>
      <x:c r="P76" s="432" t="str">
        <x:f>IF(O76=1,SUM($O$48:O76),"")</x:f>
      </x:c>
      <x:c r="Q76" s="432"/>
    </x:row>
    <x:row r="77" ht="25" customHeight="1">
      <x:c r="A77" s="432"/>
      <x:c r="B77" s="432" t="str">
        <x:f>IF('Properties'!A35="","",'Properties'!A35)</x:f>
      </x:c>
      <x:c r="C77" s="432" t="n">
        <x:f>IF(AND(B77&lt;&gt;"",'Properties'!M35="Available"),1,0)</x:f>
        <x:v>0</x:v>
      </x:c>
      <x:c r="D77" s="432" t="n">
        <x:f>IF($M$13="Buy",IF('Properties'!D35="Sale",1,0),IF($M$13="Rent",IF('Properties'!D35="Rental",1,0),0))</x:f>
        <x:v>0</x:v>
      </x:c>
      <x:c r="E77" s="432" t="n">
        <x:f>IF(AND(ISNUMBER('Properties'!L35),'Properties'!L35&gt;0,ISNUMBER($M$18),$M$18&gt;0,'Properties'!L35&lt;=$M$18,OR(NOT(ISNUMBER($M$17)),'Properties'!L35&gt;=$M$17)),1,0)</x:f>
        <x:v>0</x:v>
      </x:c>
      <x:c r="F77" s="432" t="n">
        <x:f>IF($M$14="",1,IF('Properties'!E35=$M$14,1,0))</x:f>
        <x:v>1</x:v>
      </x:c>
      <x:c r="G77" s="432" t="n">
        <x:f>IF($M$15="",1,IF('Properties'!I35=$M$15,1,0))</x:f>
        <x:v>1</x:v>
      </x:c>
      <x:c r="H77" s="432" t="n">
        <x:f>IF(NOT(ISNUMBER($M$16)),1,IF(AND(ISNUMBER('Properties'!J35),'Properties'!J35=$M$16),1,0))</x:f>
        <x:v>1</x:v>
      </x:c>
      <x:c r="I77" s="432" t="n">
        <x:f>IF($M$19="",1,IF('Properties'!F35="",0,IF(ISNUMBER(SEARCH(","&amp;TRIM('Properties'!F35)&amp;",",","&amp;SUBSTITUTE(TRIM($M$19),", ",",")&amp;",")),1,0)))</x:f>
        <x:v>1</x:v>
      </x:c>
      <x:c r="J77" s="432" t="n">
        <x:f>IF($O$44=0,0,PRODUCT(C77:I77))</x:f>
        <x:v>0</x:v>
      </x:c>
      <x:c r="K77" s="432" t="str">
        <x:f>IF(J77=1,SUM($J$48:J77),"")</x:f>
      </x:c>
      <x:c r="L77" s="432"/>
      <x:c r="M77" s="432"/>
      <x:c r="N77" s="432" t="str">
        <x:f>IF('Clients'!A35="","",'Clients'!A35)</x:f>
      </x:c>
      <x:c r="O77" s="432" t="n">
        <x:f>IF(N77="",0,IF($B$6="",1,IF(ISNUMBER(SEARCH($B$6,'Clients'!A35&amp;" "&amp;'Clients'!B35&amp;" "&amp;'Clients'!C35&amp;" "&amp;'Clients'!D35)),1,0)))</x:f>
        <x:v>0</x:v>
      </x:c>
      <x:c r="P77" s="432" t="str">
        <x:f>IF(O77=1,SUM($O$48:O77),"")</x:f>
      </x:c>
      <x:c r="Q77" s="432"/>
    </x:row>
    <x:row r="78" ht="25" customHeight="1">
      <x:c r="A78" s="432"/>
      <x:c r="B78" s="432" t="str">
        <x:f>IF('Properties'!A36="","",'Properties'!A36)</x:f>
      </x:c>
      <x:c r="C78" s="432" t="n">
        <x:f>IF(AND(B78&lt;&gt;"",'Properties'!M36="Available"),1,0)</x:f>
        <x:v>0</x:v>
      </x:c>
      <x:c r="D78" s="432" t="n">
        <x:f>IF($M$13="Buy",IF('Properties'!D36="Sale",1,0),IF($M$13="Rent",IF('Properties'!D36="Rental",1,0),0))</x:f>
        <x:v>0</x:v>
      </x:c>
      <x:c r="E78" s="432" t="n">
        <x:f>IF(AND(ISNUMBER('Properties'!L36),'Properties'!L36&gt;0,ISNUMBER($M$18),$M$18&gt;0,'Properties'!L36&lt;=$M$18,OR(NOT(ISNUMBER($M$17)),'Properties'!L36&gt;=$M$17)),1,0)</x:f>
        <x:v>0</x:v>
      </x:c>
      <x:c r="F78" s="432" t="n">
        <x:f>IF($M$14="",1,IF('Properties'!E36=$M$14,1,0))</x:f>
        <x:v>1</x:v>
      </x:c>
      <x:c r="G78" s="432" t="n">
        <x:f>IF($M$15="",1,IF('Properties'!I36=$M$15,1,0))</x:f>
        <x:v>1</x:v>
      </x:c>
      <x:c r="H78" s="432" t="n">
        <x:f>IF(NOT(ISNUMBER($M$16)),1,IF(AND(ISNUMBER('Properties'!J36),'Properties'!J36=$M$16),1,0))</x:f>
        <x:v>1</x:v>
      </x:c>
      <x:c r="I78" s="432" t="n">
        <x:f>IF($M$19="",1,IF('Properties'!F36="",0,IF(ISNUMBER(SEARCH(","&amp;TRIM('Properties'!F36)&amp;",",","&amp;SUBSTITUTE(TRIM($M$19),", ",",")&amp;",")),1,0)))</x:f>
        <x:v>1</x:v>
      </x:c>
      <x:c r="J78" s="432" t="n">
        <x:f>IF($O$44=0,0,PRODUCT(C78:I78))</x:f>
        <x:v>0</x:v>
      </x:c>
      <x:c r="K78" s="432" t="str">
        <x:f>IF(J78=1,SUM($J$48:J78),"")</x:f>
      </x:c>
      <x:c r="L78" s="432"/>
      <x:c r="M78" s="432"/>
      <x:c r="N78" s="432" t="str">
        <x:f>IF('Clients'!A36="","",'Clients'!A36)</x:f>
      </x:c>
      <x:c r="O78" s="432" t="n">
        <x:f>IF(N78="",0,IF($B$6="",1,IF(ISNUMBER(SEARCH($B$6,'Clients'!A36&amp;" "&amp;'Clients'!B36&amp;" "&amp;'Clients'!C36&amp;" "&amp;'Clients'!D36)),1,0)))</x:f>
        <x:v>0</x:v>
      </x:c>
      <x:c r="P78" s="432" t="str">
        <x:f>IF(O78=1,SUM($O$48:O78),"")</x:f>
      </x:c>
      <x:c r="Q78" s="432"/>
    </x:row>
    <x:row r="79" ht="25" customHeight="1">
      <x:c r="A79" s="432"/>
      <x:c r="B79" s="432" t="str">
        <x:f>IF('Properties'!A37="","",'Properties'!A37)</x:f>
      </x:c>
      <x:c r="C79" s="432" t="n">
        <x:f>IF(AND(B79&lt;&gt;"",'Properties'!M37="Available"),1,0)</x:f>
        <x:v>0</x:v>
      </x:c>
      <x:c r="D79" s="432" t="n">
        <x:f>IF($M$13="Buy",IF('Properties'!D37="Sale",1,0),IF($M$13="Rent",IF('Properties'!D37="Rental",1,0),0))</x:f>
        <x:v>0</x:v>
      </x:c>
      <x:c r="E79" s="432" t="n">
        <x:f>IF(AND(ISNUMBER('Properties'!L37),'Properties'!L37&gt;0,ISNUMBER($M$18),$M$18&gt;0,'Properties'!L37&lt;=$M$18,OR(NOT(ISNUMBER($M$17)),'Properties'!L37&gt;=$M$17)),1,0)</x:f>
        <x:v>0</x:v>
      </x:c>
      <x:c r="F79" s="432" t="n">
        <x:f>IF($M$14="",1,IF('Properties'!E37=$M$14,1,0))</x:f>
        <x:v>1</x:v>
      </x:c>
      <x:c r="G79" s="432" t="n">
        <x:f>IF($M$15="",1,IF('Properties'!I37=$M$15,1,0))</x:f>
        <x:v>1</x:v>
      </x:c>
      <x:c r="H79" s="432" t="n">
        <x:f>IF(NOT(ISNUMBER($M$16)),1,IF(AND(ISNUMBER('Properties'!J37),'Properties'!J37=$M$16),1,0))</x:f>
        <x:v>1</x:v>
      </x:c>
      <x:c r="I79" s="432" t="n">
        <x:f>IF($M$19="",1,IF('Properties'!F37="",0,IF(ISNUMBER(SEARCH(","&amp;TRIM('Properties'!F37)&amp;",",","&amp;SUBSTITUTE(TRIM($M$19),", ",",")&amp;",")),1,0)))</x:f>
        <x:v>1</x:v>
      </x:c>
      <x:c r="J79" s="432" t="n">
        <x:f>IF($O$44=0,0,PRODUCT(C79:I79))</x:f>
        <x:v>0</x:v>
      </x:c>
      <x:c r="K79" s="432" t="str">
        <x:f>IF(J79=1,SUM($J$48:J79),"")</x:f>
      </x:c>
      <x:c r="L79" s="432"/>
      <x:c r="M79" s="432"/>
      <x:c r="N79" s="432" t="str">
        <x:f>IF('Clients'!A37="","",'Clients'!A37)</x:f>
      </x:c>
      <x:c r="O79" s="432" t="n">
        <x:f>IF(N79="",0,IF($B$6="",1,IF(ISNUMBER(SEARCH($B$6,'Clients'!A37&amp;" "&amp;'Clients'!B37&amp;" "&amp;'Clients'!C37&amp;" "&amp;'Clients'!D37)),1,0)))</x:f>
        <x:v>0</x:v>
      </x:c>
      <x:c r="P79" s="432" t="str">
        <x:f>IF(O79=1,SUM($O$48:O79),"")</x:f>
      </x:c>
      <x:c r="Q79" s="432"/>
    </x:row>
    <x:row r="80" ht="25" customHeight="1">
      <x:c r="A80" s="432"/>
      <x:c r="B80" s="432" t="str">
        <x:f>IF('Properties'!A38="","",'Properties'!A38)</x:f>
      </x:c>
      <x:c r="C80" s="432" t="n">
        <x:f>IF(AND(B80&lt;&gt;"",'Properties'!M38="Available"),1,0)</x:f>
        <x:v>0</x:v>
      </x:c>
      <x:c r="D80" s="432" t="n">
        <x:f>IF($M$13="Buy",IF('Properties'!D38="Sale",1,0),IF($M$13="Rent",IF('Properties'!D38="Rental",1,0),0))</x:f>
        <x:v>0</x:v>
      </x:c>
      <x:c r="E80" s="432" t="n">
        <x:f>IF(AND(ISNUMBER('Properties'!L38),'Properties'!L38&gt;0,ISNUMBER($M$18),$M$18&gt;0,'Properties'!L38&lt;=$M$18,OR(NOT(ISNUMBER($M$17)),'Properties'!L38&gt;=$M$17)),1,0)</x:f>
        <x:v>0</x:v>
      </x:c>
      <x:c r="F80" s="432" t="n">
        <x:f>IF($M$14="",1,IF('Properties'!E38=$M$14,1,0))</x:f>
        <x:v>1</x:v>
      </x:c>
      <x:c r="G80" s="432" t="n">
        <x:f>IF($M$15="",1,IF('Properties'!I38=$M$15,1,0))</x:f>
        <x:v>1</x:v>
      </x:c>
      <x:c r="H80" s="432" t="n">
        <x:f>IF(NOT(ISNUMBER($M$16)),1,IF(AND(ISNUMBER('Properties'!J38),'Properties'!J38=$M$16),1,0))</x:f>
        <x:v>1</x:v>
      </x:c>
      <x:c r="I80" s="432" t="n">
        <x:f>IF($M$19="",1,IF('Properties'!F38="",0,IF(ISNUMBER(SEARCH(","&amp;TRIM('Properties'!F38)&amp;",",","&amp;SUBSTITUTE(TRIM($M$19),", ",",")&amp;",")),1,0)))</x:f>
        <x:v>1</x:v>
      </x:c>
      <x:c r="J80" s="432" t="n">
        <x:f>IF($O$44=0,0,PRODUCT(C80:I80))</x:f>
        <x:v>0</x:v>
      </x:c>
      <x:c r="K80" s="432" t="str">
        <x:f>IF(J80=1,SUM($J$48:J80),"")</x:f>
      </x:c>
      <x:c r="L80" s="432"/>
      <x:c r="M80" s="432"/>
      <x:c r="N80" s="432" t="str">
        <x:f>IF('Clients'!A38="","",'Clients'!A38)</x:f>
      </x:c>
      <x:c r="O80" s="432" t="n">
        <x:f>IF(N80="",0,IF($B$6="",1,IF(ISNUMBER(SEARCH($B$6,'Clients'!A38&amp;" "&amp;'Clients'!B38&amp;" "&amp;'Clients'!C38&amp;" "&amp;'Clients'!D38)),1,0)))</x:f>
        <x:v>0</x:v>
      </x:c>
      <x:c r="P80" s="432" t="str">
        <x:f>IF(O80=1,SUM($O$48:O80),"")</x:f>
      </x:c>
      <x:c r="Q80" s="432"/>
    </x:row>
    <x:row r="81" ht="25" customHeight="1">
      <x:c r="A81" s="432"/>
      <x:c r="B81" s="432" t="str">
        <x:f>IF('Properties'!A39="","",'Properties'!A39)</x:f>
      </x:c>
      <x:c r="C81" s="432" t="n">
        <x:f>IF(AND(B81&lt;&gt;"",'Properties'!M39="Available"),1,0)</x:f>
        <x:v>0</x:v>
      </x:c>
      <x:c r="D81" s="432" t="n">
        <x:f>IF($M$13="Buy",IF('Properties'!D39="Sale",1,0),IF($M$13="Rent",IF('Properties'!D39="Rental",1,0),0))</x:f>
        <x:v>0</x:v>
      </x:c>
      <x:c r="E81" s="432" t="n">
        <x:f>IF(AND(ISNUMBER('Properties'!L39),'Properties'!L39&gt;0,ISNUMBER($M$18),$M$18&gt;0,'Properties'!L39&lt;=$M$18,OR(NOT(ISNUMBER($M$17)),'Properties'!L39&gt;=$M$17)),1,0)</x:f>
        <x:v>0</x:v>
      </x:c>
      <x:c r="F81" s="432" t="n">
        <x:f>IF($M$14="",1,IF('Properties'!E39=$M$14,1,0))</x:f>
        <x:v>1</x:v>
      </x:c>
      <x:c r="G81" s="432" t="n">
        <x:f>IF($M$15="",1,IF('Properties'!I39=$M$15,1,0))</x:f>
        <x:v>1</x:v>
      </x:c>
      <x:c r="H81" s="432" t="n">
        <x:f>IF(NOT(ISNUMBER($M$16)),1,IF(AND(ISNUMBER('Properties'!J39),'Properties'!J39=$M$16),1,0))</x:f>
        <x:v>1</x:v>
      </x:c>
      <x:c r="I81" s="432" t="n">
        <x:f>IF($M$19="",1,IF('Properties'!F39="",0,IF(ISNUMBER(SEARCH(","&amp;TRIM('Properties'!F39)&amp;",",","&amp;SUBSTITUTE(TRIM($M$19),", ",",")&amp;",")),1,0)))</x:f>
        <x:v>1</x:v>
      </x:c>
      <x:c r="J81" s="432" t="n">
        <x:f>IF($O$44=0,0,PRODUCT(C81:I81))</x:f>
        <x:v>0</x:v>
      </x:c>
      <x:c r="K81" s="432" t="str">
        <x:f>IF(J81=1,SUM($J$48:J81),"")</x:f>
      </x:c>
      <x:c r="L81" s="432"/>
      <x:c r="M81" s="432"/>
      <x:c r="N81" s="432" t="str">
        <x:f>IF('Clients'!A39="","",'Clients'!A39)</x:f>
      </x:c>
      <x:c r="O81" s="432" t="n">
        <x:f>IF(N81="",0,IF($B$6="",1,IF(ISNUMBER(SEARCH($B$6,'Clients'!A39&amp;" "&amp;'Clients'!B39&amp;" "&amp;'Clients'!C39&amp;" "&amp;'Clients'!D39)),1,0)))</x:f>
        <x:v>0</x:v>
      </x:c>
      <x:c r="P81" s="432" t="str">
        <x:f>IF(O81=1,SUM($O$48:O81),"")</x:f>
      </x:c>
      <x:c r="Q81" s="432"/>
    </x:row>
    <x:row r="82" ht="25" customHeight="1">
      <x:c r="A82" s="432"/>
      <x:c r="B82" s="432" t="str">
        <x:f>IF('Properties'!A40="","",'Properties'!A40)</x:f>
      </x:c>
      <x:c r="C82" s="432" t="n">
        <x:f>IF(AND(B82&lt;&gt;"",'Properties'!M40="Available"),1,0)</x:f>
        <x:v>0</x:v>
      </x:c>
      <x:c r="D82" s="432" t="n">
        <x:f>IF($M$13="Buy",IF('Properties'!D40="Sale",1,0),IF($M$13="Rent",IF('Properties'!D40="Rental",1,0),0))</x:f>
        <x:v>0</x:v>
      </x:c>
      <x:c r="E82" s="432" t="n">
        <x:f>IF(AND(ISNUMBER('Properties'!L40),'Properties'!L40&gt;0,ISNUMBER($M$18),$M$18&gt;0,'Properties'!L40&lt;=$M$18,OR(NOT(ISNUMBER($M$17)),'Properties'!L40&gt;=$M$17)),1,0)</x:f>
        <x:v>0</x:v>
      </x:c>
      <x:c r="F82" s="432" t="n">
        <x:f>IF($M$14="",1,IF('Properties'!E40=$M$14,1,0))</x:f>
        <x:v>1</x:v>
      </x:c>
      <x:c r="G82" s="432" t="n">
        <x:f>IF($M$15="",1,IF('Properties'!I40=$M$15,1,0))</x:f>
        <x:v>1</x:v>
      </x:c>
      <x:c r="H82" s="432" t="n">
        <x:f>IF(NOT(ISNUMBER($M$16)),1,IF(AND(ISNUMBER('Properties'!J40),'Properties'!J40=$M$16),1,0))</x:f>
        <x:v>1</x:v>
      </x:c>
      <x:c r="I82" s="432" t="n">
        <x:f>IF($M$19="",1,IF('Properties'!F40="",0,IF(ISNUMBER(SEARCH(","&amp;TRIM('Properties'!F40)&amp;",",","&amp;SUBSTITUTE(TRIM($M$19),", ",",")&amp;",")),1,0)))</x:f>
        <x:v>1</x:v>
      </x:c>
      <x:c r="J82" s="432" t="n">
        <x:f>IF($O$44=0,0,PRODUCT(C82:I82))</x:f>
        <x:v>0</x:v>
      </x:c>
      <x:c r="K82" s="432" t="str">
        <x:f>IF(J82=1,SUM($J$48:J82),"")</x:f>
      </x:c>
      <x:c r="L82" s="432"/>
      <x:c r="M82" s="432"/>
      <x:c r="N82" s="432" t="str">
        <x:f>IF('Clients'!A40="","",'Clients'!A40)</x:f>
      </x:c>
      <x:c r="O82" s="432" t="n">
        <x:f>IF(N82="",0,IF($B$6="",1,IF(ISNUMBER(SEARCH($B$6,'Clients'!A40&amp;" "&amp;'Clients'!B40&amp;" "&amp;'Clients'!C40&amp;" "&amp;'Clients'!D40)),1,0)))</x:f>
        <x:v>0</x:v>
      </x:c>
      <x:c r="P82" s="432" t="str">
        <x:f>IF(O82=1,SUM($O$48:O82),"")</x:f>
      </x:c>
      <x:c r="Q82" s="432"/>
    </x:row>
    <x:row r="83" ht="25" customHeight="1">
      <x:c r="A83" s="432"/>
      <x:c r="B83" s="432" t="str">
        <x:f>IF('Properties'!A41="","",'Properties'!A41)</x:f>
      </x:c>
      <x:c r="C83" s="432" t="n">
        <x:f>IF(AND(B83&lt;&gt;"",'Properties'!M41="Available"),1,0)</x:f>
        <x:v>0</x:v>
      </x:c>
      <x:c r="D83" s="432" t="n">
        <x:f>IF($M$13="Buy",IF('Properties'!D41="Sale",1,0),IF($M$13="Rent",IF('Properties'!D41="Rental",1,0),0))</x:f>
        <x:v>0</x:v>
      </x:c>
      <x:c r="E83" s="432" t="n">
        <x:f>IF(AND(ISNUMBER('Properties'!L41),'Properties'!L41&gt;0,ISNUMBER($M$18),$M$18&gt;0,'Properties'!L41&lt;=$M$18,OR(NOT(ISNUMBER($M$17)),'Properties'!L41&gt;=$M$17)),1,0)</x:f>
        <x:v>0</x:v>
      </x:c>
      <x:c r="F83" s="432" t="n">
        <x:f>IF($M$14="",1,IF('Properties'!E41=$M$14,1,0))</x:f>
        <x:v>1</x:v>
      </x:c>
      <x:c r="G83" s="432" t="n">
        <x:f>IF($M$15="",1,IF('Properties'!I41=$M$15,1,0))</x:f>
        <x:v>1</x:v>
      </x:c>
      <x:c r="H83" s="432" t="n">
        <x:f>IF(NOT(ISNUMBER($M$16)),1,IF(AND(ISNUMBER('Properties'!J41),'Properties'!J41=$M$16),1,0))</x:f>
        <x:v>1</x:v>
      </x:c>
      <x:c r="I83" s="432" t="n">
        <x:f>IF($M$19="",1,IF('Properties'!F41="",0,IF(ISNUMBER(SEARCH(","&amp;TRIM('Properties'!F41)&amp;",",","&amp;SUBSTITUTE(TRIM($M$19),", ",",")&amp;",")),1,0)))</x:f>
        <x:v>1</x:v>
      </x:c>
      <x:c r="J83" s="432" t="n">
        <x:f>IF($O$44=0,0,PRODUCT(C83:I83))</x:f>
        <x:v>0</x:v>
      </x:c>
      <x:c r="K83" s="432" t="str">
        <x:f>IF(J83=1,SUM($J$48:J83),"")</x:f>
      </x:c>
      <x:c r="L83" s="432"/>
      <x:c r="M83" s="432"/>
      <x:c r="N83" s="432" t="str">
        <x:f>IF('Clients'!A41="","",'Clients'!A41)</x:f>
      </x:c>
      <x:c r="O83" s="432" t="n">
        <x:f>IF(N83="",0,IF($B$6="",1,IF(ISNUMBER(SEARCH($B$6,'Clients'!A41&amp;" "&amp;'Clients'!B41&amp;" "&amp;'Clients'!C41&amp;" "&amp;'Clients'!D41)),1,0)))</x:f>
        <x:v>0</x:v>
      </x:c>
      <x:c r="P83" s="432" t="str">
        <x:f>IF(O83=1,SUM($O$48:O83),"")</x:f>
      </x:c>
      <x:c r="Q83" s="432"/>
    </x:row>
    <x:row r="84" ht="25" customHeight="1">
      <x:c r="A84" s="432"/>
      <x:c r="B84" s="432" t="str">
        <x:f>IF('Properties'!A42="","",'Properties'!A42)</x:f>
      </x:c>
      <x:c r="C84" s="432" t="n">
        <x:f>IF(AND(B84&lt;&gt;"",'Properties'!M42="Available"),1,0)</x:f>
        <x:v>0</x:v>
      </x:c>
      <x:c r="D84" s="432" t="n">
        <x:f>IF($M$13="Buy",IF('Properties'!D42="Sale",1,0),IF($M$13="Rent",IF('Properties'!D42="Rental",1,0),0))</x:f>
        <x:v>0</x:v>
      </x:c>
      <x:c r="E84" s="432" t="n">
        <x:f>IF(AND(ISNUMBER('Properties'!L42),'Properties'!L42&gt;0,ISNUMBER($M$18),$M$18&gt;0,'Properties'!L42&lt;=$M$18,OR(NOT(ISNUMBER($M$17)),'Properties'!L42&gt;=$M$17)),1,0)</x:f>
        <x:v>0</x:v>
      </x:c>
      <x:c r="F84" s="432" t="n">
        <x:f>IF($M$14="",1,IF('Properties'!E42=$M$14,1,0))</x:f>
        <x:v>1</x:v>
      </x:c>
      <x:c r="G84" s="432" t="n">
        <x:f>IF($M$15="",1,IF('Properties'!I42=$M$15,1,0))</x:f>
        <x:v>1</x:v>
      </x:c>
      <x:c r="H84" s="432" t="n">
        <x:f>IF(NOT(ISNUMBER($M$16)),1,IF(AND(ISNUMBER('Properties'!J42),'Properties'!J42=$M$16),1,0))</x:f>
        <x:v>1</x:v>
      </x:c>
      <x:c r="I84" s="432" t="n">
        <x:f>IF($M$19="",1,IF('Properties'!F42="",0,IF(ISNUMBER(SEARCH(","&amp;TRIM('Properties'!F42)&amp;",",","&amp;SUBSTITUTE(TRIM($M$19),", ",",")&amp;",")),1,0)))</x:f>
        <x:v>1</x:v>
      </x:c>
      <x:c r="J84" s="432" t="n">
        <x:f>IF($O$44=0,0,PRODUCT(C84:I84))</x:f>
        <x:v>0</x:v>
      </x:c>
      <x:c r="K84" s="432" t="str">
        <x:f>IF(J84=1,SUM($J$48:J84),"")</x:f>
      </x:c>
      <x:c r="L84" s="432"/>
      <x:c r="M84" s="432"/>
      <x:c r="N84" s="432" t="str">
        <x:f>IF('Clients'!A42="","",'Clients'!A42)</x:f>
      </x:c>
      <x:c r="O84" s="432" t="n">
        <x:f>IF(N84="",0,IF($B$6="",1,IF(ISNUMBER(SEARCH($B$6,'Clients'!A42&amp;" "&amp;'Clients'!B42&amp;" "&amp;'Clients'!C42&amp;" "&amp;'Clients'!D42)),1,0)))</x:f>
        <x:v>0</x:v>
      </x:c>
      <x:c r="P84" s="432" t="str">
        <x:f>IF(O84=1,SUM($O$48:O84),"")</x:f>
      </x:c>
      <x:c r="Q84" s="432"/>
    </x:row>
    <x:row r="85" ht="25" customHeight="1">
      <x:c r="A85" s="432"/>
      <x:c r="B85" s="432" t="str">
        <x:f>IF('Properties'!A43="","",'Properties'!A43)</x:f>
      </x:c>
      <x:c r="C85" s="432" t="n">
        <x:f>IF(AND(B85&lt;&gt;"",'Properties'!M43="Available"),1,0)</x:f>
        <x:v>0</x:v>
      </x:c>
      <x:c r="D85" s="432" t="n">
        <x:f>IF($M$13="Buy",IF('Properties'!D43="Sale",1,0),IF($M$13="Rent",IF('Properties'!D43="Rental",1,0),0))</x:f>
        <x:v>0</x:v>
      </x:c>
      <x:c r="E85" s="432" t="n">
        <x:f>IF(AND(ISNUMBER('Properties'!L43),'Properties'!L43&gt;0,ISNUMBER($M$18),$M$18&gt;0,'Properties'!L43&lt;=$M$18,OR(NOT(ISNUMBER($M$17)),'Properties'!L43&gt;=$M$17)),1,0)</x:f>
        <x:v>0</x:v>
      </x:c>
      <x:c r="F85" s="432" t="n">
        <x:f>IF($M$14="",1,IF('Properties'!E43=$M$14,1,0))</x:f>
        <x:v>1</x:v>
      </x:c>
      <x:c r="G85" s="432" t="n">
        <x:f>IF($M$15="",1,IF('Properties'!I43=$M$15,1,0))</x:f>
        <x:v>1</x:v>
      </x:c>
      <x:c r="H85" s="432" t="n">
        <x:f>IF(NOT(ISNUMBER($M$16)),1,IF(AND(ISNUMBER('Properties'!J43),'Properties'!J43=$M$16),1,0))</x:f>
        <x:v>1</x:v>
      </x:c>
      <x:c r="I85" s="432" t="n">
        <x:f>IF($M$19="",1,IF('Properties'!F43="",0,IF(ISNUMBER(SEARCH(","&amp;TRIM('Properties'!F43)&amp;",",","&amp;SUBSTITUTE(TRIM($M$19),", ",",")&amp;",")),1,0)))</x:f>
        <x:v>1</x:v>
      </x:c>
      <x:c r="J85" s="432" t="n">
        <x:f>IF($O$44=0,0,PRODUCT(C85:I85))</x:f>
        <x:v>0</x:v>
      </x:c>
      <x:c r="K85" s="432" t="str">
        <x:f>IF(J85=1,SUM($J$48:J85),"")</x:f>
      </x:c>
      <x:c r="L85" s="432"/>
      <x:c r="M85" s="432"/>
      <x:c r="N85" s="432" t="str">
        <x:f>IF('Clients'!A43="","",'Clients'!A43)</x:f>
      </x:c>
      <x:c r="O85" s="432" t="n">
        <x:f>IF(N85="",0,IF($B$6="",1,IF(ISNUMBER(SEARCH($B$6,'Clients'!A43&amp;" "&amp;'Clients'!B43&amp;" "&amp;'Clients'!C43&amp;" "&amp;'Clients'!D43)),1,0)))</x:f>
        <x:v>0</x:v>
      </x:c>
      <x:c r="P85" s="432" t="str">
        <x:f>IF(O85=1,SUM($O$48:O85),"")</x:f>
      </x:c>
      <x:c r="Q85" s="432"/>
    </x:row>
    <x:row r="86" ht="25" customHeight="1">
      <x:c r="A86" s="432"/>
      <x:c r="B86" s="432" t="str">
        <x:f>IF('Properties'!A44="","",'Properties'!A44)</x:f>
      </x:c>
      <x:c r="C86" s="432" t="n">
        <x:f>IF(AND(B86&lt;&gt;"",'Properties'!M44="Available"),1,0)</x:f>
        <x:v>0</x:v>
      </x:c>
      <x:c r="D86" s="432" t="n">
        <x:f>IF($M$13="Buy",IF('Properties'!D44="Sale",1,0),IF($M$13="Rent",IF('Properties'!D44="Rental",1,0),0))</x:f>
        <x:v>0</x:v>
      </x:c>
      <x:c r="E86" s="432" t="n">
        <x:f>IF(AND(ISNUMBER('Properties'!L44),'Properties'!L44&gt;0,ISNUMBER($M$18),$M$18&gt;0,'Properties'!L44&lt;=$M$18,OR(NOT(ISNUMBER($M$17)),'Properties'!L44&gt;=$M$17)),1,0)</x:f>
        <x:v>0</x:v>
      </x:c>
      <x:c r="F86" s="432" t="n">
        <x:f>IF($M$14="",1,IF('Properties'!E44=$M$14,1,0))</x:f>
        <x:v>1</x:v>
      </x:c>
      <x:c r="G86" s="432" t="n">
        <x:f>IF($M$15="",1,IF('Properties'!I44=$M$15,1,0))</x:f>
        <x:v>1</x:v>
      </x:c>
      <x:c r="H86" s="432" t="n">
        <x:f>IF(NOT(ISNUMBER($M$16)),1,IF(AND(ISNUMBER('Properties'!J44),'Properties'!J44=$M$16),1,0))</x:f>
        <x:v>1</x:v>
      </x:c>
      <x:c r="I86" s="432" t="n">
        <x:f>IF($M$19="",1,IF('Properties'!F44="",0,IF(ISNUMBER(SEARCH(","&amp;TRIM('Properties'!F44)&amp;",",","&amp;SUBSTITUTE(TRIM($M$19),", ",",")&amp;",")),1,0)))</x:f>
        <x:v>1</x:v>
      </x:c>
      <x:c r="J86" s="432" t="n">
        <x:f>IF($O$44=0,0,PRODUCT(C86:I86))</x:f>
        <x:v>0</x:v>
      </x:c>
      <x:c r="K86" s="432" t="str">
        <x:f>IF(J86=1,SUM($J$48:J86),"")</x:f>
      </x:c>
      <x:c r="L86" s="432"/>
      <x:c r="M86" s="432"/>
      <x:c r="N86" s="432" t="str">
        <x:f>IF('Clients'!A44="","",'Clients'!A44)</x:f>
      </x:c>
      <x:c r="O86" s="432" t="n">
        <x:f>IF(N86="",0,IF($B$6="",1,IF(ISNUMBER(SEARCH($B$6,'Clients'!A44&amp;" "&amp;'Clients'!B44&amp;" "&amp;'Clients'!C44&amp;" "&amp;'Clients'!D44)),1,0)))</x:f>
        <x:v>0</x:v>
      </x:c>
      <x:c r="P86" s="432" t="str">
        <x:f>IF(O86=1,SUM($O$48:O86),"")</x:f>
      </x:c>
      <x:c r="Q86" s="432"/>
    </x:row>
    <x:row r="87" ht="25" customHeight="1">
      <x:c r="A87" s="432"/>
      <x:c r="B87" s="432" t="str">
        <x:f>IF('Properties'!A45="","",'Properties'!A45)</x:f>
      </x:c>
      <x:c r="C87" s="432" t="n">
        <x:f>IF(AND(B87&lt;&gt;"",'Properties'!M45="Available"),1,0)</x:f>
        <x:v>0</x:v>
      </x:c>
      <x:c r="D87" s="432" t="n">
        <x:f>IF($M$13="Buy",IF('Properties'!D45="Sale",1,0),IF($M$13="Rent",IF('Properties'!D45="Rental",1,0),0))</x:f>
        <x:v>0</x:v>
      </x:c>
      <x:c r="E87" s="432" t="n">
        <x:f>IF(AND(ISNUMBER('Properties'!L45),'Properties'!L45&gt;0,ISNUMBER($M$18),$M$18&gt;0,'Properties'!L45&lt;=$M$18,OR(NOT(ISNUMBER($M$17)),'Properties'!L45&gt;=$M$17)),1,0)</x:f>
        <x:v>0</x:v>
      </x:c>
      <x:c r="F87" s="432" t="n">
        <x:f>IF($M$14="",1,IF('Properties'!E45=$M$14,1,0))</x:f>
        <x:v>1</x:v>
      </x:c>
      <x:c r="G87" s="432" t="n">
        <x:f>IF($M$15="",1,IF('Properties'!I45=$M$15,1,0))</x:f>
        <x:v>1</x:v>
      </x:c>
      <x:c r="H87" s="432" t="n">
        <x:f>IF(NOT(ISNUMBER($M$16)),1,IF(AND(ISNUMBER('Properties'!J45),'Properties'!J45=$M$16),1,0))</x:f>
        <x:v>1</x:v>
      </x:c>
      <x:c r="I87" s="432" t="n">
        <x:f>IF($M$19="",1,IF('Properties'!F45="",0,IF(ISNUMBER(SEARCH(","&amp;TRIM('Properties'!F45)&amp;",",","&amp;SUBSTITUTE(TRIM($M$19),", ",",")&amp;",")),1,0)))</x:f>
        <x:v>1</x:v>
      </x:c>
      <x:c r="J87" s="432" t="n">
        <x:f>IF($O$44=0,0,PRODUCT(C87:I87))</x:f>
        <x:v>0</x:v>
      </x:c>
      <x:c r="K87" s="432" t="str">
        <x:f>IF(J87=1,SUM($J$48:J87),"")</x:f>
      </x:c>
      <x:c r="L87" s="432"/>
      <x:c r="M87" s="432"/>
      <x:c r="N87" s="432" t="str">
        <x:f>IF('Clients'!A45="","",'Clients'!A45)</x:f>
      </x:c>
      <x:c r="O87" s="432" t="n">
        <x:f>IF(N87="",0,IF($B$6="",1,IF(ISNUMBER(SEARCH($B$6,'Clients'!A45&amp;" "&amp;'Clients'!B45&amp;" "&amp;'Clients'!C45&amp;" "&amp;'Clients'!D45)),1,0)))</x:f>
        <x:v>0</x:v>
      </x:c>
      <x:c r="P87" s="432" t="str">
        <x:f>IF(O87=1,SUM($O$48:O87),"")</x:f>
      </x:c>
      <x:c r="Q87" s="432"/>
    </x:row>
    <x:row r="88" ht="25" customHeight="1">
      <x:c r="A88" s="432"/>
      <x:c r="B88" s="432" t="str">
        <x:f>IF('Properties'!A46="","",'Properties'!A46)</x:f>
      </x:c>
      <x:c r="C88" s="432" t="n">
        <x:f>IF(AND(B88&lt;&gt;"",'Properties'!M46="Available"),1,0)</x:f>
        <x:v>0</x:v>
      </x:c>
      <x:c r="D88" s="432" t="n">
        <x:f>IF($M$13="Buy",IF('Properties'!D46="Sale",1,0),IF($M$13="Rent",IF('Properties'!D46="Rental",1,0),0))</x:f>
        <x:v>0</x:v>
      </x:c>
      <x:c r="E88" s="432" t="n">
        <x:f>IF(AND(ISNUMBER('Properties'!L46),'Properties'!L46&gt;0,ISNUMBER($M$18),$M$18&gt;0,'Properties'!L46&lt;=$M$18,OR(NOT(ISNUMBER($M$17)),'Properties'!L46&gt;=$M$17)),1,0)</x:f>
        <x:v>0</x:v>
      </x:c>
      <x:c r="F88" s="432" t="n">
        <x:f>IF($M$14="",1,IF('Properties'!E46=$M$14,1,0))</x:f>
        <x:v>1</x:v>
      </x:c>
      <x:c r="G88" s="432" t="n">
        <x:f>IF($M$15="",1,IF('Properties'!I46=$M$15,1,0))</x:f>
        <x:v>1</x:v>
      </x:c>
      <x:c r="H88" s="432" t="n">
        <x:f>IF(NOT(ISNUMBER($M$16)),1,IF(AND(ISNUMBER('Properties'!J46),'Properties'!J46=$M$16),1,0))</x:f>
        <x:v>1</x:v>
      </x:c>
      <x:c r="I88" s="432" t="n">
        <x:f>IF($M$19="",1,IF('Properties'!F46="",0,IF(ISNUMBER(SEARCH(","&amp;TRIM('Properties'!F46)&amp;",",","&amp;SUBSTITUTE(TRIM($M$19),", ",",")&amp;",")),1,0)))</x:f>
        <x:v>1</x:v>
      </x:c>
      <x:c r="J88" s="432" t="n">
        <x:f>IF($O$44=0,0,PRODUCT(C88:I88))</x:f>
        <x:v>0</x:v>
      </x:c>
      <x:c r="K88" s="432" t="str">
        <x:f>IF(J88=1,SUM($J$48:J88),"")</x:f>
      </x:c>
      <x:c r="L88" s="432"/>
      <x:c r="M88" s="432"/>
      <x:c r="N88" s="432" t="str">
        <x:f>IF('Clients'!A46="","",'Clients'!A46)</x:f>
      </x:c>
      <x:c r="O88" s="432" t="n">
        <x:f>IF(N88="",0,IF($B$6="",1,IF(ISNUMBER(SEARCH($B$6,'Clients'!A46&amp;" "&amp;'Clients'!B46&amp;" "&amp;'Clients'!C46&amp;" "&amp;'Clients'!D46)),1,0)))</x:f>
        <x:v>0</x:v>
      </x:c>
      <x:c r="P88" s="432" t="str">
        <x:f>IF(O88=1,SUM($O$48:O88),"")</x:f>
      </x:c>
      <x:c r="Q88" s="432"/>
    </x:row>
    <x:row r="89" ht="25" customHeight="1">
      <x:c r="A89" s="432"/>
      <x:c r="B89" s="432" t="str">
        <x:f>IF('Properties'!A47="","",'Properties'!A47)</x:f>
      </x:c>
      <x:c r="C89" s="432" t="n">
        <x:f>IF(AND(B89&lt;&gt;"",'Properties'!M47="Available"),1,0)</x:f>
        <x:v>0</x:v>
      </x:c>
      <x:c r="D89" s="432" t="n">
        <x:f>IF($M$13="Buy",IF('Properties'!D47="Sale",1,0),IF($M$13="Rent",IF('Properties'!D47="Rental",1,0),0))</x:f>
        <x:v>0</x:v>
      </x:c>
      <x:c r="E89" s="432" t="n">
        <x:f>IF(AND(ISNUMBER('Properties'!L47),'Properties'!L47&gt;0,ISNUMBER($M$18),$M$18&gt;0,'Properties'!L47&lt;=$M$18,OR(NOT(ISNUMBER($M$17)),'Properties'!L47&gt;=$M$17)),1,0)</x:f>
        <x:v>0</x:v>
      </x:c>
      <x:c r="F89" s="432" t="n">
        <x:f>IF($M$14="",1,IF('Properties'!E47=$M$14,1,0))</x:f>
        <x:v>1</x:v>
      </x:c>
      <x:c r="G89" s="432" t="n">
        <x:f>IF($M$15="",1,IF('Properties'!I47=$M$15,1,0))</x:f>
        <x:v>1</x:v>
      </x:c>
      <x:c r="H89" s="432" t="n">
        <x:f>IF(NOT(ISNUMBER($M$16)),1,IF(AND(ISNUMBER('Properties'!J47),'Properties'!J47=$M$16),1,0))</x:f>
        <x:v>1</x:v>
      </x:c>
      <x:c r="I89" s="432" t="n">
        <x:f>IF($M$19="",1,IF('Properties'!F47="",0,IF(ISNUMBER(SEARCH(","&amp;TRIM('Properties'!F47)&amp;",",","&amp;SUBSTITUTE(TRIM($M$19),", ",",")&amp;",")),1,0)))</x:f>
        <x:v>1</x:v>
      </x:c>
      <x:c r="J89" s="432" t="n">
        <x:f>IF($O$44=0,0,PRODUCT(C89:I89))</x:f>
        <x:v>0</x:v>
      </x:c>
      <x:c r="K89" s="432" t="str">
        <x:f>IF(J89=1,SUM($J$48:J89),"")</x:f>
      </x:c>
      <x:c r="L89" s="432"/>
      <x:c r="M89" s="432"/>
      <x:c r="N89" s="432" t="str">
        <x:f>IF('Clients'!A47="","",'Clients'!A47)</x:f>
      </x:c>
      <x:c r="O89" s="432" t="n">
        <x:f>IF(N89="",0,IF($B$6="",1,IF(ISNUMBER(SEARCH($B$6,'Clients'!A47&amp;" "&amp;'Clients'!B47&amp;" "&amp;'Clients'!C47&amp;" "&amp;'Clients'!D47)),1,0)))</x:f>
        <x:v>0</x:v>
      </x:c>
      <x:c r="P89" s="432" t="str">
        <x:f>IF(O89=1,SUM($O$48:O89),"")</x:f>
      </x:c>
      <x:c r="Q89" s="432"/>
    </x:row>
    <x:row r="90" ht="25" customHeight="1">
      <x:c r="A90" s="432"/>
      <x:c r="B90" s="432" t="str">
        <x:f>IF('Properties'!A48="","",'Properties'!A48)</x:f>
      </x:c>
      <x:c r="C90" s="432" t="n">
        <x:f>IF(AND(B90&lt;&gt;"",'Properties'!M48="Available"),1,0)</x:f>
        <x:v>0</x:v>
      </x:c>
      <x:c r="D90" s="432" t="n">
        <x:f>IF($M$13="Buy",IF('Properties'!D48="Sale",1,0),IF($M$13="Rent",IF('Properties'!D48="Rental",1,0),0))</x:f>
        <x:v>0</x:v>
      </x:c>
      <x:c r="E90" s="432" t="n">
        <x:f>IF(AND(ISNUMBER('Properties'!L48),'Properties'!L48&gt;0,ISNUMBER($M$18),$M$18&gt;0,'Properties'!L48&lt;=$M$18,OR(NOT(ISNUMBER($M$17)),'Properties'!L48&gt;=$M$17)),1,0)</x:f>
        <x:v>0</x:v>
      </x:c>
      <x:c r="F90" s="432" t="n">
        <x:f>IF($M$14="",1,IF('Properties'!E48=$M$14,1,0))</x:f>
        <x:v>1</x:v>
      </x:c>
      <x:c r="G90" s="432" t="n">
        <x:f>IF($M$15="",1,IF('Properties'!I48=$M$15,1,0))</x:f>
        <x:v>1</x:v>
      </x:c>
      <x:c r="H90" s="432" t="n">
        <x:f>IF(NOT(ISNUMBER($M$16)),1,IF(AND(ISNUMBER('Properties'!J48),'Properties'!J48=$M$16),1,0))</x:f>
        <x:v>1</x:v>
      </x:c>
      <x:c r="I90" s="432" t="n">
        <x:f>IF($M$19="",1,IF('Properties'!F48="",0,IF(ISNUMBER(SEARCH(","&amp;TRIM('Properties'!F48)&amp;",",","&amp;SUBSTITUTE(TRIM($M$19),", ",",")&amp;",")),1,0)))</x:f>
        <x:v>1</x:v>
      </x:c>
      <x:c r="J90" s="432" t="n">
        <x:f>IF($O$44=0,0,PRODUCT(C90:I90))</x:f>
        <x:v>0</x:v>
      </x:c>
      <x:c r="K90" s="432" t="str">
        <x:f>IF(J90=1,SUM($J$48:J90),"")</x:f>
      </x:c>
      <x:c r="L90" s="432"/>
      <x:c r="M90" s="432"/>
      <x:c r="N90" s="432" t="str">
        <x:f>IF('Clients'!A48="","",'Clients'!A48)</x:f>
      </x:c>
      <x:c r="O90" s="432" t="n">
        <x:f>IF(N90="",0,IF($B$6="",1,IF(ISNUMBER(SEARCH($B$6,'Clients'!A48&amp;" "&amp;'Clients'!B48&amp;" "&amp;'Clients'!C48&amp;" "&amp;'Clients'!D48)),1,0)))</x:f>
        <x:v>0</x:v>
      </x:c>
      <x:c r="P90" s="432" t="str">
        <x:f>IF(O90=1,SUM($O$48:O90),"")</x:f>
      </x:c>
      <x:c r="Q90" s="432"/>
    </x:row>
    <x:row r="91" ht="25" customHeight="1">
      <x:c r="A91" s="432"/>
      <x:c r="B91" s="432" t="str">
        <x:f>IF('Properties'!A49="","",'Properties'!A49)</x:f>
      </x:c>
      <x:c r="C91" s="432" t="n">
        <x:f>IF(AND(B91&lt;&gt;"",'Properties'!M49="Available"),1,0)</x:f>
        <x:v>0</x:v>
      </x:c>
      <x:c r="D91" s="432" t="n">
        <x:f>IF($M$13="Buy",IF('Properties'!D49="Sale",1,0),IF($M$13="Rent",IF('Properties'!D49="Rental",1,0),0))</x:f>
        <x:v>0</x:v>
      </x:c>
      <x:c r="E91" s="432" t="n">
        <x:f>IF(AND(ISNUMBER('Properties'!L49),'Properties'!L49&gt;0,ISNUMBER($M$18),$M$18&gt;0,'Properties'!L49&lt;=$M$18,OR(NOT(ISNUMBER($M$17)),'Properties'!L49&gt;=$M$17)),1,0)</x:f>
        <x:v>0</x:v>
      </x:c>
      <x:c r="F91" s="432" t="n">
        <x:f>IF($M$14="",1,IF('Properties'!E49=$M$14,1,0))</x:f>
        <x:v>1</x:v>
      </x:c>
      <x:c r="G91" s="432" t="n">
        <x:f>IF($M$15="",1,IF('Properties'!I49=$M$15,1,0))</x:f>
        <x:v>1</x:v>
      </x:c>
      <x:c r="H91" s="432" t="n">
        <x:f>IF(NOT(ISNUMBER($M$16)),1,IF(AND(ISNUMBER('Properties'!J49),'Properties'!J49=$M$16),1,0))</x:f>
        <x:v>1</x:v>
      </x:c>
      <x:c r="I91" s="432" t="n">
        <x:f>IF($M$19="",1,IF('Properties'!F49="",0,IF(ISNUMBER(SEARCH(","&amp;TRIM('Properties'!F49)&amp;",",","&amp;SUBSTITUTE(TRIM($M$19),", ",",")&amp;",")),1,0)))</x:f>
        <x:v>1</x:v>
      </x:c>
      <x:c r="J91" s="432" t="n">
        <x:f>IF($O$44=0,0,PRODUCT(C91:I91))</x:f>
        <x:v>0</x:v>
      </x:c>
      <x:c r="K91" s="432" t="str">
        <x:f>IF(J91=1,SUM($J$48:J91),"")</x:f>
      </x:c>
      <x:c r="L91" s="432"/>
      <x:c r="M91" s="432"/>
      <x:c r="N91" s="432" t="str">
        <x:f>IF('Clients'!A49="","",'Clients'!A49)</x:f>
      </x:c>
      <x:c r="O91" s="432" t="n">
        <x:f>IF(N91="",0,IF($B$6="",1,IF(ISNUMBER(SEARCH($B$6,'Clients'!A49&amp;" "&amp;'Clients'!B49&amp;" "&amp;'Clients'!C49&amp;" "&amp;'Clients'!D49)),1,0)))</x:f>
        <x:v>0</x:v>
      </x:c>
      <x:c r="P91" s="432" t="str">
        <x:f>IF(O91=1,SUM($O$48:O91),"")</x:f>
      </x:c>
      <x:c r="Q91" s="432"/>
    </x:row>
    <x:row r="92" ht="25" customHeight="1">
      <x:c r="A92" s="432"/>
      <x:c r="B92" s="432" t="str">
        <x:f>IF('Properties'!A50="","",'Properties'!A50)</x:f>
      </x:c>
      <x:c r="C92" s="432" t="n">
        <x:f>IF(AND(B92&lt;&gt;"",'Properties'!M50="Available"),1,0)</x:f>
        <x:v>0</x:v>
      </x:c>
      <x:c r="D92" s="432" t="n">
        <x:f>IF($M$13="Buy",IF('Properties'!D50="Sale",1,0),IF($M$13="Rent",IF('Properties'!D50="Rental",1,0),0))</x:f>
        <x:v>0</x:v>
      </x:c>
      <x:c r="E92" s="432" t="n">
        <x:f>IF(AND(ISNUMBER('Properties'!L50),'Properties'!L50&gt;0,ISNUMBER($M$18),$M$18&gt;0,'Properties'!L50&lt;=$M$18,OR(NOT(ISNUMBER($M$17)),'Properties'!L50&gt;=$M$17)),1,0)</x:f>
        <x:v>0</x:v>
      </x:c>
      <x:c r="F92" s="432" t="n">
        <x:f>IF($M$14="",1,IF('Properties'!E50=$M$14,1,0))</x:f>
        <x:v>1</x:v>
      </x:c>
      <x:c r="G92" s="432" t="n">
        <x:f>IF($M$15="",1,IF('Properties'!I50=$M$15,1,0))</x:f>
        <x:v>1</x:v>
      </x:c>
      <x:c r="H92" s="432" t="n">
        <x:f>IF(NOT(ISNUMBER($M$16)),1,IF(AND(ISNUMBER('Properties'!J50),'Properties'!J50=$M$16),1,0))</x:f>
        <x:v>1</x:v>
      </x:c>
      <x:c r="I92" s="432" t="n">
        <x:f>IF($M$19="",1,IF('Properties'!F50="",0,IF(ISNUMBER(SEARCH(","&amp;TRIM('Properties'!F50)&amp;",",","&amp;SUBSTITUTE(TRIM($M$19),", ",",")&amp;",")),1,0)))</x:f>
        <x:v>1</x:v>
      </x:c>
      <x:c r="J92" s="432" t="n">
        <x:f>IF($O$44=0,0,PRODUCT(C92:I92))</x:f>
        <x:v>0</x:v>
      </x:c>
      <x:c r="K92" s="432" t="str">
        <x:f>IF(J92=1,SUM($J$48:J92),"")</x:f>
      </x:c>
      <x:c r="L92" s="432"/>
      <x:c r="M92" s="432"/>
      <x:c r="N92" s="432" t="str">
        <x:f>IF('Clients'!A50="","",'Clients'!A50)</x:f>
      </x:c>
      <x:c r="O92" s="432" t="n">
        <x:f>IF(N92="",0,IF($B$6="",1,IF(ISNUMBER(SEARCH($B$6,'Clients'!A50&amp;" "&amp;'Clients'!B50&amp;" "&amp;'Clients'!C50&amp;" "&amp;'Clients'!D50)),1,0)))</x:f>
        <x:v>0</x:v>
      </x:c>
      <x:c r="P92" s="432" t="str">
        <x:f>IF(O92=1,SUM($O$48:O92),"")</x:f>
      </x:c>
      <x:c r="Q92" s="432"/>
    </x:row>
    <x:row r="93" ht="25" customHeight="1">
      <x:c r="A93" s="432"/>
      <x:c r="B93" s="432" t="str">
        <x:f>IF('Properties'!A51="","",'Properties'!A51)</x:f>
      </x:c>
      <x:c r="C93" s="432" t="n">
        <x:f>IF(AND(B93&lt;&gt;"",'Properties'!M51="Available"),1,0)</x:f>
        <x:v>0</x:v>
      </x:c>
      <x:c r="D93" s="432" t="n">
        <x:f>IF($M$13="Buy",IF('Properties'!D51="Sale",1,0),IF($M$13="Rent",IF('Properties'!D51="Rental",1,0),0))</x:f>
        <x:v>0</x:v>
      </x:c>
      <x:c r="E93" s="432" t="n">
        <x:f>IF(AND(ISNUMBER('Properties'!L51),'Properties'!L51&gt;0,ISNUMBER($M$18),$M$18&gt;0,'Properties'!L51&lt;=$M$18,OR(NOT(ISNUMBER($M$17)),'Properties'!L51&gt;=$M$17)),1,0)</x:f>
        <x:v>0</x:v>
      </x:c>
      <x:c r="F93" s="432" t="n">
        <x:f>IF($M$14="",1,IF('Properties'!E51=$M$14,1,0))</x:f>
        <x:v>1</x:v>
      </x:c>
      <x:c r="G93" s="432" t="n">
        <x:f>IF($M$15="",1,IF('Properties'!I51=$M$15,1,0))</x:f>
        <x:v>1</x:v>
      </x:c>
      <x:c r="H93" s="432" t="n">
        <x:f>IF(NOT(ISNUMBER($M$16)),1,IF(AND(ISNUMBER('Properties'!J51),'Properties'!J51=$M$16),1,0))</x:f>
        <x:v>1</x:v>
      </x:c>
      <x:c r="I93" s="432" t="n">
        <x:f>IF($M$19="",1,IF('Properties'!F51="",0,IF(ISNUMBER(SEARCH(","&amp;TRIM('Properties'!F51)&amp;",",","&amp;SUBSTITUTE(TRIM($M$19),", ",",")&amp;",")),1,0)))</x:f>
        <x:v>1</x:v>
      </x:c>
      <x:c r="J93" s="432" t="n">
        <x:f>IF($O$44=0,0,PRODUCT(C93:I93))</x:f>
        <x:v>0</x:v>
      </x:c>
      <x:c r="K93" s="432" t="str">
        <x:f>IF(J93=1,SUM($J$48:J93),"")</x:f>
      </x:c>
      <x:c r="L93" s="432"/>
      <x:c r="M93" s="432"/>
      <x:c r="N93" s="432" t="str">
        <x:f>IF('Clients'!A51="","",'Clients'!A51)</x:f>
      </x:c>
      <x:c r="O93" s="432" t="n">
        <x:f>IF(N93="",0,IF($B$6="",1,IF(ISNUMBER(SEARCH($B$6,'Clients'!A51&amp;" "&amp;'Clients'!B51&amp;" "&amp;'Clients'!C51&amp;" "&amp;'Clients'!D51)),1,0)))</x:f>
        <x:v>0</x:v>
      </x:c>
      <x:c r="P93" s="432" t="str">
        <x:f>IF(O93=1,SUM($O$48:O93),"")</x:f>
      </x:c>
      <x:c r="Q93" s="432"/>
    </x:row>
    <x:row r="94" ht="25" customHeight="1">
      <x:c r="A94" s="432"/>
      <x:c r="B94" s="432" t="str">
        <x:f>IF('Properties'!A52="","",'Properties'!A52)</x:f>
      </x:c>
      <x:c r="C94" s="432" t="n">
        <x:f>IF(AND(B94&lt;&gt;"",'Properties'!M52="Available"),1,0)</x:f>
        <x:v>0</x:v>
      </x:c>
      <x:c r="D94" s="432" t="n">
        <x:f>IF($M$13="Buy",IF('Properties'!D52="Sale",1,0),IF($M$13="Rent",IF('Properties'!D52="Rental",1,0),0))</x:f>
        <x:v>0</x:v>
      </x:c>
      <x:c r="E94" s="432" t="n">
        <x:f>IF(AND(ISNUMBER('Properties'!L52),'Properties'!L52&gt;0,ISNUMBER($M$18),$M$18&gt;0,'Properties'!L52&lt;=$M$18,OR(NOT(ISNUMBER($M$17)),'Properties'!L52&gt;=$M$17)),1,0)</x:f>
        <x:v>0</x:v>
      </x:c>
      <x:c r="F94" s="432" t="n">
        <x:f>IF($M$14="",1,IF('Properties'!E52=$M$14,1,0))</x:f>
        <x:v>1</x:v>
      </x:c>
      <x:c r="G94" s="432" t="n">
        <x:f>IF($M$15="",1,IF('Properties'!I52=$M$15,1,0))</x:f>
        <x:v>1</x:v>
      </x:c>
      <x:c r="H94" s="432" t="n">
        <x:f>IF(NOT(ISNUMBER($M$16)),1,IF(AND(ISNUMBER('Properties'!J52),'Properties'!J52=$M$16),1,0))</x:f>
        <x:v>1</x:v>
      </x:c>
      <x:c r="I94" s="432" t="n">
        <x:f>IF($M$19="",1,IF('Properties'!F52="",0,IF(ISNUMBER(SEARCH(","&amp;TRIM('Properties'!F52)&amp;",",","&amp;SUBSTITUTE(TRIM($M$19),", ",",")&amp;",")),1,0)))</x:f>
        <x:v>1</x:v>
      </x:c>
      <x:c r="J94" s="432" t="n">
        <x:f>IF($O$44=0,0,PRODUCT(C94:I94))</x:f>
        <x:v>0</x:v>
      </x:c>
      <x:c r="K94" s="432" t="str">
        <x:f>IF(J94=1,SUM($J$48:J94),"")</x:f>
      </x:c>
      <x:c r="L94" s="432"/>
      <x:c r="M94" s="432"/>
      <x:c r="N94" s="432" t="str">
        <x:f>IF('Clients'!A52="","",'Clients'!A52)</x:f>
      </x:c>
      <x:c r="O94" s="432" t="n">
        <x:f>IF(N94="",0,IF($B$6="",1,IF(ISNUMBER(SEARCH($B$6,'Clients'!A52&amp;" "&amp;'Clients'!B52&amp;" "&amp;'Clients'!C52&amp;" "&amp;'Clients'!D52)),1,0)))</x:f>
        <x:v>0</x:v>
      </x:c>
      <x:c r="P94" s="432" t="str">
        <x:f>IF(O94=1,SUM($O$48:O94),"")</x:f>
      </x:c>
      <x:c r="Q94" s="432"/>
    </x:row>
    <x:row r="95" ht="25" customHeight="1">
      <x:c r="A95" s="432"/>
      <x:c r="B95" s="432" t="str">
        <x:f>IF('Properties'!A53="","",'Properties'!A53)</x:f>
      </x:c>
      <x:c r="C95" s="432" t="n">
        <x:f>IF(AND(B95&lt;&gt;"",'Properties'!M53="Available"),1,0)</x:f>
        <x:v>0</x:v>
      </x:c>
      <x:c r="D95" s="432" t="n">
        <x:f>IF($M$13="Buy",IF('Properties'!D53="Sale",1,0),IF($M$13="Rent",IF('Properties'!D53="Rental",1,0),0))</x:f>
        <x:v>0</x:v>
      </x:c>
      <x:c r="E95" s="432" t="n">
        <x:f>IF(AND(ISNUMBER('Properties'!L53),'Properties'!L53&gt;0,ISNUMBER($M$18),$M$18&gt;0,'Properties'!L53&lt;=$M$18,OR(NOT(ISNUMBER($M$17)),'Properties'!L53&gt;=$M$17)),1,0)</x:f>
        <x:v>0</x:v>
      </x:c>
      <x:c r="F95" s="432" t="n">
        <x:f>IF($M$14="",1,IF('Properties'!E53=$M$14,1,0))</x:f>
        <x:v>1</x:v>
      </x:c>
      <x:c r="G95" s="432" t="n">
        <x:f>IF($M$15="",1,IF('Properties'!I53=$M$15,1,0))</x:f>
        <x:v>1</x:v>
      </x:c>
      <x:c r="H95" s="432" t="n">
        <x:f>IF(NOT(ISNUMBER($M$16)),1,IF(AND(ISNUMBER('Properties'!J53),'Properties'!J53=$M$16),1,0))</x:f>
        <x:v>1</x:v>
      </x:c>
      <x:c r="I95" s="432" t="n">
        <x:f>IF($M$19="",1,IF('Properties'!F53="",0,IF(ISNUMBER(SEARCH(","&amp;TRIM('Properties'!F53)&amp;",",","&amp;SUBSTITUTE(TRIM($M$19),", ",",")&amp;",")),1,0)))</x:f>
        <x:v>1</x:v>
      </x:c>
      <x:c r="J95" s="432" t="n">
        <x:f>IF($O$44=0,0,PRODUCT(C95:I95))</x:f>
        <x:v>0</x:v>
      </x:c>
      <x:c r="K95" s="432" t="str">
        <x:f>IF(J95=1,SUM($J$48:J95),"")</x:f>
      </x:c>
      <x:c r="L95" s="432"/>
      <x:c r="M95" s="432"/>
      <x:c r="N95" s="432" t="str">
        <x:f>IF('Clients'!A53="","",'Clients'!A53)</x:f>
      </x:c>
      <x:c r="O95" s="432" t="n">
        <x:f>IF(N95="",0,IF($B$6="",1,IF(ISNUMBER(SEARCH($B$6,'Clients'!A53&amp;" "&amp;'Clients'!B53&amp;" "&amp;'Clients'!C53&amp;" "&amp;'Clients'!D53)),1,0)))</x:f>
        <x:v>0</x:v>
      </x:c>
      <x:c r="P95" s="432" t="str">
        <x:f>IF(O95=1,SUM($O$48:O95),"")</x:f>
      </x:c>
      <x:c r="Q95" s="432"/>
    </x:row>
    <x:row r="96" ht="25" customHeight="1">
      <x:c r="A96" s="432"/>
      <x:c r="B96" s="432" t="str">
        <x:f>IF('Properties'!A54="","",'Properties'!A54)</x:f>
      </x:c>
      <x:c r="C96" s="432" t="n">
        <x:f>IF(AND(B96&lt;&gt;"",'Properties'!M54="Available"),1,0)</x:f>
        <x:v>0</x:v>
      </x:c>
      <x:c r="D96" s="432" t="n">
        <x:f>IF($M$13="Buy",IF('Properties'!D54="Sale",1,0),IF($M$13="Rent",IF('Properties'!D54="Rental",1,0),0))</x:f>
        <x:v>0</x:v>
      </x:c>
      <x:c r="E96" s="432" t="n">
        <x:f>IF(AND(ISNUMBER('Properties'!L54),'Properties'!L54&gt;0,ISNUMBER($M$18),$M$18&gt;0,'Properties'!L54&lt;=$M$18,OR(NOT(ISNUMBER($M$17)),'Properties'!L54&gt;=$M$17)),1,0)</x:f>
        <x:v>0</x:v>
      </x:c>
      <x:c r="F96" s="432" t="n">
        <x:f>IF($M$14="",1,IF('Properties'!E54=$M$14,1,0))</x:f>
        <x:v>1</x:v>
      </x:c>
      <x:c r="G96" s="432" t="n">
        <x:f>IF($M$15="",1,IF('Properties'!I54=$M$15,1,0))</x:f>
        <x:v>1</x:v>
      </x:c>
      <x:c r="H96" s="432" t="n">
        <x:f>IF(NOT(ISNUMBER($M$16)),1,IF(AND(ISNUMBER('Properties'!J54),'Properties'!J54=$M$16),1,0))</x:f>
        <x:v>1</x:v>
      </x:c>
      <x:c r="I96" s="432" t="n">
        <x:f>IF($M$19="",1,IF('Properties'!F54="",0,IF(ISNUMBER(SEARCH(","&amp;TRIM('Properties'!F54)&amp;",",","&amp;SUBSTITUTE(TRIM($M$19),", ",",")&amp;",")),1,0)))</x:f>
        <x:v>1</x:v>
      </x:c>
      <x:c r="J96" s="432" t="n">
        <x:f>IF($O$44=0,0,PRODUCT(C96:I96))</x:f>
        <x:v>0</x:v>
      </x:c>
      <x:c r="K96" s="432" t="str">
        <x:f>IF(J96=1,SUM($J$48:J96),"")</x:f>
      </x:c>
      <x:c r="L96" s="432"/>
      <x:c r="M96" s="432"/>
      <x:c r="N96" s="432" t="str">
        <x:f>IF('Clients'!A54="","",'Clients'!A54)</x:f>
      </x:c>
      <x:c r="O96" s="432" t="n">
        <x:f>IF(N96="",0,IF($B$6="",1,IF(ISNUMBER(SEARCH($B$6,'Clients'!A54&amp;" "&amp;'Clients'!B54&amp;" "&amp;'Clients'!C54&amp;" "&amp;'Clients'!D54)),1,0)))</x:f>
        <x:v>0</x:v>
      </x:c>
      <x:c r="P96" s="432" t="str">
        <x:f>IF(O96=1,SUM($O$48:O96),"")</x:f>
      </x:c>
      <x:c r="Q96" s="432"/>
    </x:row>
    <x:row r="97" ht="25" customHeight="1">
      <x:c r="A97" s="432"/>
      <x:c r="B97" s="432" t="str">
        <x:f>IF('Properties'!A55="","",'Properties'!A55)</x:f>
      </x:c>
      <x:c r="C97" s="432" t="n">
        <x:f>IF(AND(B97&lt;&gt;"",'Properties'!M55="Available"),1,0)</x:f>
        <x:v>0</x:v>
      </x:c>
      <x:c r="D97" s="432" t="n">
        <x:f>IF($M$13="Buy",IF('Properties'!D55="Sale",1,0),IF($M$13="Rent",IF('Properties'!D55="Rental",1,0),0))</x:f>
        <x:v>0</x:v>
      </x:c>
      <x:c r="E97" s="432" t="n">
        <x:f>IF(AND(ISNUMBER('Properties'!L55),'Properties'!L55&gt;0,ISNUMBER($M$18),$M$18&gt;0,'Properties'!L55&lt;=$M$18,OR(NOT(ISNUMBER($M$17)),'Properties'!L55&gt;=$M$17)),1,0)</x:f>
        <x:v>0</x:v>
      </x:c>
      <x:c r="F97" s="432" t="n">
        <x:f>IF($M$14="",1,IF('Properties'!E55=$M$14,1,0))</x:f>
        <x:v>1</x:v>
      </x:c>
      <x:c r="G97" s="432" t="n">
        <x:f>IF($M$15="",1,IF('Properties'!I55=$M$15,1,0))</x:f>
        <x:v>1</x:v>
      </x:c>
      <x:c r="H97" s="432" t="n">
        <x:f>IF(NOT(ISNUMBER($M$16)),1,IF(AND(ISNUMBER('Properties'!J55),'Properties'!J55=$M$16),1,0))</x:f>
        <x:v>1</x:v>
      </x:c>
      <x:c r="I97" s="432" t="n">
        <x:f>IF($M$19="",1,IF('Properties'!F55="",0,IF(ISNUMBER(SEARCH(","&amp;TRIM('Properties'!F55)&amp;",",","&amp;SUBSTITUTE(TRIM($M$19),", ",",")&amp;",")),1,0)))</x:f>
        <x:v>1</x:v>
      </x:c>
      <x:c r="J97" s="432" t="n">
        <x:f>IF($O$44=0,0,PRODUCT(C97:I97))</x:f>
        <x:v>0</x:v>
      </x:c>
      <x:c r="K97" s="432" t="str">
        <x:f>IF(J97=1,SUM($J$48:J97),"")</x:f>
      </x:c>
      <x:c r="L97" s="432"/>
      <x:c r="M97" s="432"/>
      <x:c r="N97" s="432" t="str">
        <x:f>IF('Clients'!A55="","",'Clients'!A55)</x:f>
      </x:c>
      <x:c r="O97" s="432" t="n">
        <x:f>IF(N97="",0,IF($B$6="",1,IF(ISNUMBER(SEARCH($B$6,'Clients'!A55&amp;" "&amp;'Clients'!B55&amp;" "&amp;'Clients'!C55&amp;" "&amp;'Clients'!D55)),1,0)))</x:f>
        <x:v>0</x:v>
      </x:c>
      <x:c r="P97" s="432" t="str">
        <x:f>IF(O97=1,SUM($O$48:O97),"")</x:f>
      </x:c>
      <x:c r="Q97" s="432"/>
    </x:row>
    <x:row r="98" ht="25" customHeight="1">
      <x:c r="A98" s="432"/>
      <x:c r="B98" s="432" t="str">
        <x:f>IF('Properties'!A56="","",'Properties'!A56)</x:f>
      </x:c>
      <x:c r="C98" s="432" t="n">
        <x:f>IF(AND(B98&lt;&gt;"",'Properties'!M56="Available"),1,0)</x:f>
        <x:v>0</x:v>
      </x:c>
      <x:c r="D98" s="432" t="n">
        <x:f>IF($M$13="Buy",IF('Properties'!D56="Sale",1,0),IF($M$13="Rent",IF('Properties'!D56="Rental",1,0),0))</x:f>
        <x:v>0</x:v>
      </x:c>
      <x:c r="E98" s="432" t="n">
        <x:f>IF(AND(ISNUMBER('Properties'!L56),'Properties'!L56&gt;0,ISNUMBER($M$18),$M$18&gt;0,'Properties'!L56&lt;=$M$18,OR(NOT(ISNUMBER($M$17)),'Properties'!L56&gt;=$M$17)),1,0)</x:f>
        <x:v>0</x:v>
      </x:c>
      <x:c r="F98" s="432" t="n">
        <x:f>IF($M$14="",1,IF('Properties'!E56=$M$14,1,0))</x:f>
        <x:v>1</x:v>
      </x:c>
      <x:c r="G98" s="432" t="n">
        <x:f>IF($M$15="",1,IF('Properties'!I56=$M$15,1,0))</x:f>
        <x:v>1</x:v>
      </x:c>
      <x:c r="H98" s="432" t="n">
        <x:f>IF(NOT(ISNUMBER($M$16)),1,IF(AND(ISNUMBER('Properties'!J56),'Properties'!J56=$M$16),1,0))</x:f>
        <x:v>1</x:v>
      </x:c>
      <x:c r="I98" s="432" t="n">
        <x:f>IF($M$19="",1,IF('Properties'!F56="",0,IF(ISNUMBER(SEARCH(","&amp;TRIM('Properties'!F56)&amp;",",","&amp;SUBSTITUTE(TRIM($M$19),", ",",")&amp;",")),1,0)))</x:f>
        <x:v>1</x:v>
      </x:c>
      <x:c r="J98" s="432" t="n">
        <x:f>IF($O$44=0,0,PRODUCT(C98:I98))</x:f>
        <x:v>0</x:v>
      </x:c>
      <x:c r="K98" s="432" t="str">
        <x:f>IF(J98=1,SUM($J$48:J98),"")</x:f>
      </x:c>
      <x:c r="L98" s="432"/>
      <x:c r="M98" s="432"/>
      <x:c r="N98" s="432" t="str">
        <x:f>IF('Clients'!A56="","",'Clients'!A56)</x:f>
      </x:c>
      <x:c r="O98" s="432" t="n">
        <x:f>IF(N98="",0,IF($B$6="",1,IF(ISNUMBER(SEARCH($B$6,'Clients'!A56&amp;" "&amp;'Clients'!B56&amp;" "&amp;'Clients'!C56&amp;" "&amp;'Clients'!D56)),1,0)))</x:f>
        <x:v>0</x:v>
      </x:c>
      <x:c r="P98" s="432" t="str">
        <x:f>IF(O98=1,SUM($O$48:O98),"")</x:f>
      </x:c>
      <x:c r="Q98" s="432"/>
    </x:row>
    <x:row r="99" ht="25" customHeight="1">
      <x:c r="A99" s="432"/>
      <x:c r="B99" s="432" t="str">
        <x:f>IF('Properties'!A57="","",'Properties'!A57)</x:f>
      </x:c>
      <x:c r="C99" s="432" t="n">
        <x:f>IF(AND(B99&lt;&gt;"",'Properties'!M57="Available"),1,0)</x:f>
        <x:v>0</x:v>
      </x:c>
      <x:c r="D99" s="432" t="n">
        <x:f>IF($M$13="Buy",IF('Properties'!D57="Sale",1,0),IF($M$13="Rent",IF('Properties'!D57="Rental",1,0),0))</x:f>
        <x:v>0</x:v>
      </x:c>
      <x:c r="E99" s="432" t="n">
        <x:f>IF(AND(ISNUMBER('Properties'!L57),'Properties'!L57&gt;0,ISNUMBER($M$18),$M$18&gt;0,'Properties'!L57&lt;=$M$18,OR(NOT(ISNUMBER($M$17)),'Properties'!L57&gt;=$M$17)),1,0)</x:f>
        <x:v>0</x:v>
      </x:c>
      <x:c r="F99" s="432" t="n">
        <x:f>IF($M$14="",1,IF('Properties'!E57=$M$14,1,0))</x:f>
        <x:v>1</x:v>
      </x:c>
      <x:c r="G99" s="432" t="n">
        <x:f>IF($M$15="",1,IF('Properties'!I57=$M$15,1,0))</x:f>
        <x:v>1</x:v>
      </x:c>
      <x:c r="H99" s="432" t="n">
        <x:f>IF(NOT(ISNUMBER($M$16)),1,IF(AND(ISNUMBER('Properties'!J57),'Properties'!J57=$M$16),1,0))</x:f>
        <x:v>1</x:v>
      </x:c>
      <x:c r="I99" s="432" t="n">
        <x:f>IF($M$19="",1,IF('Properties'!F57="",0,IF(ISNUMBER(SEARCH(","&amp;TRIM('Properties'!F57)&amp;",",","&amp;SUBSTITUTE(TRIM($M$19),", ",",")&amp;",")),1,0)))</x:f>
        <x:v>1</x:v>
      </x:c>
      <x:c r="J99" s="432" t="n">
        <x:f>IF($O$44=0,0,PRODUCT(C99:I99))</x:f>
        <x:v>0</x:v>
      </x:c>
      <x:c r="K99" s="432" t="str">
        <x:f>IF(J99=1,SUM($J$48:J99),"")</x:f>
      </x:c>
      <x:c r="L99" s="432"/>
      <x:c r="M99" s="432"/>
      <x:c r="N99" s="432" t="str">
        <x:f>IF('Clients'!A57="","",'Clients'!A57)</x:f>
      </x:c>
      <x:c r="O99" s="432" t="n">
        <x:f>IF(N99="",0,IF($B$6="",1,IF(ISNUMBER(SEARCH($B$6,'Clients'!A57&amp;" "&amp;'Clients'!B57&amp;" "&amp;'Clients'!C57&amp;" "&amp;'Clients'!D57)),1,0)))</x:f>
        <x:v>0</x:v>
      </x:c>
      <x:c r="P99" s="432" t="str">
        <x:f>IF(O99=1,SUM($O$48:O99),"")</x:f>
      </x:c>
      <x:c r="Q99" s="432"/>
    </x:row>
    <x:row r="100" ht="25" customHeight="1">
      <x:c r="A100" s="432"/>
      <x:c r="B100" s="432" t="str">
        <x:f>IF('Properties'!A58="","",'Properties'!A58)</x:f>
      </x:c>
      <x:c r="C100" s="432" t="n">
        <x:f>IF(AND(B100&lt;&gt;"",'Properties'!M58="Available"),1,0)</x:f>
        <x:v>0</x:v>
      </x:c>
      <x:c r="D100" s="432" t="n">
        <x:f>IF($M$13="Buy",IF('Properties'!D58="Sale",1,0),IF($M$13="Rent",IF('Properties'!D58="Rental",1,0),0))</x:f>
        <x:v>0</x:v>
      </x:c>
      <x:c r="E100" s="432" t="n">
        <x:f>IF(AND(ISNUMBER('Properties'!L58),'Properties'!L58&gt;0,ISNUMBER($M$18),$M$18&gt;0,'Properties'!L58&lt;=$M$18,OR(NOT(ISNUMBER($M$17)),'Properties'!L58&gt;=$M$17)),1,0)</x:f>
        <x:v>0</x:v>
      </x:c>
      <x:c r="F100" s="432" t="n">
        <x:f>IF($M$14="",1,IF('Properties'!E58=$M$14,1,0))</x:f>
        <x:v>1</x:v>
      </x:c>
      <x:c r="G100" s="432" t="n">
        <x:f>IF($M$15="",1,IF('Properties'!I58=$M$15,1,0))</x:f>
        <x:v>1</x:v>
      </x:c>
      <x:c r="H100" s="432" t="n">
        <x:f>IF(NOT(ISNUMBER($M$16)),1,IF(AND(ISNUMBER('Properties'!J58),'Properties'!J58=$M$16),1,0))</x:f>
        <x:v>1</x:v>
      </x:c>
      <x:c r="I100" s="432" t="n">
        <x:f>IF($M$19="",1,IF('Properties'!F58="",0,IF(ISNUMBER(SEARCH(","&amp;TRIM('Properties'!F58)&amp;",",","&amp;SUBSTITUTE(TRIM($M$19),", ",",")&amp;",")),1,0)))</x:f>
        <x:v>1</x:v>
      </x:c>
      <x:c r="J100" s="432" t="n">
        <x:f>IF($O$44=0,0,PRODUCT(C100:I100))</x:f>
        <x:v>0</x:v>
      </x:c>
      <x:c r="K100" s="432" t="str">
        <x:f>IF(J100=1,SUM($J$48:J100),"")</x:f>
      </x:c>
      <x:c r="L100" s="432"/>
      <x:c r="M100" s="432"/>
      <x:c r="N100" s="432" t="str">
        <x:f>IF('Clients'!A58="","",'Clients'!A58)</x:f>
      </x:c>
      <x:c r="O100" s="432" t="n">
        <x:f>IF(N100="",0,IF($B$6="",1,IF(ISNUMBER(SEARCH($B$6,'Clients'!A58&amp;" "&amp;'Clients'!B58&amp;" "&amp;'Clients'!C58&amp;" "&amp;'Clients'!D58)),1,0)))</x:f>
        <x:v>0</x:v>
      </x:c>
      <x:c r="P100" s="432" t="str">
        <x:f>IF(O100=1,SUM($O$48:O100),"")</x:f>
      </x:c>
      <x:c r="Q100" s="432"/>
    </x:row>
    <x:row r="101" ht="25" customHeight="1">
      <x:c r="A101" s="432"/>
      <x:c r="B101" s="432" t="str">
        <x:f>IF('Properties'!A59="","",'Properties'!A59)</x:f>
      </x:c>
      <x:c r="C101" s="432" t="n">
        <x:f>IF(AND(B101&lt;&gt;"",'Properties'!M59="Available"),1,0)</x:f>
        <x:v>0</x:v>
      </x:c>
      <x:c r="D101" s="432" t="n">
        <x:f>IF($M$13="Buy",IF('Properties'!D59="Sale",1,0),IF($M$13="Rent",IF('Properties'!D59="Rental",1,0),0))</x:f>
        <x:v>0</x:v>
      </x:c>
      <x:c r="E101" s="432" t="n">
        <x:f>IF(AND(ISNUMBER('Properties'!L59),'Properties'!L59&gt;0,ISNUMBER($M$18),$M$18&gt;0,'Properties'!L59&lt;=$M$18,OR(NOT(ISNUMBER($M$17)),'Properties'!L59&gt;=$M$17)),1,0)</x:f>
        <x:v>0</x:v>
      </x:c>
      <x:c r="F101" s="432" t="n">
        <x:f>IF($M$14="",1,IF('Properties'!E59=$M$14,1,0))</x:f>
        <x:v>1</x:v>
      </x:c>
      <x:c r="G101" s="432" t="n">
        <x:f>IF($M$15="",1,IF('Properties'!I59=$M$15,1,0))</x:f>
        <x:v>1</x:v>
      </x:c>
      <x:c r="H101" s="432" t="n">
        <x:f>IF(NOT(ISNUMBER($M$16)),1,IF(AND(ISNUMBER('Properties'!J59),'Properties'!J59=$M$16),1,0))</x:f>
        <x:v>1</x:v>
      </x:c>
      <x:c r="I101" s="432" t="n">
        <x:f>IF($M$19="",1,IF('Properties'!F59="",0,IF(ISNUMBER(SEARCH(","&amp;TRIM('Properties'!F59)&amp;",",","&amp;SUBSTITUTE(TRIM($M$19),", ",",")&amp;",")),1,0)))</x:f>
        <x:v>1</x:v>
      </x:c>
      <x:c r="J101" s="432" t="n">
        <x:f>IF($O$44=0,0,PRODUCT(C101:I101))</x:f>
        <x:v>0</x:v>
      </x:c>
      <x:c r="K101" s="432" t="str">
        <x:f>IF(J101=1,SUM($J$48:J101),"")</x:f>
      </x:c>
      <x:c r="L101" s="432"/>
      <x:c r="M101" s="432"/>
      <x:c r="N101" s="432" t="str">
        <x:f>IF('Clients'!A59="","",'Clients'!A59)</x:f>
      </x:c>
      <x:c r="O101" s="432" t="n">
        <x:f>IF(N101="",0,IF($B$6="",1,IF(ISNUMBER(SEARCH($B$6,'Clients'!A59&amp;" "&amp;'Clients'!B59&amp;" "&amp;'Clients'!C59&amp;" "&amp;'Clients'!D59)),1,0)))</x:f>
        <x:v>0</x:v>
      </x:c>
      <x:c r="P101" s="432" t="str">
        <x:f>IF(O101=1,SUM($O$48:O101),"")</x:f>
      </x:c>
      <x:c r="Q101" s="432"/>
    </x:row>
    <x:row r="102" ht="25" customHeight="1">
      <x:c r="A102" s="432"/>
      <x:c r="B102" s="432" t="str">
        <x:f>IF('Properties'!A60="","",'Properties'!A60)</x:f>
      </x:c>
      <x:c r="C102" s="432" t="n">
        <x:f>IF(AND(B102&lt;&gt;"",'Properties'!M60="Available"),1,0)</x:f>
        <x:v>0</x:v>
      </x:c>
      <x:c r="D102" s="432" t="n">
        <x:f>IF($M$13="Buy",IF('Properties'!D60="Sale",1,0),IF($M$13="Rent",IF('Properties'!D60="Rental",1,0),0))</x:f>
        <x:v>0</x:v>
      </x:c>
      <x:c r="E102" s="432" t="n">
        <x:f>IF(AND(ISNUMBER('Properties'!L60),'Properties'!L60&gt;0,ISNUMBER($M$18),$M$18&gt;0,'Properties'!L60&lt;=$M$18,OR(NOT(ISNUMBER($M$17)),'Properties'!L60&gt;=$M$17)),1,0)</x:f>
        <x:v>0</x:v>
      </x:c>
      <x:c r="F102" s="432" t="n">
        <x:f>IF($M$14="",1,IF('Properties'!E60=$M$14,1,0))</x:f>
        <x:v>1</x:v>
      </x:c>
      <x:c r="G102" s="432" t="n">
        <x:f>IF($M$15="",1,IF('Properties'!I60=$M$15,1,0))</x:f>
        <x:v>1</x:v>
      </x:c>
      <x:c r="H102" s="432" t="n">
        <x:f>IF(NOT(ISNUMBER($M$16)),1,IF(AND(ISNUMBER('Properties'!J60),'Properties'!J60=$M$16),1,0))</x:f>
        <x:v>1</x:v>
      </x:c>
      <x:c r="I102" s="432" t="n">
        <x:f>IF($M$19="",1,IF('Properties'!F60="",0,IF(ISNUMBER(SEARCH(","&amp;TRIM('Properties'!F60)&amp;",",","&amp;SUBSTITUTE(TRIM($M$19),", ",",")&amp;",")),1,0)))</x:f>
        <x:v>1</x:v>
      </x:c>
      <x:c r="J102" s="432" t="n">
        <x:f>IF($O$44=0,0,PRODUCT(C102:I102))</x:f>
        <x:v>0</x:v>
      </x:c>
      <x:c r="K102" s="432" t="str">
        <x:f>IF(J102=1,SUM($J$48:J102),"")</x:f>
      </x:c>
      <x:c r="L102" s="432"/>
      <x:c r="M102" s="432"/>
      <x:c r="N102" s="432" t="str">
        <x:f>IF('Clients'!A60="","",'Clients'!A60)</x:f>
      </x:c>
      <x:c r="O102" s="432" t="n">
        <x:f>IF(N102="",0,IF($B$6="",1,IF(ISNUMBER(SEARCH($B$6,'Clients'!A60&amp;" "&amp;'Clients'!B60&amp;" "&amp;'Clients'!C60&amp;" "&amp;'Clients'!D60)),1,0)))</x:f>
        <x:v>0</x:v>
      </x:c>
      <x:c r="P102" s="432" t="str">
        <x:f>IF(O102=1,SUM($O$48:O102),"")</x:f>
      </x:c>
      <x:c r="Q102" s="432"/>
    </x:row>
    <x:row r="103" ht="25" customHeight="1">
      <x:c r="A103" s="432"/>
      <x:c r="B103" s="432" t="str">
        <x:f>IF('Properties'!A61="","",'Properties'!A61)</x:f>
      </x:c>
      <x:c r="C103" s="432" t="n">
        <x:f>IF(AND(B103&lt;&gt;"",'Properties'!M61="Available"),1,0)</x:f>
        <x:v>0</x:v>
      </x:c>
      <x:c r="D103" s="432" t="n">
        <x:f>IF($M$13="Buy",IF('Properties'!D61="Sale",1,0),IF($M$13="Rent",IF('Properties'!D61="Rental",1,0),0))</x:f>
        <x:v>0</x:v>
      </x:c>
      <x:c r="E103" s="432" t="n">
        <x:f>IF(AND(ISNUMBER('Properties'!L61),'Properties'!L61&gt;0,ISNUMBER($M$18),$M$18&gt;0,'Properties'!L61&lt;=$M$18,OR(NOT(ISNUMBER($M$17)),'Properties'!L61&gt;=$M$17)),1,0)</x:f>
        <x:v>0</x:v>
      </x:c>
      <x:c r="F103" s="432" t="n">
        <x:f>IF($M$14="",1,IF('Properties'!E61=$M$14,1,0))</x:f>
        <x:v>1</x:v>
      </x:c>
      <x:c r="G103" s="432" t="n">
        <x:f>IF($M$15="",1,IF('Properties'!I61=$M$15,1,0))</x:f>
        <x:v>1</x:v>
      </x:c>
      <x:c r="H103" s="432" t="n">
        <x:f>IF(NOT(ISNUMBER($M$16)),1,IF(AND(ISNUMBER('Properties'!J61),'Properties'!J61=$M$16),1,0))</x:f>
        <x:v>1</x:v>
      </x:c>
      <x:c r="I103" s="432" t="n">
        <x:f>IF($M$19="",1,IF('Properties'!F61="",0,IF(ISNUMBER(SEARCH(","&amp;TRIM('Properties'!F61)&amp;",",","&amp;SUBSTITUTE(TRIM($M$19),", ",",")&amp;",")),1,0)))</x:f>
        <x:v>1</x:v>
      </x:c>
      <x:c r="J103" s="432" t="n">
        <x:f>IF($O$44=0,0,PRODUCT(C103:I103))</x:f>
        <x:v>0</x:v>
      </x:c>
      <x:c r="K103" s="432" t="str">
        <x:f>IF(J103=1,SUM($J$48:J103),"")</x:f>
      </x:c>
      <x:c r="L103" s="432"/>
      <x:c r="M103" s="432"/>
      <x:c r="N103" s="432" t="str">
        <x:f>IF('Clients'!A61="","",'Clients'!A61)</x:f>
      </x:c>
      <x:c r="O103" s="432" t="n">
        <x:f>IF(N103="",0,IF($B$6="",1,IF(ISNUMBER(SEARCH($B$6,'Clients'!A61&amp;" "&amp;'Clients'!B61&amp;" "&amp;'Clients'!C61&amp;" "&amp;'Clients'!D61)),1,0)))</x:f>
        <x:v>0</x:v>
      </x:c>
      <x:c r="P103" s="432" t="str">
        <x:f>IF(O103=1,SUM($O$48:O103),"")</x:f>
      </x:c>
      <x:c r="Q103" s="432"/>
    </x:row>
    <x:row r="104" ht="25" customHeight="1">
      <x:c r="A104" s="432"/>
      <x:c r="B104" s="432" t="str">
        <x:f>IF('Properties'!A62="","",'Properties'!A62)</x:f>
      </x:c>
      <x:c r="C104" s="432" t="n">
        <x:f>IF(AND(B104&lt;&gt;"",'Properties'!M62="Available"),1,0)</x:f>
        <x:v>0</x:v>
      </x:c>
      <x:c r="D104" s="432" t="n">
        <x:f>IF($M$13="Buy",IF('Properties'!D62="Sale",1,0),IF($M$13="Rent",IF('Properties'!D62="Rental",1,0),0))</x:f>
        <x:v>0</x:v>
      </x:c>
      <x:c r="E104" s="432" t="n">
        <x:f>IF(AND(ISNUMBER('Properties'!L62),'Properties'!L62&gt;0,ISNUMBER($M$18),$M$18&gt;0,'Properties'!L62&lt;=$M$18,OR(NOT(ISNUMBER($M$17)),'Properties'!L62&gt;=$M$17)),1,0)</x:f>
        <x:v>0</x:v>
      </x:c>
      <x:c r="F104" s="432" t="n">
        <x:f>IF($M$14="",1,IF('Properties'!E62=$M$14,1,0))</x:f>
        <x:v>1</x:v>
      </x:c>
      <x:c r="G104" s="432" t="n">
        <x:f>IF($M$15="",1,IF('Properties'!I62=$M$15,1,0))</x:f>
        <x:v>1</x:v>
      </x:c>
      <x:c r="H104" s="432" t="n">
        <x:f>IF(NOT(ISNUMBER($M$16)),1,IF(AND(ISNUMBER('Properties'!J62),'Properties'!J62=$M$16),1,0))</x:f>
        <x:v>1</x:v>
      </x:c>
      <x:c r="I104" s="432" t="n">
        <x:f>IF($M$19="",1,IF('Properties'!F62="",0,IF(ISNUMBER(SEARCH(","&amp;TRIM('Properties'!F62)&amp;",",","&amp;SUBSTITUTE(TRIM($M$19),", ",",")&amp;",")),1,0)))</x:f>
        <x:v>1</x:v>
      </x:c>
      <x:c r="J104" s="432" t="n">
        <x:f>IF($O$44=0,0,PRODUCT(C104:I104))</x:f>
        <x:v>0</x:v>
      </x:c>
      <x:c r="K104" s="432" t="str">
        <x:f>IF(J104=1,SUM($J$48:J104),"")</x:f>
      </x:c>
      <x:c r="L104" s="432"/>
      <x:c r="M104" s="432"/>
      <x:c r="N104" s="432" t="str">
        <x:f>IF('Clients'!A62="","",'Clients'!A62)</x:f>
      </x:c>
      <x:c r="O104" s="432" t="n">
        <x:f>IF(N104="",0,IF($B$6="",1,IF(ISNUMBER(SEARCH($B$6,'Clients'!A62&amp;" "&amp;'Clients'!B62&amp;" "&amp;'Clients'!C62&amp;" "&amp;'Clients'!D62)),1,0)))</x:f>
        <x:v>0</x:v>
      </x:c>
      <x:c r="P104" s="432" t="str">
        <x:f>IF(O104=1,SUM($O$48:O104),"")</x:f>
      </x:c>
      <x:c r="Q104" s="432"/>
    </x:row>
    <x:row r="105" ht="25" customHeight="1">
      <x:c r="A105" s="432"/>
      <x:c r="B105" s="432" t="str">
        <x:f>IF('Properties'!A63="","",'Properties'!A63)</x:f>
      </x:c>
      <x:c r="C105" s="432" t="n">
        <x:f>IF(AND(B105&lt;&gt;"",'Properties'!M63="Available"),1,0)</x:f>
        <x:v>0</x:v>
      </x:c>
      <x:c r="D105" s="432" t="n">
        <x:f>IF($M$13="Buy",IF('Properties'!D63="Sale",1,0),IF($M$13="Rent",IF('Properties'!D63="Rental",1,0),0))</x:f>
        <x:v>0</x:v>
      </x:c>
      <x:c r="E105" s="432" t="n">
        <x:f>IF(AND(ISNUMBER('Properties'!L63),'Properties'!L63&gt;0,ISNUMBER($M$18),$M$18&gt;0,'Properties'!L63&lt;=$M$18,OR(NOT(ISNUMBER($M$17)),'Properties'!L63&gt;=$M$17)),1,0)</x:f>
        <x:v>0</x:v>
      </x:c>
      <x:c r="F105" s="432" t="n">
        <x:f>IF($M$14="",1,IF('Properties'!E63=$M$14,1,0))</x:f>
        <x:v>1</x:v>
      </x:c>
      <x:c r="G105" s="432" t="n">
        <x:f>IF($M$15="",1,IF('Properties'!I63=$M$15,1,0))</x:f>
        <x:v>1</x:v>
      </x:c>
      <x:c r="H105" s="432" t="n">
        <x:f>IF(NOT(ISNUMBER($M$16)),1,IF(AND(ISNUMBER('Properties'!J63),'Properties'!J63=$M$16),1,0))</x:f>
        <x:v>1</x:v>
      </x:c>
      <x:c r="I105" s="432" t="n">
        <x:f>IF($M$19="",1,IF('Properties'!F63="",0,IF(ISNUMBER(SEARCH(","&amp;TRIM('Properties'!F63)&amp;",",","&amp;SUBSTITUTE(TRIM($M$19),", ",",")&amp;",")),1,0)))</x:f>
        <x:v>1</x:v>
      </x:c>
      <x:c r="J105" s="432" t="n">
        <x:f>IF($O$44=0,0,PRODUCT(C105:I105))</x:f>
        <x:v>0</x:v>
      </x:c>
      <x:c r="K105" s="432" t="str">
        <x:f>IF(J105=1,SUM($J$48:J105),"")</x:f>
      </x:c>
      <x:c r="L105" s="432"/>
      <x:c r="M105" s="432"/>
      <x:c r="N105" s="432" t="str">
        <x:f>IF('Clients'!A63="","",'Clients'!A63)</x:f>
      </x:c>
      <x:c r="O105" s="432" t="n">
        <x:f>IF(N105="",0,IF($B$6="",1,IF(ISNUMBER(SEARCH($B$6,'Clients'!A63&amp;" "&amp;'Clients'!B63&amp;" "&amp;'Clients'!C63&amp;" "&amp;'Clients'!D63)),1,0)))</x:f>
        <x:v>0</x:v>
      </x:c>
      <x:c r="P105" s="432" t="str">
        <x:f>IF(O105=1,SUM($O$48:O105),"")</x:f>
      </x:c>
      <x:c r="Q105" s="432"/>
    </x:row>
    <x:row r="106" ht="25" customHeight="1">
      <x:c r="A106" s="432"/>
      <x:c r="B106" s="432" t="str">
        <x:f>IF('Properties'!A64="","",'Properties'!A64)</x:f>
      </x:c>
      <x:c r="C106" s="432" t="n">
        <x:f>IF(AND(B106&lt;&gt;"",'Properties'!M64="Available"),1,0)</x:f>
        <x:v>0</x:v>
      </x:c>
      <x:c r="D106" s="432" t="n">
        <x:f>IF($M$13="Buy",IF('Properties'!D64="Sale",1,0),IF($M$13="Rent",IF('Properties'!D64="Rental",1,0),0))</x:f>
        <x:v>0</x:v>
      </x:c>
      <x:c r="E106" s="432" t="n">
        <x:f>IF(AND(ISNUMBER('Properties'!L64),'Properties'!L64&gt;0,ISNUMBER($M$18),$M$18&gt;0,'Properties'!L64&lt;=$M$18,OR(NOT(ISNUMBER($M$17)),'Properties'!L64&gt;=$M$17)),1,0)</x:f>
        <x:v>0</x:v>
      </x:c>
      <x:c r="F106" s="432" t="n">
        <x:f>IF($M$14="",1,IF('Properties'!E64=$M$14,1,0))</x:f>
        <x:v>1</x:v>
      </x:c>
      <x:c r="G106" s="432" t="n">
        <x:f>IF($M$15="",1,IF('Properties'!I64=$M$15,1,0))</x:f>
        <x:v>1</x:v>
      </x:c>
      <x:c r="H106" s="432" t="n">
        <x:f>IF(NOT(ISNUMBER($M$16)),1,IF(AND(ISNUMBER('Properties'!J64),'Properties'!J64=$M$16),1,0))</x:f>
        <x:v>1</x:v>
      </x:c>
      <x:c r="I106" s="432" t="n">
        <x:f>IF($M$19="",1,IF('Properties'!F64="",0,IF(ISNUMBER(SEARCH(","&amp;TRIM('Properties'!F64)&amp;",",","&amp;SUBSTITUTE(TRIM($M$19),", ",",")&amp;",")),1,0)))</x:f>
        <x:v>1</x:v>
      </x:c>
      <x:c r="J106" s="432" t="n">
        <x:f>IF($O$44=0,0,PRODUCT(C106:I106))</x:f>
        <x:v>0</x:v>
      </x:c>
      <x:c r="K106" s="432" t="str">
        <x:f>IF(J106=1,SUM($J$48:J106),"")</x:f>
      </x:c>
      <x:c r="L106" s="432"/>
      <x:c r="M106" s="432"/>
      <x:c r="N106" s="432" t="str">
        <x:f>IF('Clients'!A64="","",'Clients'!A64)</x:f>
      </x:c>
      <x:c r="O106" s="432" t="n">
        <x:f>IF(N106="",0,IF($B$6="",1,IF(ISNUMBER(SEARCH($B$6,'Clients'!A64&amp;" "&amp;'Clients'!B64&amp;" "&amp;'Clients'!C64&amp;" "&amp;'Clients'!D64)),1,0)))</x:f>
        <x:v>0</x:v>
      </x:c>
      <x:c r="P106" s="432" t="str">
        <x:f>IF(O106=1,SUM($O$48:O106),"")</x:f>
      </x:c>
      <x:c r="Q106" s="432"/>
    </x:row>
    <x:row r="107" ht="25" customHeight="1">
      <x:c r="A107" s="432"/>
      <x:c r="B107" s="432" t="str">
        <x:f>IF('Properties'!A65="","",'Properties'!A65)</x:f>
      </x:c>
      <x:c r="C107" s="432" t="n">
        <x:f>IF(AND(B107&lt;&gt;"",'Properties'!M65="Available"),1,0)</x:f>
        <x:v>0</x:v>
      </x:c>
      <x:c r="D107" s="432" t="n">
        <x:f>IF($M$13="Buy",IF('Properties'!D65="Sale",1,0),IF($M$13="Rent",IF('Properties'!D65="Rental",1,0),0))</x:f>
        <x:v>0</x:v>
      </x:c>
      <x:c r="E107" s="432" t="n">
        <x:f>IF(AND(ISNUMBER('Properties'!L65),'Properties'!L65&gt;0,ISNUMBER($M$18),$M$18&gt;0,'Properties'!L65&lt;=$M$18,OR(NOT(ISNUMBER($M$17)),'Properties'!L65&gt;=$M$17)),1,0)</x:f>
        <x:v>0</x:v>
      </x:c>
      <x:c r="F107" s="432" t="n">
        <x:f>IF($M$14="",1,IF('Properties'!E65=$M$14,1,0))</x:f>
        <x:v>1</x:v>
      </x:c>
      <x:c r="G107" s="432" t="n">
        <x:f>IF($M$15="",1,IF('Properties'!I65=$M$15,1,0))</x:f>
        <x:v>1</x:v>
      </x:c>
      <x:c r="H107" s="432" t="n">
        <x:f>IF(NOT(ISNUMBER($M$16)),1,IF(AND(ISNUMBER('Properties'!J65),'Properties'!J65=$M$16),1,0))</x:f>
        <x:v>1</x:v>
      </x:c>
      <x:c r="I107" s="432" t="n">
        <x:f>IF($M$19="",1,IF('Properties'!F65="",0,IF(ISNUMBER(SEARCH(","&amp;TRIM('Properties'!F65)&amp;",",","&amp;SUBSTITUTE(TRIM($M$19),", ",",")&amp;",")),1,0)))</x:f>
        <x:v>1</x:v>
      </x:c>
      <x:c r="J107" s="432" t="n">
        <x:f>IF($O$44=0,0,PRODUCT(C107:I107))</x:f>
        <x:v>0</x:v>
      </x:c>
      <x:c r="K107" s="432" t="str">
        <x:f>IF(J107=1,SUM($J$48:J107),"")</x:f>
      </x:c>
      <x:c r="L107" s="432"/>
      <x:c r="M107" s="432"/>
      <x:c r="N107" s="432" t="str">
        <x:f>IF('Clients'!A65="","",'Clients'!A65)</x:f>
      </x:c>
      <x:c r="O107" s="432" t="n">
        <x:f>IF(N107="",0,IF($B$6="",1,IF(ISNUMBER(SEARCH($B$6,'Clients'!A65&amp;" "&amp;'Clients'!B65&amp;" "&amp;'Clients'!C65&amp;" "&amp;'Clients'!D65)),1,0)))</x:f>
        <x:v>0</x:v>
      </x:c>
      <x:c r="P107" s="432" t="str">
        <x:f>IF(O107=1,SUM($O$48:O107),"")</x:f>
      </x:c>
      <x:c r="Q107" s="432"/>
    </x:row>
    <x:row r="108" ht="25" customHeight="1">
      <x:c r="A108" s="432"/>
      <x:c r="B108" s="432" t="str">
        <x:f>IF('Properties'!A66="","",'Properties'!A66)</x:f>
      </x:c>
      <x:c r="C108" s="432" t="n">
        <x:f>IF(AND(B108&lt;&gt;"",'Properties'!M66="Available"),1,0)</x:f>
        <x:v>0</x:v>
      </x:c>
      <x:c r="D108" s="432" t="n">
        <x:f>IF($M$13="Buy",IF('Properties'!D66="Sale",1,0),IF($M$13="Rent",IF('Properties'!D66="Rental",1,0),0))</x:f>
        <x:v>0</x:v>
      </x:c>
      <x:c r="E108" s="432" t="n">
        <x:f>IF(AND(ISNUMBER('Properties'!L66),'Properties'!L66&gt;0,ISNUMBER($M$18),$M$18&gt;0,'Properties'!L66&lt;=$M$18,OR(NOT(ISNUMBER($M$17)),'Properties'!L66&gt;=$M$17)),1,0)</x:f>
        <x:v>0</x:v>
      </x:c>
      <x:c r="F108" s="432" t="n">
        <x:f>IF($M$14="",1,IF('Properties'!E66=$M$14,1,0))</x:f>
        <x:v>1</x:v>
      </x:c>
      <x:c r="G108" s="432" t="n">
        <x:f>IF($M$15="",1,IF('Properties'!I66=$M$15,1,0))</x:f>
        <x:v>1</x:v>
      </x:c>
      <x:c r="H108" s="432" t="n">
        <x:f>IF(NOT(ISNUMBER($M$16)),1,IF(AND(ISNUMBER('Properties'!J66),'Properties'!J66=$M$16),1,0))</x:f>
        <x:v>1</x:v>
      </x:c>
      <x:c r="I108" s="432" t="n">
        <x:f>IF($M$19="",1,IF('Properties'!F66="",0,IF(ISNUMBER(SEARCH(","&amp;TRIM('Properties'!F66)&amp;",",","&amp;SUBSTITUTE(TRIM($M$19),", ",",")&amp;",")),1,0)))</x:f>
        <x:v>1</x:v>
      </x:c>
      <x:c r="J108" s="432" t="n">
        <x:f>IF($O$44=0,0,PRODUCT(C108:I108))</x:f>
        <x:v>0</x:v>
      </x:c>
      <x:c r="K108" s="432" t="str">
        <x:f>IF(J108=1,SUM($J$48:J108),"")</x:f>
      </x:c>
      <x:c r="L108" s="432"/>
      <x:c r="M108" s="432"/>
      <x:c r="N108" s="432" t="str">
        <x:f>IF('Clients'!A66="","",'Clients'!A66)</x:f>
      </x:c>
      <x:c r="O108" s="432" t="n">
        <x:f>IF(N108="",0,IF($B$6="",1,IF(ISNUMBER(SEARCH($B$6,'Clients'!A66&amp;" "&amp;'Clients'!B66&amp;" "&amp;'Clients'!C66&amp;" "&amp;'Clients'!D66)),1,0)))</x:f>
        <x:v>0</x:v>
      </x:c>
      <x:c r="P108" s="432" t="str">
        <x:f>IF(O108=1,SUM($O$48:O108),"")</x:f>
      </x:c>
      <x:c r="Q108" s="432"/>
    </x:row>
    <x:row r="109" ht="25" customHeight="1">
      <x:c r="A109" s="432"/>
      <x:c r="B109" s="432" t="str">
        <x:f>IF('Properties'!A67="","",'Properties'!A67)</x:f>
      </x:c>
      <x:c r="C109" s="432" t="n">
        <x:f>IF(AND(B109&lt;&gt;"",'Properties'!M67="Available"),1,0)</x:f>
        <x:v>0</x:v>
      </x:c>
      <x:c r="D109" s="432" t="n">
        <x:f>IF($M$13="Buy",IF('Properties'!D67="Sale",1,0),IF($M$13="Rent",IF('Properties'!D67="Rental",1,0),0))</x:f>
        <x:v>0</x:v>
      </x:c>
      <x:c r="E109" s="432" t="n">
        <x:f>IF(AND(ISNUMBER('Properties'!L67),'Properties'!L67&gt;0,ISNUMBER($M$18),$M$18&gt;0,'Properties'!L67&lt;=$M$18,OR(NOT(ISNUMBER($M$17)),'Properties'!L67&gt;=$M$17)),1,0)</x:f>
        <x:v>0</x:v>
      </x:c>
      <x:c r="F109" s="432" t="n">
        <x:f>IF($M$14="",1,IF('Properties'!E67=$M$14,1,0))</x:f>
        <x:v>1</x:v>
      </x:c>
      <x:c r="G109" s="432" t="n">
        <x:f>IF($M$15="",1,IF('Properties'!I67=$M$15,1,0))</x:f>
        <x:v>1</x:v>
      </x:c>
      <x:c r="H109" s="432" t="n">
        <x:f>IF(NOT(ISNUMBER($M$16)),1,IF(AND(ISNUMBER('Properties'!J67),'Properties'!J67=$M$16),1,0))</x:f>
        <x:v>1</x:v>
      </x:c>
      <x:c r="I109" s="432" t="n">
        <x:f>IF($M$19="",1,IF('Properties'!F67="",0,IF(ISNUMBER(SEARCH(","&amp;TRIM('Properties'!F67)&amp;",",","&amp;SUBSTITUTE(TRIM($M$19),", ",",")&amp;",")),1,0)))</x:f>
        <x:v>1</x:v>
      </x:c>
      <x:c r="J109" s="432" t="n">
        <x:f>IF($O$44=0,0,PRODUCT(C109:I109))</x:f>
        <x:v>0</x:v>
      </x:c>
      <x:c r="K109" s="432" t="str">
        <x:f>IF(J109=1,SUM($J$48:J109),"")</x:f>
      </x:c>
      <x:c r="L109" s="432"/>
      <x:c r="M109" s="432"/>
      <x:c r="N109" s="432" t="str">
        <x:f>IF('Clients'!A67="","",'Clients'!A67)</x:f>
      </x:c>
      <x:c r="O109" s="432" t="n">
        <x:f>IF(N109="",0,IF($B$6="",1,IF(ISNUMBER(SEARCH($B$6,'Clients'!A67&amp;" "&amp;'Clients'!B67&amp;" "&amp;'Clients'!C67&amp;" "&amp;'Clients'!D67)),1,0)))</x:f>
        <x:v>0</x:v>
      </x:c>
      <x:c r="P109" s="432" t="str">
        <x:f>IF(O109=1,SUM($O$48:O109),"")</x:f>
      </x:c>
      <x:c r="Q109" s="432"/>
    </x:row>
    <x:row r="110" ht="25" customHeight="1">
      <x:c r="A110" s="432"/>
      <x:c r="B110" s="432" t="str">
        <x:f>IF('Properties'!A68="","",'Properties'!A68)</x:f>
      </x:c>
      <x:c r="C110" s="432" t="n">
        <x:f>IF(AND(B110&lt;&gt;"",'Properties'!M68="Available"),1,0)</x:f>
        <x:v>0</x:v>
      </x:c>
      <x:c r="D110" s="432" t="n">
        <x:f>IF($M$13="Buy",IF('Properties'!D68="Sale",1,0),IF($M$13="Rent",IF('Properties'!D68="Rental",1,0),0))</x:f>
        <x:v>0</x:v>
      </x:c>
      <x:c r="E110" s="432" t="n">
        <x:f>IF(AND(ISNUMBER('Properties'!L68),'Properties'!L68&gt;0,ISNUMBER($M$18),$M$18&gt;0,'Properties'!L68&lt;=$M$18,OR(NOT(ISNUMBER($M$17)),'Properties'!L68&gt;=$M$17)),1,0)</x:f>
        <x:v>0</x:v>
      </x:c>
      <x:c r="F110" s="432" t="n">
        <x:f>IF($M$14="",1,IF('Properties'!E68=$M$14,1,0))</x:f>
        <x:v>1</x:v>
      </x:c>
      <x:c r="G110" s="432" t="n">
        <x:f>IF($M$15="",1,IF('Properties'!I68=$M$15,1,0))</x:f>
        <x:v>1</x:v>
      </x:c>
      <x:c r="H110" s="432" t="n">
        <x:f>IF(NOT(ISNUMBER($M$16)),1,IF(AND(ISNUMBER('Properties'!J68),'Properties'!J68=$M$16),1,0))</x:f>
        <x:v>1</x:v>
      </x:c>
      <x:c r="I110" s="432" t="n">
        <x:f>IF($M$19="",1,IF('Properties'!F68="",0,IF(ISNUMBER(SEARCH(","&amp;TRIM('Properties'!F68)&amp;",",","&amp;SUBSTITUTE(TRIM($M$19),", ",",")&amp;",")),1,0)))</x:f>
        <x:v>1</x:v>
      </x:c>
      <x:c r="J110" s="432" t="n">
        <x:f>IF($O$44=0,0,PRODUCT(C110:I110))</x:f>
        <x:v>0</x:v>
      </x:c>
      <x:c r="K110" s="432" t="str">
        <x:f>IF(J110=1,SUM($J$48:J110),"")</x:f>
      </x:c>
      <x:c r="L110" s="432"/>
      <x:c r="M110" s="432"/>
      <x:c r="N110" s="432" t="str">
        <x:f>IF('Clients'!A68="","",'Clients'!A68)</x:f>
      </x:c>
      <x:c r="O110" s="432" t="n">
        <x:f>IF(N110="",0,IF($B$6="",1,IF(ISNUMBER(SEARCH($B$6,'Clients'!A68&amp;" "&amp;'Clients'!B68&amp;" "&amp;'Clients'!C68&amp;" "&amp;'Clients'!D68)),1,0)))</x:f>
        <x:v>0</x:v>
      </x:c>
      <x:c r="P110" s="432" t="str">
        <x:f>IF(O110=1,SUM($O$48:O110),"")</x:f>
      </x:c>
      <x:c r="Q110" s="432"/>
    </x:row>
    <x:row r="111" ht="25" customHeight="1">
      <x:c r="A111" s="432"/>
      <x:c r="B111" s="432" t="str">
        <x:f>IF('Properties'!A69="","",'Properties'!A69)</x:f>
      </x:c>
      <x:c r="C111" s="432" t="n">
        <x:f>IF(AND(B111&lt;&gt;"",'Properties'!M69="Available"),1,0)</x:f>
        <x:v>0</x:v>
      </x:c>
      <x:c r="D111" s="432" t="n">
        <x:f>IF($M$13="Buy",IF('Properties'!D69="Sale",1,0),IF($M$13="Rent",IF('Properties'!D69="Rental",1,0),0))</x:f>
        <x:v>0</x:v>
      </x:c>
      <x:c r="E111" s="432" t="n">
        <x:f>IF(AND(ISNUMBER('Properties'!L69),'Properties'!L69&gt;0,ISNUMBER($M$18),$M$18&gt;0,'Properties'!L69&lt;=$M$18,OR(NOT(ISNUMBER($M$17)),'Properties'!L69&gt;=$M$17)),1,0)</x:f>
        <x:v>0</x:v>
      </x:c>
      <x:c r="F111" s="432" t="n">
        <x:f>IF($M$14="",1,IF('Properties'!E69=$M$14,1,0))</x:f>
        <x:v>1</x:v>
      </x:c>
      <x:c r="G111" s="432" t="n">
        <x:f>IF($M$15="",1,IF('Properties'!I69=$M$15,1,0))</x:f>
        <x:v>1</x:v>
      </x:c>
      <x:c r="H111" s="432" t="n">
        <x:f>IF(NOT(ISNUMBER($M$16)),1,IF(AND(ISNUMBER('Properties'!J69),'Properties'!J69=$M$16),1,0))</x:f>
        <x:v>1</x:v>
      </x:c>
      <x:c r="I111" s="432" t="n">
        <x:f>IF($M$19="",1,IF('Properties'!F69="",0,IF(ISNUMBER(SEARCH(","&amp;TRIM('Properties'!F69)&amp;",",","&amp;SUBSTITUTE(TRIM($M$19),", ",",")&amp;",")),1,0)))</x:f>
        <x:v>1</x:v>
      </x:c>
      <x:c r="J111" s="432" t="n">
        <x:f>IF($O$44=0,0,PRODUCT(C111:I111))</x:f>
        <x:v>0</x:v>
      </x:c>
      <x:c r="K111" s="432" t="str">
        <x:f>IF(J111=1,SUM($J$48:J111),"")</x:f>
      </x:c>
      <x:c r="L111" s="432"/>
      <x:c r="M111" s="432"/>
      <x:c r="N111" s="432" t="str">
        <x:f>IF('Clients'!A69="","",'Clients'!A69)</x:f>
      </x:c>
      <x:c r="O111" s="432" t="n">
        <x:f>IF(N111="",0,IF($B$6="",1,IF(ISNUMBER(SEARCH($B$6,'Clients'!A69&amp;" "&amp;'Clients'!B69&amp;" "&amp;'Clients'!C69&amp;" "&amp;'Clients'!D69)),1,0)))</x:f>
        <x:v>0</x:v>
      </x:c>
      <x:c r="P111" s="432" t="str">
        <x:f>IF(O111=1,SUM($O$48:O111),"")</x:f>
      </x:c>
      <x:c r="Q111" s="432"/>
    </x:row>
    <x:row r="112" ht="25" customHeight="1">
      <x:c r="A112" s="432"/>
      <x:c r="B112" s="432" t="str">
        <x:f>IF('Properties'!A70="","",'Properties'!A70)</x:f>
      </x:c>
      <x:c r="C112" s="432" t="n">
        <x:f>IF(AND(B112&lt;&gt;"",'Properties'!M70="Available"),1,0)</x:f>
        <x:v>0</x:v>
      </x:c>
      <x:c r="D112" s="432" t="n">
        <x:f>IF($M$13="Buy",IF('Properties'!D70="Sale",1,0),IF($M$13="Rent",IF('Properties'!D70="Rental",1,0),0))</x:f>
        <x:v>0</x:v>
      </x:c>
      <x:c r="E112" s="432" t="n">
        <x:f>IF(AND(ISNUMBER('Properties'!L70),'Properties'!L70&gt;0,ISNUMBER($M$18),$M$18&gt;0,'Properties'!L70&lt;=$M$18,OR(NOT(ISNUMBER($M$17)),'Properties'!L70&gt;=$M$17)),1,0)</x:f>
        <x:v>0</x:v>
      </x:c>
      <x:c r="F112" s="432" t="n">
        <x:f>IF($M$14="",1,IF('Properties'!E70=$M$14,1,0))</x:f>
        <x:v>1</x:v>
      </x:c>
      <x:c r="G112" s="432" t="n">
        <x:f>IF($M$15="",1,IF('Properties'!I70=$M$15,1,0))</x:f>
        <x:v>1</x:v>
      </x:c>
      <x:c r="H112" s="432" t="n">
        <x:f>IF(NOT(ISNUMBER($M$16)),1,IF(AND(ISNUMBER('Properties'!J70),'Properties'!J70=$M$16),1,0))</x:f>
        <x:v>1</x:v>
      </x:c>
      <x:c r="I112" s="432" t="n">
        <x:f>IF($M$19="",1,IF('Properties'!F70="",0,IF(ISNUMBER(SEARCH(","&amp;TRIM('Properties'!F70)&amp;",",","&amp;SUBSTITUTE(TRIM($M$19),", ",",")&amp;",")),1,0)))</x:f>
        <x:v>1</x:v>
      </x:c>
      <x:c r="J112" s="432" t="n">
        <x:f>IF($O$44=0,0,PRODUCT(C112:I112))</x:f>
        <x:v>0</x:v>
      </x:c>
      <x:c r="K112" s="432" t="str">
        <x:f>IF(J112=1,SUM($J$48:J112),"")</x:f>
      </x:c>
      <x:c r="L112" s="432"/>
      <x:c r="M112" s="432"/>
      <x:c r="N112" s="432" t="str">
        <x:f>IF('Clients'!A70="","",'Clients'!A70)</x:f>
      </x:c>
      <x:c r="O112" s="432" t="n">
        <x:f>IF(N112="",0,IF($B$6="",1,IF(ISNUMBER(SEARCH($B$6,'Clients'!A70&amp;" "&amp;'Clients'!B70&amp;" "&amp;'Clients'!C70&amp;" "&amp;'Clients'!D70)),1,0)))</x:f>
        <x:v>0</x:v>
      </x:c>
      <x:c r="P112" s="432" t="str">
        <x:f>IF(O112=1,SUM($O$48:O112),"")</x:f>
      </x:c>
      <x:c r="Q112" s="432"/>
    </x:row>
    <x:row r="113" ht="25" customHeight="1">
      <x:c r="A113" s="432"/>
      <x:c r="B113" s="432" t="str">
        <x:f>IF('Properties'!A71="","",'Properties'!A71)</x:f>
      </x:c>
      <x:c r="C113" s="432" t="n">
        <x:f>IF(AND(B113&lt;&gt;"",'Properties'!M71="Available"),1,0)</x:f>
        <x:v>0</x:v>
      </x:c>
      <x:c r="D113" s="432" t="n">
        <x:f>IF($M$13="Buy",IF('Properties'!D71="Sale",1,0),IF($M$13="Rent",IF('Properties'!D71="Rental",1,0),0))</x:f>
        <x:v>0</x:v>
      </x:c>
      <x:c r="E113" s="432" t="n">
        <x:f>IF(AND(ISNUMBER('Properties'!L71),'Properties'!L71&gt;0,ISNUMBER($M$18),$M$18&gt;0,'Properties'!L71&lt;=$M$18,OR(NOT(ISNUMBER($M$17)),'Properties'!L71&gt;=$M$17)),1,0)</x:f>
        <x:v>0</x:v>
      </x:c>
      <x:c r="F113" s="432" t="n">
        <x:f>IF($M$14="",1,IF('Properties'!E71=$M$14,1,0))</x:f>
        <x:v>1</x:v>
      </x:c>
      <x:c r="G113" s="432" t="n">
        <x:f>IF($M$15="",1,IF('Properties'!I71=$M$15,1,0))</x:f>
        <x:v>1</x:v>
      </x:c>
      <x:c r="H113" s="432" t="n">
        <x:f>IF(NOT(ISNUMBER($M$16)),1,IF(AND(ISNUMBER('Properties'!J71),'Properties'!J71=$M$16),1,0))</x:f>
        <x:v>1</x:v>
      </x:c>
      <x:c r="I113" s="432" t="n">
        <x:f>IF($M$19="",1,IF('Properties'!F71="",0,IF(ISNUMBER(SEARCH(","&amp;TRIM('Properties'!F71)&amp;",",","&amp;SUBSTITUTE(TRIM($M$19),", ",",")&amp;",")),1,0)))</x:f>
        <x:v>1</x:v>
      </x:c>
      <x:c r="J113" s="432" t="n">
        <x:f>IF($O$44=0,0,PRODUCT(C113:I113))</x:f>
        <x:v>0</x:v>
      </x:c>
      <x:c r="K113" s="432" t="str">
        <x:f>IF(J113=1,SUM($J$48:J113),"")</x:f>
      </x:c>
      <x:c r="L113" s="432"/>
      <x:c r="M113" s="432"/>
      <x:c r="N113" s="432" t="str">
        <x:f>IF('Clients'!A71="","",'Clients'!A71)</x:f>
      </x:c>
      <x:c r="O113" s="432" t="n">
        <x:f>IF(N113="",0,IF($B$6="",1,IF(ISNUMBER(SEARCH($B$6,'Clients'!A71&amp;" "&amp;'Clients'!B71&amp;" "&amp;'Clients'!C71&amp;" "&amp;'Clients'!D71)),1,0)))</x:f>
        <x:v>0</x:v>
      </x:c>
      <x:c r="P113" s="432" t="str">
        <x:f>IF(O113=1,SUM($O$48:O113),"")</x:f>
      </x:c>
      <x:c r="Q113" s="432"/>
    </x:row>
    <x:row r="114" ht="25" customHeight="1">
      <x:c r="A114" s="432"/>
      <x:c r="B114" s="432" t="str">
        <x:f>IF('Properties'!A72="","",'Properties'!A72)</x:f>
      </x:c>
      <x:c r="C114" s="432" t="n">
        <x:f>IF(AND(B114&lt;&gt;"",'Properties'!M72="Available"),1,0)</x:f>
        <x:v>0</x:v>
      </x:c>
      <x:c r="D114" s="432" t="n">
        <x:f>IF($M$13="Buy",IF('Properties'!D72="Sale",1,0),IF($M$13="Rent",IF('Properties'!D72="Rental",1,0),0))</x:f>
        <x:v>0</x:v>
      </x:c>
      <x:c r="E114" s="432" t="n">
        <x:f>IF(AND(ISNUMBER('Properties'!L72),'Properties'!L72&gt;0,ISNUMBER($M$18),$M$18&gt;0,'Properties'!L72&lt;=$M$18,OR(NOT(ISNUMBER($M$17)),'Properties'!L72&gt;=$M$17)),1,0)</x:f>
        <x:v>0</x:v>
      </x:c>
      <x:c r="F114" s="432" t="n">
        <x:f>IF($M$14="",1,IF('Properties'!E72=$M$14,1,0))</x:f>
        <x:v>1</x:v>
      </x:c>
      <x:c r="G114" s="432" t="n">
        <x:f>IF($M$15="",1,IF('Properties'!I72=$M$15,1,0))</x:f>
        <x:v>1</x:v>
      </x:c>
      <x:c r="H114" s="432" t="n">
        <x:f>IF(NOT(ISNUMBER($M$16)),1,IF(AND(ISNUMBER('Properties'!J72),'Properties'!J72=$M$16),1,0))</x:f>
        <x:v>1</x:v>
      </x:c>
      <x:c r="I114" s="432" t="n">
        <x:f>IF($M$19="",1,IF('Properties'!F72="",0,IF(ISNUMBER(SEARCH(","&amp;TRIM('Properties'!F72)&amp;",",","&amp;SUBSTITUTE(TRIM($M$19),", ",",")&amp;",")),1,0)))</x:f>
        <x:v>1</x:v>
      </x:c>
      <x:c r="J114" s="432" t="n">
        <x:f>IF($O$44=0,0,PRODUCT(C114:I114))</x:f>
        <x:v>0</x:v>
      </x:c>
      <x:c r="K114" s="432" t="str">
        <x:f>IF(J114=1,SUM($J$48:J114),"")</x:f>
      </x:c>
      <x:c r="L114" s="432"/>
      <x:c r="M114" s="432"/>
      <x:c r="N114" s="432" t="str">
        <x:f>IF('Clients'!A72="","",'Clients'!A72)</x:f>
      </x:c>
      <x:c r="O114" s="432" t="n">
        <x:f>IF(N114="",0,IF($B$6="",1,IF(ISNUMBER(SEARCH($B$6,'Clients'!A72&amp;" "&amp;'Clients'!B72&amp;" "&amp;'Clients'!C72&amp;" "&amp;'Clients'!D72)),1,0)))</x:f>
        <x:v>0</x:v>
      </x:c>
      <x:c r="P114" s="432" t="str">
        <x:f>IF(O114=1,SUM($O$48:O114),"")</x:f>
      </x:c>
      <x:c r="Q114" s="432"/>
    </x:row>
    <x:row r="115" ht="25" customHeight="1">
      <x:c r="A115" s="432"/>
      <x:c r="B115" s="432" t="str">
        <x:f>IF('Properties'!A73="","",'Properties'!A73)</x:f>
      </x:c>
      <x:c r="C115" s="432" t="n">
        <x:f>IF(AND(B115&lt;&gt;"",'Properties'!M73="Available"),1,0)</x:f>
        <x:v>0</x:v>
      </x:c>
      <x:c r="D115" s="432" t="n">
        <x:f>IF($M$13="Buy",IF('Properties'!D73="Sale",1,0),IF($M$13="Rent",IF('Properties'!D73="Rental",1,0),0))</x:f>
        <x:v>0</x:v>
      </x:c>
      <x:c r="E115" s="432" t="n">
        <x:f>IF(AND(ISNUMBER('Properties'!L73),'Properties'!L73&gt;0,ISNUMBER($M$18),$M$18&gt;0,'Properties'!L73&lt;=$M$18,OR(NOT(ISNUMBER($M$17)),'Properties'!L73&gt;=$M$17)),1,0)</x:f>
        <x:v>0</x:v>
      </x:c>
      <x:c r="F115" s="432" t="n">
        <x:f>IF($M$14="",1,IF('Properties'!E73=$M$14,1,0))</x:f>
        <x:v>1</x:v>
      </x:c>
      <x:c r="G115" s="432" t="n">
        <x:f>IF($M$15="",1,IF('Properties'!I73=$M$15,1,0))</x:f>
        <x:v>1</x:v>
      </x:c>
      <x:c r="H115" s="432" t="n">
        <x:f>IF(NOT(ISNUMBER($M$16)),1,IF(AND(ISNUMBER('Properties'!J73),'Properties'!J73=$M$16),1,0))</x:f>
        <x:v>1</x:v>
      </x:c>
      <x:c r="I115" s="432" t="n">
        <x:f>IF($M$19="",1,IF('Properties'!F73="",0,IF(ISNUMBER(SEARCH(","&amp;TRIM('Properties'!F73)&amp;",",","&amp;SUBSTITUTE(TRIM($M$19),", ",",")&amp;",")),1,0)))</x:f>
        <x:v>1</x:v>
      </x:c>
      <x:c r="J115" s="432" t="n">
        <x:f>IF($O$44=0,0,PRODUCT(C115:I115))</x:f>
        <x:v>0</x:v>
      </x:c>
      <x:c r="K115" s="432" t="str">
        <x:f>IF(J115=1,SUM($J$48:J115),"")</x:f>
      </x:c>
      <x:c r="L115" s="432"/>
      <x:c r="M115" s="432"/>
      <x:c r="N115" s="432" t="str">
        <x:f>IF('Clients'!A73="","",'Clients'!A73)</x:f>
      </x:c>
      <x:c r="O115" s="432" t="n">
        <x:f>IF(N115="",0,IF($B$6="",1,IF(ISNUMBER(SEARCH($B$6,'Clients'!A73&amp;" "&amp;'Clients'!B73&amp;" "&amp;'Clients'!C73&amp;" "&amp;'Clients'!D73)),1,0)))</x:f>
        <x:v>0</x:v>
      </x:c>
      <x:c r="P115" s="432" t="str">
        <x:f>IF(O115=1,SUM($O$48:O115),"")</x:f>
      </x:c>
      <x:c r="Q115" s="432"/>
    </x:row>
    <x:row r="116" ht="25" customHeight="1">
      <x:c r="A116" s="432"/>
      <x:c r="B116" s="432" t="str">
        <x:f>IF('Properties'!A74="","",'Properties'!A74)</x:f>
      </x:c>
      <x:c r="C116" s="432" t="n">
        <x:f>IF(AND(B116&lt;&gt;"",'Properties'!M74="Available"),1,0)</x:f>
        <x:v>0</x:v>
      </x:c>
      <x:c r="D116" s="432" t="n">
        <x:f>IF($M$13="Buy",IF('Properties'!D74="Sale",1,0),IF($M$13="Rent",IF('Properties'!D74="Rental",1,0),0))</x:f>
        <x:v>0</x:v>
      </x:c>
      <x:c r="E116" s="432" t="n">
        <x:f>IF(AND(ISNUMBER('Properties'!L74),'Properties'!L74&gt;0,ISNUMBER($M$18),$M$18&gt;0,'Properties'!L74&lt;=$M$18,OR(NOT(ISNUMBER($M$17)),'Properties'!L74&gt;=$M$17)),1,0)</x:f>
        <x:v>0</x:v>
      </x:c>
      <x:c r="F116" s="432" t="n">
        <x:f>IF($M$14="",1,IF('Properties'!E74=$M$14,1,0))</x:f>
        <x:v>1</x:v>
      </x:c>
      <x:c r="G116" s="432" t="n">
        <x:f>IF($M$15="",1,IF('Properties'!I74=$M$15,1,0))</x:f>
        <x:v>1</x:v>
      </x:c>
      <x:c r="H116" s="432" t="n">
        <x:f>IF(NOT(ISNUMBER($M$16)),1,IF(AND(ISNUMBER('Properties'!J74),'Properties'!J74=$M$16),1,0))</x:f>
        <x:v>1</x:v>
      </x:c>
      <x:c r="I116" s="432" t="n">
        <x:f>IF($M$19="",1,IF('Properties'!F74="",0,IF(ISNUMBER(SEARCH(","&amp;TRIM('Properties'!F74)&amp;",",","&amp;SUBSTITUTE(TRIM($M$19),", ",",")&amp;",")),1,0)))</x:f>
        <x:v>1</x:v>
      </x:c>
      <x:c r="J116" s="432" t="n">
        <x:f>IF($O$44=0,0,PRODUCT(C116:I116))</x:f>
        <x:v>0</x:v>
      </x:c>
      <x:c r="K116" s="432" t="str">
        <x:f>IF(J116=1,SUM($J$48:J116),"")</x:f>
      </x:c>
      <x:c r="L116" s="432"/>
      <x:c r="M116" s="432"/>
      <x:c r="N116" s="432" t="str">
        <x:f>IF('Clients'!A74="","",'Clients'!A74)</x:f>
      </x:c>
      <x:c r="O116" s="432" t="n">
        <x:f>IF(N116="",0,IF($B$6="",1,IF(ISNUMBER(SEARCH($B$6,'Clients'!A74&amp;" "&amp;'Clients'!B74&amp;" "&amp;'Clients'!C74&amp;" "&amp;'Clients'!D74)),1,0)))</x:f>
        <x:v>0</x:v>
      </x:c>
      <x:c r="P116" s="432" t="str">
        <x:f>IF(O116=1,SUM($O$48:O116),"")</x:f>
      </x:c>
      <x:c r="Q116" s="432"/>
    </x:row>
    <x:row r="117" ht="25" customHeight="1">
      <x:c r="A117" s="432"/>
      <x:c r="B117" s="432" t="str">
        <x:f>IF('Properties'!A75="","",'Properties'!A75)</x:f>
      </x:c>
      <x:c r="C117" s="432" t="n">
        <x:f>IF(AND(B117&lt;&gt;"",'Properties'!M75="Available"),1,0)</x:f>
        <x:v>0</x:v>
      </x:c>
      <x:c r="D117" s="432" t="n">
        <x:f>IF($M$13="Buy",IF('Properties'!D75="Sale",1,0),IF($M$13="Rent",IF('Properties'!D75="Rental",1,0),0))</x:f>
        <x:v>0</x:v>
      </x:c>
      <x:c r="E117" s="432" t="n">
        <x:f>IF(AND(ISNUMBER('Properties'!L75),'Properties'!L75&gt;0,ISNUMBER($M$18),$M$18&gt;0,'Properties'!L75&lt;=$M$18,OR(NOT(ISNUMBER($M$17)),'Properties'!L75&gt;=$M$17)),1,0)</x:f>
        <x:v>0</x:v>
      </x:c>
      <x:c r="F117" s="432" t="n">
        <x:f>IF($M$14="",1,IF('Properties'!E75=$M$14,1,0))</x:f>
        <x:v>1</x:v>
      </x:c>
      <x:c r="G117" s="432" t="n">
        <x:f>IF($M$15="",1,IF('Properties'!I75=$M$15,1,0))</x:f>
        <x:v>1</x:v>
      </x:c>
      <x:c r="H117" s="432" t="n">
        <x:f>IF(NOT(ISNUMBER($M$16)),1,IF(AND(ISNUMBER('Properties'!J75),'Properties'!J75=$M$16),1,0))</x:f>
        <x:v>1</x:v>
      </x:c>
      <x:c r="I117" s="432" t="n">
        <x:f>IF($M$19="",1,IF('Properties'!F75="",0,IF(ISNUMBER(SEARCH(","&amp;TRIM('Properties'!F75)&amp;",",","&amp;SUBSTITUTE(TRIM($M$19),", ",",")&amp;",")),1,0)))</x:f>
        <x:v>1</x:v>
      </x:c>
      <x:c r="J117" s="432" t="n">
        <x:f>IF($O$44=0,0,PRODUCT(C117:I117))</x:f>
        <x:v>0</x:v>
      </x:c>
      <x:c r="K117" s="432" t="str">
        <x:f>IF(J117=1,SUM($J$48:J117),"")</x:f>
      </x:c>
      <x:c r="L117" s="432"/>
      <x:c r="M117" s="432"/>
      <x:c r="N117" s="432" t="str">
        <x:f>IF('Clients'!A75="","",'Clients'!A75)</x:f>
      </x:c>
      <x:c r="O117" s="432" t="n">
        <x:f>IF(N117="",0,IF($B$6="",1,IF(ISNUMBER(SEARCH($B$6,'Clients'!A75&amp;" "&amp;'Clients'!B75&amp;" "&amp;'Clients'!C75&amp;" "&amp;'Clients'!D75)),1,0)))</x:f>
        <x:v>0</x:v>
      </x:c>
      <x:c r="P117" s="432" t="str">
        <x:f>IF(O117=1,SUM($O$48:O117),"")</x:f>
      </x:c>
      <x:c r="Q117" s="432"/>
    </x:row>
    <x:row r="118" ht="25" customHeight="1">
      <x:c r="A118" s="432"/>
      <x:c r="B118" s="432" t="str">
        <x:f>IF('Properties'!A76="","",'Properties'!A76)</x:f>
      </x:c>
      <x:c r="C118" s="432" t="n">
        <x:f>IF(AND(B118&lt;&gt;"",'Properties'!M76="Available"),1,0)</x:f>
        <x:v>0</x:v>
      </x:c>
      <x:c r="D118" s="432" t="n">
        <x:f>IF($M$13="Buy",IF('Properties'!D76="Sale",1,0),IF($M$13="Rent",IF('Properties'!D76="Rental",1,0),0))</x:f>
        <x:v>0</x:v>
      </x:c>
      <x:c r="E118" s="432" t="n">
        <x:f>IF(AND(ISNUMBER('Properties'!L76),'Properties'!L76&gt;0,ISNUMBER($M$18),$M$18&gt;0,'Properties'!L76&lt;=$M$18,OR(NOT(ISNUMBER($M$17)),'Properties'!L76&gt;=$M$17)),1,0)</x:f>
        <x:v>0</x:v>
      </x:c>
      <x:c r="F118" s="432" t="n">
        <x:f>IF($M$14="",1,IF('Properties'!E76=$M$14,1,0))</x:f>
        <x:v>1</x:v>
      </x:c>
      <x:c r="G118" s="432" t="n">
        <x:f>IF($M$15="",1,IF('Properties'!I76=$M$15,1,0))</x:f>
        <x:v>1</x:v>
      </x:c>
      <x:c r="H118" s="432" t="n">
        <x:f>IF(NOT(ISNUMBER($M$16)),1,IF(AND(ISNUMBER('Properties'!J76),'Properties'!J76=$M$16),1,0))</x:f>
        <x:v>1</x:v>
      </x:c>
      <x:c r="I118" s="432" t="n">
        <x:f>IF($M$19="",1,IF('Properties'!F76="",0,IF(ISNUMBER(SEARCH(","&amp;TRIM('Properties'!F76)&amp;",",","&amp;SUBSTITUTE(TRIM($M$19),", ",",")&amp;",")),1,0)))</x:f>
        <x:v>1</x:v>
      </x:c>
      <x:c r="J118" s="432" t="n">
        <x:f>IF($O$44=0,0,PRODUCT(C118:I118))</x:f>
        <x:v>0</x:v>
      </x:c>
      <x:c r="K118" s="432" t="str">
        <x:f>IF(J118=1,SUM($J$48:J118),"")</x:f>
      </x:c>
      <x:c r="L118" s="432"/>
      <x:c r="M118" s="432"/>
      <x:c r="N118" s="432" t="str">
        <x:f>IF('Clients'!A76="","",'Clients'!A76)</x:f>
      </x:c>
      <x:c r="O118" s="432" t="n">
        <x:f>IF(N118="",0,IF($B$6="",1,IF(ISNUMBER(SEARCH($B$6,'Clients'!A76&amp;" "&amp;'Clients'!B76&amp;" "&amp;'Clients'!C76&amp;" "&amp;'Clients'!D76)),1,0)))</x:f>
        <x:v>0</x:v>
      </x:c>
      <x:c r="P118" s="432" t="str">
        <x:f>IF(O118=1,SUM($O$48:O118),"")</x:f>
      </x:c>
      <x:c r="Q118" s="432"/>
    </x:row>
    <x:row r="119" ht="25" customHeight="1">
      <x:c r="A119" s="432"/>
      <x:c r="B119" s="432" t="str">
        <x:f>IF('Properties'!A77="","",'Properties'!A77)</x:f>
      </x:c>
      <x:c r="C119" s="432" t="n">
        <x:f>IF(AND(B119&lt;&gt;"",'Properties'!M77="Available"),1,0)</x:f>
        <x:v>0</x:v>
      </x:c>
      <x:c r="D119" s="432" t="n">
        <x:f>IF($M$13="Buy",IF('Properties'!D77="Sale",1,0),IF($M$13="Rent",IF('Properties'!D77="Rental",1,0),0))</x:f>
        <x:v>0</x:v>
      </x:c>
      <x:c r="E119" s="432" t="n">
        <x:f>IF(AND(ISNUMBER('Properties'!L77),'Properties'!L77&gt;0,ISNUMBER($M$18),$M$18&gt;0,'Properties'!L77&lt;=$M$18,OR(NOT(ISNUMBER($M$17)),'Properties'!L77&gt;=$M$17)),1,0)</x:f>
        <x:v>0</x:v>
      </x:c>
      <x:c r="F119" s="432" t="n">
        <x:f>IF($M$14="",1,IF('Properties'!E77=$M$14,1,0))</x:f>
        <x:v>1</x:v>
      </x:c>
      <x:c r="G119" s="432" t="n">
        <x:f>IF($M$15="",1,IF('Properties'!I77=$M$15,1,0))</x:f>
        <x:v>1</x:v>
      </x:c>
      <x:c r="H119" s="432" t="n">
        <x:f>IF(NOT(ISNUMBER($M$16)),1,IF(AND(ISNUMBER('Properties'!J77),'Properties'!J77=$M$16),1,0))</x:f>
        <x:v>1</x:v>
      </x:c>
      <x:c r="I119" s="432" t="n">
        <x:f>IF($M$19="",1,IF('Properties'!F77="",0,IF(ISNUMBER(SEARCH(","&amp;TRIM('Properties'!F77)&amp;",",","&amp;SUBSTITUTE(TRIM($M$19),", ",",")&amp;",")),1,0)))</x:f>
        <x:v>1</x:v>
      </x:c>
      <x:c r="J119" s="432" t="n">
        <x:f>IF($O$44=0,0,PRODUCT(C119:I119))</x:f>
        <x:v>0</x:v>
      </x:c>
      <x:c r="K119" s="432" t="str">
        <x:f>IF(J119=1,SUM($J$48:J119),"")</x:f>
      </x:c>
      <x:c r="L119" s="432"/>
      <x:c r="M119" s="432"/>
      <x:c r="N119" s="432" t="str">
        <x:f>IF('Clients'!A77="","",'Clients'!A77)</x:f>
      </x:c>
      <x:c r="O119" s="432" t="n">
        <x:f>IF(N119="",0,IF($B$6="",1,IF(ISNUMBER(SEARCH($B$6,'Clients'!A77&amp;" "&amp;'Clients'!B77&amp;" "&amp;'Clients'!C77&amp;" "&amp;'Clients'!D77)),1,0)))</x:f>
        <x:v>0</x:v>
      </x:c>
      <x:c r="P119" s="432" t="str">
        <x:f>IF(O119=1,SUM($O$48:O119),"")</x:f>
      </x:c>
      <x:c r="Q119" s="432"/>
    </x:row>
    <x:row r="120" ht="25" customHeight="1">
      <x:c r="A120" s="432"/>
      <x:c r="B120" s="432" t="str">
        <x:f>IF('Properties'!A78="","",'Properties'!A78)</x:f>
      </x:c>
      <x:c r="C120" s="432" t="n">
        <x:f>IF(AND(B120&lt;&gt;"",'Properties'!M78="Available"),1,0)</x:f>
        <x:v>0</x:v>
      </x:c>
      <x:c r="D120" s="432" t="n">
        <x:f>IF($M$13="Buy",IF('Properties'!D78="Sale",1,0),IF($M$13="Rent",IF('Properties'!D78="Rental",1,0),0))</x:f>
        <x:v>0</x:v>
      </x:c>
      <x:c r="E120" s="432" t="n">
        <x:f>IF(AND(ISNUMBER('Properties'!L78),'Properties'!L78&gt;0,ISNUMBER($M$18),$M$18&gt;0,'Properties'!L78&lt;=$M$18,OR(NOT(ISNUMBER($M$17)),'Properties'!L78&gt;=$M$17)),1,0)</x:f>
        <x:v>0</x:v>
      </x:c>
      <x:c r="F120" s="432" t="n">
        <x:f>IF($M$14="",1,IF('Properties'!E78=$M$14,1,0))</x:f>
        <x:v>1</x:v>
      </x:c>
      <x:c r="G120" s="432" t="n">
        <x:f>IF($M$15="",1,IF('Properties'!I78=$M$15,1,0))</x:f>
        <x:v>1</x:v>
      </x:c>
      <x:c r="H120" s="432" t="n">
        <x:f>IF(NOT(ISNUMBER($M$16)),1,IF(AND(ISNUMBER('Properties'!J78),'Properties'!J78=$M$16),1,0))</x:f>
        <x:v>1</x:v>
      </x:c>
      <x:c r="I120" s="432" t="n">
        <x:f>IF($M$19="",1,IF('Properties'!F78="",0,IF(ISNUMBER(SEARCH(","&amp;TRIM('Properties'!F78)&amp;",",","&amp;SUBSTITUTE(TRIM($M$19),", ",",")&amp;",")),1,0)))</x:f>
        <x:v>1</x:v>
      </x:c>
      <x:c r="J120" s="432" t="n">
        <x:f>IF($O$44=0,0,PRODUCT(C120:I120))</x:f>
        <x:v>0</x:v>
      </x:c>
      <x:c r="K120" s="432" t="str">
        <x:f>IF(J120=1,SUM($J$48:J120),"")</x:f>
      </x:c>
      <x:c r="L120" s="432"/>
      <x:c r="M120" s="432"/>
      <x:c r="N120" s="432" t="str">
        <x:f>IF('Clients'!A78="","",'Clients'!A78)</x:f>
      </x:c>
      <x:c r="O120" s="432" t="n">
        <x:f>IF(N120="",0,IF($B$6="",1,IF(ISNUMBER(SEARCH($B$6,'Clients'!A78&amp;" "&amp;'Clients'!B78&amp;" "&amp;'Clients'!C78&amp;" "&amp;'Clients'!D78)),1,0)))</x:f>
        <x:v>0</x:v>
      </x:c>
      <x:c r="P120" s="432" t="str">
        <x:f>IF(O120=1,SUM($O$48:O120),"")</x:f>
      </x:c>
      <x:c r="Q120" s="432"/>
    </x:row>
    <x:row r="121" ht="25" customHeight="1">
      <x:c r="A121" s="432"/>
      <x:c r="B121" s="432" t="str">
        <x:f>IF('Properties'!A79="","",'Properties'!A79)</x:f>
      </x:c>
      <x:c r="C121" s="432" t="n">
        <x:f>IF(AND(B121&lt;&gt;"",'Properties'!M79="Available"),1,0)</x:f>
        <x:v>0</x:v>
      </x:c>
      <x:c r="D121" s="432" t="n">
        <x:f>IF($M$13="Buy",IF('Properties'!D79="Sale",1,0),IF($M$13="Rent",IF('Properties'!D79="Rental",1,0),0))</x:f>
        <x:v>0</x:v>
      </x:c>
      <x:c r="E121" s="432" t="n">
        <x:f>IF(AND(ISNUMBER('Properties'!L79),'Properties'!L79&gt;0,ISNUMBER($M$18),$M$18&gt;0,'Properties'!L79&lt;=$M$18,OR(NOT(ISNUMBER($M$17)),'Properties'!L79&gt;=$M$17)),1,0)</x:f>
        <x:v>0</x:v>
      </x:c>
      <x:c r="F121" s="432" t="n">
        <x:f>IF($M$14="",1,IF('Properties'!E79=$M$14,1,0))</x:f>
        <x:v>1</x:v>
      </x:c>
      <x:c r="G121" s="432" t="n">
        <x:f>IF($M$15="",1,IF('Properties'!I79=$M$15,1,0))</x:f>
        <x:v>1</x:v>
      </x:c>
      <x:c r="H121" s="432" t="n">
        <x:f>IF(NOT(ISNUMBER($M$16)),1,IF(AND(ISNUMBER('Properties'!J79),'Properties'!J79=$M$16),1,0))</x:f>
        <x:v>1</x:v>
      </x:c>
      <x:c r="I121" s="432" t="n">
        <x:f>IF($M$19="",1,IF('Properties'!F79="",0,IF(ISNUMBER(SEARCH(","&amp;TRIM('Properties'!F79)&amp;",",","&amp;SUBSTITUTE(TRIM($M$19),", ",",")&amp;",")),1,0)))</x:f>
        <x:v>1</x:v>
      </x:c>
      <x:c r="J121" s="432" t="n">
        <x:f>IF($O$44=0,0,PRODUCT(C121:I121))</x:f>
        <x:v>0</x:v>
      </x:c>
      <x:c r="K121" s="432" t="str">
        <x:f>IF(J121=1,SUM($J$48:J121),"")</x:f>
      </x:c>
      <x:c r="L121" s="432"/>
      <x:c r="M121" s="432"/>
      <x:c r="N121" s="432" t="str">
        <x:f>IF('Clients'!A79="","",'Clients'!A79)</x:f>
      </x:c>
      <x:c r="O121" s="432" t="n">
        <x:f>IF(N121="",0,IF($B$6="",1,IF(ISNUMBER(SEARCH($B$6,'Clients'!A79&amp;" "&amp;'Clients'!B79&amp;" "&amp;'Clients'!C79&amp;" "&amp;'Clients'!D79)),1,0)))</x:f>
        <x:v>0</x:v>
      </x:c>
      <x:c r="P121" s="432" t="str">
        <x:f>IF(O121=1,SUM($O$48:O121),"")</x:f>
      </x:c>
      <x:c r="Q121" s="432"/>
    </x:row>
    <x:row r="122" ht="25" customHeight="1">
      <x:c r="A122" s="432"/>
      <x:c r="B122" s="432" t="str">
        <x:f>IF('Properties'!A80="","",'Properties'!A80)</x:f>
      </x:c>
      <x:c r="C122" s="432" t="n">
        <x:f>IF(AND(B122&lt;&gt;"",'Properties'!M80="Available"),1,0)</x:f>
        <x:v>0</x:v>
      </x:c>
      <x:c r="D122" s="432" t="n">
        <x:f>IF($M$13="Buy",IF('Properties'!D80="Sale",1,0),IF($M$13="Rent",IF('Properties'!D80="Rental",1,0),0))</x:f>
        <x:v>0</x:v>
      </x:c>
      <x:c r="E122" s="432" t="n">
        <x:f>IF(AND(ISNUMBER('Properties'!L80),'Properties'!L80&gt;0,ISNUMBER($M$18),$M$18&gt;0,'Properties'!L80&lt;=$M$18,OR(NOT(ISNUMBER($M$17)),'Properties'!L80&gt;=$M$17)),1,0)</x:f>
        <x:v>0</x:v>
      </x:c>
      <x:c r="F122" s="432" t="n">
        <x:f>IF($M$14="",1,IF('Properties'!E80=$M$14,1,0))</x:f>
        <x:v>1</x:v>
      </x:c>
      <x:c r="G122" s="432" t="n">
        <x:f>IF($M$15="",1,IF('Properties'!I80=$M$15,1,0))</x:f>
        <x:v>1</x:v>
      </x:c>
      <x:c r="H122" s="432" t="n">
        <x:f>IF(NOT(ISNUMBER($M$16)),1,IF(AND(ISNUMBER('Properties'!J80),'Properties'!J80=$M$16),1,0))</x:f>
        <x:v>1</x:v>
      </x:c>
      <x:c r="I122" s="432" t="n">
        <x:f>IF($M$19="",1,IF('Properties'!F80="",0,IF(ISNUMBER(SEARCH(","&amp;TRIM('Properties'!F80)&amp;",",","&amp;SUBSTITUTE(TRIM($M$19),", ",",")&amp;",")),1,0)))</x:f>
        <x:v>1</x:v>
      </x:c>
      <x:c r="J122" s="432" t="n">
        <x:f>IF($O$44=0,0,PRODUCT(C122:I122))</x:f>
        <x:v>0</x:v>
      </x:c>
      <x:c r="K122" s="432" t="str">
        <x:f>IF(J122=1,SUM($J$48:J122),"")</x:f>
      </x:c>
      <x:c r="L122" s="432"/>
      <x:c r="M122" s="432"/>
      <x:c r="N122" s="432" t="str">
        <x:f>IF('Clients'!A80="","",'Clients'!A80)</x:f>
      </x:c>
      <x:c r="O122" s="432" t="n">
        <x:f>IF(N122="",0,IF($B$6="",1,IF(ISNUMBER(SEARCH($B$6,'Clients'!A80&amp;" "&amp;'Clients'!B80&amp;" "&amp;'Clients'!C80&amp;" "&amp;'Clients'!D80)),1,0)))</x:f>
        <x:v>0</x:v>
      </x:c>
      <x:c r="P122" s="432" t="str">
        <x:f>IF(O122=1,SUM($O$48:O122),"")</x:f>
      </x:c>
      <x:c r="Q122" s="432"/>
    </x:row>
    <x:row r="123" ht="25" customHeight="1">
      <x:c r="A123" s="432"/>
      <x:c r="B123" s="432" t="str">
        <x:f>IF('Properties'!A81="","",'Properties'!A81)</x:f>
      </x:c>
      <x:c r="C123" s="432" t="n">
        <x:f>IF(AND(B123&lt;&gt;"",'Properties'!M81="Available"),1,0)</x:f>
        <x:v>0</x:v>
      </x:c>
      <x:c r="D123" s="432" t="n">
        <x:f>IF($M$13="Buy",IF('Properties'!D81="Sale",1,0),IF($M$13="Rent",IF('Properties'!D81="Rental",1,0),0))</x:f>
        <x:v>0</x:v>
      </x:c>
      <x:c r="E123" s="432" t="n">
        <x:f>IF(AND(ISNUMBER('Properties'!L81),'Properties'!L81&gt;0,ISNUMBER($M$18),$M$18&gt;0,'Properties'!L81&lt;=$M$18,OR(NOT(ISNUMBER($M$17)),'Properties'!L81&gt;=$M$17)),1,0)</x:f>
        <x:v>0</x:v>
      </x:c>
      <x:c r="F123" s="432" t="n">
        <x:f>IF($M$14="",1,IF('Properties'!E81=$M$14,1,0))</x:f>
        <x:v>1</x:v>
      </x:c>
      <x:c r="G123" s="432" t="n">
        <x:f>IF($M$15="",1,IF('Properties'!I81=$M$15,1,0))</x:f>
        <x:v>1</x:v>
      </x:c>
      <x:c r="H123" s="432" t="n">
        <x:f>IF(NOT(ISNUMBER($M$16)),1,IF(AND(ISNUMBER('Properties'!J81),'Properties'!J81=$M$16),1,0))</x:f>
        <x:v>1</x:v>
      </x:c>
      <x:c r="I123" s="432" t="n">
        <x:f>IF($M$19="",1,IF('Properties'!F81="",0,IF(ISNUMBER(SEARCH(","&amp;TRIM('Properties'!F81)&amp;",",","&amp;SUBSTITUTE(TRIM($M$19),", ",",")&amp;",")),1,0)))</x:f>
        <x:v>1</x:v>
      </x:c>
      <x:c r="J123" s="432" t="n">
        <x:f>IF($O$44=0,0,PRODUCT(C123:I123))</x:f>
        <x:v>0</x:v>
      </x:c>
      <x:c r="K123" s="432" t="str">
        <x:f>IF(J123=1,SUM($J$48:J123),"")</x:f>
      </x:c>
      <x:c r="L123" s="432"/>
      <x:c r="M123" s="432"/>
      <x:c r="N123" s="432" t="str">
        <x:f>IF('Clients'!A81="","",'Clients'!A81)</x:f>
      </x:c>
      <x:c r="O123" s="432" t="n">
        <x:f>IF(N123="",0,IF($B$6="",1,IF(ISNUMBER(SEARCH($B$6,'Clients'!A81&amp;" "&amp;'Clients'!B81&amp;" "&amp;'Clients'!C81&amp;" "&amp;'Clients'!D81)),1,0)))</x:f>
        <x:v>0</x:v>
      </x:c>
      <x:c r="P123" s="432" t="str">
        <x:f>IF(O123=1,SUM($O$48:O123),"")</x:f>
      </x:c>
      <x:c r="Q123" s="432"/>
    </x:row>
    <x:row r="124" ht="25" customHeight="1">
      <x:c r="A124" s="432"/>
      <x:c r="B124" s="432" t="str">
        <x:f>IF('Properties'!A82="","",'Properties'!A82)</x:f>
      </x:c>
      <x:c r="C124" s="432" t="n">
        <x:f>IF(AND(B124&lt;&gt;"",'Properties'!M82="Available"),1,0)</x:f>
        <x:v>0</x:v>
      </x:c>
      <x:c r="D124" s="432" t="n">
        <x:f>IF($M$13="Buy",IF('Properties'!D82="Sale",1,0),IF($M$13="Rent",IF('Properties'!D82="Rental",1,0),0))</x:f>
        <x:v>0</x:v>
      </x:c>
      <x:c r="E124" s="432" t="n">
        <x:f>IF(AND(ISNUMBER('Properties'!L82),'Properties'!L82&gt;0,ISNUMBER($M$18),$M$18&gt;0,'Properties'!L82&lt;=$M$18,OR(NOT(ISNUMBER($M$17)),'Properties'!L82&gt;=$M$17)),1,0)</x:f>
        <x:v>0</x:v>
      </x:c>
      <x:c r="F124" s="432" t="n">
        <x:f>IF($M$14="",1,IF('Properties'!E82=$M$14,1,0))</x:f>
        <x:v>1</x:v>
      </x:c>
      <x:c r="G124" s="432" t="n">
        <x:f>IF($M$15="",1,IF('Properties'!I82=$M$15,1,0))</x:f>
        <x:v>1</x:v>
      </x:c>
      <x:c r="H124" s="432" t="n">
        <x:f>IF(NOT(ISNUMBER($M$16)),1,IF(AND(ISNUMBER('Properties'!J82),'Properties'!J82=$M$16),1,0))</x:f>
        <x:v>1</x:v>
      </x:c>
      <x:c r="I124" s="432" t="n">
        <x:f>IF($M$19="",1,IF('Properties'!F82="",0,IF(ISNUMBER(SEARCH(","&amp;TRIM('Properties'!F82)&amp;",",","&amp;SUBSTITUTE(TRIM($M$19),", ",",")&amp;",")),1,0)))</x:f>
        <x:v>1</x:v>
      </x:c>
      <x:c r="J124" s="432" t="n">
        <x:f>IF($O$44=0,0,PRODUCT(C124:I124))</x:f>
        <x:v>0</x:v>
      </x:c>
      <x:c r="K124" s="432" t="str">
        <x:f>IF(J124=1,SUM($J$48:J124),"")</x:f>
      </x:c>
      <x:c r="L124" s="432"/>
      <x:c r="M124" s="432"/>
      <x:c r="N124" s="432" t="str">
        <x:f>IF('Clients'!A82="","",'Clients'!A82)</x:f>
      </x:c>
      <x:c r="O124" s="432" t="n">
        <x:f>IF(N124="",0,IF($B$6="",1,IF(ISNUMBER(SEARCH($B$6,'Clients'!A82&amp;" "&amp;'Clients'!B82&amp;" "&amp;'Clients'!C82&amp;" "&amp;'Clients'!D82)),1,0)))</x:f>
        <x:v>0</x:v>
      </x:c>
      <x:c r="P124" s="432" t="str">
        <x:f>IF(O124=1,SUM($O$48:O124),"")</x:f>
      </x:c>
      <x:c r="Q124" s="432"/>
    </x:row>
    <x:row r="125" ht="25" customHeight="1">
      <x:c r="A125" s="432"/>
      <x:c r="B125" s="432" t="str">
        <x:f>IF('Properties'!A83="","",'Properties'!A83)</x:f>
      </x:c>
      <x:c r="C125" s="432" t="n">
        <x:f>IF(AND(B125&lt;&gt;"",'Properties'!M83="Available"),1,0)</x:f>
        <x:v>0</x:v>
      </x:c>
      <x:c r="D125" s="432" t="n">
        <x:f>IF($M$13="Buy",IF('Properties'!D83="Sale",1,0),IF($M$13="Rent",IF('Properties'!D83="Rental",1,0),0))</x:f>
        <x:v>0</x:v>
      </x:c>
      <x:c r="E125" s="432" t="n">
        <x:f>IF(AND(ISNUMBER('Properties'!L83),'Properties'!L83&gt;0,ISNUMBER($M$18),$M$18&gt;0,'Properties'!L83&lt;=$M$18,OR(NOT(ISNUMBER($M$17)),'Properties'!L83&gt;=$M$17)),1,0)</x:f>
        <x:v>0</x:v>
      </x:c>
      <x:c r="F125" s="432" t="n">
        <x:f>IF($M$14="",1,IF('Properties'!E83=$M$14,1,0))</x:f>
        <x:v>1</x:v>
      </x:c>
      <x:c r="G125" s="432" t="n">
        <x:f>IF($M$15="",1,IF('Properties'!I83=$M$15,1,0))</x:f>
        <x:v>1</x:v>
      </x:c>
      <x:c r="H125" s="432" t="n">
        <x:f>IF(NOT(ISNUMBER($M$16)),1,IF(AND(ISNUMBER('Properties'!J83),'Properties'!J83=$M$16),1,0))</x:f>
        <x:v>1</x:v>
      </x:c>
      <x:c r="I125" s="432" t="n">
        <x:f>IF($M$19="",1,IF('Properties'!F83="",0,IF(ISNUMBER(SEARCH(","&amp;TRIM('Properties'!F83)&amp;",",","&amp;SUBSTITUTE(TRIM($M$19),", ",",")&amp;",")),1,0)))</x:f>
        <x:v>1</x:v>
      </x:c>
      <x:c r="J125" s="432" t="n">
        <x:f>IF($O$44=0,0,PRODUCT(C125:I125))</x:f>
        <x:v>0</x:v>
      </x:c>
      <x:c r="K125" s="432" t="str">
        <x:f>IF(J125=1,SUM($J$48:J125),"")</x:f>
      </x:c>
      <x:c r="L125" s="432"/>
      <x:c r="M125" s="432"/>
      <x:c r="N125" s="432" t="str">
        <x:f>IF('Clients'!A83="","",'Clients'!A83)</x:f>
      </x:c>
      <x:c r="O125" s="432" t="n">
        <x:f>IF(N125="",0,IF($B$6="",1,IF(ISNUMBER(SEARCH($B$6,'Clients'!A83&amp;" "&amp;'Clients'!B83&amp;" "&amp;'Clients'!C83&amp;" "&amp;'Clients'!D83)),1,0)))</x:f>
        <x:v>0</x:v>
      </x:c>
      <x:c r="P125" s="432" t="str">
        <x:f>IF(O125=1,SUM($O$48:O125),"")</x:f>
      </x:c>
      <x:c r="Q125" s="432"/>
    </x:row>
    <x:row r="126" ht="25" customHeight="1">
      <x:c r="A126" s="432"/>
      <x:c r="B126" s="432" t="str">
        <x:f>IF('Properties'!A84="","",'Properties'!A84)</x:f>
      </x:c>
      <x:c r="C126" s="432" t="n">
        <x:f>IF(AND(B126&lt;&gt;"",'Properties'!M84="Available"),1,0)</x:f>
        <x:v>0</x:v>
      </x:c>
      <x:c r="D126" s="432" t="n">
        <x:f>IF($M$13="Buy",IF('Properties'!D84="Sale",1,0),IF($M$13="Rent",IF('Properties'!D84="Rental",1,0),0))</x:f>
        <x:v>0</x:v>
      </x:c>
      <x:c r="E126" s="432" t="n">
        <x:f>IF(AND(ISNUMBER('Properties'!L84),'Properties'!L84&gt;0,ISNUMBER($M$18),$M$18&gt;0,'Properties'!L84&lt;=$M$18,OR(NOT(ISNUMBER($M$17)),'Properties'!L84&gt;=$M$17)),1,0)</x:f>
        <x:v>0</x:v>
      </x:c>
      <x:c r="F126" s="432" t="n">
        <x:f>IF($M$14="",1,IF('Properties'!E84=$M$14,1,0))</x:f>
        <x:v>1</x:v>
      </x:c>
      <x:c r="G126" s="432" t="n">
        <x:f>IF($M$15="",1,IF('Properties'!I84=$M$15,1,0))</x:f>
        <x:v>1</x:v>
      </x:c>
      <x:c r="H126" s="432" t="n">
        <x:f>IF(NOT(ISNUMBER($M$16)),1,IF(AND(ISNUMBER('Properties'!J84),'Properties'!J84=$M$16),1,0))</x:f>
        <x:v>1</x:v>
      </x:c>
      <x:c r="I126" s="432" t="n">
        <x:f>IF($M$19="",1,IF('Properties'!F84="",0,IF(ISNUMBER(SEARCH(","&amp;TRIM('Properties'!F84)&amp;",",","&amp;SUBSTITUTE(TRIM($M$19),", ",",")&amp;",")),1,0)))</x:f>
        <x:v>1</x:v>
      </x:c>
      <x:c r="J126" s="432" t="n">
        <x:f>IF($O$44=0,0,PRODUCT(C126:I126))</x:f>
        <x:v>0</x:v>
      </x:c>
      <x:c r="K126" s="432" t="str">
        <x:f>IF(J126=1,SUM($J$48:J126),"")</x:f>
      </x:c>
      <x:c r="L126" s="432"/>
      <x:c r="M126" s="432"/>
      <x:c r="N126" s="432" t="str">
        <x:f>IF('Clients'!A84="","",'Clients'!A84)</x:f>
      </x:c>
      <x:c r="O126" s="432" t="n">
        <x:f>IF(N126="",0,IF($B$6="",1,IF(ISNUMBER(SEARCH($B$6,'Clients'!A84&amp;" "&amp;'Clients'!B84&amp;" "&amp;'Clients'!C84&amp;" "&amp;'Clients'!D84)),1,0)))</x:f>
        <x:v>0</x:v>
      </x:c>
      <x:c r="P126" s="432" t="str">
        <x:f>IF(O126=1,SUM($O$48:O126),"")</x:f>
      </x:c>
      <x:c r="Q126" s="432"/>
    </x:row>
    <x:row r="127" ht="25" customHeight="1">
      <x:c r="A127" s="432"/>
      <x:c r="B127" s="432" t="str">
        <x:f>IF('Properties'!A85="","",'Properties'!A85)</x:f>
      </x:c>
      <x:c r="C127" s="432" t="n">
        <x:f>IF(AND(B127&lt;&gt;"",'Properties'!M85="Available"),1,0)</x:f>
        <x:v>0</x:v>
      </x:c>
      <x:c r="D127" s="432" t="n">
        <x:f>IF($M$13="Buy",IF('Properties'!D85="Sale",1,0),IF($M$13="Rent",IF('Properties'!D85="Rental",1,0),0))</x:f>
        <x:v>0</x:v>
      </x:c>
      <x:c r="E127" s="432" t="n">
        <x:f>IF(AND(ISNUMBER('Properties'!L85),'Properties'!L85&gt;0,ISNUMBER($M$18),$M$18&gt;0,'Properties'!L85&lt;=$M$18,OR(NOT(ISNUMBER($M$17)),'Properties'!L85&gt;=$M$17)),1,0)</x:f>
        <x:v>0</x:v>
      </x:c>
      <x:c r="F127" s="432" t="n">
        <x:f>IF($M$14="",1,IF('Properties'!E85=$M$14,1,0))</x:f>
        <x:v>1</x:v>
      </x:c>
      <x:c r="G127" s="432" t="n">
        <x:f>IF($M$15="",1,IF('Properties'!I85=$M$15,1,0))</x:f>
        <x:v>1</x:v>
      </x:c>
      <x:c r="H127" s="432" t="n">
        <x:f>IF(NOT(ISNUMBER($M$16)),1,IF(AND(ISNUMBER('Properties'!J85),'Properties'!J85=$M$16),1,0))</x:f>
        <x:v>1</x:v>
      </x:c>
      <x:c r="I127" s="432" t="n">
        <x:f>IF($M$19="",1,IF('Properties'!F85="",0,IF(ISNUMBER(SEARCH(","&amp;TRIM('Properties'!F85)&amp;",",","&amp;SUBSTITUTE(TRIM($M$19),", ",",")&amp;",")),1,0)))</x:f>
        <x:v>1</x:v>
      </x:c>
      <x:c r="J127" s="432" t="n">
        <x:f>IF($O$44=0,0,PRODUCT(C127:I127))</x:f>
        <x:v>0</x:v>
      </x:c>
      <x:c r="K127" s="432" t="str">
        <x:f>IF(J127=1,SUM($J$48:J127),"")</x:f>
      </x:c>
      <x:c r="L127" s="432"/>
      <x:c r="M127" s="432"/>
      <x:c r="N127" s="432" t="str">
        <x:f>IF('Clients'!A85="","",'Clients'!A85)</x:f>
      </x:c>
      <x:c r="O127" s="432" t="n">
        <x:f>IF(N127="",0,IF($B$6="",1,IF(ISNUMBER(SEARCH($B$6,'Clients'!A85&amp;" "&amp;'Clients'!B85&amp;" "&amp;'Clients'!C85&amp;" "&amp;'Clients'!D85)),1,0)))</x:f>
        <x:v>0</x:v>
      </x:c>
      <x:c r="P127" s="432" t="str">
        <x:f>IF(O127=1,SUM($O$48:O127),"")</x:f>
      </x:c>
      <x:c r="Q127" s="432"/>
    </x:row>
    <x:row r="128" ht="25" customHeight="1">
      <x:c r="A128" s="432"/>
      <x:c r="B128" s="432" t="str">
        <x:f>IF('Properties'!A86="","",'Properties'!A86)</x:f>
      </x:c>
      <x:c r="C128" s="432" t="n">
        <x:f>IF(AND(B128&lt;&gt;"",'Properties'!M86="Available"),1,0)</x:f>
        <x:v>0</x:v>
      </x:c>
      <x:c r="D128" s="432" t="n">
        <x:f>IF($M$13="Buy",IF('Properties'!D86="Sale",1,0),IF($M$13="Rent",IF('Properties'!D86="Rental",1,0),0))</x:f>
        <x:v>0</x:v>
      </x:c>
      <x:c r="E128" s="432" t="n">
        <x:f>IF(AND(ISNUMBER('Properties'!L86),'Properties'!L86&gt;0,ISNUMBER($M$18),$M$18&gt;0,'Properties'!L86&lt;=$M$18,OR(NOT(ISNUMBER($M$17)),'Properties'!L86&gt;=$M$17)),1,0)</x:f>
        <x:v>0</x:v>
      </x:c>
      <x:c r="F128" s="432" t="n">
        <x:f>IF($M$14="",1,IF('Properties'!E86=$M$14,1,0))</x:f>
        <x:v>1</x:v>
      </x:c>
      <x:c r="G128" s="432" t="n">
        <x:f>IF($M$15="",1,IF('Properties'!I86=$M$15,1,0))</x:f>
        <x:v>1</x:v>
      </x:c>
      <x:c r="H128" s="432" t="n">
        <x:f>IF(NOT(ISNUMBER($M$16)),1,IF(AND(ISNUMBER('Properties'!J86),'Properties'!J86=$M$16),1,0))</x:f>
        <x:v>1</x:v>
      </x:c>
      <x:c r="I128" s="432" t="n">
        <x:f>IF($M$19="",1,IF('Properties'!F86="",0,IF(ISNUMBER(SEARCH(","&amp;TRIM('Properties'!F86)&amp;",",","&amp;SUBSTITUTE(TRIM($M$19),", ",",")&amp;",")),1,0)))</x:f>
        <x:v>1</x:v>
      </x:c>
      <x:c r="J128" s="432" t="n">
        <x:f>IF($O$44=0,0,PRODUCT(C128:I128))</x:f>
        <x:v>0</x:v>
      </x:c>
      <x:c r="K128" s="432" t="str">
        <x:f>IF(J128=1,SUM($J$48:J128),"")</x:f>
      </x:c>
      <x:c r="L128" s="432"/>
      <x:c r="M128" s="432"/>
      <x:c r="N128" s="432" t="str">
        <x:f>IF('Clients'!A86="","",'Clients'!A86)</x:f>
      </x:c>
      <x:c r="O128" s="432" t="n">
        <x:f>IF(N128="",0,IF($B$6="",1,IF(ISNUMBER(SEARCH($B$6,'Clients'!A86&amp;" "&amp;'Clients'!B86&amp;" "&amp;'Clients'!C86&amp;" "&amp;'Clients'!D86)),1,0)))</x:f>
        <x:v>0</x:v>
      </x:c>
      <x:c r="P128" s="432" t="str">
        <x:f>IF(O128=1,SUM($O$48:O128),"")</x:f>
      </x:c>
      <x:c r="Q128" s="432"/>
    </x:row>
    <x:row r="129" ht="25" customHeight="1">
      <x:c r="A129" s="432"/>
      <x:c r="B129" s="432" t="str">
        <x:f>IF('Properties'!A87="","",'Properties'!A87)</x:f>
      </x:c>
      <x:c r="C129" s="432" t="n">
        <x:f>IF(AND(B129&lt;&gt;"",'Properties'!M87="Available"),1,0)</x:f>
        <x:v>0</x:v>
      </x:c>
      <x:c r="D129" s="432" t="n">
        <x:f>IF($M$13="Buy",IF('Properties'!D87="Sale",1,0),IF($M$13="Rent",IF('Properties'!D87="Rental",1,0),0))</x:f>
        <x:v>0</x:v>
      </x:c>
      <x:c r="E129" s="432" t="n">
        <x:f>IF(AND(ISNUMBER('Properties'!L87),'Properties'!L87&gt;0,ISNUMBER($M$18),$M$18&gt;0,'Properties'!L87&lt;=$M$18,OR(NOT(ISNUMBER($M$17)),'Properties'!L87&gt;=$M$17)),1,0)</x:f>
        <x:v>0</x:v>
      </x:c>
      <x:c r="F129" s="432" t="n">
        <x:f>IF($M$14="",1,IF('Properties'!E87=$M$14,1,0))</x:f>
        <x:v>1</x:v>
      </x:c>
      <x:c r="G129" s="432" t="n">
        <x:f>IF($M$15="",1,IF('Properties'!I87=$M$15,1,0))</x:f>
        <x:v>1</x:v>
      </x:c>
      <x:c r="H129" s="432" t="n">
        <x:f>IF(NOT(ISNUMBER($M$16)),1,IF(AND(ISNUMBER('Properties'!J87),'Properties'!J87=$M$16),1,0))</x:f>
        <x:v>1</x:v>
      </x:c>
      <x:c r="I129" s="432" t="n">
        <x:f>IF($M$19="",1,IF('Properties'!F87="",0,IF(ISNUMBER(SEARCH(","&amp;TRIM('Properties'!F87)&amp;",",","&amp;SUBSTITUTE(TRIM($M$19),", ",",")&amp;",")),1,0)))</x:f>
        <x:v>1</x:v>
      </x:c>
      <x:c r="J129" s="432" t="n">
        <x:f>IF($O$44=0,0,PRODUCT(C129:I129))</x:f>
        <x:v>0</x:v>
      </x:c>
      <x:c r="K129" s="432" t="str">
        <x:f>IF(J129=1,SUM($J$48:J129),"")</x:f>
      </x:c>
      <x:c r="L129" s="432"/>
      <x:c r="M129" s="432"/>
      <x:c r="N129" s="432" t="str">
        <x:f>IF('Clients'!A87="","",'Clients'!A87)</x:f>
      </x:c>
      <x:c r="O129" s="432" t="n">
        <x:f>IF(N129="",0,IF($B$6="",1,IF(ISNUMBER(SEARCH($B$6,'Clients'!A87&amp;" "&amp;'Clients'!B87&amp;" "&amp;'Clients'!C87&amp;" "&amp;'Clients'!D87)),1,0)))</x:f>
        <x:v>0</x:v>
      </x:c>
      <x:c r="P129" s="432" t="str">
        <x:f>IF(O129=1,SUM($O$48:O129),"")</x:f>
      </x:c>
      <x:c r="Q129" s="432"/>
    </x:row>
    <x:row r="130" ht="25" customHeight="1">
      <x:c r="A130" s="432"/>
      <x:c r="B130" s="432" t="str">
        <x:f>IF('Properties'!A88="","",'Properties'!A88)</x:f>
      </x:c>
      <x:c r="C130" s="432" t="n">
        <x:f>IF(AND(B130&lt;&gt;"",'Properties'!M88="Available"),1,0)</x:f>
        <x:v>0</x:v>
      </x:c>
      <x:c r="D130" s="432" t="n">
        <x:f>IF($M$13="Buy",IF('Properties'!D88="Sale",1,0),IF($M$13="Rent",IF('Properties'!D88="Rental",1,0),0))</x:f>
        <x:v>0</x:v>
      </x:c>
      <x:c r="E130" s="432" t="n">
        <x:f>IF(AND(ISNUMBER('Properties'!L88),'Properties'!L88&gt;0,ISNUMBER($M$18),$M$18&gt;0,'Properties'!L88&lt;=$M$18,OR(NOT(ISNUMBER($M$17)),'Properties'!L88&gt;=$M$17)),1,0)</x:f>
        <x:v>0</x:v>
      </x:c>
      <x:c r="F130" s="432" t="n">
        <x:f>IF($M$14="",1,IF('Properties'!E88=$M$14,1,0))</x:f>
        <x:v>1</x:v>
      </x:c>
      <x:c r="G130" s="432" t="n">
        <x:f>IF($M$15="",1,IF('Properties'!I88=$M$15,1,0))</x:f>
        <x:v>1</x:v>
      </x:c>
      <x:c r="H130" s="432" t="n">
        <x:f>IF(NOT(ISNUMBER($M$16)),1,IF(AND(ISNUMBER('Properties'!J88),'Properties'!J88=$M$16),1,0))</x:f>
        <x:v>1</x:v>
      </x:c>
      <x:c r="I130" s="432" t="n">
        <x:f>IF($M$19="",1,IF('Properties'!F88="",0,IF(ISNUMBER(SEARCH(","&amp;TRIM('Properties'!F88)&amp;",",","&amp;SUBSTITUTE(TRIM($M$19),", ",",")&amp;",")),1,0)))</x:f>
        <x:v>1</x:v>
      </x:c>
      <x:c r="J130" s="432" t="n">
        <x:f>IF($O$44=0,0,PRODUCT(C130:I130))</x:f>
        <x:v>0</x:v>
      </x:c>
      <x:c r="K130" s="432" t="str">
        <x:f>IF(J130=1,SUM($J$48:J130),"")</x:f>
      </x:c>
      <x:c r="L130" s="432"/>
      <x:c r="M130" s="432"/>
      <x:c r="N130" s="432" t="str">
        <x:f>IF('Clients'!A88="","",'Clients'!A88)</x:f>
      </x:c>
      <x:c r="O130" s="432" t="n">
        <x:f>IF(N130="",0,IF($B$6="",1,IF(ISNUMBER(SEARCH($B$6,'Clients'!A88&amp;" "&amp;'Clients'!B88&amp;" "&amp;'Clients'!C88&amp;" "&amp;'Clients'!D88)),1,0)))</x:f>
        <x:v>0</x:v>
      </x:c>
      <x:c r="P130" s="432" t="str">
        <x:f>IF(O130=1,SUM($O$48:O130),"")</x:f>
      </x:c>
      <x:c r="Q130" s="432"/>
    </x:row>
    <x:row r="131" ht="25" customHeight="1">
      <x:c r="A131" s="432"/>
      <x:c r="B131" s="432" t="str">
        <x:f>IF('Properties'!A89="","",'Properties'!A89)</x:f>
      </x:c>
      <x:c r="C131" s="432" t="n">
        <x:f>IF(AND(B131&lt;&gt;"",'Properties'!M89="Available"),1,0)</x:f>
        <x:v>0</x:v>
      </x:c>
      <x:c r="D131" s="432" t="n">
        <x:f>IF($M$13="Buy",IF('Properties'!D89="Sale",1,0),IF($M$13="Rent",IF('Properties'!D89="Rental",1,0),0))</x:f>
        <x:v>0</x:v>
      </x:c>
      <x:c r="E131" s="432" t="n">
        <x:f>IF(AND(ISNUMBER('Properties'!L89),'Properties'!L89&gt;0,ISNUMBER($M$18),$M$18&gt;0,'Properties'!L89&lt;=$M$18,OR(NOT(ISNUMBER($M$17)),'Properties'!L89&gt;=$M$17)),1,0)</x:f>
        <x:v>0</x:v>
      </x:c>
      <x:c r="F131" s="432" t="n">
        <x:f>IF($M$14="",1,IF('Properties'!E89=$M$14,1,0))</x:f>
        <x:v>1</x:v>
      </x:c>
      <x:c r="G131" s="432" t="n">
        <x:f>IF($M$15="",1,IF('Properties'!I89=$M$15,1,0))</x:f>
        <x:v>1</x:v>
      </x:c>
      <x:c r="H131" s="432" t="n">
        <x:f>IF(NOT(ISNUMBER($M$16)),1,IF(AND(ISNUMBER('Properties'!J89),'Properties'!J89=$M$16),1,0))</x:f>
        <x:v>1</x:v>
      </x:c>
      <x:c r="I131" s="432" t="n">
        <x:f>IF($M$19="",1,IF('Properties'!F89="",0,IF(ISNUMBER(SEARCH(","&amp;TRIM('Properties'!F89)&amp;",",","&amp;SUBSTITUTE(TRIM($M$19),", ",",")&amp;",")),1,0)))</x:f>
        <x:v>1</x:v>
      </x:c>
      <x:c r="J131" s="432" t="n">
        <x:f>IF($O$44=0,0,PRODUCT(C131:I131))</x:f>
        <x:v>0</x:v>
      </x:c>
      <x:c r="K131" s="432" t="str">
        <x:f>IF(J131=1,SUM($J$48:J131),"")</x:f>
      </x:c>
      <x:c r="L131" s="432"/>
      <x:c r="M131" s="432"/>
      <x:c r="N131" s="432" t="str">
        <x:f>IF('Clients'!A89="","",'Clients'!A89)</x:f>
      </x:c>
      <x:c r="O131" s="432" t="n">
        <x:f>IF(N131="",0,IF($B$6="",1,IF(ISNUMBER(SEARCH($B$6,'Clients'!A89&amp;" "&amp;'Clients'!B89&amp;" "&amp;'Clients'!C89&amp;" "&amp;'Clients'!D89)),1,0)))</x:f>
        <x:v>0</x:v>
      </x:c>
      <x:c r="P131" s="432" t="str">
        <x:f>IF(O131=1,SUM($O$48:O131),"")</x:f>
      </x:c>
      <x:c r="Q131" s="432"/>
    </x:row>
    <x:row r="132" ht="25" customHeight="1">
      <x:c r="A132" s="432"/>
      <x:c r="B132" s="432" t="str">
        <x:f>IF('Properties'!A90="","",'Properties'!A90)</x:f>
      </x:c>
      <x:c r="C132" s="432" t="n">
        <x:f>IF(AND(B132&lt;&gt;"",'Properties'!M90="Available"),1,0)</x:f>
        <x:v>0</x:v>
      </x:c>
      <x:c r="D132" s="432" t="n">
        <x:f>IF($M$13="Buy",IF('Properties'!D90="Sale",1,0),IF($M$13="Rent",IF('Properties'!D90="Rental",1,0),0))</x:f>
        <x:v>0</x:v>
      </x:c>
      <x:c r="E132" s="432" t="n">
        <x:f>IF(AND(ISNUMBER('Properties'!L90),'Properties'!L90&gt;0,ISNUMBER($M$18),$M$18&gt;0,'Properties'!L90&lt;=$M$18,OR(NOT(ISNUMBER($M$17)),'Properties'!L90&gt;=$M$17)),1,0)</x:f>
        <x:v>0</x:v>
      </x:c>
      <x:c r="F132" s="432" t="n">
        <x:f>IF($M$14="",1,IF('Properties'!E90=$M$14,1,0))</x:f>
        <x:v>1</x:v>
      </x:c>
      <x:c r="G132" s="432" t="n">
        <x:f>IF($M$15="",1,IF('Properties'!I90=$M$15,1,0))</x:f>
        <x:v>1</x:v>
      </x:c>
      <x:c r="H132" s="432" t="n">
        <x:f>IF(NOT(ISNUMBER($M$16)),1,IF(AND(ISNUMBER('Properties'!J90),'Properties'!J90=$M$16),1,0))</x:f>
        <x:v>1</x:v>
      </x:c>
      <x:c r="I132" s="432" t="n">
        <x:f>IF($M$19="",1,IF('Properties'!F90="",0,IF(ISNUMBER(SEARCH(","&amp;TRIM('Properties'!F90)&amp;",",","&amp;SUBSTITUTE(TRIM($M$19),", ",",")&amp;",")),1,0)))</x:f>
        <x:v>1</x:v>
      </x:c>
      <x:c r="J132" s="432" t="n">
        <x:f>IF($O$44=0,0,PRODUCT(C132:I132))</x:f>
        <x:v>0</x:v>
      </x:c>
      <x:c r="K132" s="432" t="str">
        <x:f>IF(J132=1,SUM($J$48:J132),"")</x:f>
      </x:c>
      <x:c r="L132" s="432"/>
      <x:c r="M132" s="432"/>
      <x:c r="N132" s="432" t="str">
        <x:f>IF('Clients'!A90="","",'Clients'!A90)</x:f>
      </x:c>
      <x:c r="O132" s="432" t="n">
        <x:f>IF(N132="",0,IF($B$6="",1,IF(ISNUMBER(SEARCH($B$6,'Clients'!A90&amp;" "&amp;'Clients'!B90&amp;" "&amp;'Clients'!C90&amp;" "&amp;'Clients'!D90)),1,0)))</x:f>
        <x:v>0</x:v>
      </x:c>
      <x:c r="P132" s="432" t="str">
        <x:f>IF(O132=1,SUM($O$48:O132),"")</x:f>
      </x:c>
      <x:c r="Q132" s="432"/>
    </x:row>
    <x:row r="133" ht="25" customHeight="1">
      <x:c r="A133" s="432"/>
      <x:c r="B133" s="432" t="str">
        <x:f>IF('Properties'!A91="","",'Properties'!A91)</x:f>
      </x:c>
      <x:c r="C133" s="432" t="n">
        <x:f>IF(AND(B133&lt;&gt;"",'Properties'!M91="Available"),1,0)</x:f>
        <x:v>0</x:v>
      </x:c>
      <x:c r="D133" s="432" t="n">
        <x:f>IF($M$13="Buy",IF('Properties'!D91="Sale",1,0),IF($M$13="Rent",IF('Properties'!D91="Rental",1,0),0))</x:f>
        <x:v>0</x:v>
      </x:c>
      <x:c r="E133" s="432" t="n">
        <x:f>IF(AND(ISNUMBER('Properties'!L91),'Properties'!L91&gt;0,ISNUMBER($M$18),$M$18&gt;0,'Properties'!L91&lt;=$M$18,OR(NOT(ISNUMBER($M$17)),'Properties'!L91&gt;=$M$17)),1,0)</x:f>
        <x:v>0</x:v>
      </x:c>
      <x:c r="F133" s="432" t="n">
        <x:f>IF($M$14="",1,IF('Properties'!E91=$M$14,1,0))</x:f>
        <x:v>1</x:v>
      </x:c>
      <x:c r="G133" s="432" t="n">
        <x:f>IF($M$15="",1,IF('Properties'!I91=$M$15,1,0))</x:f>
        <x:v>1</x:v>
      </x:c>
      <x:c r="H133" s="432" t="n">
        <x:f>IF(NOT(ISNUMBER($M$16)),1,IF(AND(ISNUMBER('Properties'!J91),'Properties'!J91=$M$16),1,0))</x:f>
        <x:v>1</x:v>
      </x:c>
      <x:c r="I133" s="432" t="n">
        <x:f>IF($M$19="",1,IF('Properties'!F91="",0,IF(ISNUMBER(SEARCH(","&amp;TRIM('Properties'!F91)&amp;",",","&amp;SUBSTITUTE(TRIM($M$19),", ",",")&amp;",")),1,0)))</x:f>
        <x:v>1</x:v>
      </x:c>
      <x:c r="J133" s="432" t="n">
        <x:f>IF($O$44=0,0,PRODUCT(C133:I133))</x:f>
        <x:v>0</x:v>
      </x:c>
      <x:c r="K133" s="432" t="str">
        <x:f>IF(J133=1,SUM($J$48:J133),"")</x:f>
      </x:c>
      <x:c r="L133" s="432"/>
      <x:c r="M133" s="432"/>
      <x:c r="N133" s="432" t="str">
        <x:f>IF('Clients'!A91="","",'Clients'!A91)</x:f>
      </x:c>
      <x:c r="O133" s="432" t="n">
        <x:f>IF(N133="",0,IF($B$6="",1,IF(ISNUMBER(SEARCH($B$6,'Clients'!A91&amp;" "&amp;'Clients'!B91&amp;" "&amp;'Clients'!C91&amp;" "&amp;'Clients'!D91)),1,0)))</x:f>
        <x:v>0</x:v>
      </x:c>
      <x:c r="P133" s="432" t="str">
        <x:f>IF(O133=1,SUM($O$48:O133),"")</x:f>
      </x:c>
      <x:c r="Q133" s="432"/>
    </x:row>
    <x:row r="134" ht="25" customHeight="1">
      <x:c r="A134" s="432"/>
      <x:c r="B134" s="432" t="str">
        <x:f>IF('Properties'!A92="","",'Properties'!A92)</x:f>
      </x:c>
      <x:c r="C134" s="432" t="n">
        <x:f>IF(AND(B134&lt;&gt;"",'Properties'!M92="Available"),1,0)</x:f>
        <x:v>0</x:v>
      </x:c>
      <x:c r="D134" s="432" t="n">
        <x:f>IF($M$13="Buy",IF('Properties'!D92="Sale",1,0),IF($M$13="Rent",IF('Properties'!D92="Rental",1,0),0))</x:f>
        <x:v>0</x:v>
      </x:c>
      <x:c r="E134" s="432" t="n">
        <x:f>IF(AND(ISNUMBER('Properties'!L92),'Properties'!L92&gt;0,ISNUMBER($M$18),$M$18&gt;0,'Properties'!L92&lt;=$M$18,OR(NOT(ISNUMBER($M$17)),'Properties'!L92&gt;=$M$17)),1,0)</x:f>
        <x:v>0</x:v>
      </x:c>
      <x:c r="F134" s="432" t="n">
        <x:f>IF($M$14="",1,IF('Properties'!E92=$M$14,1,0))</x:f>
        <x:v>1</x:v>
      </x:c>
      <x:c r="G134" s="432" t="n">
        <x:f>IF($M$15="",1,IF('Properties'!I92=$M$15,1,0))</x:f>
        <x:v>1</x:v>
      </x:c>
      <x:c r="H134" s="432" t="n">
        <x:f>IF(NOT(ISNUMBER($M$16)),1,IF(AND(ISNUMBER('Properties'!J92),'Properties'!J92=$M$16),1,0))</x:f>
        <x:v>1</x:v>
      </x:c>
      <x:c r="I134" s="432" t="n">
        <x:f>IF($M$19="",1,IF('Properties'!F92="",0,IF(ISNUMBER(SEARCH(","&amp;TRIM('Properties'!F92)&amp;",",","&amp;SUBSTITUTE(TRIM($M$19),", ",",")&amp;",")),1,0)))</x:f>
        <x:v>1</x:v>
      </x:c>
      <x:c r="J134" s="432" t="n">
        <x:f>IF($O$44=0,0,PRODUCT(C134:I134))</x:f>
        <x:v>0</x:v>
      </x:c>
      <x:c r="K134" s="432" t="str">
        <x:f>IF(J134=1,SUM($J$48:J134),"")</x:f>
      </x:c>
      <x:c r="L134" s="432"/>
      <x:c r="M134" s="432"/>
      <x:c r="N134" s="432" t="str">
        <x:f>IF('Clients'!A92="","",'Clients'!A92)</x:f>
      </x:c>
      <x:c r="O134" s="432" t="n">
        <x:f>IF(N134="",0,IF($B$6="",1,IF(ISNUMBER(SEARCH($B$6,'Clients'!A92&amp;" "&amp;'Clients'!B92&amp;" "&amp;'Clients'!C92&amp;" "&amp;'Clients'!D92)),1,0)))</x:f>
        <x:v>0</x:v>
      </x:c>
      <x:c r="P134" s="432" t="str">
        <x:f>IF(O134=1,SUM($O$48:O134),"")</x:f>
      </x:c>
      <x:c r="Q134" s="432"/>
    </x:row>
    <x:row r="135" ht="25" customHeight="1">
      <x:c r="A135" s="432"/>
      <x:c r="B135" s="432" t="str">
        <x:f>IF('Properties'!A93="","",'Properties'!A93)</x:f>
      </x:c>
      <x:c r="C135" s="432" t="n">
        <x:f>IF(AND(B135&lt;&gt;"",'Properties'!M93="Available"),1,0)</x:f>
        <x:v>0</x:v>
      </x:c>
      <x:c r="D135" s="432" t="n">
        <x:f>IF($M$13="Buy",IF('Properties'!D93="Sale",1,0),IF($M$13="Rent",IF('Properties'!D93="Rental",1,0),0))</x:f>
        <x:v>0</x:v>
      </x:c>
      <x:c r="E135" s="432" t="n">
        <x:f>IF(AND(ISNUMBER('Properties'!L93),'Properties'!L93&gt;0,ISNUMBER($M$18),$M$18&gt;0,'Properties'!L93&lt;=$M$18,OR(NOT(ISNUMBER($M$17)),'Properties'!L93&gt;=$M$17)),1,0)</x:f>
        <x:v>0</x:v>
      </x:c>
      <x:c r="F135" s="432" t="n">
        <x:f>IF($M$14="",1,IF('Properties'!E93=$M$14,1,0))</x:f>
        <x:v>1</x:v>
      </x:c>
      <x:c r="G135" s="432" t="n">
        <x:f>IF($M$15="",1,IF('Properties'!I93=$M$15,1,0))</x:f>
        <x:v>1</x:v>
      </x:c>
      <x:c r="H135" s="432" t="n">
        <x:f>IF(NOT(ISNUMBER($M$16)),1,IF(AND(ISNUMBER('Properties'!J93),'Properties'!J93=$M$16),1,0))</x:f>
        <x:v>1</x:v>
      </x:c>
      <x:c r="I135" s="432" t="n">
        <x:f>IF($M$19="",1,IF('Properties'!F93="",0,IF(ISNUMBER(SEARCH(","&amp;TRIM('Properties'!F93)&amp;",",","&amp;SUBSTITUTE(TRIM($M$19),", ",",")&amp;",")),1,0)))</x:f>
        <x:v>1</x:v>
      </x:c>
      <x:c r="J135" s="432" t="n">
        <x:f>IF($O$44=0,0,PRODUCT(C135:I135))</x:f>
        <x:v>0</x:v>
      </x:c>
      <x:c r="K135" s="432" t="str">
        <x:f>IF(J135=1,SUM($J$48:J135),"")</x:f>
      </x:c>
      <x:c r="L135" s="432"/>
      <x:c r="M135" s="432"/>
      <x:c r="N135" s="432" t="str">
        <x:f>IF('Clients'!A93="","",'Clients'!A93)</x:f>
      </x:c>
      <x:c r="O135" s="432" t="n">
        <x:f>IF(N135="",0,IF($B$6="",1,IF(ISNUMBER(SEARCH($B$6,'Clients'!A93&amp;" "&amp;'Clients'!B93&amp;" "&amp;'Clients'!C93&amp;" "&amp;'Clients'!D93)),1,0)))</x:f>
        <x:v>0</x:v>
      </x:c>
      <x:c r="P135" s="432" t="str">
        <x:f>IF(O135=1,SUM($O$48:O135),"")</x:f>
      </x:c>
      <x:c r="Q135" s="432"/>
    </x:row>
    <x:row r="136" ht="25" customHeight="1">
      <x:c r="A136" s="432"/>
      <x:c r="B136" s="432" t="str">
        <x:f>IF('Properties'!A94="","",'Properties'!A94)</x:f>
      </x:c>
      <x:c r="C136" s="432" t="n">
        <x:f>IF(AND(B136&lt;&gt;"",'Properties'!M94="Available"),1,0)</x:f>
        <x:v>0</x:v>
      </x:c>
      <x:c r="D136" s="432" t="n">
        <x:f>IF($M$13="Buy",IF('Properties'!D94="Sale",1,0),IF($M$13="Rent",IF('Properties'!D94="Rental",1,0),0))</x:f>
        <x:v>0</x:v>
      </x:c>
      <x:c r="E136" s="432" t="n">
        <x:f>IF(AND(ISNUMBER('Properties'!L94),'Properties'!L94&gt;0,ISNUMBER($M$18),$M$18&gt;0,'Properties'!L94&lt;=$M$18,OR(NOT(ISNUMBER($M$17)),'Properties'!L94&gt;=$M$17)),1,0)</x:f>
        <x:v>0</x:v>
      </x:c>
      <x:c r="F136" s="432" t="n">
        <x:f>IF($M$14="",1,IF('Properties'!E94=$M$14,1,0))</x:f>
        <x:v>1</x:v>
      </x:c>
      <x:c r="G136" s="432" t="n">
        <x:f>IF($M$15="",1,IF('Properties'!I94=$M$15,1,0))</x:f>
        <x:v>1</x:v>
      </x:c>
      <x:c r="H136" s="432" t="n">
        <x:f>IF(NOT(ISNUMBER($M$16)),1,IF(AND(ISNUMBER('Properties'!J94),'Properties'!J94=$M$16),1,0))</x:f>
        <x:v>1</x:v>
      </x:c>
      <x:c r="I136" s="432" t="n">
        <x:f>IF($M$19="",1,IF('Properties'!F94="",0,IF(ISNUMBER(SEARCH(","&amp;TRIM('Properties'!F94)&amp;",",","&amp;SUBSTITUTE(TRIM($M$19),", ",",")&amp;",")),1,0)))</x:f>
        <x:v>1</x:v>
      </x:c>
      <x:c r="J136" s="432" t="n">
        <x:f>IF($O$44=0,0,PRODUCT(C136:I136))</x:f>
        <x:v>0</x:v>
      </x:c>
      <x:c r="K136" s="432" t="str">
        <x:f>IF(J136=1,SUM($J$48:J136),"")</x:f>
      </x:c>
      <x:c r="L136" s="432"/>
      <x:c r="M136" s="432"/>
      <x:c r="N136" s="432" t="str">
        <x:f>IF('Clients'!A94="","",'Clients'!A94)</x:f>
      </x:c>
      <x:c r="O136" s="432" t="n">
        <x:f>IF(N136="",0,IF($B$6="",1,IF(ISNUMBER(SEARCH($B$6,'Clients'!A94&amp;" "&amp;'Clients'!B94&amp;" "&amp;'Clients'!C94&amp;" "&amp;'Clients'!D94)),1,0)))</x:f>
        <x:v>0</x:v>
      </x:c>
      <x:c r="P136" s="432" t="str">
        <x:f>IF(O136=1,SUM($O$48:O136),"")</x:f>
      </x:c>
      <x:c r="Q136" s="432"/>
    </x:row>
    <x:row r="137" ht="25" customHeight="1">
      <x:c r="A137" s="432"/>
      <x:c r="B137" s="432" t="str">
        <x:f>IF('Properties'!A95="","",'Properties'!A95)</x:f>
      </x:c>
      <x:c r="C137" s="432" t="n">
        <x:f>IF(AND(B137&lt;&gt;"",'Properties'!M95="Available"),1,0)</x:f>
        <x:v>0</x:v>
      </x:c>
      <x:c r="D137" s="432" t="n">
        <x:f>IF($M$13="Buy",IF('Properties'!D95="Sale",1,0),IF($M$13="Rent",IF('Properties'!D95="Rental",1,0),0))</x:f>
        <x:v>0</x:v>
      </x:c>
      <x:c r="E137" s="432" t="n">
        <x:f>IF(AND(ISNUMBER('Properties'!L95),'Properties'!L95&gt;0,ISNUMBER($M$18),$M$18&gt;0,'Properties'!L95&lt;=$M$18,OR(NOT(ISNUMBER($M$17)),'Properties'!L95&gt;=$M$17)),1,0)</x:f>
        <x:v>0</x:v>
      </x:c>
      <x:c r="F137" s="432" t="n">
        <x:f>IF($M$14="",1,IF('Properties'!E95=$M$14,1,0))</x:f>
        <x:v>1</x:v>
      </x:c>
      <x:c r="G137" s="432" t="n">
        <x:f>IF($M$15="",1,IF('Properties'!I95=$M$15,1,0))</x:f>
        <x:v>1</x:v>
      </x:c>
      <x:c r="H137" s="432" t="n">
        <x:f>IF(NOT(ISNUMBER($M$16)),1,IF(AND(ISNUMBER('Properties'!J95),'Properties'!J95=$M$16),1,0))</x:f>
        <x:v>1</x:v>
      </x:c>
      <x:c r="I137" s="432" t="n">
        <x:f>IF($M$19="",1,IF('Properties'!F95="",0,IF(ISNUMBER(SEARCH(","&amp;TRIM('Properties'!F95)&amp;",",","&amp;SUBSTITUTE(TRIM($M$19),", ",",")&amp;",")),1,0)))</x:f>
        <x:v>1</x:v>
      </x:c>
      <x:c r="J137" s="432" t="n">
        <x:f>IF($O$44=0,0,PRODUCT(C137:I137))</x:f>
        <x:v>0</x:v>
      </x:c>
      <x:c r="K137" s="432" t="str">
        <x:f>IF(J137=1,SUM($J$48:J137),"")</x:f>
      </x:c>
      <x:c r="L137" s="432"/>
      <x:c r="M137" s="432"/>
      <x:c r="N137" s="432" t="str">
        <x:f>IF('Clients'!A95="","",'Clients'!A95)</x:f>
      </x:c>
      <x:c r="O137" s="432" t="n">
        <x:f>IF(N137="",0,IF($B$6="",1,IF(ISNUMBER(SEARCH($B$6,'Clients'!A95&amp;" "&amp;'Clients'!B95&amp;" "&amp;'Clients'!C95&amp;" "&amp;'Clients'!D95)),1,0)))</x:f>
        <x:v>0</x:v>
      </x:c>
      <x:c r="P137" s="432" t="str">
        <x:f>IF(O137=1,SUM($O$48:O137),"")</x:f>
      </x:c>
      <x:c r="Q137" s="432"/>
    </x:row>
    <x:row r="138" ht="25" customHeight="1">
      <x:c r="A138" s="432"/>
      <x:c r="B138" s="432" t="str">
        <x:f>IF('Properties'!A96="","",'Properties'!A96)</x:f>
      </x:c>
      <x:c r="C138" s="432" t="n">
        <x:f>IF(AND(B138&lt;&gt;"",'Properties'!M96="Available"),1,0)</x:f>
        <x:v>0</x:v>
      </x:c>
      <x:c r="D138" s="432" t="n">
        <x:f>IF($M$13="Buy",IF('Properties'!D96="Sale",1,0),IF($M$13="Rent",IF('Properties'!D96="Rental",1,0),0))</x:f>
        <x:v>0</x:v>
      </x:c>
      <x:c r="E138" s="432" t="n">
        <x:f>IF(AND(ISNUMBER('Properties'!L96),'Properties'!L96&gt;0,ISNUMBER($M$18),$M$18&gt;0,'Properties'!L96&lt;=$M$18,OR(NOT(ISNUMBER($M$17)),'Properties'!L96&gt;=$M$17)),1,0)</x:f>
        <x:v>0</x:v>
      </x:c>
      <x:c r="F138" s="432" t="n">
        <x:f>IF($M$14="",1,IF('Properties'!E96=$M$14,1,0))</x:f>
        <x:v>1</x:v>
      </x:c>
      <x:c r="G138" s="432" t="n">
        <x:f>IF($M$15="",1,IF('Properties'!I96=$M$15,1,0))</x:f>
        <x:v>1</x:v>
      </x:c>
      <x:c r="H138" s="432" t="n">
        <x:f>IF(NOT(ISNUMBER($M$16)),1,IF(AND(ISNUMBER('Properties'!J96),'Properties'!J96=$M$16),1,0))</x:f>
        <x:v>1</x:v>
      </x:c>
      <x:c r="I138" s="432" t="n">
        <x:f>IF($M$19="",1,IF('Properties'!F96="",0,IF(ISNUMBER(SEARCH(","&amp;TRIM('Properties'!F96)&amp;",",","&amp;SUBSTITUTE(TRIM($M$19),", ",",")&amp;",")),1,0)))</x:f>
        <x:v>1</x:v>
      </x:c>
      <x:c r="J138" s="432" t="n">
        <x:f>IF($O$44=0,0,PRODUCT(C138:I138))</x:f>
        <x:v>0</x:v>
      </x:c>
      <x:c r="K138" s="432" t="str">
        <x:f>IF(J138=1,SUM($J$48:J138),"")</x:f>
      </x:c>
      <x:c r="L138" s="432"/>
      <x:c r="M138" s="432"/>
      <x:c r="N138" s="432" t="str">
        <x:f>IF('Clients'!A96="","",'Clients'!A96)</x:f>
      </x:c>
      <x:c r="O138" s="432" t="n">
        <x:f>IF(N138="",0,IF($B$6="",1,IF(ISNUMBER(SEARCH($B$6,'Clients'!A96&amp;" "&amp;'Clients'!B96&amp;" "&amp;'Clients'!C96&amp;" "&amp;'Clients'!D96)),1,0)))</x:f>
        <x:v>0</x:v>
      </x:c>
      <x:c r="P138" s="432" t="str">
        <x:f>IF(O138=1,SUM($O$48:O138),"")</x:f>
      </x:c>
      <x:c r="Q138" s="432"/>
    </x:row>
    <x:row r="139" ht="25" customHeight="1">
      <x:c r="A139" s="432"/>
      <x:c r="B139" s="432" t="str">
        <x:f>IF('Properties'!A97="","",'Properties'!A97)</x:f>
      </x:c>
      <x:c r="C139" s="432" t="n">
        <x:f>IF(AND(B139&lt;&gt;"",'Properties'!M97="Available"),1,0)</x:f>
        <x:v>0</x:v>
      </x:c>
      <x:c r="D139" s="432" t="n">
        <x:f>IF($M$13="Buy",IF('Properties'!D97="Sale",1,0),IF($M$13="Rent",IF('Properties'!D97="Rental",1,0),0))</x:f>
        <x:v>0</x:v>
      </x:c>
      <x:c r="E139" s="432" t="n">
        <x:f>IF(AND(ISNUMBER('Properties'!L97),'Properties'!L97&gt;0,ISNUMBER($M$18),$M$18&gt;0,'Properties'!L97&lt;=$M$18,OR(NOT(ISNUMBER($M$17)),'Properties'!L97&gt;=$M$17)),1,0)</x:f>
        <x:v>0</x:v>
      </x:c>
      <x:c r="F139" s="432" t="n">
        <x:f>IF($M$14="",1,IF('Properties'!E97=$M$14,1,0))</x:f>
        <x:v>1</x:v>
      </x:c>
      <x:c r="G139" s="432" t="n">
        <x:f>IF($M$15="",1,IF('Properties'!I97=$M$15,1,0))</x:f>
        <x:v>1</x:v>
      </x:c>
      <x:c r="H139" s="432" t="n">
        <x:f>IF(NOT(ISNUMBER($M$16)),1,IF(AND(ISNUMBER('Properties'!J97),'Properties'!J97=$M$16),1,0))</x:f>
        <x:v>1</x:v>
      </x:c>
      <x:c r="I139" s="432" t="n">
        <x:f>IF($M$19="",1,IF('Properties'!F97="",0,IF(ISNUMBER(SEARCH(","&amp;TRIM('Properties'!F97)&amp;",",","&amp;SUBSTITUTE(TRIM($M$19),", ",",")&amp;",")),1,0)))</x:f>
        <x:v>1</x:v>
      </x:c>
      <x:c r="J139" s="432" t="n">
        <x:f>IF($O$44=0,0,PRODUCT(C139:I139))</x:f>
        <x:v>0</x:v>
      </x:c>
      <x:c r="K139" s="432" t="str">
        <x:f>IF(J139=1,SUM($J$48:J139),"")</x:f>
      </x:c>
      <x:c r="L139" s="432"/>
      <x:c r="M139" s="432"/>
      <x:c r="N139" s="432" t="str">
        <x:f>IF('Clients'!A97="","",'Clients'!A97)</x:f>
      </x:c>
      <x:c r="O139" s="432" t="n">
        <x:f>IF(N139="",0,IF($B$6="",1,IF(ISNUMBER(SEARCH($B$6,'Clients'!A97&amp;" "&amp;'Clients'!B97&amp;" "&amp;'Clients'!C97&amp;" "&amp;'Clients'!D97)),1,0)))</x:f>
        <x:v>0</x:v>
      </x:c>
      <x:c r="P139" s="432" t="str">
        <x:f>IF(O139=1,SUM($O$48:O139),"")</x:f>
      </x:c>
      <x:c r="Q139" s="432"/>
    </x:row>
    <x:row r="140" ht="25" customHeight="1">
      <x:c r="A140" s="432"/>
      <x:c r="B140" s="432" t="str">
        <x:f>IF('Properties'!A98="","",'Properties'!A98)</x:f>
      </x:c>
      <x:c r="C140" s="432" t="n">
        <x:f>IF(AND(B140&lt;&gt;"",'Properties'!M98="Available"),1,0)</x:f>
        <x:v>0</x:v>
      </x:c>
      <x:c r="D140" s="432" t="n">
        <x:f>IF($M$13="Buy",IF('Properties'!D98="Sale",1,0),IF($M$13="Rent",IF('Properties'!D98="Rental",1,0),0))</x:f>
        <x:v>0</x:v>
      </x:c>
      <x:c r="E140" s="432" t="n">
        <x:f>IF(AND(ISNUMBER('Properties'!L98),'Properties'!L98&gt;0,ISNUMBER($M$18),$M$18&gt;0,'Properties'!L98&lt;=$M$18,OR(NOT(ISNUMBER($M$17)),'Properties'!L98&gt;=$M$17)),1,0)</x:f>
        <x:v>0</x:v>
      </x:c>
      <x:c r="F140" s="432" t="n">
        <x:f>IF($M$14="",1,IF('Properties'!E98=$M$14,1,0))</x:f>
        <x:v>1</x:v>
      </x:c>
      <x:c r="G140" s="432" t="n">
        <x:f>IF($M$15="",1,IF('Properties'!I98=$M$15,1,0))</x:f>
        <x:v>1</x:v>
      </x:c>
      <x:c r="H140" s="432" t="n">
        <x:f>IF(NOT(ISNUMBER($M$16)),1,IF(AND(ISNUMBER('Properties'!J98),'Properties'!J98=$M$16),1,0))</x:f>
        <x:v>1</x:v>
      </x:c>
      <x:c r="I140" s="432" t="n">
        <x:f>IF($M$19="",1,IF('Properties'!F98="",0,IF(ISNUMBER(SEARCH(","&amp;TRIM('Properties'!F98)&amp;",",","&amp;SUBSTITUTE(TRIM($M$19),", ",",")&amp;",")),1,0)))</x:f>
        <x:v>1</x:v>
      </x:c>
      <x:c r="J140" s="432" t="n">
        <x:f>IF($O$44=0,0,PRODUCT(C140:I140))</x:f>
        <x:v>0</x:v>
      </x:c>
      <x:c r="K140" s="432" t="str">
        <x:f>IF(J140=1,SUM($J$48:J140),"")</x:f>
      </x:c>
      <x:c r="L140" s="432"/>
      <x:c r="M140" s="432"/>
      <x:c r="N140" s="432" t="str">
        <x:f>IF('Clients'!A98="","",'Clients'!A98)</x:f>
      </x:c>
      <x:c r="O140" s="432" t="n">
        <x:f>IF(N140="",0,IF($B$6="",1,IF(ISNUMBER(SEARCH($B$6,'Clients'!A98&amp;" "&amp;'Clients'!B98&amp;" "&amp;'Clients'!C98&amp;" "&amp;'Clients'!D98)),1,0)))</x:f>
        <x:v>0</x:v>
      </x:c>
      <x:c r="P140" s="432" t="str">
        <x:f>IF(O140=1,SUM($O$48:O140),"")</x:f>
      </x:c>
      <x:c r="Q140" s="432"/>
    </x:row>
    <x:row r="141" ht="25" customHeight="1">
      <x:c r="A141" s="432"/>
      <x:c r="B141" s="432" t="str">
        <x:f>IF('Properties'!A99="","",'Properties'!A99)</x:f>
      </x:c>
      <x:c r="C141" s="432" t="n">
        <x:f>IF(AND(B141&lt;&gt;"",'Properties'!M99="Available"),1,0)</x:f>
        <x:v>0</x:v>
      </x:c>
      <x:c r="D141" s="432" t="n">
        <x:f>IF($M$13="Buy",IF('Properties'!D99="Sale",1,0),IF($M$13="Rent",IF('Properties'!D99="Rental",1,0),0))</x:f>
        <x:v>0</x:v>
      </x:c>
      <x:c r="E141" s="432" t="n">
        <x:f>IF(AND(ISNUMBER('Properties'!L99),'Properties'!L99&gt;0,ISNUMBER($M$18),$M$18&gt;0,'Properties'!L99&lt;=$M$18,OR(NOT(ISNUMBER($M$17)),'Properties'!L99&gt;=$M$17)),1,0)</x:f>
        <x:v>0</x:v>
      </x:c>
      <x:c r="F141" s="432" t="n">
        <x:f>IF($M$14="",1,IF('Properties'!E99=$M$14,1,0))</x:f>
        <x:v>1</x:v>
      </x:c>
      <x:c r="G141" s="432" t="n">
        <x:f>IF($M$15="",1,IF('Properties'!I99=$M$15,1,0))</x:f>
        <x:v>1</x:v>
      </x:c>
      <x:c r="H141" s="432" t="n">
        <x:f>IF(NOT(ISNUMBER($M$16)),1,IF(AND(ISNUMBER('Properties'!J99),'Properties'!J99=$M$16),1,0))</x:f>
        <x:v>1</x:v>
      </x:c>
      <x:c r="I141" s="432" t="n">
        <x:f>IF($M$19="",1,IF('Properties'!F99="",0,IF(ISNUMBER(SEARCH(","&amp;TRIM('Properties'!F99)&amp;",",","&amp;SUBSTITUTE(TRIM($M$19),", ",",")&amp;",")),1,0)))</x:f>
        <x:v>1</x:v>
      </x:c>
      <x:c r="J141" s="432" t="n">
        <x:f>IF($O$44=0,0,PRODUCT(C141:I141))</x:f>
        <x:v>0</x:v>
      </x:c>
      <x:c r="K141" s="432" t="str">
        <x:f>IF(J141=1,SUM($J$48:J141),"")</x:f>
      </x:c>
      <x:c r="L141" s="432"/>
      <x:c r="M141" s="432"/>
      <x:c r="N141" s="432" t="str">
        <x:f>IF('Clients'!A99="","",'Clients'!A99)</x:f>
      </x:c>
      <x:c r="O141" s="432" t="n">
        <x:f>IF(N141="",0,IF($B$6="",1,IF(ISNUMBER(SEARCH($B$6,'Clients'!A99&amp;" "&amp;'Clients'!B99&amp;" "&amp;'Clients'!C99&amp;" "&amp;'Clients'!D99)),1,0)))</x:f>
        <x:v>0</x:v>
      </x:c>
      <x:c r="P141" s="432" t="str">
        <x:f>IF(O141=1,SUM($O$48:O141),"")</x:f>
      </x:c>
      <x:c r="Q141" s="432"/>
    </x:row>
    <x:row r="142" ht="25" customHeight="1">
      <x:c r="A142" s="432"/>
      <x:c r="B142" s="432" t="str">
        <x:f>IF('Properties'!A100="","",'Properties'!A100)</x:f>
      </x:c>
      <x:c r="C142" s="432" t="n">
        <x:f>IF(AND(B142&lt;&gt;"",'Properties'!M100="Available"),1,0)</x:f>
        <x:v>0</x:v>
      </x:c>
      <x:c r="D142" s="432" t="n">
        <x:f>IF($M$13="Buy",IF('Properties'!D100="Sale",1,0),IF($M$13="Rent",IF('Properties'!D100="Rental",1,0),0))</x:f>
        <x:v>0</x:v>
      </x:c>
      <x:c r="E142" s="432" t="n">
        <x:f>IF(AND(ISNUMBER('Properties'!L100),'Properties'!L100&gt;0,ISNUMBER($M$18),$M$18&gt;0,'Properties'!L100&lt;=$M$18,OR(NOT(ISNUMBER($M$17)),'Properties'!L100&gt;=$M$17)),1,0)</x:f>
        <x:v>0</x:v>
      </x:c>
      <x:c r="F142" s="432" t="n">
        <x:f>IF($M$14="",1,IF('Properties'!E100=$M$14,1,0))</x:f>
        <x:v>1</x:v>
      </x:c>
      <x:c r="G142" s="432" t="n">
        <x:f>IF($M$15="",1,IF('Properties'!I100=$M$15,1,0))</x:f>
        <x:v>1</x:v>
      </x:c>
      <x:c r="H142" s="432" t="n">
        <x:f>IF(NOT(ISNUMBER($M$16)),1,IF(AND(ISNUMBER('Properties'!J100),'Properties'!J100=$M$16),1,0))</x:f>
        <x:v>1</x:v>
      </x:c>
      <x:c r="I142" s="432" t="n">
        <x:f>IF($M$19="",1,IF('Properties'!F100="",0,IF(ISNUMBER(SEARCH(","&amp;TRIM('Properties'!F100)&amp;",",","&amp;SUBSTITUTE(TRIM($M$19),", ",",")&amp;",")),1,0)))</x:f>
        <x:v>1</x:v>
      </x:c>
      <x:c r="J142" s="432" t="n">
        <x:f>IF($O$44=0,0,PRODUCT(C142:I142))</x:f>
        <x:v>0</x:v>
      </x:c>
      <x:c r="K142" s="432" t="str">
        <x:f>IF(J142=1,SUM($J$48:J142),"")</x:f>
      </x:c>
      <x:c r="L142" s="432"/>
      <x:c r="M142" s="432"/>
      <x:c r="N142" s="432" t="str">
        <x:f>IF('Clients'!A100="","",'Clients'!A100)</x:f>
      </x:c>
      <x:c r="O142" s="432" t="n">
        <x:f>IF(N142="",0,IF($B$6="",1,IF(ISNUMBER(SEARCH($B$6,'Clients'!A100&amp;" "&amp;'Clients'!B100&amp;" "&amp;'Clients'!C100&amp;" "&amp;'Clients'!D100)),1,0)))</x:f>
        <x:v>0</x:v>
      </x:c>
      <x:c r="P142" s="432" t="str">
        <x:f>IF(O142=1,SUM($O$48:O142),"")</x:f>
      </x:c>
      <x:c r="Q142" s="432"/>
    </x:row>
    <x:row r="143" ht="25" customHeight="1">
      <x:c r="A143" s="432"/>
      <x:c r="B143" s="432" t="str">
        <x:f>IF('Properties'!A101="","",'Properties'!A101)</x:f>
      </x:c>
      <x:c r="C143" s="432" t="n">
        <x:f>IF(AND(B143&lt;&gt;"",'Properties'!M101="Available"),1,0)</x:f>
        <x:v>0</x:v>
      </x:c>
      <x:c r="D143" s="432" t="n">
        <x:f>IF($M$13="Buy",IF('Properties'!D101="Sale",1,0),IF($M$13="Rent",IF('Properties'!D101="Rental",1,0),0))</x:f>
        <x:v>0</x:v>
      </x:c>
      <x:c r="E143" s="432" t="n">
        <x:f>IF(AND(ISNUMBER('Properties'!L101),'Properties'!L101&gt;0,ISNUMBER($M$18),$M$18&gt;0,'Properties'!L101&lt;=$M$18,OR(NOT(ISNUMBER($M$17)),'Properties'!L101&gt;=$M$17)),1,0)</x:f>
        <x:v>0</x:v>
      </x:c>
      <x:c r="F143" s="432" t="n">
        <x:f>IF($M$14="",1,IF('Properties'!E101=$M$14,1,0))</x:f>
        <x:v>1</x:v>
      </x:c>
      <x:c r="G143" s="432" t="n">
        <x:f>IF($M$15="",1,IF('Properties'!I101=$M$15,1,0))</x:f>
        <x:v>1</x:v>
      </x:c>
      <x:c r="H143" s="432" t="n">
        <x:f>IF(NOT(ISNUMBER($M$16)),1,IF(AND(ISNUMBER('Properties'!J101),'Properties'!J101=$M$16),1,0))</x:f>
        <x:v>1</x:v>
      </x:c>
      <x:c r="I143" s="432" t="n">
        <x:f>IF($M$19="",1,IF('Properties'!F101="",0,IF(ISNUMBER(SEARCH(","&amp;TRIM('Properties'!F101)&amp;",",","&amp;SUBSTITUTE(TRIM($M$19),", ",",")&amp;",")),1,0)))</x:f>
        <x:v>1</x:v>
      </x:c>
      <x:c r="J143" s="432" t="n">
        <x:f>IF($O$44=0,0,PRODUCT(C143:I143))</x:f>
        <x:v>0</x:v>
      </x:c>
      <x:c r="K143" s="432" t="str">
        <x:f>IF(J143=1,SUM($J$48:J143),"")</x:f>
      </x:c>
      <x:c r="L143" s="432"/>
      <x:c r="M143" s="432"/>
      <x:c r="N143" s="432" t="str">
        <x:f>IF('Clients'!A101="","",'Clients'!A101)</x:f>
      </x:c>
      <x:c r="O143" s="432" t="n">
        <x:f>IF(N143="",0,IF($B$6="",1,IF(ISNUMBER(SEARCH($B$6,'Clients'!A101&amp;" "&amp;'Clients'!B101&amp;" "&amp;'Clients'!C101&amp;" "&amp;'Clients'!D101)),1,0)))</x:f>
        <x:v>0</x:v>
      </x:c>
      <x:c r="P143" s="432" t="str">
        <x:f>IF(O143=1,SUM($O$48:O143),"")</x:f>
      </x:c>
      <x:c r="Q143" s="432"/>
    </x:row>
    <x:row r="144" ht="25" customHeight="1">
      <x:c r="A144" s="432"/>
      <x:c r="B144" s="432" t="str">
        <x:f>IF('Properties'!A102="","",'Properties'!A102)</x:f>
      </x:c>
      <x:c r="C144" s="432" t="n">
        <x:f>IF(AND(B144&lt;&gt;"",'Properties'!M102="Available"),1,0)</x:f>
        <x:v>0</x:v>
      </x:c>
      <x:c r="D144" s="432" t="n">
        <x:f>IF($M$13="Buy",IF('Properties'!D102="Sale",1,0),IF($M$13="Rent",IF('Properties'!D102="Rental",1,0),0))</x:f>
        <x:v>0</x:v>
      </x:c>
      <x:c r="E144" s="432" t="n">
        <x:f>IF(AND(ISNUMBER('Properties'!L102),'Properties'!L102&gt;0,ISNUMBER($M$18),$M$18&gt;0,'Properties'!L102&lt;=$M$18,OR(NOT(ISNUMBER($M$17)),'Properties'!L102&gt;=$M$17)),1,0)</x:f>
        <x:v>0</x:v>
      </x:c>
      <x:c r="F144" s="432" t="n">
        <x:f>IF($M$14="",1,IF('Properties'!E102=$M$14,1,0))</x:f>
        <x:v>1</x:v>
      </x:c>
      <x:c r="G144" s="432" t="n">
        <x:f>IF($M$15="",1,IF('Properties'!I102=$M$15,1,0))</x:f>
        <x:v>1</x:v>
      </x:c>
      <x:c r="H144" s="432" t="n">
        <x:f>IF(NOT(ISNUMBER($M$16)),1,IF(AND(ISNUMBER('Properties'!J102),'Properties'!J102=$M$16),1,0))</x:f>
        <x:v>1</x:v>
      </x:c>
      <x:c r="I144" s="432" t="n">
        <x:f>IF($M$19="",1,IF('Properties'!F102="",0,IF(ISNUMBER(SEARCH(","&amp;TRIM('Properties'!F102)&amp;",",","&amp;SUBSTITUTE(TRIM($M$19),", ",",")&amp;",")),1,0)))</x:f>
        <x:v>1</x:v>
      </x:c>
      <x:c r="J144" s="432" t="n">
        <x:f>IF($O$44=0,0,PRODUCT(C144:I144))</x:f>
        <x:v>0</x:v>
      </x:c>
      <x:c r="K144" s="432" t="str">
        <x:f>IF(J144=1,SUM($J$48:J144),"")</x:f>
      </x:c>
      <x:c r="L144" s="432"/>
      <x:c r="M144" s="432"/>
      <x:c r="N144" s="432" t="str">
        <x:f>IF('Clients'!A102="","",'Clients'!A102)</x:f>
      </x:c>
      <x:c r="O144" s="432" t="n">
        <x:f>IF(N144="",0,IF($B$6="",1,IF(ISNUMBER(SEARCH($B$6,'Clients'!A102&amp;" "&amp;'Clients'!B102&amp;" "&amp;'Clients'!C102&amp;" "&amp;'Clients'!D102)),1,0)))</x:f>
        <x:v>0</x:v>
      </x:c>
      <x:c r="P144" s="432" t="str">
        <x:f>IF(O144=1,SUM($O$48:O144),"")</x:f>
      </x:c>
      <x:c r="Q144" s="432"/>
    </x:row>
    <x:row r="145" ht="25" customHeight="1">
      <x:c r="A145" s="432"/>
      <x:c r="B145" s="432" t="str">
        <x:f>IF('Properties'!A103="","",'Properties'!A103)</x:f>
      </x:c>
      <x:c r="C145" s="432" t="n">
        <x:f>IF(AND(B145&lt;&gt;"",'Properties'!M103="Available"),1,0)</x:f>
        <x:v>0</x:v>
      </x:c>
      <x:c r="D145" s="432" t="n">
        <x:f>IF($M$13="Buy",IF('Properties'!D103="Sale",1,0),IF($M$13="Rent",IF('Properties'!D103="Rental",1,0),0))</x:f>
        <x:v>0</x:v>
      </x:c>
      <x:c r="E145" s="432" t="n">
        <x:f>IF(AND(ISNUMBER('Properties'!L103),'Properties'!L103&gt;0,ISNUMBER($M$18),$M$18&gt;0,'Properties'!L103&lt;=$M$18,OR(NOT(ISNUMBER($M$17)),'Properties'!L103&gt;=$M$17)),1,0)</x:f>
        <x:v>0</x:v>
      </x:c>
      <x:c r="F145" s="432" t="n">
        <x:f>IF($M$14="",1,IF('Properties'!E103=$M$14,1,0))</x:f>
        <x:v>1</x:v>
      </x:c>
      <x:c r="G145" s="432" t="n">
        <x:f>IF($M$15="",1,IF('Properties'!I103=$M$15,1,0))</x:f>
        <x:v>1</x:v>
      </x:c>
      <x:c r="H145" s="432" t="n">
        <x:f>IF(NOT(ISNUMBER($M$16)),1,IF(AND(ISNUMBER('Properties'!J103),'Properties'!J103=$M$16),1,0))</x:f>
        <x:v>1</x:v>
      </x:c>
      <x:c r="I145" s="432" t="n">
        <x:f>IF($M$19="",1,IF('Properties'!F103="",0,IF(ISNUMBER(SEARCH(","&amp;TRIM('Properties'!F103)&amp;",",","&amp;SUBSTITUTE(TRIM($M$19),", ",",")&amp;",")),1,0)))</x:f>
        <x:v>1</x:v>
      </x:c>
      <x:c r="J145" s="432" t="n">
        <x:f>IF($O$44=0,0,PRODUCT(C145:I145))</x:f>
        <x:v>0</x:v>
      </x:c>
      <x:c r="K145" s="432" t="str">
        <x:f>IF(J145=1,SUM($J$48:J145),"")</x:f>
      </x:c>
      <x:c r="L145" s="432"/>
      <x:c r="M145" s="432"/>
      <x:c r="N145" s="432" t="str">
        <x:f>IF('Clients'!A103="","",'Clients'!A103)</x:f>
      </x:c>
      <x:c r="O145" s="432" t="n">
        <x:f>IF(N145="",0,IF($B$6="",1,IF(ISNUMBER(SEARCH($B$6,'Clients'!A103&amp;" "&amp;'Clients'!B103&amp;" "&amp;'Clients'!C103&amp;" "&amp;'Clients'!D103)),1,0)))</x:f>
        <x:v>0</x:v>
      </x:c>
      <x:c r="P145" s="432" t="str">
        <x:f>IF(O145=1,SUM($O$48:O145),"")</x:f>
      </x:c>
      <x:c r="Q145" s="432"/>
    </x:row>
    <x:row r="146" ht="25" customHeight="1">
      <x:c r="A146" s="432"/>
      <x:c r="B146" s="432" t="str">
        <x:f>IF('Properties'!A104="","",'Properties'!A104)</x:f>
      </x:c>
      <x:c r="C146" s="432" t="n">
        <x:f>IF(AND(B146&lt;&gt;"",'Properties'!M104="Available"),1,0)</x:f>
        <x:v>0</x:v>
      </x:c>
      <x:c r="D146" s="432" t="n">
        <x:f>IF($M$13="Buy",IF('Properties'!D104="Sale",1,0),IF($M$13="Rent",IF('Properties'!D104="Rental",1,0),0))</x:f>
        <x:v>0</x:v>
      </x:c>
      <x:c r="E146" s="432" t="n">
        <x:f>IF(AND(ISNUMBER('Properties'!L104),'Properties'!L104&gt;0,ISNUMBER($M$18),$M$18&gt;0,'Properties'!L104&lt;=$M$18,OR(NOT(ISNUMBER($M$17)),'Properties'!L104&gt;=$M$17)),1,0)</x:f>
        <x:v>0</x:v>
      </x:c>
      <x:c r="F146" s="432" t="n">
        <x:f>IF($M$14="",1,IF('Properties'!E104=$M$14,1,0))</x:f>
        <x:v>1</x:v>
      </x:c>
      <x:c r="G146" s="432" t="n">
        <x:f>IF($M$15="",1,IF('Properties'!I104=$M$15,1,0))</x:f>
        <x:v>1</x:v>
      </x:c>
      <x:c r="H146" s="432" t="n">
        <x:f>IF(NOT(ISNUMBER($M$16)),1,IF(AND(ISNUMBER('Properties'!J104),'Properties'!J104=$M$16),1,0))</x:f>
        <x:v>1</x:v>
      </x:c>
      <x:c r="I146" s="432" t="n">
        <x:f>IF($M$19="",1,IF('Properties'!F104="",0,IF(ISNUMBER(SEARCH(","&amp;TRIM('Properties'!F104)&amp;",",","&amp;SUBSTITUTE(TRIM($M$19),", ",",")&amp;",")),1,0)))</x:f>
        <x:v>1</x:v>
      </x:c>
      <x:c r="J146" s="432" t="n">
        <x:f>IF($O$44=0,0,PRODUCT(C146:I146))</x:f>
        <x:v>0</x:v>
      </x:c>
      <x:c r="K146" s="432" t="str">
        <x:f>IF(J146=1,SUM($J$48:J146),"")</x:f>
      </x:c>
      <x:c r="L146" s="432"/>
      <x:c r="M146" s="432"/>
      <x:c r="N146" s="432" t="str">
        <x:f>IF('Clients'!A104="","",'Clients'!A104)</x:f>
      </x:c>
      <x:c r="O146" s="432" t="n">
        <x:f>IF(N146="",0,IF($B$6="",1,IF(ISNUMBER(SEARCH($B$6,'Clients'!A104&amp;" "&amp;'Clients'!B104&amp;" "&amp;'Clients'!C104&amp;" "&amp;'Clients'!D104)),1,0)))</x:f>
        <x:v>0</x:v>
      </x:c>
      <x:c r="P146" s="432" t="str">
        <x:f>IF(O146=1,SUM($O$48:O146),"")</x:f>
      </x:c>
      <x:c r="Q146" s="432"/>
    </x:row>
    <x:row r="147" ht="25" customHeight="1">
      <x:c r="A147" s="432"/>
      <x:c r="B147" s="432" t="str">
        <x:f>IF('Properties'!A105="","",'Properties'!A105)</x:f>
      </x:c>
      <x:c r="C147" s="432" t="n">
        <x:f>IF(AND(B147&lt;&gt;"",'Properties'!M105="Available"),1,0)</x:f>
        <x:v>0</x:v>
      </x:c>
      <x:c r="D147" s="432" t="n">
        <x:f>IF($M$13="Buy",IF('Properties'!D105="Sale",1,0),IF($M$13="Rent",IF('Properties'!D105="Rental",1,0),0))</x:f>
        <x:v>0</x:v>
      </x:c>
      <x:c r="E147" s="432" t="n">
        <x:f>IF(AND(ISNUMBER('Properties'!L105),'Properties'!L105&gt;0,ISNUMBER($M$18),$M$18&gt;0,'Properties'!L105&lt;=$M$18,OR(NOT(ISNUMBER($M$17)),'Properties'!L105&gt;=$M$17)),1,0)</x:f>
        <x:v>0</x:v>
      </x:c>
      <x:c r="F147" s="432" t="n">
        <x:f>IF($M$14="",1,IF('Properties'!E105=$M$14,1,0))</x:f>
        <x:v>1</x:v>
      </x:c>
      <x:c r="G147" s="432" t="n">
        <x:f>IF($M$15="",1,IF('Properties'!I105=$M$15,1,0))</x:f>
        <x:v>1</x:v>
      </x:c>
      <x:c r="H147" s="432" t="n">
        <x:f>IF(NOT(ISNUMBER($M$16)),1,IF(AND(ISNUMBER('Properties'!J105),'Properties'!J105=$M$16),1,0))</x:f>
        <x:v>1</x:v>
      </x:c>
      <x:c r="I147" s="432" t="n">
        <x:f>IF($M$19="",1,IF('Properties'!F105="",0,IF(ISNUMBER(SEARCH(","&amp;TRIM('Properties'!F105)&amp;",",","&amp;SUBSTITUTE(TRIM($M$19),", ",",")&amp;",")),1,0)))</x:f>
        <x:v>1</x:v>
      </x:c>
      <x:c r="J147" s="432" t="n">
        <x:f>IF($O$44=0,0,PRODUCT(C147:I147))</x:f>
        <x:v>0</x:v>
      </x:c>
      <x:c r="K147" s="432" t="str">
        <x:f>IF(J147=1,SUM($J$48:J147),"")</x:f>
      </x:c>
      <x:c r="L147" s="432"/>
      <x:c r="M147" s="432"/>
      <x:c r="N147" s="432" t="str">
        <x:f>IF('Clients'!A105="","",'Clients'!A105)</x:f>
      </x:c>
      <x:c r="O147" s="432" t="n">
        <x:f>IF(N147="",0,IF($B$6="",1,IF(ISNUMBER(SEARCH($B$6,'Clients'!A105&amp;" "&amp;'Clients'!B105&amp;" "&amp;'Clients'!C105&amp;" "&amp;'Clients'!D105)),1,0)))</x:f>
        <x:v>0</x:v>
      </x:c>
      <x:c r="P147" s="432" t="str">
        <x:f>IF(O147=1,SUM($O$48:O147),"")</x:f>
      </x:c>
      <x:c r="Q147" s="432"/>
    </x:row>
    <x:row r="148" ht="25" customHeight="1">
      <x:c r="A148" s="432"/>
      <x:c r="B148" s="432" t="str">
        <x:f>IF('Properties'!A106="","",'Properties'!A106)</x:f>
      </x:c>
      <x:c r="C148" s="432" t="n">
        <x:f>IF(AND(B148&lt;&gt;"",'Properties'!M106="Available"),1,0)</x:f>
        <x:v>0</x:v>
      </x:c>
      <x:c r="D148" s="432" t="n">
        <x:f>IF($M$13="Buy",IF('Properties'!D106="Sale",1,0),IF($M$13="Rent",IF('Properties'!D106="Rental",1,0),0))</x:f>
        <x:v>0</x:v>
      </x:c>
      <x:c r="E148" s="432" t="n">
        <x:f>IF(AND(ISNUMBER('Properties'!L106),'Properties'!L106&gt;0,ISNUMBER($M$18),$M$18&gt;0,'Properties'!L106&lt;=$M$18,OR(NOT(ISNUMBER($M$17)),'Properties'!L106&gt;=$M$17)),1,0)</x:f>
        <x:v>0</x:v>
      </x:c>
      <x:c r="F148" s="432" t="n">
        <x:f>IF($M$14="",1,IF('Properties'!E106=$M$14,1,0))</x:f>
        <x:v>1</x:v>
      </x:c>
      <x:c r="G148" s="432" t="n">
        <x:f>IF($M$15="",1,IF('Properties'!I106=$M$15,1,0))</x:f>
        <x:v>1</x:v>
      </x:c>
      <x:c r="H148" s="432" t="n">
        <x:f>IF(NOT(ISNUMBER($M$16)),1,IF(AND(ISNUMBER('Properties'!J106),'Properties'!J106=$M$16),1,0))</x:f>
        <x:v>1</x:v>
      </x:c>
      <x:c r="I148" s="432" t="n">
        <x:f>IF($M$19="",1,IF('Properties'!F106="",0,IF(ISNUMBER(SEARCH(","&amp;TRIM('Properties'!F106)&amp;",",","&amp;SUBSTITUTE(TRIM($M$19),", ",",")&amp;",")),1,0)))</x:f>
        <x:v>1</x:v>
      </x:c>
      <x:c r="J148" s="432" t="n">
        <x:f>IF($O$44=0,0,PRODUCT(C148:I148))</x:f>
        <x:v>0</x:v>
      </x:c>
      <x:c r="K148" s="432" t="str">
        <x:f>IF(J148=1,SUM($J$48:J148),"")</x:f>
      </x:c>
      <x:c r="L148" s="432"/>
      <x:c r="M148" s="432"/>
      <x:c r="N148" s="432" t="str">
        <x:f>IF('Clients'!A106="","",'Clients'!A106)</x:f>
      </x:c>
      <x:c r="O148" s="432" t="n">
        <x:f>IF(N148="",0,IF($B$6="",1,IF(ISNUMBER(SEARCH($B$6,'Clients'!A106&amp;" "&amp;'Clients'!B106&amp;" "&amp;'Clients'!C106&amp;" "&amp;'Clients'!D106)),1,0)))</x:f>
        <x:v>0</x:v>
      </x:c>
      <x:c r="P148" s="432" t="str">
        <x:f>IF(O148=1,SUM($O$48:O148),"")</x:f>
      </x:c>
      <x:c r="Q148" s="432"/>
    </x:row>
    <x:row r="149" ht="25" customHeight="1">
      <x:c r="A149" s="432"/>
      <x:c r="B149" s="432" t="str">
        <x:f>IF('Properties'!A107="","",'Properties'!A107)</x:f>
      </x:c>
      <x:c r="C149" s="432" t="n">
        <x:f>IF(AND(B149&lt;&gt;"",'Properties'!M107="Available"),1,0)</x:f>
        <x:v>0</x:v>
      </x:c>
      <x:c r="D149" s="432" t="n">
        <x:f>IF($M$13="Buy",IF('Properties'!D107="Sale",1,0),IF($M$13="Rent",IF('Properties'!D107="Rental",1,0),0))</x:f>
        <x:v>0</x:v>
      </x:c>
      <x:c r="E149" s="432" t="n">
        <x:f>IF(AND(ISNUMBER('Properties'!L107),'Properties'!L107&gt;0,ISNUMBER($M$18),$M$18&gt;0,'Properties'!L107&lt;=$M$18,OR(NOT(ISNUMBER($M$17)),'Properties'!L107&gt;=$M$17)),1,0)</x:f>
        <x:v>0</x:v>
      </x:c>
      <x:c r="F149" s="432" t="n">
        <x:f>IF($M$14="",1,IF('Properties'!E107=$M$14,1,0))</x:f>
        <x:v>1</x:v>
      </x:c>
      <x:c r="G149" s="432" t="n">
        <x:f>IF($M$15="",1,IF('Properties'!I107=$M$15,1,0))</x:f>
        <x:v>1</x:v>
      </x:c>
      <x:c r="H149" s="432" t="n">
        <x:f>IF(NOT(ISNUMBER($M$16)),1,IF(AND(ISNUMBER('Properties'!J107),'Properties'!J107=$M$16),1,0))</x:f>
        <x:v>1</x:v>
      </x:c>
      <x:c r="I149" s="432" t="n">
        <x:f>IF($M$19="",1,IF('Properties'!F107="",0,IF(ISNUMBER(SEARCH(","&amp;TRIM('Properties'!F107)&amp;",",","&amp;SUBSTITUTE(TRIM($M$19),", ",",")&amp;",")),1,0)))</x:f>
        <x:v>1</x:v>
      </x:c>
      <x:c r="J149" s="432" t="n">
        <x:f>IF($O$44=0,0,PRODUCT(C149:I149))</x:f>
        <x:v>0</x:v>
      </x:c>
      <x:c r="K149" s="432" t="str">
        <x:f>IF(J149=1,SUM($J$48:J149),"")</x:f>
      </x:c>
      <x:c r="L149" s="432"/>
      <x:c r="M149" s="432"/>
      <x:c r="N149" s="432" t="str">
        <x:f>IF('Clients'!A107="","",'Clients'!A107)</x:f>
      </x:c>
      <x:c r="O149" s="432" t="n">
        <x:f>IF(N149="",0,IF($B$6="",1,IF(ISNUMBER(SEARCH($B$6,'Clients'!A107&amp;" "&amp;'Clients'!B107&amp;" "&amp;'Clients'!C107&amp;" "&amp;'Clients'!D107)),1,0)))</x:f>
        <x:v>0</x:v>
      </x:c>
      <x:c r="P149" s="432" t="str">
        <x:f>IF(O149=1,SUM($O$48:O149),"")</x:f>
      </x:c>
      <x:c r="Q149" s="432"/>
    </x:row>
    <x:row r="150" ht="25" customHeight="1">
      <x:c r="A150" s="432"/>
      <x:c r="B150" s="432" t="str">
        <x:f>IF('Properties'!A108="","",'Properties'!A108)</x:f>
      </x:c>
      <x:c r="C150" s="432" t="n">
        <x:f>IF(AND(B150&lt;&gt;"",'Properties'!M108="Available"),1,0)</x:f>
        <x:v>0</x:v>
      </x:c>
      <x:c r="D150" s="432" t="n">
        <x:f>IF($M$13="Buy",IF('Properties'!D108="Sale",1,0),IF($M$13="Rent",IF('Properties'!D108="Rental",1,0),0))</x:f>
        <x:v>0</x:v>
      </x:c>
      <x:c r="E150" s="432" t="n">
        <x:f>IF(AND(ISNUMBER('Properties'!L108),'Properties'!L108&gt;0,ISNUMBER($M$18),$M$18&gt;0,'Properties'!L108&lt;=$M$18,OR(NOT(ISNUMBER($M$17)),'Properties'!L108&gt;=$M$17)),1,0)</x:f>
        <x:v>0</x:v>
      </x:c>
      <x:c r="F150" s="432" t="n">
        <x:f>IF($M$14="",1,IF('Properties'!E108=$M$14,1,0))</x:f>
        <x:v>1</x:v>
      </x:c>
      <x:c r="G150" s="432" t="n">
        <x:f>IF($M$15="",1,IF('Properties'!I108=$M$15,1,0))</x:f>
        <x:v>1</x:v>
      </x:c>
      <x:c r="H150" s="432" t="n">
        <x:f>IF(NOT(ISNUMBER($M$16)),1,IF(AND(ISNUMBER('Properties'!J108),'Properties'!J108=$M$16),1,0))</x:f>
        <x:v>1</x:v>
      </x:c>
      <x:c r="I150" s="432" t="n">
        <x:f>IF($M$19="",1,IF('Properties'!F108="",0,IF(ISNUMBER(SEARCH(","&amp;TRIM('Properties'!F108)&amp;",",","&amp;SUBSTITUTE(TRIM($M$19),", ",",")&amp;",")),1,0)))</x:f>
        <x:v>1</x:v>
      </x:c>
      <x:c r="J150" s="432" t="n">
        <x:f>IF($O$44=0,0,PRODUCT(C150:I150))</x:f>
        <x:v>0</x:v>
      </x:c>
      <x:c r="K150" s="432" t="str">
        <x:f>IF(J150=1,SUM($J$48:J150),"")</x:f>
      </x:c>
      <x:c r="L150" s="432"/>
      <x:c r="M150" s="432"/>
      <x:c r="N150" s="432" t="str">
        <x:f>IF('Clients'!A108="","",'Clients'!A108)</x:f>
      </x:c>
      <x:c r="O150" s="432" t="n">
        <x:f>IF(N150="",0,IF($B$6="",1,IF(ISNUMBER(SEARCH($B$6,'Clients'!A108&amp;" "&amp;'Clients'!B108&amp;" "&amp;'Clients'!C108&amp;" "&amp;'Clients'!D108)),1,0)))</x:f>
        <x:v>0</x:v>
      </x:c>
      <x:c r="P150" s="432" t="str">
        <x:f>IF(O150=1,SUM($O$48:O150),"")</x:f>
      </x:c>
      <x:c r="Q150" s="432"/>
    </x:row>
    <x:row r="151" ht="25" customHeight="1">
      <x:c r="A151" s="432"/>
      <x:c r="B151" s="432" t="str">
        <x:f>IF('Properties'!A109="","",'Properties'!A109)</x:f>
      </x:c>
      <x:c r="C151" s="432" t="n">
        <x:f>IF(AND(B151&lt;&gt;"",'Properties'!M109="Available"),1,0)</x:f>
        <x:v>0</x:v>
      </x:c>
      <x:c r="D151" s="432" t="n">
        <x:f>IF($M$13="Buy",IF('Properties'!D109="Sale",1,0),IF($M$13="Rent",IF('Properties'!D109="Rental",1,0),0))</x:f>
        <x:v>0</x:v>
      </x:c>
      <x:c r="E151" s="432" t="n">
        <x:f>IF(AND(ISNUMBER('Properties'!L109),'Properties'!L109&gt;0,ISNUMBER($M$18),$M$18&gt;0,'Properties'!L109&lt;=$M$18,OR(NOT(ISNUMBER($M$17)),'Properties'!L109&gt;=$M$17)),1,0)</x:f>
        <x:v>0</x:v>
      </x:c>
      <x:c r="F151" s="432" t="n">
        <x:f>IF($M$14="",1,IF('Properties'!E109=$M$14,1,0))</x:f>
        <x:v>1</x:v>
      </x:c>
      <x:c r="G151" s="432" t="n">
        <x:f>IF($M$15="",1,IF('Properties'!I109=$M$15,1,0))</x:f>
        <x:v>1</x:v>
      </x:c>
      <x:c r="H151" s="432" t="n">
        <x:f>IF(NOT(ISNUMBER($M$16)),1,IF(AND(ISNUMBER('Properties'!J109),'Properties'!J109=$M$16),1,0))</x:f>
        <x:v>1</x:v>
      </x:c>
      <x:c r="I151" s="432" t="n">
        <x:f>IF($M$19="",1,IF('Properties'!F109="",0,IF(ISNUMBER(SEARCH(","&amp;TRIM('Properties'!F109)&amp;",",","&amp;SUBSTITUTE(TRIM($M$19),", ",",")&amp;",")),1,0)))</x:f>
        <x:v>1</x:v>
      </x:c>
      <x:c r="J151" s="432" t="n">
        <x:f>IF($O$44=0,0,PRODUCT(C151:I151))</x:f>
        <x:v>0</x:v>
      </x:c>
      <x:c r="K151" s="432" t="str">
        <x:f>IF(J151=1,SUM($J$48:J151),"")</x:f>
      </x:c>
      <x:c r="L151" s="432"/>
      <x:c r="M151" s="432"/>
      <x:c r="N151" s="432" t="str">
        <x:f>IF('Clients'!A109="","",'Clients'!A109)</x:f>
      </x:c>
      <x:c r="O151" s="432" t="n">
        <x:f>IF(N151="",0,IF($B$6="",1,IF(ISNUMBER(SEARCH($B$6,'Clients'!A109&amp;" "&amp;'Clients'!B109&amp;" "&amp;'Clients'!C109&amp;" "&amp;'Clients'!D109)),1,0)))</x:f>
        <x:v>0</x:v>
      </x:c>
      <x:c r="P151" s="432" t="str">
        <x:f>IF(O151=1,SUM($O$48:O151),"")</x:f>
      </x:c>
      <x:c r="Q151" s="432"/>
    </x:row>
    <x:row r="152" ht="25" customHeight="1">
      <x:c r="A152" s="432"/>
      <x:c r="B152" s="432" t="str">
        <x:f>IF('Properties'!A110="","",'Properties'!A110)</x:f>
      </x:c>
      <x:c r="C152" s="432" t="n">
        <x:f>IF(AND(B152&lt;&gt;"",'Properties'!M110="Available"),1,0)</x:f>
        <x:v>0</x:v>
      </x:c>
      <x:c r="D152" s="432" t="n">
        <x:f>IF($M$13="Buy",IF('Properties'!D110="Sale",1,0),IF($M$13="Rent",IF('Properties'!D110="Rental",1,0),0))</x:f>
        <x:v>0</x:v>
      </x:c>
      <x:c r="E152" s="432" t="n">
        <x:f>IF(AND(ISNUMBER('Properties'!L110),'Properties'!L110&gt;0,ISNUMBER($M$18),$M$18&gt;0,'Properties'!L110&lt;=$M$18,OR(NOT(ISNUMBER($M$17)),'Properties'!L110&gt;=$M$17)),1,0)</x:f>
        <x:v>0</x:v>
      </x:c>
      <x:c r="F152" s="432" t="n">
        <x:f>IF($M$14="",1,IF('Properties'!E110=$M$14,1,0))</x:f>
        <x:v>1</x:v>
      </x:c>
      <x:c r="G152" s="432" t="n">
        <x:f>IF($M$15="",1,IF('Properties'!I110=$M$15,1,0))</x:f>
        <x:v>1</x:v>
      </x:c>
      <x:c r="H152" s="432" t="n">
        <x:f>IF(NOT(ISNUMBER($M$16)),1,IF(AND(ISNUMBER('Properties'!J110),'Properties'!J110=$M$16),1,0))</x:f>
        <x:v>1</x:v>
      </x:c>
      <x:c r="I152" s="432" t="n">
        <x:f>IF($M$19="",1,IF('Properties'!F110="",0,IF(ISNUMBER(SEARCH(","&amp;TRIM('Properties'!F110)&amp;",",","&amp;SUBSTITUTE(TRIM($M$19),", ",",")&amp;",")),1,0)))</x:f>
        <x:v>1</x:v>
      </x:c>
      <x:c r="J152" s="432" t="n">
        <x:f>IF($O$44=0,0,PRODUCT(C152:I152))</x:f>
        <x:v>0</x:v>
      </x:c>
      <x:c r="K152" s="432" t="str">
        <x:f>IF(J152=1,SUM($J$48:J152),"")</x:f>
      </x:c>
      <x:c r="L152" s="432"/>
      <x:c r="M152" s="432"/>
      <x:c r="N152" s="432" t="str">
        <x:f>IF('Clients'!A110="","",'Clients'!A110)</x:f>
      </x:c>
      <x:c r="O152" s="432" t="n">
        <x:f>IF(N152="",0,IF($B$6="",1,IF(ISNUMBER(SEARCH($B$6,'Clients'!A110&amp;" "&amp;'Clients'!B110&amp;" "&amp;'Clients'!C110&amp;" "&amp;'Clients'!D110)),1,0)))</x:f>
        <x:v>0</x:v>
      </x:c>
      <x:c r="P152" s="432" t="str">
        <x:f>IF(O152=1,SUM($O$48:O152),"")</x:f>
      </x:c>
      <x:c r="Q152" s="432"/>
    </x:row>
    <x:row r="153" ht="25" customHeight="1">
      <x:c r="A153" s="432"/>
      <x:c r="B153" s="432" t="str">
        <x:f>IF('Properties'!A111="","",'Properties'!A111)</x:f>
      </x:c>
      <x:c r="C153" s="432" t="n">
        <x:f>IF(AND(B153&lt;&gt;"",'Properties'!M111="Available"),1,0)</x:f>
        <x:v>0</x:v>
      </x:c>
      <x:c r="D153" s="432" t="n">
        <x:f>IF($M$13="Buy",IF('Properties'!D111="Sale",1,0),IF($M$13="Rent",IF('Properties'!D111="Rental",1,0),0))</x:f>
        <x:v>0</x:v>
      </x:c>
      <x:c r="E153" s="432" t="n">
        <x:f>IF(AND(ISNUMBER('Properties'!L111),'Properties'!L111&gt;0,ISNUMBER($M$18),$M$18&gt;0,'Properties'!L111&lt;=$M$18,OR(NOT(ISNUMBER($M$17)),'Properties'!L111&gt;=$M$17)),1,0)</x:f>
        <x:v>0</x:v>
      </x:c>
      <x:c r="F153" s="432" t="n">
        <x:f>IF($M$14="",1,IF('Properties'!E111=$M$14,1,0))</x:f>
        <x:v>1</x:v>
      </x:c>
      <x:c r="G153" s="432" t="n">
        <x:f>IF($M$15="",1,IF('Properties'!I111=$M$15,1,0))</x:f>
        <x:v>1</x:v>
      </x:c>
      <x:c r="H153" s="432" t="n">
        <x:f>IF(NOT(ISNUMBER($M$16)),1,IF(AND(ISNUMBER('Properties'!J111),'Properties'!J111=$M$16),1,0))</x:f>
        <x:v>1</x:v>
      </x:c>
      <x:c r="I153" s="432" t="n">
        <x:f>IF($M$19="",1,IF('Properties'!F111="",0,IF(ISNUMBER(SEARCH(","&amp;TRIM('Properties'!F111)&amp;",",","&amp;SUBSTITUTE(TRIM($M$19),", ",",")&amp;",")),1,0)))</x:f>
        <x:v>1</x:v>
      </x:c>
      <x:c r="J153" s="432" t="n">
        <x:f>IF($O$44=0,0,PRODUCT(C153:I153))</x:f>
        <x:v>0</x:v>
      </x:c>
      <x:c r="K153" s="432" t="str">
        <x:f>IF(J153=1,SUM($J$48:J153),"")</x:f>
      </x:c>
      <x:c r="L153" s="432"/>
      <x:c r="M153" s="432"/>
      <x:c r="N153" s="432" t="str">
        <x:f>IF('Clients'!A111="","",'Clients'!A111)</x:f>
      </x:c>
      <x:c r="O153" s="432" t="n">
        <x:f>IF(N153="",0,IF($B$6="",1,IF(ISNUMBER(SEARCH($B$6,'Clients'!A111&amp;" "&amp;'Clients'!B111&amp;" "&amp;'Clients'!C111&amp;" "&amp;'Clients'!D111)),1,0)))</x:f>
        <x:v>0</x:v>
      </x:c>
      <x:c r="P153" s="432" t="str">
        <x:f>IF(O153=1,SUM($O$48:O153),"")</x:f>
      </x:c>
      <x:c r="Q153" s="432"/>
    </x:row>
    <x:row r="154" ht="25" customHeight="1">
      <x:c r="A154" s="432"/>
      <x:c r="B154" s="432" t="str">
        <x:f>IF('Properties'!A112="","",'Properties'!A112)</x:f>
      </x:c>
      <x:c r="C154" s="432" t="n">
        <x:f>IF(AND(B154&lt;&gt;"",'Properties'!M112="Available"),1,0)</x:f>
        <x:v>0</x:v>
      </x:c>
      <x:c r="D154" s="432" t="n">
        <x:f>IF($M$13="Buy",IF('Properties'!D112="Sale",1,0),IF($M$13="Rent",IF('Properties'!D112="Rental",1,0),0))</x:f>
        <x:v>0</x:v>
      </x:c>
      <x:c r="E154" s="432" t="n">
        <x:f>IF(AND(ISNUMBER('Properties'!L112),'Properties'!L112&gt;0,ISNUMBER($M$18),$M$18&gt;0,'Properties'!L112&lt;=$M$18,OR(NOT(ISNUMBER($M$17)),'Properties'!L112&gt;=$M$17)),1,0)</x:f>
        <x:v>0</x:v>
      </x:c>
      <x:c r="F154" s="432" t="n">
        <x:f>IF($M$14="",1,IF('Properties'!E112=$M$14,1,0))</x:f>
        <x:v>1</x:v>
      </x:c>
      <x:c r="G154" s="432" t="n">
        <x:f>IF($M$15="",1,IF('Properties'!I112=$M$15,1,0))</x:f>
        <x:v>1</x:v>
      </x:c>
      <x:c r="H154" s="432" t="n">
        <x:f>IF(NOT(ISNUMBER($M$16)),1,IF(AND(ISNUMBER('Properties'!J112),'Properties'!J112=$M$16),1,0))</x:f>
        <x:v>1</x:v>
      </x:c>
      <x:c r="I154" s="432" t="n">
        <x:f>IF($M$19="",1,IF('Properties'!F112="",0,IF(ISNUMBER(SEARCH(","&amp;TRIM('Properties'!F112)&amp;",",","&amp;SUBSTITUTE(TRIM($M$19),", ",",")&amp;",")),1,0)))</x:f>
        <x:v>1</x:v>
      </x:c>
      <x:c r="J154" s="432" t="n">
        <x:f>IF($O$44=0,0,PRODUCT(C154:I154))</x:f>
        <x:v>0</x:v>
      </x:c>
      <x:c r="K154" s="432" t="str">
        <x:f>IF(J154=1,SUM($J$48:J154),"")</x:f>
      </x:c>
      <x:c r="L154" s="432"/>
      <x:c r="M154" s="432"/>
      <x:c r="N154" s="432" t="str">
        <x:f>IF('Clients'!A112="","",'Clients'!A112)</x:f>
      </x:c>
      <x:c r="O154" s="432" t="n">
        <x:f>IF(N154="",0,IF($B$6="",1,IF(ISNUMBER(SEARCH($B$6,'Clients'!A112&amp;" "&amp;'Clients'!B112&amp;" "&amp;'Clients'!C112&amp;" "&amp;'Clients'!D112)),1,0)))</x:f>
        <x:v>0</x:v>
      </x:c>
      <x:c r="P154" s="432" t="str">
        <x:f>IF(O154=1,SUM($O$48:O154),"")</x:f>
      </x:c>
      <x:c r="Q154" s="432"/>
    </x:row>
    <x:row r="155" ht="25" customHeight="1">
      <x:c r="A155" s="432"/>
      <x:c r="B155" s="432" t="str">
        <x:f>IF('Properties'!A113="","",'Properties'!A113)</x:f>
      </x:c>
      <x:c r="C155" s="432" t="n">
        <x:f>IF(AND(B155&lt;&gt;"",'Properties'!M113="Available"),1,0)</x:f>
        <x:v>0</x:v>
      </x:c>
      <x:c r="D155" s="432" t="n">
        <x:f>IF($M$13="Buy",IF('Properties'!D113="Sale",1,0),IF($M$13="Rent",IF('Properties'!D113="Rental",1,0),0))</x:f>
        <x:v>0</x:v>
      </x:c>
      <x:c r="E155" s="432" t="n">
        <x:f>IF(AND(ISNUMBER('Properties'!L113),'Properties'!L113&gt;0,ISNUMBER($M$18),$M$18&gt;0,'Properties'!L113&lt;=$M$18,OR(NOT(ISNUMBER($M$17)),'Properties'!L113&gt;=$M$17)),1,0)</x:f>
        <x:v>0</x:v>
      </x:c>
      <x:c r="F155" s="432" t="n">
        <x:f>IF($M$14="",1,IF('Properties'!E113=$M$14,1,0))</x:f>
        <x:v>1</x:v>
      </x:c>
      <x:c r="G155" s="432" t="n">
        <x:f>IF($M$15="",1,IF('Properties'!I113=$M$15,1,0))</x:f>
        <x:v>1</x:v>
      </x:c>
      <x:c r="H155" s="432" t="n">
        <x:f>IF(NOT(ISNUMBER($M$16)),1,IF(AND(ISNUMBER('Properties'!J113),'Properties'!J113=$M$16),1,0))</x:f>
        <x:v>1</x:v>
      </x:c>
      <x:c r="I155" s="432" t="n">
        <x:f>IF($M$19="",1,IF('Properties'!F113="",0,IF(ISNUMBER(SEARCH(","&amp;TRIM('Properties'!F113)&amp;",",","&amp;SUBSTITUTE(TRIM($M$19),", ",",")&amp;",")),1,0)))</x:f>
        <x:v>1</x:v>
      </x:c>
      <x:c r="J155" s="432" t="n">
        <x:f>IF($O$44=0,0,PRODUCT(C155:I155))</x:f>
        <x:v>0</x:v>
      </x:c>
      <x:c r="K155" s="432" t="str">
        <x:f>IF(J155=1,SUM($J$48:J155),"")</x:f>
      </x:c>
      <x:c r="L155" s="432"/>
      <x:c r="M155" s="432"/>
      <x:c r="N155" s="432" t="str">
        <x:f>IF('Clients'!A113="","",'Clients'!A113)</x:f>
      </x:c>
      <x:c r="O155" s="432" t="n">
        <x:f>IF(N155="",0,IF($B$6="",1,IF(ISNUMBER(SEARCH($B$6,'Clients'!A113&amp;" "&amp;'Clients'!B113&amp;" "&amp;'Clients'!C113&amp;" "&amp;'Clients'!D113)),1,0)))</x:f>
        <x:v>0</x:v>
      </x:c>
      <x:c r="P155" s="432" t="str">
        <x:f>IF(O155=1,SUM($O$48:O155),"")</x:f>
      </x:c>
      <x:c r="Q155" s="432"/>
    </x:row>
    <x:row r="156" ht="25" customHeight="1">
      <x:c r="A156" s="432"/>
      <x:c r="B156" s="432" t="str">
        <x:f>IF('Properties'!A114="","",'Properties'!A114)</x:f>
      </x:c>
      <x:c r="C156" s="432" t="n">
        <x:f>IF(AND(B156&lt;&gt;"",'Properties'!M114="Available"),1,0)</x:f>
        <x:v>0</x:v>
      </x:c>
      <x:c r="D156" s="432" t="n">
        <x:f>IF($M$13="Buy",IF('Properties'!D114="Sale",1,0),IF($M$13="Rent",IF('Properties'!D114="Rental",1,0),0))</x:f>
        <x:v>0</x:v>
      </x:c>
      <x:c r="E156" s="432" t="n">
        <x:f>IF(AND(ISNUMBER('Properties'!L114),'Properties'!L114&gt;0,ISNUMBER($M$18),$M$18&gt;0,'Properties'!L114&lt;=$M$18,OR(NOT(ISNUMBER($M$17)),'Properties'!L114&gt;=$M$17)),1,0)</x:f>
        <x:v>0</x:v>
      </x:c>
      <x:c r="F156" s="432" t="n">
        <x:f>IF($M$14="",1,IF('Properties'!E114=$M$14,1,0))</x:f>
        <x:v>1</x:v>
      </x:c>
      <x:c r="G156" s="432" t="n">
        <x:f>IF($M$15="",1,IF('Properties'!I114=$M$15,1,0))</x:f>
        <x:v>1</x:v>
      </x:c>
      <x:c r="H156" s="432" t="n">
        <x:f>IF(NOT(ISNUMBER($M$16)),1,IF(AND(ISNUMBER('Properties'!J114),'Properties'!J114=$M$16),1,0))</x:f>
        <x:v>1</x:v>
      </x:c>
      <x:c r="I156" s="432" t="n">
        <x:f>IF($M$19="",1,IF('Properties'!F114="",0,IF(ISNUMBER(SEARCH(","&amp;TRIM('Properties'!F114)&amp;",",","&amp;SUBSTITUTE(TRIM($M$19),", ",",")&amp;",")),1,0)))</x:f>
        <x:v>1</x:v>
      </x:c>
      <x:c r="J156" s="432" t="n">
        <x:f>IF($O$44=0,0,PRODUCT(C156:I156))</x:f>
        <x:v>0</x:v>
      </x:c>
      <x:c r="K156" s="432" t="str">
        <x:f>IF(J156=1,SUM($J$48:J156),"")</x:f>
      </x:c>
      <x:c r="L156" s="432"/>
      <x:c r="M156" s="432"/>
      <x:c r="N156" s="432" t="str">
        <x:f>IF('Clients'!A114="","",'Clients'!A114)</x:f>
      </x:c>
      <x:c r="O156" s="432" t="n">
        <x:f>IF(N156="",0,IF($B$6="",1,IF(ISNUMBER(SEARCH($B$6,'Clients'!A114&amp;" "&amp;'Clients'!B114&amp;" "&amp;'Clients'!C114&amp;" "&amp;'Clients'!D114)),1,0)))</x:f>
        <x:v>0</x:v>
      </x:c>
      <x:c r="P156" s="432" t="str">
        <x:f>IF(O156=1,SUM($O$48:O156),"")</x:f>
      </x:c>
      <x:c r="Q156" s="432"/>
    </x:row>
    <x:row r="157" ht="25" customHeight="1">
      <x:c r="A157" s="432"/>
      <x:c r="B157" s="432" t="str">
        <x:f>IF('Properties'!A115="","",'Properties'!A115)</x:f>
      </x:c>
      <x:c r="C157" s="432" t="n">
        <x:f>IF(AND(B157&lt;&gt;"",'Properties'!M115="Available"),1,0)</x:f>
        <x:v>0</x:v>
      </x:c>
      <x:c r="D157" s="432" t="n">
        <x:f>IF($M$13="Buy",IF('Properties'!D115="Sale",1,0),IF($M$13="Rent",IF('Properties'!D115="Rental",1,0),0))</x:f>
        <x:v>0</x:v>
      </x:c>
      <x:c r="E157" s="432" t="n">
        <x:f>IF(AND(ISNUMBER('Properties'!L115),'Properties'!L115&gt;0,ISNUMBER($M$18),$M$18&gt;0,'Properties'!L115&lt;=$M$18,OR(NOT(ISNUMBER($M$17)),'Properties'!L115&gt;=$M$17)),1,0)</x:f>
        <x:v>0</x:v>
      </x:c>
      <x:c r="F157" s="432" t="n">
        <x:f>IF($M$14="",1,IF('Properties'!E115=$M$14,1,0))</x:f>
        <x:v>1</x:v>
      </x:c>
      <x:c r="G157" s="432" t="n">
        <x:f>IF($M$15="",1,IF('Properties'!I115=$M$15,1,0))</x:f>
        <x:v>1</x:v>
      </x:c>
      <x:c r="H157" s="432" t="n">
        <x:f>IF(NOT(ISNUMBER($M$16)),1,IF(AND(ISNUMBER('Properties'!J115),'Properties'!J115=$M$16),1,0))</x:f>
        <x:v>1</x:v>
      </x:c>
      <x:c r="I157" s="432" t="n">
        <x:f>IF($M$19="",1,IF('Properties'!F115="",0,IF(ISNUMBER(SEARCH(","&amp;TRIM('Properties'!F115)&amp;",",","&amp;SUBSTITUTE(TRIM($M$19),", ",",")&amp;",")),1,0)))</x:f>
        <x:v>1</x:v>
      </x:c>
      <x:c r="J157" s="432" t="n">
        <x:f>IF($O$44=0,0,PRODUCT(C157:I157))</x:f>
        <x:v>0</x:v>
      </x:c>
      <x:c r="K157" s="432" t="str">
        <x:f>IF(J157=1,SUM($J$48:J157),"")</x:f>
      </x:c>
      <x:c r="L157" s="432"/>
      <x:c r="M157" s="432"/>
      <x:c r="N157" s="432" t="str">
        <x:f>IF('Clients'!A115="","",'Clients'!A115)</x:f>
      </x:c>
      <x:c r="O157" s="432" t="n">
        <x:f>IF(N157="",0,IF($B$6="",1,IF(ISNUMBER(SEARCH($B$6,'Clients'!A115&amp;" "&amp;'Clients'!B115&amp;" "&amp;'Clients'!C115&amp;" "&amp;'Clients'!D115)),1,0)))</x:f>
        <x:v>0</x:v>
      </x:c>
      <x:c r="P157" s="432" t="str">
        <x:f>IF(O157=1,SUM($O$48:O157),"")</x:f>
      </x:c>
      <x:c r="Q157" s="432"/>
    </x:row>
    <x:row r="158" ht="25" customHeight="1">
      <x:c r="A158" s="432"/>
      <x:c r="B158" s="432" t="str">
        <x:f>IF('Properties'!A116="","",'Properties'!A116)</x:f>
      </x:c>
      <x:c r="C158" s="432" t="n">
        <x:f>IF(AND(B158&lt;&gt;"",'Properties'!M116="Available"),1,0)</x:f>
        <x:v>0</x:v>
      </x:c>
      <x:c r="D158" s="432" t="n">
        <x:f>IF($M$13="Buy",IF('Properties'!D116="Sale",1,0),IF($M$13="Rent",IF('Properties'!D116="Rental",1,0),0))</x:f>
        <x:v>0</x:v>
      </x:c>
      <x:c r="E158" s="432" t="n">
        <x:f>IF(AND(ISNUMBER('Properties'!L116),'Properties'!L116&gt;0,ISNUMBER($M$18),$M$18&gt;0,'Properties'!L116&lt;=$M$18,OR(NOT(ISNUMBER($M$17)),'Properties'!L116&gt;=$M$17)),1,0)</x:f>
        <x:v>0</x:v>
      </x:c>
      <x:c r="F158" s="432" t="n">
        <x:f>IF($M$14="",1,IF('Properties'!E116=$M$14,1,0))</x:f>
        <x:v>1</x:v>
      </x:c>
      <x:c r="G158" s="432" t="n">
        <x:f>IF($M$15="",1,IF('Properties'!I116=$M$15,1,0))</x:f>
        <x:v>1</x:v>
      </x:c>
      <x:c r="H158" s="432" t="n">
        <x:f>IF(NOT(ISNUMBER($M$16)),1,IF(AND(ISNUMBER('Properties'!J116),'Properties'!J116=$M$16),1,0))</x:f>
        <x:v>1</x:v>
      </x:c>
      <x:c r="I158" s="432" t="n">
        <x:f>IF($M$19="",1,IF('Properties'!F116="",0,IF(ISNUMBER(SEARCH(","&amp;TRIM('Properties'!F116)&amp;",",","&amp;SUBSTITUTE(TRIM($M$19),", ",",")&amp;",")),1,0)))</x:f>
        <x:v>1</x:v>
      </x:c>
      <x:c r="J158" s="432" t="n">
        <x:f>IF($O$44=0,0,PRODUCT(C158:I158))</x:f>
        <x:v>0</x:v>
      </x:c>
      <x:c r="K158" s="432" t="str">
        <x:f>IF(J158=1,SUM($J$48:J158),"")</x:f>
      </x:c>
      <x:c r="L158" s="432"/>
      <x:c r="M158" s="432"/>
      <x:c r="N158" s="432" t="str">
        <x:f>IF('Clients'!A116="","",'Clients'!A116)</x:f>
      </x:c>
      <x:c r="O158" s="432" t="n">
        <x:f>IF(N158="",0,IF($B$6="",1,IF(ISNUMBER(SEARCH($B$6,'Clients'!A116&amp;" "&amp;'Clients'!B116&amp;" "&amp;'Clients'!C116&amp;" "&amp;'Clients'!D116)),1,0)))</x:f>
        <x:v>0</x:v>
      </x:c>
      <x:c r="P158" s="432" t="str">
        <x:f>IF(O158=1,SUM($O$48:O158),"")</x:f>
      </x:c>
      <x:c r="Q158" s="432"/>
    </x:row>
    <x:row r="159" ht="25" customHeight="1">
      <x:c r="A159" s="432"/>
      <x:c r="B159" s="432" t="str">
        <x:f>IF('Properties'!A117="","",'Properties'!A117)</x:f>
      </x:c>
      <x:c r="C159" s="432" t="n">
        <x:f>IF(AND(B159&lt;&gt;"",'Properties'!M117="Available"),1,0)</x:f>
        <x:v>0</x:v>
      </x:c>
      <x:c r="D159" s="432" t="n">
        <x:f>IF($M$13="Buy",IF('Properties'!D117="Sale",1,0),IF($M$13="Rent",IF('Properties'!D117="Rental",1,0),0))</x:f>
        <x:v>0</x:v>
      </x:c>
      <x:c r="E159" s="432" t="n">
        <x:f>IF(AND(ISNUMBER('Properties'!L117),'Properties'!L117&gt;0,ISNUMBER($M$18),$M$18&gt;0,'Properties'!L117&lt;=$M$18,OR(NOT(ISNUMBER($M$17)),'Properties'!L117&gt;=$M$17)),1,0)</x:f>
        <x:v>0</x:v>
      </x:c>
      <x:c r="F159" s="432" t="n">
        <x:f>IF($M$14="",1,IF('Properties'!E117=$M$14,1,0))</x:f>
        <x:v>1</x:v>
      </x:c>
      <x:c r="G159" s="432" t="n">
        <x:f>IF($M$15="",1,IF('Properties'!I117=$M$15,1,0))</x:f>
        <x:v>1</x:v>
      </x:c>
      <x:c r="H159" s="432" t="n">
        <x:f>IF(NOT(ISNUMBER($M$16)),1,IF(AND(ISNUMBER('Properties'!J117),'Properties'!J117=$M$16),1,0))</x:f>
        <x:v>1</x:v>
      </x:c>
      <x:c r="I159" s="432" t="n">
        <x:f>IF($M$19="",1,IF('Properties'!F117="",0,IF(ISNUMBER(SEARCH(","&amp;TRIM('Properties'!F117)&amp;",",","&amp;SUBSTITUTE(TRIM($M$19),", ",",")&amp;",")),1,0)))</x:f>
        <x:v>1</x:v>
      </x:c>
      <x:c r="J159" s="432" t="n">
        <x:f>IF($O$44=0,0,PRODUCT(C159:I159))</x:f>
        <x:v>0</x:v>
      </x:c>
      <x:c r="K159" s="432" t="str">
        <x:f>IF(J159=1,SUM($J$48:J159),"")</x:f>
      </x:c>
      <x:c r="L159" s="432"/>
      <x:c r="M159" s="432"/>
      <x:c r="N159" s="432" t="str">
        <x:f>IF('Clients'!A117="","",'Clients'!A117)</x:f>
      </x:c>
      <x:c r="O159" s="432" t="n">
        <x:f>IF(N159="",0,IF($B$6="",1,IF(ISNUMBER(SEARCH($B$6,'Clients'!A117&amp;" "&amp;'Clients'!B117&amp;" "&amp;'Clients'!C117&amp;" "&amp;'Clients'!D117)),1,0)))</x:f>
        <x:v>0</x:v>
      </x:c>
      <x:c r="P159" s="432" t="str">
        <x:f>IF(O159=1,SUM($O$48:O159),"")</x:f>
      </x:c>
      <x:c r="Q159" s="432"/>
    </x:row>
    <x:row r="160" ht="25" customHeight="1">
      <x:c r="A160" s="432"/>
      <x:c r="B160" s="432" t="str">
        <x:f>IF('Properties'!A118="","",'Properties'!A118)</x:f>
      </x:c>
      <x:c r="C160" s="432" t="n">
        <x:f>IF(AND(B160&lt;&gt;"",'Properties'!M118="Available"),1,0)</x:f>
        <x:v>0</x:v>
      </x:c>
      <x:c r="D160" s="432" t="n">
        <x:f>IF($M$13="Buy",IF('Properties'!D118="Sale",1,0),IF($M$13="Rent",IF('Properties'!D118="Rental",1,0),0))</x:f>
        <x:v>0</x:v>
      </x:c>
      <x:c r="E160" s="432" t="n">
        <x:f>IF(AND(ISNUMBER('Properties'!L118),'Properties'!L118&gt;0,ISNUMBER($M$18),$M$18&gt;0,'Properties'!L118&lt;=$M$18,OR(NOT(ISNUMBER($M$17)),'Properties'!L118&gt;=$M$17)),1,0)</x:f>
        <x:v>0</x:v>
      </x:c>
      <x:c r="F160" s="432" t="n">
        <x:f>IF($M$14="",1,IF('Properties'!E118=$M$14,1,0))</x:f>
        <x:v>1</x:v>
      </x:c>
      <x:c r="G160" s="432" t="n">
        <x:f>IF($M$15="",1,IF('Properties'!I118=$M$15,1,0))</x:f>
        <x:v>1</x:v>
      </x:c>
      <x:c r="H160" s="432" t="n">
        <x:f>IF(NOT(ISNUMBER($M$16)),1,IF(AND(ISNUMBER('Properties'!J118),'Properties'!J118=$M$16),1,0))</x:f>
        <x:v>1</x:v>
      </x:c>
      <x:c r="I160" s="432" t="n">
        <x:f>IF($M$19="",1,IF('Properties'!F118="",0,IF(ISNUMBER(SEARCH(","&amp;TRIM('Properties'!F118)&amp;",",","&amp;SUBSTITUTE(TRIM($M$19),", ",",")&amp;",")),1,0)))</x:f>
        <x:v>1</x:v>
      </x:c>
      <x:c r="J160" s="432" t="n">
        <x:f>IF($O$44=0,0,PRODUCT(C160:I160))</x:f>
        <x:v>0</x:v>
      </x:c>
      <x:c r="K160" s="432" t="str">
        <x:f>IF(J160=1,SUM($J$48:J160),"")</x:f>
      </x:c>
      <x:c r="L160" s="432"/>
      <x:c r="M160" s="432"/>
      <x:c r="N160" s="432" t="str">
        <x:f>IF('Clients'!A118="","",'Clients'!A118)</x:f>
      </x:c>
      <x:c r="O160" s="432" t="n">
        <x:f>IF(N160="",0,IF($B$6="",1,IF(ISNUMBER(SEARCH($B$6,'Clients'!A118&amp;" "&amp;'Clients'!B118&amp;" "&amp;'Clients'!C118&amp;" "&amp;'Clients'!D118)),1,0)))</x:f>
        <x:v>0</x:v>
      </x:c>
      <x:c r="P160" s="432" t="str">
        <x:f>IF(O160=1,SUM($O$48:O160),"")</x:f>
      </x:c>
      <x:c r="Q160" s="432"/>
    </x:row>
    <x:row r="161" ht="25" customHeight="1">
      <x:c r="A161" s="432"/>
      <x:c r="B161" s="432" t="str">
        <x:f>IF('Properties'!A119="","",'Properties'!A119)</x:f>
      </x:c>
      <x:c r="C161" s="432" t="n">
        <x:f>IF(AND(B161&lt;&gt;"",'Properties'!M119="Available"),1,0)</x:f>
        <x:v>0</x:v>
      </x:c>
      <x:c r="D161" s="432" t="n">
        <x:f>IF($M$13="Buy",IF('Properties'!D119="Sale",1,0),IF($M$13="Rent",IF('Properties'!D119="Rental",1,0),0))</x:f>
        <x:v>0</x:v>
      </x:c>
      <x:c r="E161" s="432" t="n">
        <x:f>IF(AND(ISNUMBER('Properties'!L119),'Properties'!L119&gt;0,ISNUMBER($M$18),$M$18&gt;0,'Properties'!L119&lt;=$M$18,OR(NOT(ISNUMBER($M$17)),'Properties'!L119&gt;=$M$17)),1,0)</x:f>
        <x:v>0</x:v>
      </x:c>
      <x:c r="F161" s="432" t="n">
        <x:f>IF($M$14="",1,IF('Properties'!E119=$M$14,1,0))</x:f>
        <x:v>1</x:v>
      </x:c>
      <x:c r="G161" s="432" t="n">
        <x:f>IF($M$15="",1,IF('Properties'!I119=$M$15,1,0))</x:f>
        <x:v>1</x:v>
      </x:c>
      <x:c r="H161" s="432" t="n">
        <x:f>IF(NOT(ISNUMBER($M$16)),1,IF(AND(ISNUMBER('Properties'!J119),'Properties'!J119=$M$16),1,0))</x:f>
        <x:v>1</x:v>
      </x:c>
      <x:c r="I161" s="432" t="n">
        <x:f>IF($M$19="",1,IF('Properties'!F119="",0,IF(ISNUMBER(SEARCH(","&amp;TRIM('Properties'!F119)&amp;",",","&amp;SUBSTITUTE(TRIM($M$19),", ",",")&amp;",")),1,0)))</x:f>
        <x:v>1</x:v>
      </x:c>
      <x:c r="J161" s="432" t="n">
        <x:f>IF($O$44=0,0,PRODUCT(C161:I161))</x:f>
        <x:v>0</x:v>
      </x:c>
      <x:c r="K161" s="432" t="str">
        <x:f>IF(J161=1,SUM($J$48:J161),"")</x:f>
      </x:c>
      <x:c r="L161" s="432"/>
      <x:c r="M161" s="432"/>
      <x:c r="N161" s="432" t="str">
        <x:f>IF('Clients'!A119="","",'Clients'!A119)</x:f>
      </x:c>
      <x:c r="O161" s="432" t="n">
        <x:f>IF(N161="",0,IF($B$6="",1,IF(ISNUMBER(SEARCH($B$6,'Clients'!A119&amp;" "&amp;'Clients'!B119&amp;" "&amp;'Clients'!C119&amp;" "&amp;'Clients'!D119)),1,0)))</x:f>
        <x:v>0</x:v>
      </x:c>
      <x:c r="P161" s="432" t="str">
        <x:f>IF(O161=1,SUM($O$48:O161),"")</x:f>
      </x:c>
      <x:c r="Q161" s="432"/>
    </x:row>
    <x:row r="162" ht="25" customHeight="1">
      <x:c r="A162" s="432"/>
      <x:c r="B162" s="432" t="str">
        <x:f>IF('Properties'!A120="","",'Properties'!A120)</x:f>
      </x:c>
      <x:c r="C162" s="432" t="n">
        <x:f>IF(AND(B162&lt;&gt;"",'Properties'!M120="Available"),1,0)</x:f>
        <x:v>0</x:v>
      </x:c>
      <x:c r="D162" s="432" t="n">
        <x:f>IF($M$13="Buy",IF('Properties'!D120="Sale",1,0),IF($M$13="Rent",IF('Properties'!D120="Rental",1,0),0))</x:f>
        <x:v>0</x:v>
      </x:c>
      <x:c r="E162" s="432" t="n">
        <x:f>IF(AND(ISNUMBER('Properties'!L120),'Properties'!L120&gt;0,ISNUMBER($M$18),$M$18&gt;0,'Properties'!L120&lt;=$M$18,OR(NOT(ISNUMBER($M$17)),'Properties'!L120&gt;=$M$17)),1,0)</x:f>
        <x:v>0</x:v>
      </x:c>
      <x:c r="F162" s="432" t="n">
        <x:f>IF($M$14="",1,IF('Properties'!E120=$M$14,1,0))</x:f>
        <x:v>1</x:v>
      </x:c>
      <x:c r="G162" s="432" t="n">
        <x:f>IF($M$15="",1,IF('Properties'!I120=$M$15,1,0))</x:f>
        <x:v>1</x:v>
      </x:c>
      <x:c r="H162" s="432" t="n">
        <x:f>IF(NOT(ISNUMBER($M$16)),1,IF(AND(ISNUMBER('Properties'!J120),'Properties'!J120=$M$16),1,0))</x:f>
        <x:v>1</x:v>
      </x:c>
      <x:c r="I162" s="432" t="n">
        <x:f>IF($M$19="",1,IF('Properties'!F120="",0,IF(ISNUMBER(SEARCH(","&amp;TRIM('Properties'!F120)&amp;",",","&amp;SUBSTITUTE(TRIM($M$19),", ",",")&amp;",")),1,0)))</x:f>
        <x:v>1</x:v>
      </x:c>
      <x:c r="J162" s="432" t="n">
        <x:f>IF($O$44=0,0,PRODUCT(C162:I162))</x:f>
        <x:v>0</x:v>
      </x:c>
      <x:c r="K162" s="432" t="str">
        <x:f>IF(J162=1,SUM($J$48:J162),"")</x:f>
      </x:c>
      <x:c r="L162" s="432"/>
      <x:c r="M162" s="432"/>
      <x:c r="N162" s="432" t="str">
        <x:f>IF('Clients'!A120="","",'Clients'!A120)</x:f>
      </x:c>
      <x:c r="O162" s="432" t="n">
        <x:f>IF(N162="",0,IF($B$6="",1,IF(ISNUMBER(SEARCH($B$6,'Clients'!A120&amp;" "&amp;'Clients'!B120&amp;" "&amp;'Clients'!C120&amp;" "&amp;'Clients'!D120)),1,0)))</x:f>
        <x:v>0</x:v>
      </x:c>
      <x:c r="P162" s="432" t="str">
        <x:f>IF(O162=1,SUM($O$48:O162),"")</x:f>
      </x:c>
      <x:c r="Q162" s="432"/>
    </x:row>
    <x:row r="163" ht="25" customHeight="1">
      <x:c r="A163" s="432"/>
      <x:c r="B163" s="432" t="str">
        <x:f>IF('Properties'!A121="","",'Properties'!A121)</x:f>
      </x:c>
      <x:c r="C163" s="432" t="n">
        <x:f>IF(AND(B163&lt;&gt;"",'Properties'!M121="Available"),1,0)</x:f>
        <x:v>0</x:v>
      </x:c>
      <x:c r="D163" s="432" t="n">
        <x:f>IF($M$13="Buy",IF('Properties'!D121="Sale",1,0),IF($M$13="Rent",IF('Properties'!D121="Rental",1,0),0))</x:f>
        <x:v>0</x:v>
      </x:c>
      <x:c r="E163" s="432" t="n">
        <x:f>IF(AND(ISNUMBER('Properties'!L121),'Properties'!L121&gt;0,ISNUMBER($M$18),$M$18&gt;0,'Properties'!L121&lt;=$M$18,OR(NOT(ISNUMBER($M$17)),'Properties'!L121&gt;=$M$17)),1,0)</x:f>
        <x:v>0</x:v>
      </x:c>
      <x:c r="F163" s="432" t="n">
        <x:f>IF($M$14="",1,IF('Properties'!E121=$M$14,1,0))</x:f>
        <x:v>1</x:v>
      </x:c>
      <x:c r="G163" s="432" t="n">
        <x:f>IF($M$15="",1,IF('Properties'!I121=$M$15,1,0))</x:f>
        <x:v>1</x:v>
      </x:c>
      <x:c r="H163" s="432" t="n">
        <x:f>IF(NOT(ISNUMBER($M$16)),1,IF(AND(ISNUMBER('Properties'!J121),'Properties'!J121=$M$16),1,0))</x:f>
        <x:v>1</x:v>
      </x:c>
      <x:c r="I163" s="432" t="n">
        <x:f>IF($M$19="",1,IF('Properties'!F121="",0,IF(ISNUMBER(SEARCH(","&amp;TRIM('Properties'!F121)&amp;",",","&amp;SUBSTITUTE(TRIM($M$19),", ",",")&amp;",")),1,0)))</x:f>
        <x:v>1</x:v>
      </x:c>
      <x:c r="J163" s="432" t="n">
        <x:f>IF($O$44=0,0,PRODUCT(C163:I163))</x:f>
        <x:v>0</x:v>
      </x:c>
      <x:c r="K163" s="432" t="str">
        <x:f>IF(J163=1,SUM($J$48:J163),"")</x:f>
      </x:c>
      <x:c r="L163" s="432"/>
      <x:c r="M163" s="432"/>
      <x:c r="N163" s="432" t="str">
        <x:f>IF('Clients'!A121="","",'Clients'!A121)</x:f>
      </x:c>
      <x:c r="O163" s="432" t="n">
        <x:f>IF(N163="",0,IF($B$6="",1,IF(ISNUMBER(SEARCH($B$6,'Clients'!A121&amp;" "&amp;'Clients'!B121&amp;" "&amp;'Clients'!C121&amp;" "&amp;'Clients'!D121)),1,0)))</x:f>
        <x:v>0</x:v>
      </x:c>
      <x:c r="P163" s="432" t="str">
        <x:f>IF(O163=1,SUM($O$48:O163),"")</x:f>
      </x:c>
      <x:c r="Q163" s="432"/>
    </x:row>
    <x:row r="164" ht="25" customHeight="1">
      <x:c r="A164" s="432"/>
      <x:c r="B164" s="432" t="str">
        <x:f>IF('Properties'!A122="","",'Properties'!A122)</x:f>
      </x:c>
      <x:c r="C164" s="432" t="n">
        <x:f>IF(AND(B164&lt;&gt;"",'Properties'!M122="Available"),1,0)</x:f>
        <x:v>0</x:v>
      </x:c>
      <x:c r="D164" s="432" t="n">
        <x:f>IF($M$13="Buy",IF('Properties'!D122="Sale",1,0),IF($M$13="Rent",IF('Properties'!D122="Rental",1,0),0))</x:f>
        <x:v>0</x:v>
      </x:c>
      <x:c r="E164" s="432" t="n">
        <x:f>IF(AND(ISNUMBER('Properties'!L122),'Properties'!L122&gt;0,ISNUMBER($M$18),$M$18&gt;0,'Properties'!L122&lt;=$M$18,OR(NOT(ISNUMBER($M$17)),'Properties'!L122&gt;=$M$17)),1,0)</x:f>
        <x:v>0</x:v>
      </x:c>
      <x:c r="F164" s="432" t="n">
        <x:f>IF($M$14="",1,IF('Properties'!E122=$M$14,1,0))</x:f>
        <x:v>1</x:v>
      </x:c>
      <x:c r="G164" s="432" t="n">
        <x:f>IF($M$15="",1,IF('Properties'!I122=$M$15,1,0))</x:f>
        <x:v>1</x:v>
      </x:c>
      <x:c r="H164" s="432" t="n">
        <x:f>IF(NOT(ISNUMBER($M$16)),1,IF(AND(ISNUMBER('Properties'!J122),'Properties'!J122=$M$16),1,0))</x:f>
        <x:v>1</x:v>
      </x:c>
      <x:c r="I164" s="432" t="n">
        <x:f>IF($M$19="",1,IF('Properties'!F122="",0,IF(ISNUMBER(SEARCH(","&amp;TRIM('Properties'!F122)&amp;",",","&amp;SUBSTITUTE(TRIM($M$19),", ",",")&amp;",")),1,0)))</x:f>
        <x:v>1</x:v>
      </x:c>
      <x:c r="J164" s="432" t="n">
        <x:f>IF($O$44=0,0,PRODUCT(C164:I164))</x:f>
        <x:v>0</x:v>
      </x:c>
      <x:c r="K164" s="432" t="str">
        <x:f>IF(J164=1,SUM($J$48:J164),"")</x:f>
      </x:c>
      <x:c r="L164" s="432"/>
      <x:c r="M164" s="432"/>
      <x:c r="N164" s="432" t="str">
        <x:f>IF('Clients'!A122="","",'Clients'!A122)</x:f>
      </x:c>
      <x:c r="O164" s="432" t="n">
        <x:f>IF(N164="",0,IF($B$6="",1,IF(ISNUMBER(SEARCH($B$6,'Clients'!A122&amp;" "&amp;'Clients'!B122&amp;" "&amp;'Clients'!C122&amp;" "&amp;'Clients'!D122)),1,0)))</x:f>
        <x:v>0</x:v>
      </x:c>
      <x:c r="P164" s="432" t="str">
        <x:f>IF(O164=1,SUM($O$48:O164),"")</x:f>
      </x:c>
      <x:c r="Q164" s="432"/>
    </x:row>
    <x:row r="165" ht="25" customHeight="1">
      <x:c r="A165" s="432"/>
      <x:c r="B165" s="432" t="str">
        <x:f>IF('Properties'!A123="","",'Properties'!A123)</x:f>
      </x:c>
      <x:c r="C165" s="432" t="n">
        <x:f>IF(AND(B165&lt;&gt;"",'Properties'!M123="Available"),1,0)</x:f>
        <x:v>0</x:v>
      </x:c>
      <x:c r="D165" s="432" t="n">
        <x:f>IF($M$13="Buy",IF('Properties'!D123="Sale",1,0),IF($M$13="Rent",IF('Properties'!D123="Rental",1,0),0))</x:f>
        <x:v>0</x:v>
      </x:c>
      <x:c r="E165" s="432" t="n">
        <x:f>IF(AND(ISNUMBER('Properties'!L123),'Properties'!L123&gt;0,ISNUMBER($M$18),$M$18&gt;0,'Properties'!L123&lt;=$M$18,OR(NOT(ISNUMBER($M$17)),'Properties'!L123&gt;=$M$17)),1,0)</x:f>
        <x:v>0</x:v>
      </x:c>
      <x:c r="F165" s="432" t="n">
        <x:f>IF($M$14="",1,IF('Properties'!E123=$M$14,1,0))</x:f>
        <x:v>1</x:v>
      </x:c>
      <x:c r="G165" s="432" t="n">
        <x:f>IF($M$15="",1,IF('Properties'!I123=$M$15,1,0))</x:f>
        <x:v>1</x:v>
      </x:c>
      <x:c r="H165" s="432" t="n">
        <x:f>IF(NOT(ISNUMBER($M$16)),1,IF(AND(ISNUMBER('Properties'!J123),'Properties'!J123=$M$16),1,0))</x:f>
        <x:v>1</x:v>
      </x:c>
      <x:c r="I165" s="432" t="n">
        <x:f>IF($M$19="",1,IF('Properties'!F123="",0,IF(ISNUMBER(SEARCH(","&amp;TRIM('Properties'!F123)&amp;",",","&amp;SUBSTITUTE(TRIM($M$19),", ",",")&amp;",")),1,0)))</x:f>
        <x:v>1</x:v>
      </x:c>
      <x:c r="J165" s="432" t="n">
        <x:f>IF($O$44=0,0,PRODUCT(C165:I165))</x:f>
        <x:v>0</x:v>
      </x:c>
      <x:c r="K165" s="432" t="str">
        <x:f>IF(J165=1,SUM($J$48:J165),"")</x:f>
      </x:c>
      <x:c r="L165" s="432"/>
      <x:c r="M165" s="432"/>
      <x:c r="N165" s="432" t="str">
        <x:f>IF('Clients'!A123="","",'Clients'!A123)</x:f>
      </x:c>
      <x:c r="O165" s="432" t="n">
        <x:f>IF(N165="",0,IF($B$6="",1,IF(ISNUMBER(SEARCH($B$6,'Clients'!A123&amp;" "&amp;'Clients'!B123&amp;" "&amp;'Clients'!C123&amp;" "&amp;'Clients'!D123)),1,0)))</x:f>
        <x:v>0</x:v>
      </x:c>
      <x:c r="P165" s="432" t="str">
        <x:f>IF(O165=1,SUM($O$48:O165),"")</x:f>
      </x:c>
      <x:c r="Q165" s="432"/>
    </x:row>
    <x:row r="166" ht="25" customHeight="1">
      <x:c r="A166" s="432"/>
      <x:c r="B166" s="432" t="str">
        <x:f>IF('Properties'!A124="","",'Properties'!A124)</x:f>
      </x:c>
      <x:c r="C166" s="432" t="n">
        <x:f>IF(AND(B166&lt;&gt;"",'Properties'!M124="Available"),1,0)</x:f>
        <x:v>0</x:v>
      </x:c>
      <x:c r="D166" s="432" t="n">
        <x:f>IF($M$13="Buy",IF('Properties'!D124="Sale",1,0),IF($M$13="Rent",IF('Properties'!D124="Rental",1,0),0))</x:f>
        <x:v>0</x:v>
      </x:c>
      <x:c r="E166" s="432" t="n">
        <x:f>IF(AND(ISNUMBER('Properties'!L124),'Properties'!L124&gt;0,ISNUMBER($M$18),$M$18&gt;0,'Properties'!L124&lt;=$M$18,OR(NOT(ISNUMBER($M$17)),'Properties'!L124&gt;=$M$17)),1,0)</x:f>
        <x:v>0</x:v>
      </x:c>
      <x:c r="F166" s="432" t="n">
        <x:f>IF($M$14="",1,IF('Properties'!E124=$M$14,1,0))</x:f>
        <x:v>1</x:v>
      </x:c>
      <x:c r="G166" s="432" t="n">
        <x:f>IF($M$15="",1,IF('Properties'!I124=$M$15,1,0))</x:f>
        <x:v>1</x:v>
      </x:c>
      <x:c r="H166" s="432" t="n">
        <x:f>IF(NOT(ISNUMBER($M$16)),1,IF(AND(ISNUMBER('Properties'!J124),'Properties'!J124=$M$16),1,0))</x:f>
        <x:v>1</x:v>
      </x:c>
      <x:c r="I166" s="432" t="n">
        <x:f>IF($M$19="",1,IF('Properties'!F124="",0,IF(ISNUMBER(SEARCH(","&amp;TRIM('Properties'!F124)&amp;",",","&amp;SUBSTITUTE(TRIM($M$19),", ",",")&amp;",")),1,0)))</x:f>
        <x:v>1</x:v>
      </x:c>
      <x:c r="J166" s="432" t="n">
        <x:f>IF($O$44=0,0,PRODUCT(C166:I166))</x:f>
        <x:v>0</x:v>
      </x:c>
      <x:c r="K166" s="432" t="str">
        <x:f>IF(J166=1,SUM($J$48:J166),"")</x:f>
      </x:c>
      <x:c r="L166" s="432"/>
      <x:c r="M166" s="432"/>
      <x:c r="N166" s="432" t="str">
        <x:f>IF('Clients'!A124="","",'Clients'!A124)</x:f>
      </x:c>
      <x:c r="O166" s="432" t="n">
        <x:f>IF(N166="",0,IF($B$6="",1,IF(ISNUMBER(SEARCH($B$6,'Clients'!A124&amp;" "&amp;'Clients'!B124&amp;" "&amp;'Clients'!C124&amp;" "&amp;'Clients'!D124)),1,0)))</x:f>
        <x:v>0</x:v>
      </x:c>
      <x:c r="P166" s="432" t="str">
        <x:f>IF(O166=1,SUM($O$48:O166),"")</x:f>
      </x:c>
      <x:c r="Q166" s="432"/>
    </x:row>
    <x:row r="167" ht="25" customHeight="1">
      <x:c r="A167" s="432"/>
      <x:c r="B167" s="432" t="str">
        <x:f>IF('Properties'!A125="","",'Properties'!A125)</x:f>
      </x:c>
      <x:c r="C167" s="432" t="n">
        <x:f>IF(AND(B167&lt;&gt;"",'Properties'!M125="Available"),1,0)</x:f>
        <x:v>0</x:v>
      </x:c>
      <x:c r="D167" s="432" t="n">
        <x:f>IF($M$13="Buy",IF('Properties'!D125="Sale",1,0),IF($M$13="Rent",IF('Properties'!D125="Rental",1,0),0))</x:f>
        <x:v>0</x:v>
      </x:c>
      <x:c r="E167" s="432" t="n">
        <x:f>IF(AND(ISNUMBER('Properties'!L125),'Properties'!L125&gt;0,ISNUMBER($M$18),$M$18&gt;0,'Properties'!L125&lt;=$M$18,OR(NOT(ISNUMBER($M$17)),'Properties'!L125&gt;=$M$17)),1,0)</x:f>
        <x:v>0</x:v>
      </x:c>
      <x:c r="F167" s="432" t="n">
        <x:f>IF($M$14="",1,IF('Properties'!E125=$M$14,1,0))</x:f>
        <x:v>1</x:v>
      </x:c>
      <x:c r="G167" s="432" t="n">
        <x:f>IF($M$15="",1,IF('Properties'!I125=$M$15,1,0))</x:f>
        <x:v>1</x:v>
      </x:c>
      <x:c r="H167" s="432" t="n">
        <x:f>IF(NOT(ISNUMBER($M$16)),1,IF(AND(ISNUMBER('Properties'!J125),'Properties'!J125=$M$16),1,0))</x:f>
        <x:v>1</x:v>
      </x:c>
      <x:c r="I167" s="432" t="n">
        <x:f>IF($M$19="",1,IF('Properties'!F125="",0,IF(ISNUMBER(SEARCH(","&amp;TRIM('Properties'!F125)&amp;",",","&amp;SUBSTITUTE(TRIM($M$19),", ",",")&amp;",")),1,0)))</x:f>
        <x:v>1</x:v>
      </x:c>
      <x:c r="J167" s="432" t="n">
        <x:f>IF($O$44=0,0,PRODUCT(C167:I167))</x:f>
        <x:v>0</x:v>
      </x:c>
      <x:c r="K167" s="432" t="str">
        <x:f>IF(J167=1,SUM($J$48:J167),"")</x:f>
      </x:c>
      <x:c r="L167" s="432"/>
      <x:c r="M167" s="432"/>
      <x:c r="N167" s="432" t="str">
        <x:f>IF('Clients'!A125="","",'Clients'!A125)</x:f>
      </x:c>
      <x:c r="O167" s="432" t="n">
        <x:f>IF(N167="",0,IF($B$6="",1,IF(ISNUMBER(SEARCH($B$6,'Clients'!A125&amp;" "&amp;'Clients'!B125&amp;" "&amp;'Clients'!C125&amp;" "&amp;'Clients'!D125)),1,0)))</x:f>
        <x:v>0</x:v>
      </x:c>
      <x:c r="P167" s="432" t="str">
        <x:f>IF(O167=1,SUM($O$48:O167),"")</x:f>
      </x:c>
      <x:c r="Q167" s="432"/>
    </x:row>
    <x:row r="168" ht="25" customHeight="1">
      <x:c r="A168" s="432"/>
      <x:c r="B168" s="432" t="str">
        <x:f>IF('Properties'!A126="","",'Properties'!A126)</x:f>
      </x:c>
      <x:c r="C168" s="432" t="n">
        <x:f>IF(AND(B168&lt;&gt;"",'Properties'!M126="Available"),1,0)</x:f>
        <x:v>0</x:v>
      </x:c>
      <x:c r="D168" s="432" t="n">
        <x:f>IF($M$13="Buy",IF('Properties'!D126="Sale",1,0),IF($M$13="Rent",IF('Properties'!D126="Rental",1,0),0))</x:f>
        <x:v>0</x:v>
      </x:c>
      <x:c r="E168" s="432" t="n">
        <x:f>IF(AND(ISNUMBER('Properties'!L126),'Properties'!L126&gt;0,ISNUMBER($M$18),$M$18&gt;0,'Properties'!L126&lt;=$M$18,OR(NOT(ISNUMBER($M$17)),'Properties'!L126&gt;=$M$17)),1,0)</x:f>
        <x:v>0</x:v>
      </x:c>
      <x:c r="F168" s="432" t="n">
        <x:f>IF($M$14="",1,IF('Properties'!E126=$M$14,1,0))</x:f>
        <x:v>1</x:v>
      </x:c>
      <x:c r="G168" s="432" t="n">
        <x:f>IF($M$15="",1,IF('Properties'!I126=$M$15,1,0))</x:f>
        <x:v>1</x:v>
      </x:c>
      <x:c r="H168" s="432" t="n">
        <x:f>IF(NOT(ISNUMBER($M$16)),1,IF(AND(ISNUMBER('Properties'!J126),'Properties'!J126=$M$16),1,0))</x:f>
        <x:v>1</x:v>
      </x:c>
      <x:c r="I168" s="432" t="n">
        <x:f>IF($M$19="",1,IF('Properties'!F126="",0,IF(ISNUMBER(SEARCH(","&amp;TRIM('Properties'!F126)&amp;",",","&amp;SUBSTITUTE(TRIM($M$19),", ",",")&amp;",")),1,0)))</x:f>
        <x:v>1</x:v>
      </x:c>
      <x:c r="J168" s="432" t="n">
        <x:f>IF($O$44=0,0,PRODUCT(C168:I168))</x:f>
        <x:v>0</x:v>
      </x:c>
      <x:c r="K168" s="432" t="str">
        <x:f>IF(J168=1,SUM($J$48:J168),"")</x:f>
      </x:c>
      <x:c r="L168" s="432"/>
      <x:c r="M168" s="432"/>
      <x:c r="N168" s="432" t="str">
        <x:f>IF('Clients'!A126="","",'Clients'!A126)</x:f>
      </x:c>
      <x:c r="O168" s="432" t="n">
        <x:f>IF(N168="",0,IF($B$6="",1,IF(ISNUMBER(SEARCH($B$6,'Clients'!A126&amp;" "&amp;'Clients'!B126&amp;" "&amp;'Clients'!C126&amp;" "&amp;'Clients'!D126)),1,0)))</x:f>
        <x:v>0</x:v>
      </x:c>
      <x:c r="P168" s="432" t="str">
        <x:f>IF(O168=1,SUM($O$48:O168),"")</x:f>
      </x:c>
      <x:c r="Q168" s="432"/>
    </x:row>
    <x:row r="169" ht="25" customHeight="1">
      <x:c r="A169" s="432"/>
      <x:c r="B169" s="432" t="str">
        <x:f>IF('Properties'!A127="","",'Properties'!A127)</x:f>
      </x:c>
      <x:c r="C169" s="432" t="n">
        <x:f>IF(AND(B169&lt;&gt;"",'Properties'!M127="Available"),1,0)</x:f>
        <x:v>0</x:v>
      </x:c>
      <x:c r="D169" s="432" t="n">
        <x:f>IF($M$13="Buy",IF('Properties'!D127="Sale",1,0),IF($M$13="Rent",IF('Properties'!D127="Rental",1,0),0))</x:f>
        <x:v>0</x:v>
      </x:c>
      <x:c r="E169" s="432" t="n">
        <x:f>IF(AND(ISNUMBER('Properties'!L127),'Properties'!L127&gt;0,ISNUMBER($M$18),$M$18&gt;0,'Properties'!L127&lt;=$M$18,OR(NOT(ISNUMBER($M$17)),'Properties'!L127&gt;=$M$17)),1,0)</x:f>
        <x:v>0</x:v>
      </x:c>
      <x:c r="F169" s="432" t="n">
        <x:f>IF($M$14="",1,IF('Properties'!E127=$M$14,1,0))</x:f>
        <x:v>1</x:v>
      </x:c>
      <x:c r="G169" s="432" t="n">
        <x:f>IF($M$15="",1,IF('Properties'!I127=$M$15,1,0))</x:f>
        <x:v>1</x:v>
      </x:c>
      <x:c r="H169" s="432" t="n">
        <x:f>IF(NOT(ISNUMBER($M$16)),1,IF(AND(ISNUMBER('Properties'!J127),'Properties'!J127=$M$16),1,0))</x:f>
        <x:v>1</x:v>
      </x:c>
      <x:c r="I169" s="432" t="n">
        <x:f>IF($M$19="",1,IF('Properties'!F127="",0,IF(ISNUMBER(SEARCH(","&amp;TRIM('Properties'!F127)&amp;",",","&amp;SUBSTITUTE(TRIM($M$19),", ",",")&amp;",")),1,0)))</x:f>
        <x:v>1</x:v>
      </x:c>
      <x:c r="J169" s="432" t="n">
        <x:f>IF($O$44=0,0,PRODUCT(C169:I169))</x:f>
        <x:v>0</x:v>
      </x:c>
      <x:c r="K169" s="432" t="str">
        <x:f>IF(J169=1,SUM($J$48:J169),"")</x:f>
      </x:c>
      <x:c r="L169" s="432"/>
      <x:c r="M169" s="432"/>
      <x:c r="N169" s="432" t="str">
        <x:f>IF('Clients'!A127="","",'Clients'!A127)</x:f>
      </x:c>
      <x:c r="O169" s="432" t="n">
        <x:f>IF(N169="",0,IF($B$6="",1,IF(ISNUMBER(SEARCH($B$6,'Clients'!A127&amp;" "&amp;'Clients'!B127&amp;" "&amp;'Clients'!C127&amp;" "&amp;'Clients'!D127)),1,0)))</x:f>
        <x:v>0</x:v>
      </x:c>
      <x:c r="P169" s="432" t="str">
        <x:f>IF(O169=1,SUM($O$48:O169),"")</x:f>
      </x:c>
      <x:c r="Q169" s="432"/>
    </x:row>
    <x:row r="170" ht="25" customHeight="1">
      <x:c r="A170" s="432"/>
      <x:c r="B170" s="432" t="str">
        <x:f>IF('Properties'!A128="","",'Properties'!A128)</x:f>
      </x:c>
      <x:c r="C170" s="432" t="n">
        <x:f>IF(AND(B170&lt;&gt;"",'Properties'!M128="Available"),1,0)</x:f>
        <x:v>0</x:v>
      </x:c>
      <x:c r="D170" s="432" t="n">
        <x:f>IF($M$13="Buy",IF('Properties'!D128="Sale",1,0),IF($M$13="Rent",IF('Properties'!D128="Rental",1,0),0))</x:f>
        <x:v>0</x:v>
      </x:c>
      <x:c r="E170" s="432" t="n">
        <x:f>IF(AND(ISNUMBER('Properties'!L128),'Properties'!L128&gt;0,ISNUMBER($M$18),$M$18&gt;0,'Properties'!L128&lt;=$M$18,OR(NOT(ISNUMBER($M$17)),'Properties'!L128&gt;=$M$17)),1,0)</x:f>
        <x:v>0</x:v>
      </x:c>
      <x:c r="F170" s="432" t="n">
        <x:f>IF($M$14="",1,IF('Properties'!E128=$M$14,1,0))</x:f>
        <x:v>1</x:v>
      </x:c>
      <x:c r="G170" s="432" t="n">
        <x:f>IF($M$15="",1,IF('Properties'!I128=$M$15,1,0))</x:f>
        <x:v>1</x:v>
      </x:c>
      <x:c r="H170" s="432" t="n">
        <x:f>IF(NOT(ISNUMBER($M$16)),1,IF(AND(ISNUMBER('Properties'!J128),'Properties'!J128=$M$16),1,0))</x:f>
        <x:v>1</x:v>
      </x:c>
      <x:c r="I170" s="432" t="n">
        <x:f>IF($M$19="",1,IF('Properties'!F128="",0,IF(ISNUMBER(SEARCH(","&amp;TRIM('Properties'!F128)&amp;",",","&amp;SUBSTITUTE(TRIM($M$19),", ",",")&amp;",")),1,0)))</x:f>
        <x:v>1</x:v>
      </x:c>
      <x:c r="J170" s="432" t="n">
        <x:f>IF($O$44=0,0,PRODUCT(C170:I170))</x:f>
        <x:v>0</x:v>
      </x:c>
      <x:c r="K170" s="432" t="str">
        <x:f>IF(J170=1,SUM($J$48:J170),"")</x:f>
      </x:c>
      <x:c r="L170" s="432"/>
      <x:c r="M170" s="432"/>
      <x:c r="N170" s="432" t="str">
        <x:f>IF('Clients'!A128="","",'Clients'!A128)</x:f>
      </x:c>
      <x:c r="O170" s="432" t="n">
        <x:f>IF(N170="",0,IF($B$6="",1,IF(ISNUMBER(SEARCH($B$6,'Clients'!A128&amp;" "&amp;'Clients'!B128&amp;" "&amp;'Clients'!C128&amp;" "&amp;'Clients'!D128)),1,0)))</x:f>
        <x:v>0</x:v>
      </x:c>
      <x:c r="P170" s="432" t="str">
        <x:f>IF(O170=1,SUM($O$48:O170),"")</x:f>
      </x:c>
      <x:c r="Q170" s="432"/>
    </x:row>
    <x:row r="171" ht="25" customHeight="1">
      <x:c r="A171" s="432"/>
      <x:c r="B171" s="432" t="str">
        <x:f>IF('Properties'!A129="","",'Properties'!A129)</x:f>
      </x:c>
      <x:c r="C171" s="432" t="n">
        <x:f>IF(AND(B171&lt;&gt;"",'Properties'!M129="Available"),1,0)</x:f>
        <x:v>0</x:v>
      </x:c>
      <x:c r="D171" s="432" t="n">
        <x:f>IF($M$13="Buy",IF('Properties'!D129="Sale",1,0),IF($M$13="Rent",IF('Properties'!D129="Rental",1,0),0))</x:f>
        <x:v>0</x:v>
      </x:c>
      <x:c r="E171" s="432" t="n">
        <x:f>IF(AND(ISNUMBER('Properties'!L129),'Properties'!L129&gt;0,ISNUMBER($M$18),$M$18&gt;0,'Properties'!L129&lt;=$M$18,OR(NOT(ISNUMBER($M$17)),'Properties'!L129&gt;=$M$17)),1,0)</x:f>
        <x:v>0</x:v>
      </x:c>
      <x:c r="F171" s="432" t="n">
        <x:f>IF($M$14="",1,IF('Properties'!E129=$M$14,1,0))</x:f>
        <x:v>1</x:v>
      </x:c>
      <x:c r="G171" s="432" t="n">
        <x:f>IF($M$15="",1,IF('Properties'!I129=$M$15,1,0))</x:f>
        <x:v>1</x:v>
      </x:c>
      <x:c r="H171" s="432" t="n">
        <x:f>IF(NOT(ISNUMBER($M$16)),1,IF(AND(ISNUMBER('Properties'!J129),'Properties'!J129=$M$16),1,0))</x:f>
        <x:v>1</x:v>
      </x:c>
      <x:c r="I171" s="432" t="n">
        <x:f>IF($M$19="",1,IF('Properties'!F129="",0,IF(ISNUMBER(SEARCH(","&amp;TRIM('Properties'!F129)&amp;",",","&amp;SUBSTITUTE(TRIM($M$19),", ",",")&amp;",")),1,0)))</x:f>
        <x:v>1</x:v>
      </x:c>
      <x:c r="J171" s="432" t="n">
        <x:f>IF($O$44=0,0,PRODUCT(C171:I171))</x:f>
        <x:v>0</x:v>
      </x:c>
      <x:c r="K171" s="432" t="str">
        <x:f>IF(J171=1,SUM($J$48:J171),"")</x:f>
      </x:c>
      <x:c r="L171" s="432"/>
      <x:c r="M171" s="432"/>
      <x:c r="N171" s="432" t="str">
        <x:f>IF('Clients'!A129="","",'Clients'!A129)</x:f>
      </x:c>
      <x:c r="O171" s="432" t="n">
        <x:f>IF(N171="",0,IF($B$6="",1,IF(ISNUMBER(SEARCH($B$6,'Clients'!A129&amp;" "&amp;'Clients'!B129&amp;" "&amp;'Clients'!C129&amp;" "&amp;'Clients'!D129)),1,0)))</x:f>
        <x:v>0</x:v>
      </x:c>
      <x:c r="P171" s="432" t="str">
        <x:f>IF(O171=1,SUM($O$48:O171),"")</x:f>
      </x:c>
      <x:c r="Q171" s="432"/>
    </x:row>
    <x:row r="172" ht="25" customHeight="1">
      <x:c r="A172" s="432"/>
      <x:c r="B172" s="432" t="str">
        <x:f>IF('Properties'!A130="","",'Properties'!A130)</x:f>
      </x:c>
      <x:c r="C172" s="432" t="n">
        <x:f>IF(AND(B172&lt;&gt;"",'Properties'!M130="Available"),1,0)</x:f>
        <x:v>0</x:v>
      </x:c>
      <x:c r="D172" s="432" t="n">
        <x:f>IF($M$13="Buy",IF('Properties'!D130="Sale",1,0),IF($M$13="Rent",IF('Properties'!D130="Rental",1,0),0))</x:f>
        <x:v>0</x:v>
      </x:c>
      <x:c r="E172" s="432" t="n">
        <x:f>IF(AND(ISNUMBER('Properties'!L130),'Properties'!L130&gt;0,ISNUMBER($M$18),$M$18&gt;0,'Properties'!L130&lt;=$M$18,OR(NOT(ISNUMBER($M$17)),'Properties'!L130&gt;=$M$17)),1,0)</x:f>
        <x:v>0</x:v>
      </x:c>
      <x:c r="F172" s="432" t="n">
        <x:f>IF($M$14="",1,IF('Properties'!E130=$M$14,1,0))</x:f>
        <x:v>1</x:v>
      </x:c>
      <x:c r="G172" s="432" t="n">
        <x:f>IF($M$15="",1,IF('Properties'!I130=$M$15,1,0))</x:f>
        <x:v>1</x:v>
      </x:c>
      <x:c r="H172" s="432" t="n">
        <x:f>IF(NOT(ISNUMBER($M$16)),1,IF(AND(ISNUMBER('Properties'!J130),'Properties'!J130=$M$16),1,0))</x:f>
        <x:v>1</x:v>
      </x:c>
      <x:c r="I172" s="432" t="n">
        <x:f>IF($M$19="",1,IF('Properties'!F130="",0,IF(ISNUMBER(SEARCH(","&amp;TRIM('Properties'!F130)&amp;",",","&amp;SUBSTITUTE(TRIM($M$19),", ",",")&amp;",")),1,0)))</x:f>
        <x:v>1</x:v>
      </x:c>
      <x:c r="J172" s="432" t="n">
        <x:f>IF($O$44=0,0,PRODUCT(C172:I172))</x:f>
        <x:v>0</x:v>
      </x:c>
      <x:c r="K172" s="432" t="str">
        <x:f>IF(J172=1,SUM($J$48:J172),"")</x:f>
      </x:c>
      <x:c r="L172" s="432"/>
      <x:c r="M172" s="432"/>
      <x:c r="N172" s="432" t="str">
        <x:f>IF('Clients'!A130="","",'Clients'!A130)</x:f>
      </x:c>
      <x:c r="O172" s="432" t="n">
        <x:f>IF(N172="",0,IF($B$6="",1,IF(ISNUMBER(SEARCH($B$6,'Clients'!A130&amp;" "&amp;'Clients'!B130&amp;" "&amp;'Clients'!C130&amp;" "&amp;'Clients'!D130)),1,0)))</x:f>
        <x:v>0</x:v>
      </x:c>
      <x:c r="P172" s="432" t="str">
        <x:f>IF(O172=1,SUM($O$48:O172),"")</x:f>
      </x:c>
      <x:c r="Q172" s="432"/>
    </x:row>
    <x:row r="173" ht="25" customHeight="1">
      <x:c r="A173" s="432"/>
      <x:c r="B173" s="432" t="str">
        <x:f>IF('Properties'!A131="","",'Properties'!A131)</x:f>
      </x:c>
      <x:c r="C173" s="432" t="n">
        <x:f>IF(AND(B173&lt;&gt;"",'Properties'!M131="Available"),1,0)</x:f>
        <x:v>0</x:v>
      </x:c>
      <x:c r="D173" s="432" t="n">
        <x:f>IF($M$13="Buy",IF('Properties'!D131="Sale",1,0),IF($M$13="Rent",IF('Properties'!D131="Rental",1,0),0))</x:f>
        <x:v>0</x:v>
      </x:c>
      <x:c r="E173" s="432" t="n">
        <x:f>IF(AND(ISNUMBER('Properties'!L131),'Properties'!L131&gt;0,ISNUMBER($M$18),$M$18&gt;0,'Properties'!L131&lt;=$M$18,OR(NOT(ISNUMBER($M$17)),'Properties'!L131&gt;=$M$17)),1,0)</x:f>
        <x:v>0</x:v>
      </x:c>
      <x:c r="F173" s="432" t="n">
        <x:f>IF($M$14="",1,IF('Properties'!E131=$M$14,1,0))</x:f>
        <x:v>1</x:v>
      </x:c>
      <x:c r="G173" s="432" t="n">
        <x:f>IF($M$15="",1,IF('Properties'!I131=$M$15,1,0))</x:f>
        <x:v>1</x:v>
      </x:c>
      <x:c r="H173" s="432" t="n">
        <x:f>IF(NOT(ISNUMBER($M$16)),1,IF(AND(ISNUMBER('Properties'!J131),'Properties'!J131=$M$16),1,0))</x:f>
        <x:v>1</x:v>
      </x:c>
      <x:c r="I173" s="432" t="n">
        <x:f>IF($M$19="",1,IF('Properties'!F131="",0,IF(ISNUMBER(SEARCH(","&amp;TRIM('Properties'!F131)&amp;",",","&amp;SUBSTITUTE(TRIM($M$19),", ",",")&amp;",")),1,0)))</x:f>
        <x:v>1</x:v>
      </x:c>
      <x:c r="J173" s="432" t="n">
        <x:f>IF($O$44=0,0,PRODUCT(C173:I173))</x:f>
        <x:v>0</x:v>
      </x:c>
      <x:c r="K173" s="432" t="str">
        <x:f>IF(J173=1,SUM($J$48:J173),"")</x:f>
      </x:c>
      <x:c r="L173" s="432"/>
      <x:c r="M173" s="432"/>
      <x:c r="N173" s="432" t="str">
        <x:f>IF('Clients'!A131="","",'Clients'!A131)</x:f>
      </x:c>
      <x:c r="O173" s="432" t="n">
        <x:f>IF(N173="",0,IF($B$6="",1,IF(ISNUMBER(SEARCH($B$6,'Clients'!A131&amp;" "&amp;'Clients'!B131&amp;" "&amp;'Clients'!C131&amp;" "&amp;'Clients'!D131)),1,0)))</x:f>
        <x:v>0</x:v>
      </x:c>
      <x:c r="P173" s="432" t="str">
        <x:f>IF(O173=1,SUM($O$48:O173),"")</x:f>
      </x:c>
      <x:c r="Q173" s="432"/>
    </x:row>
    <x:row r="174" ht="25" customHeight="1">
      <x:c r="A174" s="432"/>
      <x:c r="B174" s="432" t="str">
        <x:f>IF('Properties'!A132="","",'Properties'!A132)</x:f>
      </x:c>
      <x:c r="C174" s="432" t="n">
        <x:f>IF(AND(B174&lt;&gt;"",'Properties'!M132="Available"),1,0)</x:f>
        <x:v>0</x:v>
      </x:c>
      <x:c r="D174" s="432" t="n">
        <x:f>IF($M$13="Buy",IF('Properties'!D132="Sale",1,0),IF($M$13="Rent",IF('Properties'!D132="Rental",1,0),0))</x:f>
        <x:v>0</x:v>
      </x:c>
      <x:c r="E174" s="432" t="n">
        <x:f>IF(AND(ISNUMBER('Properties'!L132),'Properties'!L132&gt;0,ISNUMBER($M$18),$M$18&gt;0,'Properties'!L132&lt;=$M$18,OR(NOT(ISNUMBER($M$17)),'Properties'!L132&gt;=$M$17)),1,0)</x:f>
        <x:v>0</x:v>
      </x:c>
      <x:c r="F174" s="432" t="n">
        <x:f>IF($M$14="",1,IF('Properties'!E132=$M$14,1,0))</x:f>
        <x:v>1</x:v>
      </x:c>
      <x:c r="G174" s="432" t="n">
        <x:f>IF($M$15="",1,IF('Properties'!I132=$M$15,1,0))</x:f>
        <x:v>1</x:v>
      </x:c>
      <x:c r="H174" s="432" t="n">
        <x:f>IF(NOT(ISNUMBER($M$16)),1,IF(AND(ISNUMBER('Properties'!J132),'Properties'!J132=$M$16),1,0))</x:f>
        <x:v>1</x:v>
      </x:c>
      <x:c r="I174" s="432" t="n">
        <x:f>IF($M$19="",1,IF('Properties'!F132="",0,IF(ISNUMBER(SEARCH(","&amp;TRIM('Properties'!F132)&amp;",",","&amp;SUBSTITUTE(TRIM($M$19),", ",",")&amp;",")),1,0)))</x:f>
        <x:v>1</x:v>
      </x:c>
      <x:c r="J174" s="432" t="n">
        <x:f>IF($O$44=0,0,PRODUCT(C174:I174))</x:f>
        <x:v>0</x:v>
      </x:c>
      <x:c r="K174" s="432" t="str">
        <x:f>IF(J174=1,SUM($J$48:J174),"")</x:f>
      </x:c>
      <x:c r="L174" s="432"/>
      <x:c r="M174" s="432"/>
      <x:c r="N174" s="432" t="str">
        <x:f>IF('Clients'!A132="","",'Clients'!A132)</x:f>
      </x:c>
      <x:c r="O174" s="432" t="n">
        <x:f>IF(N174="",0,IF($B$6="",1,IF(ISNUMBER(SEARCH($B$6,'Clients'!A132&amp;" "&amp;'Clients'!B132&amp;" "&amp;'Clients'!C132&amp;" "&amp;'Clients'!D132)),1,0)))</x:f>
        <x:v>0</x:v>
      </x:c>
      <x:c r="P174" s="432" t="str">
        <x:f>IF(O174=1,SUM($O$48:O174),"")</x:f>
      </x:c>
      <x:c r="Q174" s="432"/>
    </x:row>
    <x:row r="175" ht="25" customHeight="1">
      <x:c r="A175" s="432"/>
      <x:c r="B175" s="432" t="str">
        <x:f>IF('Properties'!A133="","",'Properties'!A133)</x:f>
      </x:c>
      <x:c r="C175" s="432" t="n">
        <x:f>IF(AND(B175&lt;&gt;"",'Properties'!M133="Available"),1,0)</x:f>
        <x:v>0</x:v>
      </x:c>
      <x:c r="D175" s="432" t="n">
        <x:f>IF($M$13="Buy",IF('Properties'!D133="Sale",1,0),IF($M$13="Rent",IF('Properties'!D133="Rental",1,0),0))</x:f>
        <x:v>0</x:v>
      </x:c>
      <x:c r="E175" s="432" t="n">
        <x:f>IF(AND(ISNUMBER('Properties'!L133),'Properties'!L133&gt;0,ISNUMBER($M$18),$M$18&gt;0,'Properties'!L133&lt;=$M$18,OR(NOT(ISNUMBER($M$17)),'Properties'!L133&gt;=$M$17)),1,0)</x:f>
        <x:v>0</x:v>
      </x:c>
      <x:c r="F175" s="432" t="n">
        <x:f>IF($M$14="",1,IF('Properties'!E133=$M$14,1,0))</x:f>
        <x:v>1</x:v>
      </x:c>
      <x:c r="G175" s="432" t="n">
        <x:f>IF($M$15="",1,IF('Properties'!I133=$M$15,1,0))</x:f>
        <x:v>1</x:v>
      </x:c>
      <x:c r="H175" s="432" t="n">
        <x:f>IF(NOT(ISNUMBER($M$16)),1,IF(AND(ISNUMBER('Properties'!J133),'Properties'!J133=$M$16),1,0))</x:f>
        <x:v>1</x:v>
      </x:c>
      <x:c r="I175" s="432" t="n">
        <x:f>IF($M$19="",1,IF('Properties'!F133="",0,IF(ISNUMBER(SEARCH(","&amp;TRIM('Properties'!F133)&amp;",",","&amp;SUBSTITUTE(TRIM($M$19),", ",",")&amp;",")),1,0)))</x:f>
        <x:v>1</x:v>
      </x:c>
      <x:c r="J175" s="432" t="n">
        <x:f>IF($O$44=0,0,PRODUCT(C175:I175))</x:f>
        <x:v>0</x:v>
      </x:c>
      <x:c r="K175" s="432" t="str">
        <x:f>IF(J175=1,SUM($J$48:J175),"")</x:f>
      </x:c>
      <x:c r="L175" s="432"/>
      <x:c r="M175" s="432"/>
      <x:c r="N175" s="432" t="str">
        <x:f>IF('Clients'!A133="","",'Clients'!A133)</x:f>
      </x:c>
      <x:c r="O175" s="432" t="n">
        <x:f>IF(N175="",0,IF($B$6="",1,IF(ISNUMBER(SEARCH($B$6,'Clients'!A133&amp;" "&amp;'Clients'!B133&amp;" "&amp;'Clients'!C133&amp;" "&amp;'Clients'!D133)),1,0)))</x:f>
        <x:v>0</x:v>
      </x:c>
      <x:c r="P175" s="432" t="str">
        <x:f>IF(O175=1,SUM($O$48:O175),"")</x:f>
      </x:c>
      <x:c r="Q175" s="432"/>
    </x:row>
    <x:row r="176" ht="25" customHeight="1">
      <x:c r="A176" s="432"/>
      <x:c r="B176" s="432" t="str">
        <x:f>IF('Properties'!A134="","",'Properties'!A134)</x:f>
      </x:c>
      <x:c r="C176" s="432" t="n">
        <x:f>IF(AND(B176&lt;&gt;"",'Properties'!M134="Available"),1,0)</x:f>
        <x:v>0</x:v>
      </x:c>
      <x:c r="D176" s="432" t="n">
        <x:f>IF($M$13="Buy",IF('Properties'!D134="Sale",1,0),IF($M$13="Rent",IF('Properties'!D134="Rental",1,0),0))</x:f>
        <x:v>0</x:v>
      </x:c>
      <x:c r="E176" s="432" t="n">
        <x:f>IF(AND(ISNUMBER('Properties'!L134),'Properties'!L134&gt;0,ISNUMBER($M$18),$M$18&gt;0,'Properties'!L134&lt;=$M$18,OR(NOT(ISNUMBER($M$17)),'Properties'!L134&gt;=$M$17)),1,0)</x:f>
        <x:v>0</x:v>
      </x:c>
      <x:c r="F176" s="432" t="n">
        <x:f>IF($M$14="",1,IF('Properties'!E134=$M$14,1,0))</x:f>
        <x:v>1</x:v>
      </x:c>
      <x:c r="G176" s="432" t="n">
        <x:f>IF($M$15="",1,IF('Properties'!I134=$M$15,1,0))</x:f>
        <x:v>1</x:v>
      </x:c>
      <x:c r="H176" s="432" t="n">
        <x:f>IF(NOT(ISNUMBER($M$16)),1,IF(AND(ISNUMBER('Properties'!J134),'Properties'!J134=$M$16),1,0))</x:f>
        <x:v>1</x:v>
      </x:c>
      <x:c r="I176" s="432" t="n">
        <x:f>IF($M$19="",1,IF('Properties'!F134="",0,IF(ISNUMBER(SEARCH(","&amp;TRIM('Properties'!F134)&amp;",",","&amp;SUBSTITUTE(TRIM($M$19),", ",",")&amp;",")),1,0)))</x:f>
        <x:v>1</x:v>
      </x:c>
      <x:c r="J176" s="432" t="n">
        <x:f>IF($O$44=0,0,PRODUCT(C176:I176))</x:f>
        <x:v>0</x:v>
      </x:c>
      <x:c r="K176" s="432" t="str">
        <x:f>IF(J176=1,SUM($J$48:J176),"")</x:f>
      </x:c>
      <x:c r="L176" s="432"/>
      <x:c r="M176" s="432"/>
      <x:c r="N176" s="432" t="str">
        <x:f>IF('Clients'!A134="","",'Clients'!A134)</x:f>
      </x:c>
      <x:c r="O176" s="432" t="n">
        <x:f>IF(N176="",0,IF($B$6="",1,IF(ISNUMBER(SEARCH($B$6,'Clients'!A134&amp;" "&amp;'Clients'!B134&amp;" "&amp;'Clients'!C134&amp;" "&amp;'Clients'!D134)),1,0)))</x:f>
        <x:v>0</x:v>
      </x:c>
      <x:c r="P176" s="432" t="str">
        <x:f>IF(O176=1,SUM($O$48:O176),"")</x:f>
      </x:c>
      <x:c r="Q176" s="432"/>
    </x:row>
    <x:row r="177" ht="25" customHeight="1">
      <x:c r="A177" s="432"/>
      <x:c r="B177" s="432" t="str">
        <x:f>IF('Properties'!A135="","",'Properties'!A135)</x:f>
      </x:c>
      <x:c r="C177" s="432" t="n">
        <x:f>IF(AND(B177&lt;&gt;"",'Properties'!M135="Available"),1,0)</x:f>
        <x:v>0</x:v>
      </x:c>
      <x:c r="D177" s="432" t="n">
        <x:f>IF($M$13="Buy",IF('Properties'!D135="Sale",1,0),IF($M$13="Rent",IF('Properties'!D135="Rental",1,0),0))</x:f>
        <x:v>0</x:v>
      </x:c>
      <x:c r="E177" s="432" t="n">
        <x:f>IF(AND(ISNUMBER('Properties'!L135),'Properties'!L135&gt;0,ISNUMBER($M$18),$M$18&gt;0,'Properties'!L135&lt;=$M$18,OR(NOT(ISNUMBER($M$17)),'Properties'!L135&gt;=$M$17)),1,0)</x:f>
        <x:v>0</x:v>
      </x:c>
      <x:c r="F177" s="432" t="n">
        <x:f>IF($M$14="",1,IF('Properties'!E135=$M$14,1,0))</x:f>
        <x:v>1</x:v>
      </x:c>
      <x:c r="G177" s="432" t="n">
        <x:f>IF($M$15="",1,IF('Properties'!I135=$M$15,1,0))</x:f>
        <x:v>1</x:v>
      </x:c>
      <x:c r="H177" s="432" t="n">
        <x:f>IF(NOT(ISNUMBER($M$16)),1,IF(AND(ISNUMBER('Properties'!J135),'Properties'!J135=$M$16),1,0))</x:f>
        <x:v>1</x:v>
      </x:c>
      <x:c r="I177" s="432" t="n">
        <x:f>IF($M$19="",1,IF('Properties'!F135="",0,IF(ISNUMBER(SEARCH(","&amp;TRIM('Properties'!F135)&amp;",",","&amp;SUBSTITUTE(TRIM($M$19),", ",",")&amp;",")),1,0)))</x:f>
        <x:v>1</x:v>
      </x:c>
      <x:c r="J177" s="432" t="n">
        <x:f>IF($O$44=0,0,PRODUCT(C177:I177))</x:f>
        <x:v>0</x:v>
      </x:c>
      <x:c r="K177" s="432" t="str">
        <x:f>IF(J177=1,SUM($J$48:J177),"")</x:f>
      </x:c>
      <x:c r="L177" s="432"/>
      <x:c r="M177" s="432"/>
      <x:c r="N177" s="432" t="str">
        <x:f>IF('Clients'!A135="","",'Clients'!A135)</x:f>
      </x:c>
      <x:c r="O177" s="432" t="n">
        <x:f>IF(N177="",0,IF($B$6="",1,IF(ISNUMBER(SEARCH($B$6,'Clients'!A135&amp;" "&amp;'Clients'!B135&amp;" "&amp;'Clients'!C135&amp;" "&amp;'Clients'!D135)),1,0)))</x:f>
        <x:v>0</x:v>
      </x:c>
      <x:c r="P177" s="432" t="str">
        <x:f>IF(O177=1,SUM($O$48:O177),"")</x:f>
      </x:c>
      <x:c r="Q177" s="432"/>
    </x:row>
    <x:row r="178" ht="25" customHeight="1">
      <x:c r="A178" s="432"/>
      <x:c r="B178" s="432" t="str">
        <x:f>IF('Properties'!A136="","",'Properties'!A136)</x:f>
      </x:c>
      <x:c r="C178" s="432" t="n">
        <x:f>IF(AND(B178&lt;&gt;"",'Properties'!M136="Available"),1,0)</x:f>
        <x:v>0</x:v>
      </x:c>
      <x:c r="D178" s="432" t="n">
        <x:f>IF($M$13="Buy",IF('Properties'!D136="Sale",1,0),IF($M$13="Rent",IF('Properties'!D136="Rental",1,0),0))</x:f>
        <x:v>0</x:v>
      </x:c>
      <x:c r="E178" s="432" t="n">
        <x:f>IF(AND(ISNUMBER('Properties'!L136),'Properties'!L136&gt;0,ISNUMBER($M$18),$M$18&gt;0,'Properties'!L136&lt;=$M$18,OR(NOT(ISNUMBER($M$17)),'Properties'!L136&gt;=$M$17)),1,0)</x:f>
        <x:v>0</x:v>
      </x:c>
      <x:c r="F178" s="432" t="n">
        <x:f>IF($M$14="",1,IF('Properties'!E136=$M$14,1,0))</x:f>
        <x:v>1</x:v>
      </x:c>
      <x:c r="G178" s="432" t="n">
        <x:f>IF($M$15="",1,IF('Properties'!I136=$M$15,1,0))</x:f>
        <x:v>1</x:v>
      </x:c>
      <x:c r="H178" s="432" t="n">
        <x:f>IF(NOT(ISNUMBER($M$16)),1,IF(AND(ISNUMBER('Properties'!J136),'Properties'!J136=$M$16),1,0))</x:f>
        <x:v>1</x:v>
      </x:c>
      <x:c r="I178" s="432" t="n">
        <x:f>IF($M$19="",1,IF('Properties'!F136="",0,IF(ISNUMBER(SEARCH(","&amp;TRIM('Properties'!F136)&amp;",",","&amp;SUBSTITUTE(TRIM($M$19),", ",",")&amp;",")),1,0)))</x:f>
        <x:v>1</x:v>
      </x:c>
      <x:c r="J178" s="432" t="n">
        <x:f>IF($O$44=0,0,PRODUCT(C178:I178))</x:f>
        <x:v>0</x:v>
      </x:c>
      <x:c r="K178" s="432" t="str">
        <x:f>IF(J178=1,SUM($J$48:J178),"")</x:f>
      </x:c>
      <x:c r="L178" s="432"/>
      <x:c r="M178" s="432"/>
      <x:c r="N178" s="432" t="str">
        <x:f>IF('Clients'!A136="","",'Clients'!A136)</x:f>
      </x:c>
      <x:c r="O178" s="432" t="n">
        <x:f>IF(N178="",0,IF($B$6="",1,IF(ISNUMBER(SEARCH($B$6,'Clients'!A136&amp;" "&amp;'Clients'!B136&amp;" "&amp;'Clients'!C136&amp;" "&amp;'Clients'!D136)),1,0)))</x:f>
        <x:v>0</x:v>
      </x:c>
      <x:c r="P178" s="432" t="str">
        <x:f>IF(O178=1,SUM($O$48:O178),"")</x:f>
      </x:c>
      <x:c r="Q178" s="432"/>
    </x:row>
    <x:row r="179" ht="25" customHeight="1">
      <x:c r="A179" s="432"/>
      <x:c r="B179" s="432" t="str">
        <x:f>IF('Properties'!A137="","",'Properties'!A137)</x:f>
      </x:c>
      <x:c r="C179" s="432" t="n">
        <x:f>IF(AND(B179&lt;&gt;"",'Properties'!M137="Available"),1,0)</x:f>
        <x:v>0</x:v>
      </x:c>
      <x:c r="D179" s="432" t="n">
        <x:f>IF($M$13="Buy",IF('Properties'!D137="Sale",1,0),IF($M$13="Rent",IF('Properties'!D137="Rental",1,0),0))</x:f>
        <x:v>0</x:v>
      </x:c>
      <x:c r="E179" s="432" t="n">
        <x:f>IF(AND(ISNUMBER('Properties'!L137),'Properties'!L137&gt;0,ISNUMBER($M$18),$M$18&gt;0,'Properties'!L137&lt;=$M$18,OR(NOT(ISNUMBER($M$17)),'Properties'!L137&gt;=$M$17)),1,0)</x:f>
        <x:v>0</x:v>
      </x:c>
      <x:c r="F179" s="432" t="n">
        <x:f>IF($M$14="",1,IF('Properties'!E137=$M$14,1,0))</x:f>
        <x:v>1</x:v>
      </x:c>
      <x:c r="G179" s="432" t="n">
        <x:f>IF($M$15="",1,IF('Properties'!I137=$M$15,1,0))</x:f>
        <x:v>1</x:v>
      </x:c>
      <x:c r="H179" s="432" t="n">
        <x:f>IF(NOT(ISNUMBER($M$16)),1,IF(AND(ISNUMBER('Properties'!J137),'Properties'!J137=$M$16),1,0))</x:f>
        <x:v>1</x:v>
      </x:c>
      <x:c r="I179" s="432" t="n">
        <x:f>IF($M$19="",1,IF('Properties'!F137="",0,IF(ISNUMBER(SEARCH(","&amp;TRIM('Properties'!F137)&amp;",",","&amp;SUBSTITUTE(TRIM($M$19),", ",",")&amp;",")),1,0)))</x:f>
        <x:v>1</x:v>
      </x:c>
      <x:c r="J179" s="432" t="n">
        <x:f>IF($O$44=0,0,PRODUCT(C179:I179))</x:f>
        <x:v>0</x:v>
      </x:c>
      <x:c r="K179" s="432" t="str">
        <x:f>IF(J179=1,SUM($J$48:J179),"")</x:f>
      </x:c>
      <x:c r="L179" s="432"/>
      <x:c r="M179" s="432"/>
      <x:c r="N179" s="432" t="str">
        <x:f>IF('Clients'!A137="","",'Clients'!A137)</x:f>
      </x:c>
      <x:c r="O179" s="432" t="n">
        <x:f>IF(N179="",0,IF($B$6="",1,IF(ISNUMBER(SEARCH($B$6,'Clients'!A137&amp;" "&amp;'Clients'!B137&amp;" "&amp;'Clients'!C137&amp;" "&amp;'Clients'!D137)),1,0)))</x:f>
        <x:v>0</x:v>
      </x:c>
      <x:c r="P179" s="432" t="str">
        <x:f>IF(O179=1,SUM($O$48:O179),"")</x:f>
      </x:c>
      <x:c r="Q179" s="432"/>
    </x:row>
    <x:row r="180" ht="25" customHeight="1">
      <x:c r="A180" s="432"/>
      <x:c r="B180" s="432" t="str">
        <x:f>IF('Properties'!A138="","",'Properties'!A138)</x:f>
      </x:c>
      <x:c r="C180" s="432" t="n">
        <x:f>IF(AND(B180&lt;&gt;"",'Properties'!M138="Available"),1,0)</x:f>
        <x:v>0</x:v>
      </x:c>
      <x:c r="D180" s="432" t="n">
        <x:f>IF($M$13="Buy",IF('Properties'!D138="Sale",1,0),IF($M$13="Rent",IF('Properties'!D138="Rental",1,0),0))</x:f>
        <x:v>0</x:v>
      </x:c>
      <x:c r="E180" s="432" t="n">
        <x:f>IF(AND(ISNUMBER('Properties'!L138),'Properties'!L138&gt;0,ISNUMBER($M$18),$M$18&gt;0,'Properties'!L138&lt;=$M$18,OR(NOT(ISNUMBER($M$17)),'Properties'!L138&gt;=$M$17)),1,0)</x:f>
        <x:v>0</x:v>
      </x:c>
      <x:c r="F180" s="432" t="n">
        <x:f>IF($M$14="",1,IF('Properties'!E138=$M$14,1,0))</x:f>
        <x:v>1</x:v>
      </x:c>
      <x:c r="G180" s="432" t="n">
        <x:f>IF($M$15="",1,IF('Properties'!I138=$M$15,1,0))</x:f>
        <x:v>1</x:v>
      </x:c>
      <x:c r="H180" s="432" t="n">
        <x:f>IF(NOT(ISNUMBER($M$16)),1,IF(AND(ISNUMBER('Properties'!J138),'Properties'!J138=$M$16),1,0))</x:f>
        <x:v>1</x:v>
      </x:c>
      <x:c r="I180" s="432" t="n">
        <x:f>IF($M$19="",1,IF('Properties'!F138="",0,IF(ISNUMBER(SEARCH(","&amp;TRIM('Properties'!F138)&amp;",",","&amp;SUBSTITUTE(TRIM($M$19),", ",",")&amp;",")),1,0)))</x:f>
        <x:v>1</x:v>
      </x:c>
      <x:c r="J180" s="432" t="n">
        <x:f>IF($O$44=0,0,PRODUCT(C180:I180))</x:f>
        <x:v>0</x:v>
      </x:c>
      <x:c r="K180" s="432" t="str">
        <x:f>IF(J180=1,SUM($J$48:J180),"")</x:f>
      </x:c>
      <x:c r="L180" s="432"/>
      <x:c r="M180" s="432"/>
      <x:c r="N180" s="432" t="str">
        <x:f>IF('Clients'!A138="","",'Clients'!A138)</x:f>
      </x:c>
      <x:c r="O180" s="432" t="n">
        <x:f>IF(N180="",0,IF($B$6="",1,IF(ISNUMBER(SEARCH($B$6,'Clients'!A138&amp;" "&amp;'Clients'!B138&amp;" "&amp;'Clients'!C138&amp;" "&amp;'Clients'!D138)),1,0)))</x:f>
        <x:v>0</x:v>
      </x:c>
      <x:c r="P180" s="432" t="str">
        <x:f>IF(O180=1,SUM($O$48:O180),"")</x:f>
      </x:c>
      <x:c r="Q180" s="432"/>
    </x:row>
    <x:row r="181" ht="25" customHeight="1">
      <x:c r="A181" s="432"/>
      <x:c r="B181" s="432" t="str">
        <x:f>IF('Properties'!A139="","",'Properties'!A139)</x:f>
      </x:c>
      <x:c r="C181" s="432" t="n">
        <x:f>IF(AND(B181&lt;&gt;"",'Properties'!M139="Available"),1,0)</x:f>
        <x:v>0</x:v>
      </x:c>
      <x:c r="D181" s="432" t="n">
        <x:f>IF($M$13="Buy",IF('Properties'!D139="Sale",1,0),IF($M$13="Rent",IF('Properties'!D139="Rental",1,0),0))</x:f>
        <x:v>0</x:v>
      </x:c>
      <x:c r="E181" s="432" t="n">
        <x:f>IF(AND(ISNUMBER('Properties'!L139),'Properties'!L139&gt;0,ISNUMBER($M$18),$M$18&gt;0,'Properties'!L139&lt;=$M$18,OR(NOT(ISNUMBER($M$17)),'Properties'!L139&gt;=$M$17)),1,0)</x:f>
        <x:v>0</x:v>
      </x:c>
      <x:c r="F181" s="432" t="n">
        <x:f>IF($M$14="",1,IF('Properties'!E139=$M$14,1,0))</x:f>
        <x:v>1</x:v>
      </x:c>
      <x:c r="G181" s="432" t="n">
        <x:f>IF($M$15="",1,IF('Properties'!I139=$M$15,1,0))</x:f>
        <x:v>1</x:v>
      </x:c>
      <x:c r="H181" s="432" t="n">
        <x:f>IF(NOT(ISNUMBER($M$16)),1,IF(AND(ISNUMBER('Properties'!J139),'Properties'!J139=$M$16),1,0))</x:f>
        <x:v>1</x:v>
      </x:c>
      <x:c r="I181" s="432" t="n">
        <x:f>IF($M$19="",1,IF('Properties'!F139="",0,IF(ISNUMBER(SEARCH(","&amp;TRIM('Properties'!F139)&amp;",",","&amp;SUBSTITUTE(TRIM($M$19),", ",",")&amp;",")),1,0)))</x:f>
        <x:v>1</x:v>
      </x:c>
      <x:c r="J181" s="432" t="n">
        <x:f>IF($O$44=0,0,PRODUCT(C181:I181))</x:f>
        <x:v>0</x:v>
      </x:c>
      <x:c r="K181" s="432" t="str">
        <x:f>IF(J181=1,SUM($J$48:J181),"")</x:f>
      </x:c>
      <x:c r="L181" s="432"/>
      <x:c r="M181" s="432"/>
      <x:c r="N181" s="432" t="str">
        <x:f>IF('Clients'!A139="","",'Clients'!A139)</x:f>
      </x:c>
      <x:c r="O181" s="432" t="n">
        <x:f>IF(N181="",0,IF($B$6="",1,IF(ISNUMBER(SEARCH($B$6,'Clients'!A139&amp;" "&amp;'Clients'!B139&amp;" "&amp;'Clients'!C139&amp;" "&amp;'Clients'!D139)),1,0)))</x:f>
        <x:v>0</x:v>
      </x:c>
      <x:c r="P181" s="432" t="str">
        <x:f>IF(O181=1,SUM($O$48:O181),"")</x:f>
      </x:c>
      <x:c r="Q181" s="432"/>
    </x:row>
    <x:row r="182" ht="25" customHeight="1">
      <x:c r="A182" s="432"/>
      <x:c r="B182" s="432" t="str">
        <x:f>IF('Properties'!A140="","",'Properties'!A140)</x:f>
      </x:c>
      <x:c r="C182" s="432" t="n">
        <x:f>IF(AND(B182&lt;&gt;"",'Properties'!M140="Available"),1,0)</x:f>
        <x:v>0</x:v>
      </x:c>
      <x:c r="D182" s="432" t="n">
        <x:f>IF($M$13="Buy",IF('Properties'!D140="Sale",1,0),IF($M$13="Rent",IF('Properties'!D140="Rental",1,0),0))</x:f>
        <x:v>0</x:v>
      </x:c>
      <x:c r="E182" s="432" t="n">
        <x:f>IF(AND(ISNUMBER('Properties'!L140),'Properties'!L140&gt;0,ISNUMBER($M$18),$M$18&gt;0,'Properties'!L140&lt;=$M$18,OR(NOT(ISNUMBER($M$17)),'Properties'!L140&gt;=$M$17)),1,0)</x:f>
        <x:v>0</x:v>
      </x:c>
      <x:c r="F182" s="432" t="n">
        <x:f>IF($M$14="",1,IF('Properties'!E140=$M$14,1,0))</x:f>
        <x:v>1</x:v>
      </x:c>
      <x:c r="G182" s="432" t="n">
        <x:f>IF($M$15="",1,IF('Properties'!I140=$M$15,1,0))</x:f>
        <x:v>1</x:v>
      </x:c>
      <x:c r="H182" s="432" t="n">
        <x:f>IF(NOT(ISNUMBER($M$16)),1,IF(AND(ISNUMBER('Properties'!J140),'Properties'!J140=$M$16),1,0))</x:f>
        <x:v>1</x:v>
      </x:c>
      <x:c r="I182" s="432" t="n">
        <x:f>IF($M$19="",1,IF('Properties'!F140="",0,IF(ISNUMBER(SEARCH(","&amp;TRIM('Properties'!F140)&amp;",",","&amp;SUBSTITUTE(TRIM($M$19),", ",",")&amp;",")),1,0)))</x:f>
        <x:v>1</x:v>
      </x:c>
      <x:c r="J182" s="432" t="n">
        <x:f>IF($O$44=0,0,PRODUCT(C182:I182))</x:f>
        <x:v>0</x:v>
      </x:c>
      <x:c r="K182" s="432" t="str">
        <x:f>IF(J182=1,SUM($J$48:J182),"")</x:f>
      </x:c>
      <x:c r="L182" s="432"/>
      <x:c r="M182" s="432"/>
      <x:c r="N182" s="432" t="str">
        <x:f>IF('Clients'!A140="","",'Clients'!A140)</x:f>
      </x:c>
      <x:c r="O182" s="432" t="n">
        <x:f>IF(N182="",0,IF($B$6="",1,IF(ISNUMBER(SEARCH($B$6,'Clients'!A140&amp;" "&amp;'Clients'!B140&amp;" "&amp;'Clients'!C140&amp;" "&amp;'Clients'!D140)),1,0)))</x:f>
        <x:v>0</x:v>
      </x:c>
      <x:c r="P182" s="432" t="str">
        <x:f>IF(O182=1,SUM($O$48:O182),"")</x:f>
      </x:c>
      <x:c r="Q182" s="432"/>
    </x:row>
    <x:row r="183" ht="25" customHeight="1">
      <x:c r="A183" s="432"/>
      <x:c r="B183" s="432" t="str">
        <x:f>IF('Properties'!A141="","",'Properties'!A141)</x:f>
      </x:c>
      <x:c r="C183" s="432" t="n">
        <x:f>IF(AND(B183&lt;&gt;"",'Properties'!M141="Available"),1,0)</x:f>
        <x:v>0</x:v>
      </x:c>
      <x:c r="D183" s="432" t="n">
        <x:f>IF($M$13="Buy",IF('Properties'!D141="Sale",1,0),IF($M$13="Rent",IF('Properties'!D141="Rental",1,0),0))</x:f>
        <x:v>0</x:v>
      </x:c>
      <x:c r="E183" s="432" t="n">
        <x:f>IF(AND(ISNUMBER('Properties'!L141),'Properties'!L141&gt;0,ISNUMBER($M$18),$M$18&gt;0,'Properties'!L141&lt;=$M$18,OR(NOT(ISNUMBER($M$17)),'Properties'!L141&gt;=$M$17)),1,0)</x:f>
        <x:v>0</x:v>
      </x:c>
      <x:c r="F183" s="432" t="n">
        <x:f>IF($M$14="",1,IF('Properties'!E141=$M$14,1,0))</x:f>
        <x:v>1</x:v>
      </x:c>
      <x:c r="G183" s="432" t="n">
        <x:f>IF($M$15="",1,IF('Properties'!I141=$M$15,1,0))</x:f>
        <x:v>1</x:v>
      </x:c>
      <x:c r="H183" s="432" t="n">
        <x:f>IF(NOT(ISNUMBER($M$16)),1,IF(AND(ISNUMBER('Properties'!J141),'Properties'!J141=$M$16),1,0))</x:f>
        <x:v>1</x:v>
      </x:c>
      <x:c r="I183" s="432" t="n">
        <x:f>IF($M$19="",1,IF('Properties'!F141="",0,IF(ISNUMBER(SEARCH(","&amp;TRIM('Properties'!F141)&amp;",",","&amp;SUBSTITUTE(TRIM($M$19),", ",",")&amp;",")),1,0)))</x:f>
        <x:v>1</x:v>
      </x:c>
      <x:c r="J183" s="432" t="n">
        <x:f>IF($O$44=0,0,PRODUCT(C183:I183))</x:f>
        <x:v>0</x:v>
      </x:c>
      <x:c r="K183" s="432" t="str">
        <x:f>IF(J183=1,SUM($J$48:J183),"")</x:f>
      </x:c>
      <x:c r="L183" s="432"/>
      <x:c r="M183" s="432"/>
      <x:c r="N183" s="432" t="str">
        <x:f>IF('Clients'!A141="","",'Clients'!A141)</x:f>
      </x:c>
      <x:c r="O183" s="432" t="n">
        <x:f>IF(N183="",0,IF($B$6="",1,IF(ISNUMBER(SEARCH($B$6,'Clients'!A141&amp;" "&amp;'Clients'!B141&amp;" "&amp;'Clients'!C141&amp;" "&amp;'Clients'!D141)),1,0)))</x:f>
        <x:v>0</x:v>
      </x:c>
      <x:c r="P183" s="432" t="str">
        <x:f>IF(O183=1,SUM($O$48:O183),"")</x:f>
      </x:c>
      <x:c r="Q183" s="432"/>
    </x:row>
    <x:row r="184" ht="25" customHeight="1">
      <x:c r="A184" s="432"/>
      <x:c r="B184" s="432" t="str">
        <x:f>IF('Properties'!A142="","",'Properties'!A142)</x:f>
      </x:c>
      <x:c r="C184" s="432" t="n">
        <x:f>IF(AND(B184&lt;&gt;"",'Properties'!M142="Available"),1,0)</x:f>
        <x:v>0</x:v>
      </x:c>
      <x:c r="D184" s="432" t="n">
        <x:f>IF($M$13="Buy",IF('Properties'!D142="Sale",1,0),IF($M$13="Rent",IF('Properties'!D142="Rental",1,0),0))</x:f>
        <x:v>0</x:v>
      </x:c>
      <x:c r="E184" s="432" t="n">
        <x:f>IF(AND(ISNUMBER('Properties'!L142),'Properties'!L142&gt;0,ISNUMBER($M$18),$M$18&gt;0,'Properties'!L142&lt;=$M$18,OR(NOT(ISNUMBER($M$17)),'Properties'!L142&gt;=$M$17)),1,0)</x:f>
        <x:v>0</x:v>
      </x:c>
      <x:c r="F184" s="432" t="n">
        <x:f>IF($M$14="",1,IF('Properties'!E142=$M$14,1,0))</x:f>
        <x:v>1</x:v>
      </x:c>
      <x:c r="G184" s="432" t="n">
        <x:f>IF($M$15="",1,IF('Properties'!I142=$M$15,1,0))</x:f>
        <x:v>1</x:v>
      </x:c>
      <x:c r="H184" s="432" t="n">
        <x:f>IF(NOT(ISNUMBER($M$16)),1,IF(AND(ISNUMBER('Properties'!J142),'Properties'!J142=$M$16),1,0))</x:f>
        <x:v>1</x:v>
      </x:c>
      <x:c r="I184" s="432" t="n">
        <x:f>IF($M$19="",1,IF('Properties'!F142="",0,IF(ISNUMBER(SEARCH(","&amp;TRIM('Properties'!F142)&amp;",",","&amp;SUBSTITUTE(TRIM($M$19),", ",",")&amp;",")),1,0)))</x:f>
        <x:v>1</x:v>
      </x:c>
      <x:c r="J184" s="432" t="n">
        <x:f>IF($O$44=0,0,PRODUCT(C184:I184))</x:f>
        <x:v>0</x:v>
      </x:c>
      <x:c r="K184" s="432" t="str">
        <x:f>IF(J184=1,SUM($J$48:J184),"")</x:f>
      </x:c>
      <x:c r="L184" s="432"/>
      <x:c r="M184" s="432"/>
      <x:c r="N184" s="432" t="str">
        <x:f>IF('Clients'!A142="","",'Clients'!A142)</x:f>
      </x:c>
      <x:c r="O184" s="432" t="n">
        <x:f>IF(N184="",0,IF($B$6="",1,IF(ISNUMBER(SEARCH($B$6,'Clients'!A142&amp;" "&amp;'Clients'!B142&amp;" "&amp;'Clients'!C142&amp;" "&amp;'Clients'!D142)),1,0)))</x:f>
        <x:v>0</x:v>
      </x:c>
      <x:c r="P184" s="432" t="str">
        <x:f>IF(O184=1,SUM($O$48:O184),"")</x:f>
      </x:c>
      <x:c r="Q184" s="432"/>
    </x:row>
    <x:row r="185" ht="25" customHeight="1">
      <x:c r="A185" s="432"/>
      <x:c r="B185" s="432" t="str">
        <x:f>IF('Properties'!A143="","",'Properties'!A143)</x:f>
      </x:c>
      <x:c r="C185" s="432" t="n">
        <x:f>IF(AND(B185&lt;&gt;"",'Properties'!M143="Available"),1,0)</x:f>
        <x:v>0</x:v>
      </x:c>
      <x:c r="D185" s="432" t="n">
        <x:f>IF($M$13="Buy",IF('Properties'!D143="Sale",1,0),IF($M$13="Rent",IF('Properties'!D143="Rental",1,0),0))</x:f>
        <x:v>0</x:v>
      </x:c>
      <x:c r="E185" s="432" t="n">
        <x:f>IF(AND(ISNUMBER('Properties'!L143),'Properties'!L143&gt;0,ISNUMBER($M$18),$M$18&gt;0,'Properties'!L143&lt;=$M$18,OR(NOT(ISNUMBER($M$17)),'Properties'!L143&gt;=$M$17)),1,0)</x:f>
        <x:v>0</x:v>
      </x:c>
      <x:c r="F185" s="432" t="n">
        <x:f>IF($M$14="",1,IF('Properties'!E143=$M$14,1,0))</x:f>
        <x:v>1</x:v>
      </x:c>
      <x:c r="G185" s="432" t="n">
        <x:f>IF($M$15="",1,IF('Properties'!I143=$M$15,1,0))</x:f>
        <x:v>1</x:v>
      </x:c>
      <x:c r="H185" s="432" t="n">
        <x:f>IF(NOT(ISNUMBER($M$16)),1,IF(AND(ISNUMBER('Properties'!J143),'Properties'!J143=$M$16),1,0))</x:f>
        <x:v>1</x:v>
      </x:c>
      <x:c r="I185" s="432" t="n">
        <x:f>IF($M$19="",1,IF('Properties'!F143="",0,IF(ISNUMBER(SEARCH(","&amp;TRIM('Properties'!F143)&amp;",",","&amp;SUBSTITUTE(TRIM($M$19),", ",",")&amp;",")),1,0)))</x:f>
        <x:v>1</x:v>
      </x:c>
      <x:c r="J185" s="432" t="n">
        <x:f>IF($O$44=0,0,PRODUCT(C185:I185))</x:f>
        <x:v>0</x:v>
      </x:c>
      <x:c r="K185" s="432" t="str">
        <x:f>IF(J185=1,SUM($J$48:J185),"")</x:f>
      </x:c>
      <x:c r="L185" s="432"/>
      <x:c r="M185" s="432"/>
      <x:c r="N185" s="432" t="str">
        <x:f>IF('Clients'!A143="","",'Clients'!A143)</x:f>
      </x:c>
      <x:c r="O185" s="432" t="n">
        <x:f>IF(N185="",0,IF($B$6="",1,IF(ISNUMBER(SEARCH($B$6,'Clients'!A143&amp;" "&amp;'Clients'!B143&amp;" "&amp;'Clients'!C143&amp;" "&amp;'Clients'!D143)),1,0)))</x:f>
        <x:v>0</x:v>
      </x:c>
      <x:c r="P185" s="432" t="str">
        <x:f>IF(O185=1,SUM($O$48:O185),"")</x:f>
      </x:c>
      <x:c r="Q185" s="432"/>
    </x:row>
    <x:row r="186" ht="25" customHeight="1">
      <x:c r="A186" s="432"/>
      <x:c r="B186" s="432" t="str">
        <x:f>IF('Properties'!A144="","",'Properties'!A144)</x:f>
      </x:c>
      <x:c r="C186" s="432" t="n">
        <x:f>IF(AND(B186&lt;&gt;"",'Properties'!M144="Available"),1,0)</x:f>
        <x:v>0</x:v>
      </x:c>
      <x:c r="D186" s="432" t="n">
        <x:f>IF($M$13="Buy",IF('Properties'!D144="Sale",1,0),IF($M$13="Rent",IF('Properties'!D144="Rental",1,0),0))</x:f>
        <x:v>0</x:v>
      </x:c>
      <x:c r="E186" s="432" t="n">
        <x:f>IF(AND(ISNUMBER('Properties'!L144),'Properties'!L144&gt;0,ISNUMBER($M$18),$M$18&gt;0,'Properties'!L144&lt;=$M$18,OR(NOT(ISNUMBER($M$17)),'Properties'!L144&gt;=$M$17)),1,0)</x:f>
        <x:v>0</x:v>
      </x:c>
      <x:c r="F186" s="432" t="n">
        <x:f>IF($M$14="",1,IF('Properties'!E144=$M$14,1,0))</x:f>
        <x:v>1</x:v>
      </x:c>
      <x:c r="G186" s="432" t="n">
        <x:f>IF($M$15="",1,IF('Properties'!I144=$M$15,1,0))</x:f>
        <x:v>1</x:v>
      </x:c>
      <x:c r="H186" s="432" t="n">
        <x:f>IF(NOT(ISNUMBER($M$16)),1,IF(AND(ISNUMBER('Properties'!J144),'Properties'!J144=$M$16),1,0))</x:f>
        <x:v>1</x:v>
      </x:c>
      <x:c r="I186" s="432" t="n">
        <x:f>IF($M$19="",1,IF('Properties'!F144="",0,IF(ISNUMBER(SEARCH(","&amp;TRIM('Properties'!F144)&amp;",",","&amp;SUBSTITUTE(TRIM($M$19),", ",",")&amp;",")),1,0)))</x:f>
        <x:v>1</x:v>
      </x:c>
      <x:c r="J186" s="432" t="n">
        <x:f>IF($O$44=0,0,PRODUCT(C186:I186))</x:f>
        <x:v>0</x:v>
      </x:c>
      <x:c r="K186" s="432" t="str">
        <x:f>IF(J186=1,SUM($J$48:J186),"")</x:f>
      </x:c>
      <x:c r="L186" s="432"/>
      <x:c r="M186" s="432"/>
      <x:c r="N186" s="432" t="str">
        <x:f>IF('Clients'!A144="","",'Clients'!A144)</x:f>
      </x:c>
      <x:c r="O186" s="432" t="n">
        <x:f>IF(N186="",0,IF($B$6="",1,IF(ISNUMBER(SEARCH($B$6,'Clients'!A144&amp;" "&amp;'Clients'!B144&amp;" "&amp;'Clients'!C144&amp;" "&amp;'Clients'!D144)),1,0)))</x:f>
        <x:v>0</x:v>
      </x:c>
      <x:c r="P186" s="432" t="str">
        <x:f>IF(O186=1,SUM($O$48:O186),"")</x:f>
      </x:c>
      <x:c r="Q186" s="432"/>
    </x:row>
    <x:row r="187" ht="25" customHeight="1">
      <x:c r="A187" s="432"/>
      <x:c r="B187" s="432" t="str">
        <x:f>IF('Properties'!A145="","",'Properties'!A145)</x:f>
      </x:c>
      <x:c r="C187" s="432" t="n">
        <x:f>IF(AND(B187&lt;&gt;"",'Properties'!M145="Available"),1,0)</x:f>
        <x:v>0</x:v>
      </x:c>
      <x:c r="D187" s="432" t="n">
        <x:f>IF($M$13="Buy",IF('Properties'!D145="Sale",1,0),IF($M$13="Rent",IF('Properties'!D145="Rental",1,0),0))</x:f>
        <x:v>0</x:v>
      </x:c>
      <x:c r="E187" s="432" t="n">
        <x:f>IF(AND(ISNUMBER('Properties'!L145),'Properties'!L145&gt;0,ISNUMBER($M$18),$M$18&gt;0,'Properties'!L145&lt;=$M$18,OR(NOT(ISNUMBER($M$17)),'Properties'!L145&gt;=$M$17)),1,0)</x:f>
        <x:v>0</x:v>
      </x:c>
      <x:c r="F187" s="432" t="n">
        <x:f>IF($M$14="",1,IF('Properties'!E145=$M$14,1,0))</x:f>
        <x:v>1</x:v>
      </x:c>
      <x:c r="G187" s="432" t="n">
        <x:f>IF($M$15="",1,IF('Properties'!I145=$M$15,1,0))</x:f>
        <x:v>1</x:v>
      </x:c>
      <x:c r="H187" s="432" t="n">
        <x:f>IF(NOT(ISNUMBER($M$16)),1,IF(AND(ISNUMBER('Properties'!J145),'Properties'!J145=$M$16),1,0))</x:f>
        <x:v>1</x:v>
      </x:c>
      <x:c r="I187" s="432" t="n">
        <x:f>IF($M$19="",1,IF('Properties'!F145="",0,IF(ISNUMBER(SEARCH(","&amp;TRIM('Properties'!F145)&amp;",",","&amp;SUBSTITUTE(TRIM($M$19),", ",",")&amp;",")),1,0)))</x:f>
        <x:v>1</x:v>
      </x:c>
      <x:c r="J187" s="432" t="n">
        <x:f>IF($O$44=0,0,PRODUCT(C187:I187))</x:f>
        <x:v>0</x:v>
      </x:c>
      <x:c r="K187" s="432" t="str">
        <x:f>IF(J187=1,SUM($J$48:J187),"")</x:f>
      </x:c>
      <x:c r="L187" s="432"/>
      <x:c r="M187" s="432"/>
      <x:c r="N187" s="432" t="str">
        <x:f>IF('Clients'!A145="","",'Clients'!A145)</x:f>
      </x:c>
      <x:c r="O187" s="432" t="n">
        <x:f>IF(N187="",0,IF($B$6="",1,IF(ISNUMBER(SEARCH($B$6,'Clients'!A145&amp;" "&amp;'Clients'!B145&amp;" "&amp;'Clients'!C145&amp;" "&amp;'Clients'!D145)),1,0)))</x:f>
        <x:v>0</x:v>
      </x:c>
      <x:c r="P187" s="432" t="str">
        <x:f>IF(O187=1,SUM($O$48:O187),"")</x:f>
      </x:c>
      <x:c r="Q187" s="432"/>
    </x:row>
    <x:row r="188" ht="25" customHeight="1">
      <x:c r="A188" s="432"/>
      <x:c r="B188" s="432" t="str">
        <x:f>IF('Properties'!A146="","",'Properties'!A146)</x:f>
      </x:c>
      <x:c r="C188" s="432" t="n">
        <x:f>IF(AND(B188&lt;&gt;"",'Properties'!M146="Available"),1,0)</x:f>
        <x:v>0</x:v>
      </x:c>
      <x:c r="D188" s="432" t="n">
        <x:f>IF($M$13="Buy",IF('Properties'!D146="Sale",1,0),IF($M$13="Rent",IF('Properties'!D146="Rental",1,0),0))</x:f>
        <x:v>0</x:v>
      </x:c>
      <x:c r="E188" s="432" t="n">
        <x:f>IF(AND(ISNUMBER('Properties'!L146),'Properties'!L146&gt;0,ISNUMBER($M$18),$M$18&gt;0,'Properties'!L146&lt;=$M$18,OR(NOT(ISNUMBER($M$17)),'Properties'!L146&gt;=$M$17)),1,0)</x:f>
        <x:v>0</x:v>
      </x:c>
      <x:c r="F188" s="432" t="n">
        <x:f>IF($M$14="",1,IF('Properties'!E146=$M$14,1,0))</x:f>
        <x:v>1</x:v>
      </x:c>
      <x:c r="G188" s="432" t="n">
        <x:f>IF($M$15="",1,IF('Properties'!I146=$M$15,1,0))</x:f>
        <x:v>1</x:v>
      </x:c>
      <x:c r="H188" s="432" t="n">
        <x:f>IF(NOT(ISNUMBER($M$16)),1,IF(AND(ISNUMBER('Properties'!J146),'Properties'!J146=$M$16),1,0))</x:f>
        <x:v>1</x:v>
      </x:c>
      <x:c r="I188" s="432" t="n">
        <x:f>IF($M$19="",1,IF('Properties'!F146="",0,IF(ISNUMBER(SEARCH(","&amp;TRIM('Properties'!F146)&amp;",",","&amp;SUBSTITUTE(TRIM($M$19),", ",",")&amp;",")),1,0)))</x:f>
        <x:v>1</x:v>
      </x:c>
      <x:c r="J188" s="432" t="n">
        <x:f>IF($O$44=0,0,PRODUCT(C188:I188))</x:f>
        <x:v>0</x:v>
      </x:c>
      <x:c r="K188" s="432" t="str">
        <x:f>IF(J188=1,SUM($J$48:J188),"")</x:f>
      </x:c>
      <x:c r="L188" s="432"/>
      <x:c r="M188" s="432"/>
      <x:c r="N188" s="432" t="str">
        <x:f>IF('Clients'!A146="","",'Clients'!A146)</x:f>
      </x:c>
      <x:c r="O188" s="432" t="n">
        <x:f>IF(N188="",0,IF($B$6="",1,IF(ISNUMBER(SEARCH($B$6,'Clients'!A146&amp;" "&amp;'Clients'!B146&amp;" "&amp;'Clients'!C146&amp;" "&amp;'Clients'!D146)),1,0)))</x:f>
        <x:v>0</x:v>
      </x:c>
      <x:c r="P188" s="432" t="str">
        <x:f>IF(O188=1,SUM($O$48:O188),"")</x:f>
      </x:c>
      <x:c r="Q188" s="432"/>
    </x:row>
    <x:row r="189" ht="25" customHeight="1">
      <x:c r="A189" s="432"/>
      <x:c r="B189" s="432" t="str">
        <x:f>IF('Properties'!A147="","",'Properties'!A147)</x:f>
      </x:c>
      <x:c r="C189" s="432" t="n">
        <x:f>IF(AND(B189&lt;&gt;"",'Properties'!M147="Available"),1,0)</x:f>
        <x:v>0</x:v>
      </x:c>
      <x:c r="D189" s="432" t="n">
        <x:f>IF($M$13="Buy",IF('Properties'!D147="Sale",1,0),IF($M$13="Rent",IF('Properties'!D147="Rental",1,0),0))</x:f>
        <x:v>0</x:v>
      </x:c>
      <x:c r="E189" s="432" t="n">
        <x:f>IF(AND(ISNUMBER('Properties'!L147),'Properties'!L147&gt;0,ISNUMBER($M$18),$M$18&gt;0,'Properties'!L147&lt;=$M$18,OR(NOT(ISNUMBER($M$17)),'Properties'!L147&gt;=$M$17)),1,0)</x:f>
        <x:v>0</x:v>
      </x:c>
      <x:c r="F189" s="432" t="n">
        <x:f>IF($M$14="",1,IF('Properties'!E147=$M$14,1,0))</x:f>
        <x:v>1</x:v>
      </x:c>
      <x:c r="G189" s="432" t="n">
        <x:f>IF($M$15="",1,IF('Properties'!I147=$M$15,1,0))</x:f>
        <x:v>1</x:v>
      </x:c>
      <x:c r="H189" s="432" t="n">
        <x:f>IF(NOT(ISNUMBER($M$16)),1,IF(AND(ISNUMBER('Properties'!J147),'Properties'!J147=$M$16),1,0))</x:f>
        <x:v>1</x:v>
      </x:c>
      <x:c r="I189" s="432" t="n">
        <x:f>IF($M$19="",1,IF('Properties'!F147="",0,IF(ISNUMBER(SEARCH(","&amp;TRIM('Properties'!F147)&amp;",",","&amp;SUBSTITUTE(TRIM($M$19),", ",",")&amp;",")),1,0)))</x:f>
        <x:v>1</x:v>
      </x:c>
      <x:c r="J189" s="432" t="n">
        <x:f>IF($O$44=0,0,PRODUCT(C189:I189))</x:f>
        <x:v>0</x:v>
      </x:c>
      <x:c r="K189" s="432" t="str">
        <x:f>IF(J189=1,SUM($J$48:J189),"")</x:f>
      </x:c>
      <x:c r="L189" s="432"/>
      <x:c r="M189" s="432"/>
      <x:c r="N189" s="432" t="str">
        <x:f>IF('Clients'!A147="","",'Clients'!A147)</x:f>
      </x:c>
      <x:c r="O189" s="432" t="n">
        <x:f>IF(N189="",0,IF($B$6="",1,IF(ISNUMBER(SEARCH($B$6,'Clients'!A147&amp;" "&amp;'Clients'!B147&amp;" "&amp;'Clients'!C147&amp;" "&amp;'Clients'!D147)),1,0)))</x:f>
        <x:v>0</x:v>
      </x:c>
      <x:c r="P189" s="432" t="str">
        <x:f>IF(O189=1,SUM($O$48:O189),"")</x:f>
      </x:c>
      <x:c r="Q189" s="432"/>
    </x:row>
    <x:row r="190" ht="25" customHeight="1">
      <x:c r="A190" s="432"/>
      <x:c r="B190" s="432" t="str">
        <x:f>IF('Properties'!A148="","",'Properties'!A148)</x:f>
      </x:c>
      <x:c r="C190" s="432" t="n">
        <x:f>IF(AND(B190&lt;&gt;"",'Properties'!M148="Available"),1,0)</x:f>
        <x:v>0</x:v>
      </x:c>
      <x:c r="D190" s="432" t="n">
        <x:f>IF($M$13="Buy",IF('Properties'!D148="Sale",1,0),IF($M$13="Rent",IF('Properties'!D148="Rental",1,0),0))</x:f>
        <x:v>0</x:v>
      </x:c>
      <x:c r="E190" s="432" t="n">
        <x:f>IF(AND(ISNUMBER('Properties'!L148),'Properties'!L148&gt;0,ISNUMBER($M$18),$M$18&gt;0,'Properties'!L148&lt;=$M$18,OR(NOT(ISNUMBER($M$17)),'Properties'!L148&gt;=$M$17)),1,0)</x:f>
        <x:v>0</x:v>
      </x:c>
      <x:c r="F190" s="432" t="n">
        <x:f>IF($M$14="",1,IF('Properties'!E148=$M$14,1,0))</x:f>
        <x:v>1</x:v>
      </x:c>
      <x:c r="G190" s="432" t="n">
        <x:f>IF($M$15="",1,IF('Properties'!I148=$M$15,1,0))</x:f>
        <x:v>1</x:v>
      </x:c>
      <x:c r="H190" s="432" t="n">
        <x:f>IF(NOT(ISNUMBER($M$16)),1,IF(AND(ISNUMBER('Properties'!J148),'Properties'!J148=$M$16),1,0))</x:f>
        <x:v>1</x:v>
      </x:c>
      <x:c r="I190" s="432" t="n">
        <x:f>IF($M$19="",1,IF('Properties'!F148="",0,IF(ISNUMBER(SEARCH(","&amp;TRIM('Properties'!F148)&amp;",",","&amp;SUBSTITUTE(TRIM($M$19),", ",",")&amp;",")),1,0)))</x:f>
        <x:v>1</x:v>
      </x:c>
      <x:c r="J190" s="432" t="n">
        <x:f>IF($O$44=0,0,PRODUCT(C190:I190))</x:f>
        <x:v>0</x:v>
      </x:c>
      <x:c r="K190" s="432" t="str">
        <x:f>IF(J190=1,SUM($J$48:J190),"")</x:f>
      </x:c>
      <x:c r="L190" s="432"/>
      <x:c r="M190" s="432"/>
      <x:c r="N190" s="432" t="str">
        <x:f>IF('Clients'!A148="","",'Clients'!A148)</x:f>
      </x:c>
      <x:c r="O190" s="432" t="n">
        <x:f>IF(N190="",0,IF($B$6="",1,IF(ISNUMBER(SEARCH($B$6,'Clients'!A148&amp;" "&amp;'Clients'!B148&amp;" "&amp;'Clients'!C148&amp;" "&amp;'Clients'!D148)),1,0)))</x:f>
        <x:v>0</x:v>
      </x:c>
      <x:c r="P190" s="432" t="str">
        <x:f>IF(O190=1,SUM($O$48:O190),"")</x:f>
      </x:c>
      <x:c r="Q190" s="432"/>
    </x:row>
    <x:row r="191" ht="25" customHeight="1">
      <x:c r="A191" s="432"/>
      <x:c r="B191" s="432" t="str">
        <x:f>IF('Properties'!A149="","",'Properties'!A149)</x:f>
      </x:c>
      <x:c r="C191" s="432" t="n">
        <x:f>IF(AND(B191&lt;&gt;"",'Properties'!M149="Available"),1,0)</x:f>
        <x:v>0</x:v>
      </x:c>
      <x:c r="D191" s="432" t="n">
        <x:f>IF($M$13="Buy",IF('Properties'!D149="Sale",1,0),IF($M$13="Rent",IF('Properties'!D149="Rental",1,0),0))</x:f>
        <x:v>0</x:v>
      </x:c>
      <x:c r="E191" s="432" t="n">
        <x:f>IF(AND(ISNUMBER('Properties'!L149),'Properties'!L149&gt;0,ISNUMBER($M$18),$M$18&gt;0,'Properties'!L149&lt;=$M$18,OR(NOT(ISNUMBER($M$17)),'Properties'!L149&gt;=$M$17)),1,0)</x:f>
        <x:v>0</x:v>
      </x:c>
      <x:c r="F191" s="432" t="n">
        <x:f>IF($M$14="",1,IF('Properties'!E149=$M$14,1,0))</x:f>
        <x:v>1</x:v>
      </x:c>
      <x:c r="G191" s="432" t="n">
        <x:f>IF($M$15="",1,IF('Properties'!I149=$M$15,1,0))</x:f>
        <x:v>1</x:v>
      </x:c>
      <x:c r="H191" s="432" t="n">
        <x:f>IF(NOT(ISNUMBER($M$16)),1,IF(AND(ISNUMBER('Properties'!J149),'Properties'!J149=$M$16),1,0))</x:f>
        <x:v>1</x:v>
      </x:c>
      <x:c r="I191" s="432" t="n">
        <x:f>IF($M$19="",1,IF('Properties'!F149="",0,IF(ISNUMBER(SEARCH(","&amp;TRIM('Properties'!F149)&amp;",",","&amp;SUBSTITUTE(TRIM($M$19),", ",",")&amp;",")),1,0)))</x:f>
        <x:v>1</x:v>
      </x:c>
      <x:c r="J191" s="432" t="n">
        <x:f>IF($O$44=0,0,PRODUCT(C191:I191))</x:f>
        <x:v>0</x:v>
      </x:c>
      <x:c r="K191" s="432" t="str">
        <x:f>IF(J191=1,SUM($J$48:J191),"")</x:f>
      </x:c>
      <x:c r="L191" s="432"/>
      <x:c r="M191" s="432"/>
      <x:c r="N191" s="432" t="str">
        <x:f>IF('Clients'!A149="","",'Clients'!A149)</x:f>
      </x:c>
      <x:c r="O191" s="432" t="n">
        <x:f>IF(N191="",0,IF($B$6="",1,IF(ISNUMBER(SEARCH($B$6,'Clients'!A149&amp;" "&amp;'Clients'!B149&amp;" "&amp;'Clients'!C149&amp;" "&amp;'Clients'!D149)),1,0)))</x:f>
        <x:v>0</x:v>
      </x:c>
      <x:c r="P191" s="432" t="str">
        <x:f>IF(O191=1,SUM($O$48:O191),"")</x:f>
      </x:c>
      <x:c r="Q191" s="432"/>
    </x:row>
    <x:row r="192" ht="25" customHeight="1">
      <x:c r="A192" s="432"/>
      <x:c r="B192" s="432" t="str">
        <x:f>IF('Properties'!A150="","",'Properties'!A150)</x:f>
      </x:c>
      <x:c r="C192" s="432" t="n">
        <x:f>IF(AND(B192&lt;&gt;"",'Properties'!M150="Available"),1,0)</x:f>
        <x:v>0</x:v>
      </x:c>
      <x:c r="D192" s="432" t="n">
        <x:f>IF($M$13="Buy",IF('Properties'!D150="Sale",1,0),IF($M$13="Rent",IF('Properties'!D150="Rental",1,0),0))</x:f>
        <x:v>0</x:v>
      </x:c>
      <x:c r="E192" s="432" t="n">
        <x:f>IF(AND(ISNUMBER('Properties'!L150),'Properties'!L150&gt;0,ISNUMBER($M$18),$M$18&gt;0,'Properties'!L150&lt;=$M$18,OR(NOT(ISNUMBER($M$17)),'Properties'!L150&gt;=$M$17)),1,0)</x:f>
        <x:v>0</x:v>
      </x:c>
      <x:c r="F192" s="432" t="n">
        <x:f>IF($M$14="",1,IF('Properties'!E150=$M$14,1,0))</x:f>
        <x:v>1</x:v>
      </x:c>
      <x:c r="G192" s="432" t="n">
        <x:f>IF($M$15="",1,IF('Properties'!I150=$M$15,1,0))</x:f>
        <x:v>1</x:v>
      </x:c>
      <x:c r="H192" s="432" t="n">
        <x:f>IF(NOT(ISNUMBER($M$16)),1,IF(AND(ISNUMBER('Properties'!J150),'Properties'!J150=$M$16),1,0))</x:f>
        <x:v>1</x:v>
      </x:c>
      <x:c r="I192" s="432" t="n">
        <x:f>IF($M$19="",1,IF('Properties'!F150="",0,IF(ISNUMBER(SEARCH(","&amp;TRIM('Properties'!F150)&amp;",",","&amp;SUBSTITUTE(TRIM($M$19),", ",",")&amp;",")),1,0)))</x:f>
        <x:v>1</x:v>
      </x:c>
      <x:c r="J192" s="432" t="n">
        <x:f>IF($O$44=0,0,PRODUCT(C192:I192))</x:f>
        <x:v>0</x:v>
      </x:c>
      <x:c r="K192" s="432" t="str">
        <x:f>IF(J192=1,SUM($J$48:J192),"")</x:f>
      </x:c>
      <x:c r="L192" s="432"/>
      <x:c r="M192" s="432"/>
      <x:c r="N192" s="432" t="str">
        <x:f>IF('Clients'!A150="","",'Clients'!A150)</x:f>
      </x:c>
      <x:c r="O192" s="432" t="n">
        <x:f>IF(N192="",0,IF($B$6="",1,IF(ISNUMBER(SEARCH($B$6,'Clients'!A150&amp;" "&amp;'Clients'!B150&amp;" "&amp;'Clients'!C150&amp;" "&amp;'Clients'!D150)),1,0)))</x:f>
        <x:v>0</x:v>
      </x:c>
      <x:c r="P192" s="432" t="str">
        <x:f>IF(O192=1,SUM($O$48:O192),"")</x:f>
      </x:c>
      <x:c r="Q192" s="432"/>
    </x:row>
    <x:row r="193" ht="25" customHeight="1">
      <x:c r="A193" s="432"/>
      <x:c r="B193" s="432" t="str">
        <x:f>IF('Properties'!A151="","",'Properties'!A151)</x:f>
      </x:c>
      <x:c r="C193" s="432" t="n">
        <x:f>IF(AND(B193&lt;&gt;"",'Properties'!M151="Available"),1,0)</x:f>
        <x:v>0</x:v>
      </x:c>
      <x:c r="D193" s="432" t="n">
        <x:f>IF($M$13="Buy",IF('Properties'!D151="Sale",1,0),IF($M$13="Rent",IF('Properties'!D151="Rental",1,0),0))</x:f>
        <x:v>0</x:v>
      </x:c>
      <x:c r="E193" s="432" t="n">
        <x:f>IF(AND(ISNUMBER('Properties'!L151),'Properties'!L151&gt;0,ISNUMBER($M$18),$M$18&gt;0,'Properties'!L151&lt;=$M$18,OR(NOT(ISNUMBER($M$17)),'Properties'!L151&gt;=$M$17)),1,0)</x:f>
        <x:v>0</x:v>
      </x:c>
      <x:c r="F193" s="432" t="n">
        <x:f>IF($M$14="",1,IF('Properties'!E151=$M$14,1,0))</x:f>
        <x:v>1</x:v>
      </x:c>
      <x:c r="G193" s="432" t="n">
        <x:f>IF($M$15="",1,IF('Properties'!I151=$M$15,1,0))</x:f>
        <x:v>1</x:v>
      </x:c>
      <x:c r="H193" s="432" t="n">
        <x:f>IF(NOT(ISNUMBER($M$16)),1,IF(AND(ISNUMBER('Properties'!J151),'Properties'!J151=$M$16),1,0))</x:f>
        <x:v>1</x:v>
      </x:c>
      <x:c r="I193" s="432" t="n">
        <x:f>IF($M$19="",1,IF('Properties'!F151="",0,IF(ISNUMBER(SEARCH(","&amp;TRIM('Properties'!F151)&amp;",",","&amp;SUBSTITUTE(TRIM($M$19),", ",",")&amp;",")),1,0)))</x:f>
        <x:v>1</x:v>
      </x:c>
      <x:c r="J193" s="432" t="n">
        <x:f>IF($O$44=0,0,PRODUCT(C193:I193))</x:f>
        <x:v>0</x:v>
      </x:c>
      <x:c r="K193" s="432" t="str">
        <x:f>IF(J193=1,SUM($J$48:J193),"")</x:f>
      </x:c>
      <x:c r="L193" s="432"/>
      <x:c r="M193" s="432"/>
      <x:c r="N193" s="432" t="str">
        <x:f>IF('Clients'!A151="","",'Clients'!A151)</x:f>
      </x:c>
      <x:c r="O193" s="432" t="n">
        <x:f>IF(N193="",0,IF($B$6="",1,IF(ISNUMBER(SEARCH($B$6,'Clients'!A151&amp;" "&amp;'Clients'!B151&amp;" "&amp;'Clients'!C151&amp;" "&amp;'Clients'!D151)),1,0)))</x:f>
        <x:v>0</x:v>
      </x:c>
      <x:c r="P193" s="432" t="str">
        <x:f>IF(O193=1,SUM($O$48:O193),"")</x:f>
      </x:c>
      <x:c r="Q193" s="432"/>
    </x:row>
    <x:row r="194" ht="25" customHeight="1">
      <x:c r="A194" s="432"/>
      <x:c r="B194" s="432" t="str">
        <x:f>IF('Properties'!A152="","",'Properties'!A152)</x:f>
      </x:c>
      <x:c r="C194" s="432" t="n">
        <x:f>IF(AND(B194&lt;&gt;"",'Properties'!M152="Available"),1,0)</x:f>
        <x:v>0</x:v>
      </x:c>
      <x:c r="D194" s="432" t="n">
        <x:f>IF($M$13="Buy",IF('Properties'!D152="Sale",1,0),IF($M$13="Rent",IF('Properties'!D152="Rental",1,0),0))</x:f>
        <x:v>0</x:v>
      </x:c>
      <x:c r="E194" s="432" t="n">
        <x:f>IF(AND(ISNUMBER('Properties'!L152),'Properties'!L152&gt;0,ISNUMBER($M$18),$M$18&gt;0,'Properties'!L152&lt;=$M$18,OR(NOT(ISNUMBER($M$17)),'Properties'!L152&gt;=$M$17)),1,0)</x:f>
        <x:v>0</x:v>
      </x:c>
      <x:c r="F194" s="432" t="n">
        <x:f>IF($M$14="",1,IF('Properties'!E152=$M$14,1,0))</x:f>
        <x:v>1</x:v>
      </x:c>
      <x:c r="G194" s="432" t="n">
        <x:f>IF($M$15="",1,IF('Properties'!I152=$M$15,1,0))</x:f>
        <x:v>1</x:v>
      </x:c>
      <x:c r="H194" s="432" t="n">
        <x:f>IF(NOT(ISNUMBER($M$16)),1,IF(AND(ISNUMBER('Properties'!J152),'Properties'!J152=$M$16),1,0))</x:f>
        <x:v>1</x:v>
      </x:c>
      <x:c r="I194" s="432" t="n">
        <x:f>IF($M$19="",1,IF('Properties'!F152="",0,IF(ISNUMBER(SEARCH(","&amp;TRIM('Properties'!F152)&amp;",",","&amp;SUBSTITUTE(TRIM($M$19),", ",",")&amp;",")),1,0)))</x:f>
        <x:v>1</x:v>
      </x:c>
      <x:c r="J194" s="432" t="n">
        <x:f>IF($O$44=0,0,PRODUCT(C194:I194))</x:f>
        <x:v>0</x:v>
      </x:c>
      <x:c r="K194" s="432" t="str">
        <x:f>IF(J194=1,SUM($J$48:J194),"")</x:f>
      </x:c>
      <x:c r="L194" s="432"/>
      <x:c r="M194" s="432"/>
      <x:c r="N194" s="432" t="str">
        <x:f>IF('Clients'!A152="","",'Clients'!A152)</x:f>
      </x:c>
      <x:c r="O194" s="432" t="n">
        <x:f>IF(N194="",0,IF($B$6="",1,IF(ISNUMBER(SEARCH($B$6,'Clients'!A152&amp;" "&amp;'Clients'!B152&amp;" "&amp;'Clients'!C152&amp;" "&amp;'Clients'!D152)),1,0)))</x:f>
        <x:v>0</x:v>
      </x:c>
      <x:c r="P194" s="432" t="str">
        <x:f>IF(O194=1,SUM($O$48:O194),"")</x:f>
      </x:c>
      <x:c r="Q194" s="432"/>
    </x:row>
    <x:row r="195" ht="25" customHeight="1">
      <x:c r="A195" s="432"/>
      <x:c r="B195" s="432" t="str">
        <x:f>IF('Properties'!A153="","",'Properties'!A153)</x:f>
      </x:c>
      <x:c r="C195" s="432" t="n">
        <x:f>IF(AND(B195&lt;&gt;"",'Properties'!M153="Available"),1,0)</x:f>
        <x:v>0</x:v>
      </x:c>
      <x:c r="D195" s="432" t="n">
        <x:f>IF($M$13="Buy",IF('Properties'!D153="Sale",1,0),IF($M$13="Rent",IF('Properties'!D153="Rental",1,0),0))</x:f>
        <x:v>0</x:v>
      </x:c>
      <x:c r="E195" s="432" t="n">
        <x:f>IF(AND(ISNUMBER('Properties'!L153),'Properties'!L153&gt;0,ISNUMBER($M$18),$M$18&gt;0,'Properties'!L153&lt;=$M$18,OR(NOT(ISNUMBER($M$17)),'Properties'!L153&gt;=$M$17)),1,0)</x:f>
        <x:v>0</x:v>
      </x:c>
      <x:c r="F195" s="432" t="n">
        <x:f>IF($M$14="",1,IF('Properties'!E153=$M$14,1,0))</x:f>
        <x:v>1</x:v>
      </x:c>
      <x:c r="G195" s="432" t="n">
        <x:f>IF($M$15="",1,IF('Properties'!I153=$M$15,1,0))</x:f>
        <x:v>1</x:v>
      </x:c>
      <x:c r="H195" s="432" t="n">
        <x:f>IF(NOT(ISNUMBER($M$16)),1,IF(AND(ISNUMBER('Properties'!J153),'Properties'!J153=$M$16),1,0))</x:f>
        <x:v>1</x:v>
      </x:c>
      <x:c r="I195" s="432" t="n">
        <x:f>IF($M$19="",1,IF('Properties'!F153="",0,IF(ISNUMBER(SEARCH(","&amp;TRIM('Properties'!F153)&amp;",",","&amp;SUBSTITUTE(TRIM($M$19),", ",",")&amp;",")),1,0)))</x:f>
        <x:v>1</x:v>
      </x:c>
      <x:c r="J195" s="432" t="n">
        <x:f>IF($O$44=0,0,PRODUCT(C195:I195))</x:f>
        <x:v>0</x:v>
      </x:c>
      <x:c r="K195" s="432" t="str">
        <x:f>IF(J195=1,SUM($J$48:J195),"")</x:f>
      </x:c>
      <x:c r="L195" s="432"/>
      <x:c r="M195" s="432"/>
      <x:c r="N195" s="432" t="str">
        <x:f>IF('Clients'!A153="","",'Clients'!A153)</x:f>
      </x:c>
      <x:c r="O195" s="432" t="n">
        <x:f>IF(N195="",0,IF($B$6="",1,IF(ISNUMBER(SEARCH($B$6,'Clients'!A153&amp;" "&amp;'Clients'!B153&amp;" "&amp;'Clients'!C153&amp;" "&amp;'Clients'!D153)),1,0)))</x:f>
        <x:v>0</x:v>
      </x:c>
      <x:c r="P195" s="432" t="str">
        <x:f>IF(O195=1,SUM($O$48:O195),"")</x:f>
      </x:c>
      <x:c r="Q195" s="432"/>
    </x:row>
    <x:row r="196" ht="25" customHeight="1">
      <x:c r="A196" s="432"/>
      <x:c r="B196" s="432" t="str">
        <x:f>IF('Properties'!A154="","",'Properties'!A154)</x:f>
      </x:c>
      <x:c r="C196" s="432" t="n">
        <x:f>IF(AND(B196&lt;&gt;"",'Properties'!M154="Available"),1,0)</x:f>
        <x:v>0</x:v>
      </x:c>
      <x:c r="D196" s="432" t="n">
        <x:f>IF($M$13="Buy",IF('Properties'!D154="Sale",1,0),IF($M$13="Rent",IF('Properties'!D154="Rental",1,0),0))</x:f>
        <x:v>0</x:v>
      </x:c>
      <x:c r="E196" s="432" t="n">
        <x:f>IF(AND(ISNUMBER('Properties'!L154),'Properties'!L154&gt;0,ISNUMBER($M$18),$M$18&gt;0,'Properties'!L154&lt;=$M$18,OR(NOT(ISNUMBER($M$17)),'Properties'!L154&gt;=$M$17)),1,0)</x:f>
        <x:v>0</x:v>
      </x:c>
      <x:c r="F196" s="432" t="n">
        <x:f>IF($M$14="",1,IF('Properties'!E154=$M$14,1,0))</x:f>
        <x:v>1</x:v>
      </x:c>
      <x:c r="G196" s="432" t="n">
        <x:f>IF($M$15="",1,IF('Properties'!I154=$M$15,1,0))</x:f>
        <x:v>1</x:v>
      </x:c>
      <x:c r="H196" s="432" t="n">
        <x:f>IF(NOT(ISNUMBER($M$16)),1,IF(AND(ISNUMBER('Properties'!J154),'Properties'!J154=$M$16),1,0))</x:f>
        <x:v>1</x:v>
      </x:c>
      <x:c r="I196" s="432" t="n">
        <x:f>IF($M$19="",1,IF('Properties'!F154="",0,IF(ISNUMBER(SEARCH(","&amp;TRIM('Properties'!F154)&amp;",",","&amp;SUBSTITUTE(TRIM($M$19),", ",",")&amp;",")),1,0)))</x:f>
        <x:v>1</x:v>
      </x:c>
      <x:c r="J196" s="432" t="n">
        <x:f>IF($O$44=0,0,PRODUCT(C196:I196))</x:f>
        <x:v>0</x:v>
      </x:c>
      <x:c r="K196" s="432" t="str">
        <x:f>IF(J196=1,SUM($J$48:J196),"")</x:f>
      </x:c>
      <x:c r="L196" s="432"/>
      <x:c r="M196" s="432"/>
      <x:c r="N196" s="432" t="str">
        <x:f>IF('Clients'!A154="","",'Clients'!A154)</x:f>
      </x:c>
      <x:c r="O196" s="432" t="n">
        <x:f>IF(N196="",0,IF($B$6="",1,IF(ISNUMBER(SEARCH($B$6,'Clients'!A154&amp;" "&amp;'Clients'!B154&amp;" "&amp;'Clients'!C154&amp;" "&amp;'Clients'!D154)),1,0)))</x:f>
        <x:v>0</x:v>
      </x:c>
      <x:c r="P196" s="432" t="str">
        <x:f>IF(O196=1,SUM($O$48:O196),"")</x:f>
      </x:c>
      <x:c r="Q196" s="432"/>
    </x:row>
    <x:row r="197" ht="25" customHeight="1">
      <x:c r="A197" s="432"/>
      <x:c r="B197" s="432" t="str">
        <x:f>IF('Properties'!A155="","",'Properties'!A155)</x:f>
      </x:c>
      <x:c r="C197" s="432" t="n">
        <x:f>IF(AND(B197&lt;&gt;"",'Properties'!M155="Available"),1,0)</x:f>
        <x:v>0</x:v>
      </x:c>
      <x:c r="D197" s="432" t="n">
        <x:f>IF($M$13="Buy",IF('Properties'!D155="Sale",1,0),IF($M$13="Rent",IF('Properties'!D155="Rental",1,0),0))</x:f>
        <x:v>0</x:v>
      </x:c>
      <x:c r="E197" s="432" t="n">
        <x:f>IF(AND(ISNUMBER('Properties'!L155),'Properties'!L155&gt;0,ISNUMBER($M$18),$M$18&gt;0,'Properties'!L155&lt;=$M$18,OR(NOT(ISNUMBER($M$17)),'Properties'!L155&gt;=$M$17)),1,0)</x:f>
        <x:v>0</x:v>
      </x:c>
      <x:c r="F197" s="432" t="n">
        <x:f>IF($M$14="",1,IF('Properties'!E155=$M$14,1,0))</x:f>
        <x:v>1</x:v>
      </x:c>
      <x:c r="G197" s="432" t="n">
        <x:f>IF($M$15="",1,IF('Properties'!I155=$M$15,1,0))</x:f>
        <x:v>1</x:v>
      </x:c>
      <x:c r="H197" s="432" t="n">
        <x:f>IF(NOT(ISNUMBER($M$16)),1,IF(AND(ISNUMBER('Properties'!J155),'Properties'!J155=$M$16),1,0))</x:f>
        <x:v>1</x:v>
      </x:c>
      <x:c r="I197" s="432" t="n">
        <x:f>IF($M$19="",1,IF('Properties'!F155="",0,IF(ISNUMBER(SEARCH(","&amp;TRIM('Properties'!F155)&amp;",",","&amp;SUBSTITUTE(TRIM($M$19),", ",",")&amp;",")),1,0)))</x:f>
        <x:v>1</x:v>
      </x:c>
      <x:c r="J197" s="432" t="n">
        <x:f>IF($O$44=0,0,PRODUCT(C197:I197))</x:f>
        <x:v>0</x:v>
      </x:c>
      <x:c r="K197" s="432" t="str">
        <x:f>IF(J197=1,SUM($J$48:J197),"")</x:f>
      </x:c>
      <x:c r="L197" s="432"/>
      <x:c r="M197" s="432"/>
      <x:c r="N197" s="432" t="str">
        <x:f>IF('Clients'!A155="","",'Clients'!A155)</x:f>
      </x:c>
      <x:c r="O197" s="432" t="n">
        <x:f>IF(N197="",0,IF($B$6="",1,IF(ISNUMBER(SEARCH($B$6,'Clients'!A155&amp;" "&amp;'Clients'!B155&amp;" "&amp;'Clients'!C155&amp;" "&amp;'Clients'!D155)),1,0)))</x:f>
        <x:v>0</x:v>
      </x:c>
      <x:c r="P197" s="432" t="str">
        <x:f>IF(O197=1,SUM($O$48:O197),"")</x:f>
      </x:c>
      <x:c r="Q197" s="432"/>
    </x:row>
    <x:row r="198" ht="25" customHeight="1">
      <x:c r="A198" s="432"/>
      <x:c r="B198" s="432" t="str">
        <x:f>IF('Properties'!A156="","",'Properties'!A156)</x:f>
      </x:c>
      <x:c r="C198" s="432" t="n">
        <x:f>IF(AND(B198&lt;&gt;"",'Properties'!M156="Available"),1,0)</x:f>
        <x:v>0</x:v>
      </x:c>
      <x:c r="D198" s="432" t="n">
        <x:f>IF($M$13="Buy",IF('Properties'!D156="Sale",1,0),IF($M$13="Rent",IF('Properties'!D156="Rental",1,0),0))</x:f>
        <x:v>0</x:v>
      </x:c>
      <x:c r="E198" s="432" t="n">
        <x:f>IF(AND(ISNUMBER('Properties'!L156),'Properties'!L156&gt;0,ISNUMBER($M$18),$M$18&gt;0,'Properties'!L156&lt;=$M$18,OR(NOT(ISNUMBER($M$17)),'Properties'!L156&gt;=$M$17)),1,0)</x:f>
        <x:v>0</x:v>
      </x:c>
      <x:c r="F198" s="432" t="n">
        <x:f>IF($M$14="",1,IF('Properties'!E156=$M$14,1,0))</x:f>
        <x:v>1</x:v>
      </x:c>
      <x:c r="G198" s="432" t="n">
        <x:f>IF($M$15="",1,IF('Properties'!I156=$M$15,1,0))</x:f>
        <x:v>1</x:v>
      </x:c>
      <x:c r="H198" s="432" t="n">
        <x:f>IF(NOT(ISNUMBER($M$16)),1,IF(AND(ISNUMBER('Properties'!J156),'Properties'!J156=$M$16),1,0))</x:f>
        <x:v>1</x:v>
      </x:c>
      <x:c r="I198" s="432" t="n">
        <x:f>IF($M$19="",1,IF('Properties'!F156="",0,IF(ISNUMBER(SEARCH(","&amp;TRIM('Properties'!F156)&amp;",",","&amp;SUBSTITUTE(TRIM($M$19),", ",",")&amp;",")),1,0)))</x:f>
        <x:v>1</x:v>
      </x:c>
      <x:c r="J198" s="432" t="n">
        <x:f>IF($O$44=0,0,PRODUCT(C198:I198))</x:f>
        <x:v>0</x:v>
      </x:c>
      <x:c r="K198" s="432" t="str">
        <x:f>IF(J198=1,SUM($J$48:J198),"")</x:f>
      </x:c>
      <x:c r="L198" s="432"/>
      <x:c r="M198" s="432"/>
      <x:c r="N198" s="432" t="str">
        <x:f>IF('Clients'!A156="","",'Clients'!A156)</x:f>
      </x:c>
      <x:c r="O198" s="432" t="n">
        <x:f>IF(N198="",0,IF($B$6="",1,IF(ISNUMBER(SEARCH($B$6,'Clients'!A156&amp;" "&amp;'Clients'!B156&amp;" "&amp;'Clients'!C156&amp;" "&amp;'Clients'!D156)),1,0)))</x:f>
        <x:v>0</x:v>
      </x:c>
      <x:c r="P198" s="432" t="str">
        <x:f>IF(O198=1,SUM($O$48:O198),"")</x:f>
      </x:c>
      <x:c r="Q198" s="432"/>
    </x:row>
    <x:row r="199" ht="25" customHeight="1">
      <x:c r="A199" s="432"/>
      <x:c r="B199" s="432" t="str">
        <x:f>IF('Properties'!A157="","",'Properties'!A157)</x:f>
      </x:c>
      <x:c r="C199" s="432" t="n">
        <x:f>IF(AND(B199&lt;&gt;"",'Properties'!M157="Available"),1,0)</x:f>
        <x:v>0</x:v>
      </x:c>
      <x:c r="D199" s="432" t="n">
        <x:f>IF($M$13="Buy",IF('Properties'!D157="Sale",1,0),IF($M$13="Rent",IF('Properties'!D157="Rental",1,0),0))</x:f>
        <x:v>0</x:v>
      </x:c>
      <x:c r="E199" s="432" t="n">
        <x:f>IF(AND(ISNUMBER('Properties'!L157),'Properties'!L157&gt;0,ISNUMBER($M$18),$M$18&gt;0,'Properties'!L157&lt;=$M$18,OR(NOT(ISNUMBER($M$17)),'Properties'!L157&gt;=$M$17)),1,0)</x:f>
        <x:v>0</x:v>
      </x:c>
      <x:c r="F199" s="432" t="n">
        <x:f>IF($M$14="",1,IF('Properties'!E157=$M$14,1,0))</x:f>
        <x:v>1</x:v>
      </x:c>
      <x:c r="G199" s="432" t="n">
        <x:f>IF($M$15="",1,IF('Properties'!I157=$M$15,1,0))</x:f>
        <x:v>1</x:v>
      </x:c>
      <x:c r="H199" s="432" t="n">
        <x:f>IF(NOT(ISNUMBER($M$16)),1,IF(AND(ISNUMBER('Properties'!J157),'Properties'!J157=$M$16),1,0))</x:f>
        <x:v>1</x:v>
      </x:c>
      <x:c r="I199" s="432" t="n">
        <x:f>IF($M$19="",1,IF('Properties'!F157="",0,IF(ISNUMBER(SEARCH(","&amp;TRIM('Properties'!F157)&amp;",",","&amp;SUBSTITUTE(TRIM($M$19),", ",",")&amp;",")),1,0)))</x:f>
        <x:v>1</x:v>
      </x:c>
      <x:c r="J199" s="432" t="n">
        <x:f>IF($O$44=0,0,PRODUCT(C199:I199))</x:f>
        <x:v>0</x:v>
      </x:c>
      <x:c r="K199" s="432" t="str">
        <x:f>IF(J199=1,SUM($J$48:J199),"")</x:f>
      </x:c>
      <x:c r="L199" s="432"/>
      <x:c r="M199" s="432"/>
      <x:c r="N199" s="432" t="str">
        <x:f>IF('Clients'!A157="","",'Clients'!A157)</x:f>
      </x:c>
      <x:c r="O199" s="432" t="n">
        <x:f>IF(N199="",0,IF($B$6="",1,IF(ISNUMBER(SEARCH($B$6,'Clients'!A157&amp;" "&amp;'Clients'!B157&amp;" "&amp;'Clients'!C157&amp;" "&amp;'Clients'!D157)),1,0)))</x:f>
        <x:v>0</x:v>
      </x:c>
      <x:c r="P199" s="432" t="str">
        <x:f>IF(O199=1,SUM($O$48:O199),"")</x:f>
      </x:c>
      <x:c r="Q199" s="432"/>
    </x:row>
    <x:row r="200" ht="25" customHeight="1">
      <x:c r="A200" s="432"/>
      <x:c r="B200" s="432" t="str">
        <x:f>IF('Properties'!A158="","",'Properties'!A158)</x:f>
      </x:c>
      <x:c r="C200" s="432" t="n">
        <x:f>IF(AND(B200&lt;&gt;"",'Properties'!M158="Available"),1,0)</x:f>
        <x:v>0</x:v>
      </x:c>
      <x:c r="D200" s="432" t="n">
        <x:f>IF($M$13="Buy",IF('Properties'!D158="Sale",1,0),IF($M$13="Rent",IF('Properties'!D158="Rental",1,0),0))</x:f>
        <x:v>0</x:v>
      </x:c>
      <x:c r="E200" s="432" t="n">
        <x:f>IF(AND(ISNUMBER('Properties'!L158),'Properties'!L158&gt;0,ISNUMBER($M$18),$M$18&gt;0,'Properties'!L158&lt;=$M$18,OR(NOT(ISNUMBER($M$17)),'Properties'!L158&gt;=$M$17)),1,0)</x:f>
        <x:v>0</x:v>
      </x:c>
      <x:c r="F200" s="432" t="n">
        <x:f>IF($M$14="",1,IF('Properties'!E158=$M$14,1,0))</x:f>
        <x:v>1</x:v>
      </x:c>
      <x:c r="G200" s="432" t="n">
        <x:f>IF($M$15="",1,IF('Properties'!I158=$M$15,1,0))</x:f>
        <x:v>1</x:v>
      </x:c>
      <x:c r="H200" s="432" t="n">
        <x:f>IF(NOT(ISNUMBER($M$16)),1,IF(AND(ISNUMBER('Properties'!J158),'Properties'!J158=$M$16),1,0))</x:f>
        <x:v>1</x:v>
      </x:c>
      <x:c r="I200" s="432" t="n">
        <x:f>IF($M$19="",1,IF('Properties'!F158="",0,IF(ISNUMBER(SEARCH(","&amp;TRIM('Properties'!F158)&amp;",",","&amp;SUBSTITUTE(TRIM($M$19),", ",",")&amp;",")),1,0)))</x:f>
        <x:v>1</x:v>
      </x:c>
      <x:c r="J200" s="432" t="n">
        <x:f>IF($O$44=0,0,PRODUCT(C200:I200))</x:f>
        <x:v>0</x:v>
      </x:c>
      <x:c r="K200" s="432" t="str">
        <x:f>IF(J200=1,SUM($J$48:J200),"")</x:f>
      </x:c>
      <x:c r="L200" s="432"/>
      <x:c r="M200" s="432"/>
      <x:c r="N200" s="432" t="str">
        <x:f>IF('Clients'!A158="","",'Clients'!A158)</x:f>
      </x:c>
      <x:c r="O200" s="432" t="n">
        <x:f>IF(N200="",0,IF($B$6="",1,IF(ISNUMBER(SEARCH($B$6,'Clients'!A158&amp;" "&amp;'Clients'!B158&amp;" "&amp;'Clients'!C158&amp;" "&amp;'Clients'!D158)),1,0)))</x:f>
        <x:v>0</x:v>
      </x:c>
      <x:c r="P200" s="432" t="str">
        <x:f>IF(O200=1,SUM($O$48:O200),"")</x:f>
      </x:c>
      <x:c r="Q200" s="432"/>
    </x:row>
    <x:row r="201" ht="25" customHeight="1">
      <x:c r="A201" s="432"/>
      <x:c r="B201" s="432" t="str">
        <x:f>IF('Properties'!A159="","",'Properties'!A159)</x:f>
      </x:c>
      <x:c r="C201" s="432" t="n">
        <x:f>IF(AND(B201&lt;&gt;"",'Properties'!M159="Available"),1,0)</x:f>
        <x:v>0</x:v>
      </x:c>
      <x:c r="D201" s="432" t="n">
        <x:f>IF($M$13="Buy",IF('Properties'!D159="Sale",1,0),IF($M$13="Rent",IF('Properties'!D159="Rental",1,0),0))</x:f>
        <x:v>0</x:v>
      </x:c>
      <x:c r="E201" s="432" t="n">
        <x:f>IF(AND(ISNUMBER('Properties'!L159),'Properties'!L159&gt;0,ISNUMBER($M$18),$M$18&gt;0,'Properties'!L159&lt;=$M$18,OR(NOT(ISNUMBER($M$17)),'Properties'!L159&gt;=$M$17)),1,0)</x:f>
        <x:v>0</x:v>
      </x:c>
      <x:c r="F201" s="432" t="n">
        <x:f>IF($M$14="",1,IF('Properties'!E159=$M$14,1,0))</x:f>
        <x:v>1</x:v>
      </x:c>
      <x:c r="G201" s="432" t="n">
        <x:f>IF($M$15="",1,IF('Properties'!I159=$M$15,1,0))</x:f>
        <x:v>1</x:v>
      </x:c>
      <x:c r="H201" s="432" t="n">
        <x:f>IF(NOT(ISNUMBER($M$16)),1,IF(AND(ISNUMBER('Properties'!J159),'Properties'!J159=$M$16),1,0))</x:f>
        <x:v>1</x:v>
      </x:c>
      <x:c r="I201" s="432" t="n">
        <x:f>IF($M$19="",1,IF('Properties'!F159="",0,IF(ISNUMBER(SEARCH(","&amp;TRIM('Properties'!F159)&amp;",",","&amp;SUBSTITUTE(TRIM($M$19),", ",",")&amp;",")),1,0)))</x:f>
        <x:v>1</x:v>
      </x:c>
      <x:c r="J201" s="432" t="n">
        <x:f>IF($O$44=0,0,PRODUCT(C201:I201))</x:f>
        <x:v>0</x:v>
      </x:c>
      <x:c r="K201" s="432" t="str">
        <x:f>IF(J201=1,SUM($J$48:J201),"")</x:f>
      </x:c>
      <x:c r="L201" s="432"/>
      <x:c r="M201" s="432"/>
      <x:c r="N201" s="432" t="str">
        <x:f>IF('Clients'!A159="","",'Clients'!A159)</x:f>
      </x:c>
      <x:c r="O201" s="432" t="n">
        <x:f>IF(N201="",0,IF($B$6="",1,IF(ISNUMBER(SEARCH($B$6,'Clients'!A159&amp;" "&amp;'Clients'!B159&amp;" "&amp;'Clients'!C159&amp;" "&amp;'Clients'!D159)),1,0)))</x:f>
        <x:v>0</x:v>
      </x:c>
      <x:c r="P201" s="432" t="str">
        <x:f>IF(O201=1,SUM($O$48:O201),"")</x:f>
      </x:c>
      <x:c r="Q201" s="432"/>
    </x:row>
    <x:row r="202" ht="25" customHeight="1">
      <x:c r="A202" s="432"/>
      <x:c r="B202" s="432" t="str">
        <x:f>IF('Properties'!A160="","",'Properties'!A160)</x:f>
      </x:c>
      <x:c r="C202" s="432" t="n">
        <x:f>IF(AND(B202&lt;&gt;"",'Properties'!M160="Available"),1,0)</x:f>
        <x:v>0</x:v>
      </x:c>
      <x:c r="D202" s="432" t="n">
        <x:f>IF($M$13="Buy",IF('Properties'!D160="Sale",1,0),IF($M$13="Rent",IF('Properties'!D160="Rental",1,0),0))</x:f>
        <x:v>0</x:v>
      </x:c>
      <x:c r="E202" s="432" t="n">
        <x:f>IF(AND(ISNUMBER('Properties'!L160),'Properties'!L160&gt;0,ISNUMBER($M$18),$M$18&gt;0,'Properties'!L160&lt;=$M$18,OR(NOT(ISNUMBER($M$17)),'Properties'!L160&gt;=$M$17)),1,0)</x:f>
        <x:v>0</x:v>
      </x:c>
      <x:c r="F202" s="432" t="n">
        <x:f>IF($M$14="",1,IF('Properties'!E160=$M$14,1,0))</x:f>
        <x:v>1</x:v>
      </x:c>
      <x:c r="G202" s="432" t="n">
        <x:f>IF($M$15="",1,IF('Properties'!I160=$M$15,1,0))</x:f>
        <x:v>1</x:v>
      </x:c>
      <x:c r="H202" s="432" t="n">
        <x:f>IF(NOT(ISNUMBER($M$16)),1,IF(AND(ISNUMBER('Properties'!J160),'Properties'!J160=$M$16),1,0))</x:f>
        <x:v>1</x:v>
      </x:c>
      <x:c r="I202" s="432" t="n">
        <x:f>IF($M$19="",1,IF('Properties'!F160="",0,IF(ISNUMBER(SEARCH(","&amp;TRIM('Properties'!F160)&amp;",",","&amp;SUBSTITUTE(TRIM($M$19),", ",",")&amp;",")),1,0)))</x:f>
        <x:v>1</x:v>
      </x:c>
      <x:c r="J202" s="432" t="n">
        <x:f>IF($O$44=0,0,PRODUCT(C202:I202))</x:f>
        <x:v>0</x:v>
      </x:c>
      <x:c r="K202" s="432" t="str">
        <x:f>IF(J202=1,SUM($J$48:J202),"")</x:f>
      </x:c>
      <x:c r="L202" s="432"/>
      <x:c r="M202" s="432"/>
      <x:c r="N202" s="432" t="str">
        <x:f>IF('Clients'!A160="","",'Clients'!A160)</x:f>
      </x:c>
      <x:c r="O202" s="432" t="n">
        <x:f>IF(N202="",0,IF($B$6="",1,IF(ISNUMBER(SEARCH($B$6,'Clients'!A160&amp;" "&amp;'Clients'!B160&amp;" "&amp;'Clients'!C160&amp;" "&amp;'Clients'!D160)),1,0)))</x:f>
        <x:v>0</x:v>
      </x:c>
      <x:c r="P202" s="432" t="str">
        <x:f>IF(O202=1,SUM($O$48:O202),"")</x:f>
      </x:c>
      <x:c r="Q202" s="432"/>
    </x:row>
    <x:row r="203" ht="25" customHeight="1">
      <x:c r="A203" s="432"/>
      <x:c r="B203" s="432" t="str">
        <x:f>IF('Properties'!A161="","",'Properties'!A161)</x:f>
      </x:c>
      <x:c r="C203" s="432" t="n">
        <x:f>IF(AND(B203&lt;&gt;"",'Properties'!M161="Available"),1,0)</x:f>
        <x:v>0</x:v>
      </x:c>
      <x:c r="D203" s="432" t="n">
        <x:f>IF($M$13="Buy",IF('Properties'!D161="Sale",1,0),IF($M$13="Rent",IF('Properties'!D161="Rental",1,0),0))</x:f>
        <x:v>0</x:v>
      </x:c>
      <x:c r="E203" s="432" t="n">
        <x:f>IF(AND(ISNUMBER('Properties'!L161),'Properties'!L161&gt;0,ISNUMBER($M$18),$M$18&gt;0,'Properties'!L161&lt;=$M$18,OR(NOT(ISNUMBER($M$17)),'Properties'!L161&gt;=$M$17)),1,0)</x:f>
        <x:v>0</x:v>
      </x:c>
      <x:c r="F203" s="432" t="n">
        <x:f>IF($M$14="",1,IF('Properties'!E161=$M$14,1,0))</x:f>
        <x:v>1</x:v>
      </x:c>
      <x:c r="G203" s="432" t="n">
        <x:f>IF($M$15="",1,IF('Properties'!I161=$M$15,1,0))</x:f>
        <x:v>1</x:v>
      </x:c>
      <x:c r="H203" s="432" t="n">
        <x:f>IF(NOT(ISNUMBER($M$16)),1,IF(AND(ISNUMBER('Properties'!J161),'Properties'!J161=$M$16),1,0))</x:f>
        <x:v>1</x:v>
      </x:c>
      <x:c r="I203" s="432" t="n">
        <x:f>IF($M$19="",1,IF('Properties'!F161="",0,IF(ISNUMBER(SEARCH(","&amp;TRIM('Properties'!F161)&amp;",",","&amp;SUBSTITUTE(TRIM($M$19),", ",",")&amp;",")),1,0)))</x:f>
        <x:v>1</x:v>
      </x:c>
      <x:c r="J203" s="432" t="n">
        <x:f>IF($O$44=0,0,PRODUCT(C203:I203))</x:f>
        <x:v>0</x:v>
      </x:c>
      <x:c r="K203" s="432" t="str">
        <x:f>IF(J203=1,SUM($J$48:J203),"")</x:f>
      </x:c>
      <x:c r="L203" s="432"/>
      <x:c r="M203" s="432"/>
      <x:c r="N203" s="432" t="str">
        <x:f>IF('Clients'!A161="","",'Clients'!A161)</x:f>
      </x:c>
      <x:c r="O203" s="432" t="n">
        <x:f>IF(N203="",0,IF($B$6="",1,IF(ISNUMBER(SEARCH($B$6,'Clients'!A161&amp;" "&amp;'Clients'!B161&amp;" "&amp;'Clients'!C161&amp;" "&amp;'Clients'!D161)),1,0)))</x:f>
        <x:v>0</x:v>
      </x:c>
      <x:c r="P203" s="432" t="str">
        <x:f>IF(O203=1,SUM($O$48:O203),"")</x:f>
      </x:c>
      <x:c r="Q203" s="432"/>
    </x:row>
    <x:row r="204" ht="25" customHeight="1">
      <x:c r="A204" s="432"/>
      <x:c r="B204" s="432" t="str">
        <x:f>IF('Properties'!A162="","",'Properties'!A162)</x:f>
      </x:c>
      <x:c r="C204" s="432" t="n">
        <x:f>IF(AND(B204&lt;&gt;"",'Properties'!M162="Available"),1,0)</x:f>
        <x:v>0</x:v>
      </x:c>
      <x:c r="D204" s="432" t="n">
        <x:f>IF($M$13="Buy",IF('Properties'!D162="Sale",1,0),IF($M$13="Rent",IF('Properties'!D162="Rental",1,0),0))</x:f>
        <x:v>0</x:v>
      </x:c>
      <x:c r="E204" s="432" t="n">
        <x:f>IF(AND(ISNUMBER('Properties'!L162),'Properties'!L162&gt;0,ISNUMBER($M$18),$M$18&gt;0,'Properties'!L162&lt;=$M$18,OR(NOT(ISNUMBER($M$17)),'Properties'!L162&gt;=$M$17)),1,0)</x:f>
        <x:v>0</x:v>
      </x:c>
      <x:c r="F204" s="432" t="n">
        <x:f>IF($M$14="",1,IF('Properties'!E162=$M$14,1,0))</x:f>
        <x:v>1</x:v>
      </x:c>
      <x:c r="G204" s="432" t="n">
        <x:f>IF($M$15="",1,IF('Properties'!I162=$M$15,1,0))</x:f>
        <x:v>1</x:v>
      </x:c>
      <x:c r="H204" s="432" t="n">
        <x:f>IF(NOT(ISNUMBER($M$16)),1,IF(AND(ISNUMBER('Properties'!J162),'Properties'!J162=$M$16),1,0))</x:f>
        <x:v>1</x:v>
      </x:c>
      <x:c r="I204" s="432" t="n">
        <x:f>IF($M$19="",1,IF('Properties'!F162="",0,IF(ISNUMBER(SEARCH(","&amp;TRIM('Properties'!F162)&amp;",",","&amp;SUBSTITUTE(TRIM($M$19),", ",",")&amp;",")),1,0)))</x:f>
        <x:v>1</x:v>
      </x:c>
      <x:c r="J204" s="432" t="n">
        <x:f>IF($O$44=0,0,PRODUCT(C204:I204))</x:f>
        <x:v>0</x:v>
      </x:c>
      <x:c r="K204" s="432" t="str">
        <x:f>IF(J204=1,SUM($J$48:J204),"")</x:f>
      </x:c>
      <x:c r="L204" s="432"/>
      <x:c r="M204" s="432"/>
      <x:c r="N204" s="432" t="str">
        <x:f>IF('Clients'!A162="","",'Clients'!A162)</x:f>
      </x:c>
      <x:c r="O204" s="432" t="n">
        <x:f>IF(N204="",0,IF($B$6="",1,IF(ISNUMBER(SEARCH($B$6,'Clients'!A162&amp;" "&amp;'Clients'!B162&amp;" "&amp;'Clients'!C162&amp;" "&amp;'Clients'!D162)),1,0)))</x:f>
        <x:v>0</x:v>
      </x:c>
      <x:c r="P204" s="432" t="str">
        <x:f>IF(O204=1,SUM($O$48:O204),"")</x:f>
      </x:c>
      <x:c r="Q204" s="432"/>
    </x:row>
    <x:row r="205" ht="25" customHeight="1">
      <x:c r="A205" s="432"/>
      <x:c r="B205" s="432" t="str">
        <x:f>IF('Properties'!A163="","",'Properties'!A163)</x:f>
      </x:c>
      <x:c r="C205" s="432" t="n">
        <x:f>IF(AND(B205&lt;&gt;"",'Properties'!M163="Available"),1,0)</x:f>
        <x:v>0</x:v>
      </x:c>
      <x:c r="D205" s="432" t="n">
        <x:f>IF($M$13="Buy",IF('Properties'!D163="Sale",1,0),IF($M$13="Rent",IF('Properties'!D163="Rental",1,0),0))</x:f>
        <x:v>0</x:v>
      </x:c>
      <x:c r="E205" s="432" t="n">
        <x:f>IF(AND(ISNUMBER('Properties'!L163),'Properties'!L163&gt;0,ISNUMBER($M$18),$M$18&gt;0,'Properties'!L163&lt;=$M$18,OR(NOT(ISNUMBER($M$17)),'Properties'!L163&gt;=$M$17)),1,0)</x:f>
        <x:v>0</x:v>
      </x:c>
      <x:c r="F205" s="432" t="n">
        <x:f>IF($M$14="",1,IF('Properties'!E163=$M$14,1,0))</x:f>
        <x:v>1</x:v>
      </x:c>
      <x:c r="G205" s="432" t="n">
        <x:f>IF($M$15="",1,IF('Properties'!I163=$M$15,1,0))</x:f>
        <x:v>1</x:v>
      </x:c>
      <x:c r="H205" s="432" t="n">
        <x:f>IF(NOT(ISNUMBER($M$16)),1,IF(AND(ISNUMBER('Properties'!J163),'Properties'!J163=$M$16),1,0))</x:f>
        <x:v>1</x:v>
      </x:c>
      <x:c r="I205" s="432" t="n">
        <x:f>IF($M$19="",1,IF('Properties'!F163="",0,IF(ISNUMBER(SEARCH(","&amp;TRIM('Properties'!F163)&amp;",",","&amp;SUBSTITUTE(TRIM($M$19),", ",",")&amp;",")),1,0)))</x:f>
        <x:v>1</x:v>
      </x:c>
      <x:c r="J205" s="432" t="n">
        <x:f>IF($O$44=0,0,PRODUCT(C205:I205))</x:f>
        <x:v>0</x:v>
      </x:c>
      <x:c r="K205" s="432" t="str">
        <x:f>IF(J205=1,SUM($J$48:J205),"")</x:f>
      </x:c>
      <x:c r="L205" s="432"/>
      <x:c r="M205" s="432"/>
      <x:c r="N205" s="432" t="str">
        <x:f>IF('Clients'!A163="","",'Clients'!A163)</x:f>
      </x:c>
      <x:c r="O205" s="432" t="n">
        <x:f>IF(N205="",0,IF($B$6="",1,IF(ISNUMBER(SEARCH($B$6,'Clients'!A163&amp;" "&amp;'Clients'!B163&amp;" "&amp;'Clients'!C163&amp;" "&amp;'Clients'!D163)),1,0)))</x:f>
        <x:v>0</x:v>
      </x:c>
      <x:c r="P205" s="432" t="str">
        <x:f>IF(O205=1,SUM($O$48:O205),"")</x:f>
      </x:c>
      <x:c r="Q205" s="432"/>
    </x:row>
    <x:row r="206" ht="25" customHeight="1">
      <x:c r="A206" s="432"/>
      <x:c r="B206" s="432" t="str">
        <x:f>IF('Properties'!A164="","",'Properties'!A164)</x:f>
      </x:c>
      <x:c r="C206" s="432" t="n">
        <x:f>IF(AND(B206&lt;&gt;"",'Properties'!M164="Available"),1,0)</x:f>
        <x:v>0</x:v>
      </x:c>
      <x:c r="D206" s="432" t="n">
        <x:f>IF($M$13="Buy",IF('Properties'!D164="Sale",1,0),IF($M$13="Rent",IF('Properties'!D164="Rental",1,0),0))</x:f>
        <x:v>0</x:v>
      </x:c>
      <x:c r="E206" s="432" t="n">
        <x:f>IF(AND(ISNUMBER('Properties'!L164),'Properties'!L164&gt;0,ISNUMBER($M$18),$M$18&gt;0,'Properties'!L164&lt;=$M$18,OR(NOT(ISNUMBER($M$17)),'Properties'!L164&gt;=$M$17)),1,0)</x:f>
        <x:v>0</x:v>
      </x:c>
      <x:c r="F206" s="432" t="n">
        <x:f>IF($M$14="",1,IF('Properties'!E164=$M$14,1,0))</x:f>
        <x:v>1</x:v>
      </x:c>
      <x:c r="G206" s="432" t="n">
        <x:f>IF($M$15="",1,IF('Properties'!I164=$M$15,1,0))</x:f>
        <x:v>1</x:v>
      </x:c>
      <x:c r="H206" s="432" t="n">
        <x:f>IF(NOT(ISNUMBER($M$16)),1,IF(AND(ISNUMBER('Properties'!J164),'Properties'!J164=$M$16),1,0))</x:f>
        <x:v>1</x:v>
      </x:c>
      <x:c r="I206" s="432" t="n">
        <x:f>IF($M$19="",1,IF('Properties'!F164="",0,IF(ISNUMBER(SEARCH(","&amp;TRIM('Properties'!F164)&amp;",",","&amp;SUBSTITUTE(TRIM($M$19),", ",",")&amp;",")),1,0)))</x:f>
        <x:v>1</x:v>
      </x:c>
      <x:c r="J206" s="432" t="n">
        <x:f>IF($O$44=0,0,PRODUCT(C206:I206))</x:f>
        <x:v>0</x:v>
      </x:c>
      <x:c r="K206" s="432" t="str">
        <x:f>IF(J206=1,SUM($J$48:J206),"")</x:f>
      </x:c>
      <x:c r="L206" s="432"/>
      <x:c r="M206" s="432"/>
      <x:c r="N206" s="432" t="str">
        <x:f>IF('Clients'!A164="","",'Clients'!A164)</x:f>
      </x:c>
      <x:c r="O206" s="432" t="n">
        <x:f>IF(N206="",0,IF($B$6="",1,IF(ISNUMBER(SEARCH($B$6,'Clients'!A164&amp;" "&amp;'Clients'!B164&amp;" "&amp;'Clients'!C164&amp;" "&amp;'Clients'!D164)),1,0)))</x:f>
        <x:v>0</x:v>
      </x:c>
      <x:c r="P206" s="432" t="str">
        <x:f>IF(O206=1,SUM($O$48:O206),"")</x:f>
      </x:c>
      <x:c r="Q206" s="432"/>
    </x:row>
    <x:row r="207" ht="25" customHeight="1">
      <x:c r="A207" s="432"/>
      <x:c r="B207" s="432" t="str">
        <x:f>IF('Properties'!A165="","",'Properties'!A165)</x:f>
      </x:c>
      <x:c r="C207" s="432" t="n">
        <x:f>IF(AND(B207&lt;&gt;"",'Properties'!M165="Available"),1,0)</x:f>
        <x:v>0</x:v>
      </x:c>
      <x:c r="D207" s="432" t="n">
        <x:f>IF($M$13="Buy",IF('Properties'!D165="Sale",1,0),IF($M$13="Rent",IF('Properties'!D165="Rental",1,0),0))</x:f>
        <x:v>0</x:v>
      </x:c>
      <x:c r="E207" s="432" t="n">
        <x:f>IF(AND(ISNUMBER('Properties'!L165),'Properties'!L165&gt;0,ISNUMBER($M$18),$M$18&gt;0,'Properties'!L165&lt;=$M$18,OR(NOT(ISNUMBER($M$17)),'Properties'!L165&gt;=$M$17)),1,0)</x:f>
        <x:v>0</x:v>
      </x:c>
      <x:c r="F207" s="432" t="n">
        <x:f>IF($M$14="",1,IF('Properties'!E165=$M$14,1,0))</x:f>
        <x:v>1</x:v>
      </x:c>
      <x:c r="G207" s="432" t="n">
        <x:f>IF($M$15="",1,IF('Properties'!I165=$M$15,1,0))</x:f>
        <x:v>1</x:v>
      </x:c>
      <x:c r="H207" s="432" t="n">
        <x:f>IF(NOT(ISNUMBER($M$16)),1,IF(AND(ISNUMBER('Properties'!J165),'Properties'!J165=$M$16),1,0))</x:f>
        <x:v>1</x:v>
      </x:c>
      <x:c r="I207" s="432" t="n">
        <x:f>IF($M$19="",1,IF('Properties'!F165="",0,IF(ISNUMBER(SEARCH(","&amp;TRIM('Properties'!F165)&amp;",",","&amp;SUBSTITUTE(TRIM($M$19),", ",",")&amp;",")),1,0)))</x:f>
        <x:v>1</x:v>
      </x:c>
      <x:c r="J207" s="432" t="n">
        <x:f>IF($O$44=0,0,PRODUCT(C207:I207))</x:f>
        <x:v>0</x:v>
      </x:c>
      <x:c r="K207" s="432" t="str">
        <x:f>IF(J207=1,SUM($J$48:J207),"")</x:f>
      </x:c>
      <x:c r="L207" s="432"/>
      <x:c r="M207" s="432"/>
      <x:c r="N207" s="432" t="str">
        <x:f>IF('Clients'!A165="","",'Clients'!A165)</x:f>
      </x:c>
      <x:c r="O207" s="432" t="n">
        <x:f>IF(N207="",0,IF($B$6="",1,IF(ISNUMBER(SEARCH($B$6,'Clients'!A165&amp;" "&amp;'Clients'!B165&amp;" "&amp;'Clients'!C165&amp;" "&amp;'Clients'!D165)),1,0)))</x:f>
        <x:v>0</x:v>
      </x:c>
      <x:c r="P207" s="432" t="str">
        <x:f>IF(O207=1,SUM($O$48:O207),"")</x:f>
      </x:c>
      <x:c r="Q207" s="432"/>
    </x:row>
    <x:row r="208" ht="25" customHeight="1">
      <x:c r="A208" s="432"/>
      <x:c r="B208" s="432" t="str">
        <x:f>IF('Properties'!A166="","",'Properties'!A166)</x:f>
      </x:c>
      <x:c r="C208" s="432" t="n">
        <x:f>IF(AND(B208&lt;&gt;"",'Properties'!M166="Available"),1,0)</x:f>
        <x:v>0</x:v>
      </x:c>
      <x:c r="D208" s="432" t="n">
        <x:f>IF($M$13="Buy",IF('Properties'!D166="Sale",1,0),IF($M$13="Rent",IF('Properties'!D166="Rental",1,0),0))</x:f>
        <x:v>0</x:v>
      </x:c>
      <x:c r="E208" s="432" t="n">
        <x:f>IF(AND(ISNUMBER('Properties'!L166),'Properties'!L166&gt;0,ISNUMBER($M$18),$M$18&gt;0,'Properties'!L166&lt;=$M$18,OR(NOT(ISNUMBER($M$17)),'Properties'!L166&gt;=$M$17)),1,0)</x:f>
        <x:v>0</x:v>
      </x:c>
      <x:c r="F208" s="432" t="n">
        <x:f>IF($M$14="",1,IF('Properties'!E166=$M$14,1,0))</x:f>
        <x:v>1</x:v>
      </x:c>
      <x:c r="G208" s="432" t="n">
        <x:f>IF($M$15="",1,IF('Properties'!I166=$M$15,1,0))</x:f>
        <x:v>1</x:v>
      </x:c>
      <x:c r="H208" s="432" t="n">
        <x:f>IF(NOT(ISNUMBER($M$16)),1,IF(AND(ISNUMBER('Properties'!J166),'Properties'!J166=$M$16),1,0))</x:f>
        <x:v>1</x:v>
      </x:c>
      <x:c r="I208" s="432" t="n">
        <x:f>IF($M$19="",1,IF('Properties'!F166="",0,IF(ISNUMBER(SEARCH(","&amp;TRIM('Properties'!F166)&amp;",",","&amp;SUBSTITUTE(TRIM($M$19),", ",",")&amp;",")),1,0)))</x:f>
        <x:v>1</x:v>
      </x:c>
      <x:c r="J208" s="432" t="n">
        <x:f>IF($O$44=0,0,PRODUCT(C208:I208))</x:f>
        <x:v>0</x:v>
      </x:c>
      <x:c r="K208" s="432" t="str">
        <x:f>IF(J208=1,SUM($J$48:J208),"")</x:f>
      </x:c>
      <x:c r="L208" s="432"/>
      <x:c r="M208" s="432"/>
      <x:c r="N208" s="432" t="str">
        <x:f>IF('Clients'!A166="","",'Clients'!A166)</x:f>
      </x:c>
      <x:c r="O208" s="432" t="n">
        <x:f>IF(N208="",0,IF($B$6="",1,IF(ISNUMBER(SEARCH($B$6,'Clients'!A166&amp;" "&amp;'Clients'!B166&amp;" "&amp;'Clients'!C166&amp;" "&amp;'Clients'!D166)),1,0)))</x:f>
        <x:v>0</x:v>
      </x:c>
      <x:c r="P208" s="432" t="str">
        <x:f>IF(O208=1,SUM($O$48:O208),"")</x:f>
      </x:c>
      <x:c r="Q208" s="432"/>
    </x:row>
    <x:row r="209" ht="25" customHeight="1">
      <x:c r="A209" s="432"/>
      <x:c r="B209" s="432" t="str">
        <x:f>IF('Properties'!A167="","",'Properties'!A167)</x:f>
      </x:c>
      <x:c r="C209" s="432" t="n">
        <x:f>IF(AND(B209&lt;&gt;"",'Properties'!M167="Available"),1,0)</x:f>
        <x:v>0</x:v>
      </x:c>
      <x:c r="D209" s="432" t="n">
        <x:f>IF($M$13="Buy",IF('Properties'!D167="Sale",1,0),IF($M$13="Rent",IF('Properties'!D167="Rental",1,0),0))</x:f>
        <x:v>0</x:v>
      </x:c>
      <x:c r="E209" s="432" t="n">
        <x:f>IF(AND(ISNUMBER('Properties'!L167),'Properties'!L167&gt;0,ISNUMBER($M$18),$M$18&gt;0,'Properties'!L167&lt;=$M$18,OR(NOT(ISNUMBER($M$17)),'Properties'!L167&gt;=$M$17)),1,0)</x:f>
        <x:v>0</x:v>
      </x:c>
      <x:c r="F209" s="432" t="n">
        <x:f>IF($M$14="",1,IF('Properties'!E167=$M$14,1,0))</x:f>
        <x:v>1</x:v>
      </x:c>
      <x:c r="G209" s="432" t="n">
        <x:f>IF($M$15="",1,IF('Properties'!I167=$M$15,1,0))</x:f>
        <x:v>1</x:v>
      </x:c>
      <x:c r="H209" s="432" t="n">
        <x:f>IF(NOT(ISNUMBER($M$16)),1,IF(AND(ISNUMBER('Properties'!J167),'Properties'!J167=$M$16),1,0))</x:f>
        <x:v>1</x:v>
      </x:c>
      <x:c r="I209" s="432" t="n">
        <x:f>IF($M$19="",1,IF('Properties'!F167="",0,IF(ISNUMBER(SEARCH(","&amp;TRIM('Properties'!F167)&amp;",",","&amp;SUBSTITUTE(TRIM($M$19),", ",",")&amp;",")),1,0)))</x:f>
        <x:v>1</x:v>
      </x:c>
      <x:c r="J209" s="432" t="n">
        <x:f>IF($O$44=0,0,PRODUCT(C209:I209))</x:f>
        <x:v>0</x:v>
      </x:c>
      <x:c r="K209" s="432" t="str">
        <x:f>IF(J209=1,SUM($J$48:J209),"")</x:f>
      </x:c>
      <x:c r="L209" s="432"/>
      <x:c r="M209" s="432"/>
      <x:c r="N209" s="432" t="str">
        <x:f>IF('Clients'!A167="","",'Clients'!A167)</x:f>
      </x:c>
      <x:c r="O209" s="432" t="n">
        <x:f>IF(N209="",0,IF($B$6="",1,IF(ISNUMBER(SEARCH($B$6,'Clients'!A167&amp;" "&amp;'Clients'!B167&amp;" "&amp;'Clients'!C167&amp;" "&amp;'Clients'!D167)),1,0)))</x:f>
        <x:v>0</x:v>
      </x:c>
      <x:c r="P209" s="432" t="str">
        <x:f>IF(O209=1,SUM($O$48:O209),"")</x:f>
      </x:c>
      <x:c r="Q209" s="432"/>
    </x:row>
    <x:row r="210" ht="25" customHeight="1">
      <x:c r="A210" s="432"/>
      <x:c r="B210" s="432" t="str">
        <x:f>IF('Properties'!A168="","",'Properties'!A168)</x:f>
      </x:c>
      <x:c r="C210" s="432" t="n">
        <x:f>IF(AND(B210&lt;&gt;"",'Properties'!M168="Available"),1,0)</x:f>
        <x:v>0</x:v>
      </x:c>
      <x:c r="D210" s="432" t="n">
        <x:f>IF($M$13="Buy",IF('Properties'!D168="Sale",1,0),IF($M$13="Rent",IF('Properties'!D168="Rental",1,0),0))</x:f>
        <x:v>0</x:v>
      </x:c>
      <x:c r="E210" s="432" t="n">
        <x:f>IF(AND(ISNUMBER('Properties'!L168),'Properties'!L168&gt;0,ISNUMBER($M$18),$M$18&gt;0,'Properties'!L168&lt;=$M$18,OR(NOT(ISNUMBER($M$17)),'Properties'!L168&gt;=$M$17)),1,0)</x:f>
        <x:v>0</x:v>
      </x:c>
      <x:c r="F210" s="432" t="n">
        <x:f>IF($M$14="",1,IF('Properties'!E168=$M$14,1,0))</x:f>
        <x:v>1</x:v>
      </x:c>
      <x:c r="G210" s="432" t="n">
        <x:f>IF($M$15="",1,IF('Properties'!I168=$M$15,1,0))</x:f>
        <x:v>1</x:v>
      </x:c>
      <x:c r="H210" s="432" t="n">
        <x:f>IF(NOT(ISNUMBER($M$16)),1,IF(AND(ISNUMBER('Properties'!J168),'Properties'!J168=$M$16),1,0))</x:f>
        <x:v>1</x:v>
      </x:c>
      <x:c r="I210" s="432" t="n">
        <x:f>IF($M$19="",1,IF('Properties'!F168="",0,IF(ISNUMBER(SEARCH(","&amp;TRIM('Properties'!F168)&amp;",",","&amp;SUBSTITUTE(TRIM($M$19),", ",",")&amp;",")),1,0)))</x:f>
        <x:v>1</x:v>
      </x:c>
      <x:c r="J210" s="432" t="n">
        <x:f>IF($O$44=0,0,PRODUCT(C210:I210))</x:f>
        <x:v>0</x:v>
      </x:c>
      <x:c r="K210" s="432" t="str">
        <x:f>IF(J210=1,SUM($J$48:J210),"")</x:f>
      </x:c>
      <x:c r="L210" s="432"/>
      <x:c r="M210" s="432"/>
      <x:c r="N210" s="432" t="str">
        <x:f>IF('Clients'!A168="","",'Clients'!A168)</x:f>
      </x:c>
      <x:c r="O210" s="432" t="n">
        <x:f>IF(N210="",0,IF($B$6="",1,IF(ISNUMBER(SEARCH($B$6,'Clients'!A168&amp;" "&amp;'Clients'!B168&amp;" "&amp;'Clients'!C168&amp;" "&amp;'Clients'!D168)),1,0)))</x:f>
        <x:v>0</x:v>
      </x:c>
      <x:c r="P210" s="432" t="str">
        <x:f>IF(O210=1,SUM($O$48:O210),"")</x:f>
      </x:c>
      <x:c r="Q210" s="432"/>
    </x:row>
    <x:row r="211" ht="25" customHeight="1">
      <x:c r="A211" s="432"/>
      <x:c r="B211" s="432" t="str">
        <x:f>IF('Properties'!A169="","",'Properties'!A169)</x:f>
      </x:c>
      <x:c r="C211" s="432" t="n">
        <x:f>IF(AND(B211&lt;&gt;"",'Properties'!M169="Available"),1,0)</x:f>
        <x:v>0</x:v>
      </x:c>
      <x:c r="D211" s="432" t="n">
        <x:f>IF($M$13="Buy",IF('Properties'!D169="Sale",1,0),IF($M$13="Rent",IF('Properties'!D169="Rental",1,0),0))</x:f>
        <x:v>0</x:v>
      </x:c>
      <x:c r="E211" s="432" t="n">
        <x:f>IF(AND(ISNUMBER('Properties'!L169),'Properties'!L169&gt;0,ISNUMBER($M$18),$M$18&gt;0,'Properties'!L169&lt;=$M$18,OR(NOT(ISNUMBER($M$17)),'Properties'!L169&gt;=$M$17)),1,0)</x:f>
        <x:v>0</x:v>
      </x:c>
      <x:c r="F211" s="432" t="n">
        <x:f>IF($M$14="",1,IF('Properties'!E169=$M$14,1,0))</x:f>
        <x:v>1</x:v>
      </x:c>
      <x:c r="G211" s="432" t="n">
        <x:f>IF($M$15="",1,IF('Properties'!I169=$M$15,1,0))</x:f>
        <x:v>1</x:v>
      </x:c>
      <x:c r="H211" s="432" t="n">
        <x:f>IF(NOT(ISNUMBER($M$16)),1,IF(AND(ISNUMBER('Properties'!J169),'Properties'!J169=$M$16),1,0))</x:f>
        <x:v>1</x:v>
      </x:c>
      <x:c r="I211" s="432" t="n">
        <x:f>IF($M$19="",1,IF('Properties'!F169="",0,IF(ISNUMBER(SEARCH(","&amp;TRIM('Properties'!F169)&amp;",",","&amp;SUBSTITUTE(TRIM($M$19),", ",",")&amp;",")),1,0)))</x:f>
        <x:v>1</x:v>
      </x:c>
      <x:c r="J211" s="432" t="n">
        <x:f>IF($O$44=0,0,PRODUCT(C211:I211))</x:f>
        <x:v>0</x:v>
      </x:c>
      <x:c r="K211" s="432" t="str">
        <x:f>IF(J211=1,SUM($J$48:J211),"")</x:f>
      </x:c>
      <x:c r="L211" s="432"/>
      <x:c r="M211" s="432"/>
      <x:c r="N211" s="432" t="str">
        <x:f>IF('Clients'!A169="","",'Clients'!A169)</x:f>
      </x:c>
      <x:c r="O211" s="432" t="n">
        <x:f>IF(N211="",0,IF($B$6="",1,IF(ISNUMBER(SEARCH($B$6,'Clients'!A169&amp;" "&amp;'Clients'!B169&amp;" "&amp;'Clients'!C169&amp;" "&amp;'Clients'!D169)),1,0)))</x:f>
        <x:v>0</x:v>
      </x:c>
      <x:c r="P211" s="432" t="str">
        <x:f>IF(O211=1,SUM($O$48:O211),"")</x:f>
      </x:c>
      <x:c r="Q211" s="432"/>
    </x:row>
    <x:row r="212" ht="25" customHeight="1">
      <x:c r="A212" s="432"/>
      <x:c r="B212" s="432" t="str">
        <x:f>IF('Properties'!A170="","",'Properties'!A170)</x:f>
      </x:c>
      <x:c r="C212" s="432" t="n">
        <x:f>IF(AND(B212&lt;&gt;"",'Properties'!M170="Available"),1,0)</x:f>
        <x:v>0</x:v>
      </x:c>
      <x:c r="D212" s="432" t="n">
        <x:f>IF($M$13="Buy",IF('Properties'!D170="Sale",1,0),IF($M$13="Rent",IF('Properties'!D170="Rental",1,0),0))</x:f>
        <x:v>0</x:v>
      </x:c>
      <x:c r="E212" s="432" t="n">
        <x:f>IF(AND(ISNUMBER('Properties'!L170),'Properties'!L170&gt;0,ISNUMBER($M$18),$M$18&gt;0,'Properties'!L170&lt;=$M$18,OR(NOT(ISNUMBER($M$17)),'Properties'!L170&gt;=$M$17)),1,0)</x:f>
        <x:v>0</x:v>
      </x:c>
      <x:c r="F212" s="432" t="n">
        <x:f>IF($M$14="",1,IF('Properties'!E170=$M$14,1,0))</x:f>
        <x:v>1</x:v>
      </x:c>
      <x:c r="G212" s="432" t="n">
        <x:f>IF($M$15="",1,IF('Properties'!I170=$M$15,1,0))</x:f>
        <x:v>1</x:v>
      </x:c>
      <x:c r="H212" s="432" t="n">
        <x:f>IF(NOT(ISNUMBER($M$16)),1,IF(AND(ISNUMBER('Properties'!J170),'Properties'!J170=$M$16),1,0))</x:f>
        <x:v>1</x:v>
      </x:c>
      <x:c r="I212" s="432" t="n">
        <x:f>IF($M$19="",1,IF('Properties'!F170="",0,IF(ISNUMBER(SEARCH(","&amp;TRIM('Properties'!F170)&amp;",",","&amp;SUBSTITUTE(TRIM($M$19),", ",",")&amp;",")),1,0)))</x:f>
        <x:v>1</x:v>
      </x:c>
      <x:c r="J212" s="432" t="n">
        <x:f>IF($O$44=0,0,PRODUCT(C212:I212))</x:f>
        <x:v>0</x:v>
      </x:c>
      <x:c r="K212" s="432" t="str">
        <x:f>IF(J212=1,SUM($J$48:J212),"")</x:f>
      </x:c>
      <x:c r="L212" s="432"/>
      <x:c r="M212" s="432"/>
      <x:c r="N212" s="432" t="str">
        <x:f>IF('Clients'!A170="","",'Clients'!A170)</x:f>
      </x:c>
      <x:c r="O212" s="432" t="n">
        <x:f>IF(N212="",0,IF($B$6="",1,IF(ISNUMBER(SEARCH($B$6,'Clients'!A170&amp;" "&amp;'Clients'!B170&amp;" "&amp;'Clients'!C170&amp;" "&amp;'Clients'!D170)),1,0)))</x:f>
        <x:v>0</x:v>
      </x:c>
      <x:c r="P212" s="432" t="str">
        <x:f>IF(O212=1,SUM($O$48:O212),"")</x:f>
      </x:c>
      <x:c r="Q212" s="432"/>
    </x:row>
    <x:row r="213" ht="25" customHeight="1">
      <x:c r="A213" s="432"/>
      <x:c r="B213" s="432" t="str">
        <x:f>IF('Properties'!A171="","",'Properties'!A171)</x:f>
      </x:c>
      <x:c r="C213" s="432" t="n">
        <x:f>IF(AND(B213&lt;&gt;"",'Properties'!M171="Available"),1,0)</x:f>
        <x:v>0</x:v>
      </x:c>
      <x:c r="D213" s="432" t="n">
        <x:f>IF($M$13="Buy",IF('Properties'!D171="Sale",1,0),IF($M$13="Rent",IF('Properties'!D171="Rental",1,0),0))</x:f>
        <x:v>0</x:v>
      </x:c>
      <x:c r="E213" s="432" t="n">
        <x:f>IF(AND(ISNUMBER('Properties'!L171),'Properties'!L171&gt;0,ISNUMBER($M$18),$M$18&gt;0,'Properties'!L171&lt;=$M$18,OR(NOT(ISNUMBER($M$17)),'Properties'!L171&gt;=$M$17)),1,0)</x:f>
        <x:v>0</x:v>
      </x:c>
      <x:c r="F213" s="432" t="n">
        <x:f>IF($M$14="",1,IF('Properties'!E171=$M$14,1,0))</x:f>
        <x:v>1</x:v>
      </x:c>
      <x:c r="G213" s="432" t="n">
        <x:f>IF($M$15="",1,IF('Properties'!I171=$M$15,1,0))</x:f>
        <x:v>1</x:v>
      </x:c>
      <x:c r="H213" s="432" t="n">
        <x:f>IF(NOT(ISNUMBER($M$16)),1,IF(AND(ISNUMBER('Properties'!J171),'Properties'!J171=$M$16),1,0))</x:f>
        <x:v>1</x:v>
      </x:c>
      <x:c r="I213" s="432" t="n">
        <x:f>IF($M$19="",1,IF('Properties'!F171="",0,IF(ISNUMBER(SEARCH(","&amp;TRIM('Properties'!F171)&amp;",",","&amp;SUBSTITUTE(TRIM($M$19),", ",",")&amp;",")),1,0)))</x:f>
        <x:v>1</x:v>
      </x:c>
      <x:c r="J213" s="432" t="n">
        <x:f>IF($O$44=0,0,PRODUCT(C213:I213))</x:f>
        <x:v>0</x:v>
      </x:c>
      <x:c r="K213" s="432" t="str">
        <x:f>IF(J213=1,SUM($J$48:J213),"")</x:f>
      </x:c>
      <x:c r="L213" s="432"/>
      <x:c r="M213" s="432"/>
      <x:c r="N213" s="432" t="str">
        <x:f>IF('Clients'!A171="","",'Clients'!A171)</x:f>
      </x:c>
      <x:c r="O213" s="432" t="n">
        <x:f>IF(N213="",0,IF($B$6="",1,IF(ISNUMBER(SEARCH($B$6,'Clients'!A171&amp;" "&amp;'Clients'!B171&amp;" "&amp;'Clients'!C171&amp;" "&amp;'Clients'!D171)),1,0)))</x:f>
        <x:v>0</x:v>
      </x:c>
      <x:c r="P213" s="432" t="str">
        <x:f>IF(O213=1,SUM($O$48:O213),"")</x:f>
      </x:c>
      <x:c r="Q213" s="432"/>
    </x:row>
    <x:row r="214" ht="25" customHeight="1">
      <x:c r="A214" s="432"/>
      <x:c r="B214" s="432" t="str">
        <x:f>IF('Properties'!A172="","",'Properties'!A172)</x:f>
      </x:c>
      <x:c r="C214" s="432" t="n">
        <x:f>IF(AND(B214&lt;&gt;"",'Properties'!M172="Available"),1,0)</x:f>
        <x:v>0</x:v>
      </x:c>
      <x:c r="D214" s="432" t="n">
        <x:f>IF($M$13="Buy",IF('Properties'!D172="Sale",1,0),IF($M$13="Rent",IF('Properties'!D172="Rental",1,0),0))</x:f>
        <x:v>0</x:v>
      </x:c>
      <x:c r="E214" s="432" t="n">
        <x:f>IF(AND(ISNUMBER('Properties'!L172),'Properties'!L172&gt;0,ISNUMBER($M$18),$M$18&gt;0,'Properties'!L172&lt;=$M$18,OR(NOT(ISNUMBER($M$17)),'Properties'!L172&gt;=$M$17)),1,0)</x:f>
        <x:v>0</x:v>
      </x:c>
      <x:c r="F214" s="432" t="n">
        <x:f>IF($M$14="",1,IF('Properties'!E172=$M$14,1,0))</x:f>
        <x:v>1</x:v>
      </x:c>
      <x:c r="G214" s="432" t="n">
        <x:f>IF($M$15="",1,IF('Properties'!I172=$M$15,1,0))</x:f>
        <x:v>1</x:v>
      </x:c>
      <x:c r="H214" s="432" t="n">
        <x:f>IF(NOT(ISNUMBER($M$16)),1,IF(AND(ISNUMBER('Properties'!J172),'Properties'!J172=$M$16),1,0))</x:f>
        <x:v>1</x:v>
      </x:c>
      <x:c r="I214" s="432" t="n">
        <x:f>IF($M$19="",1,IF('Properties'!F172="",0,IF(ISNUMBER(SEARCH(","&amp;TRIM('Properties'!F172)&amp;",",","&amp;SUBSTITUTE(TRIM($M$19),", ",",")&amp;",")),1,0)))</x:f>
        <x:v>1</x:v>
      </x:c>
      <x:c r="J214" s="432" t="n">
        <x:f>IF($O$44=0,0,PRODUCT(C214:I214))</x:f>
        <x:v>0</x:v>
      </x:c>
      <x:c r="K214" s="432" t="str">
        <x:f>IF(J214=1,SUM($J$48:J214),"")</x:f>
      </x:c>
      <x:c r="L214" s="432"/>
      <x:c r="M214" s="432"/>
      <x:c r="N214" s="432" t="str">
        <x:f>IF('Clients'!A172="","",'Clients'!A172)</x:f>
      </x:c>
      <x:c r="O214" s="432" t="n">
        <x:f>IF(N214="",0,IF($B$6="",1,IF(ISNUMBER(SEARCH($B$6,'Clients'!A172&amp;" "&amp;'Clients'!B172&amp;" "&amp;'Clients'!C172&amp;" "&amp;'Clients'!D172)),1,0)))</x:f>
        <x:v>0</x:v>
      </x:c>
      <x:c r="P214" s="432" t="str">
        <x:f>IF(O214=1,SUM($O$48:O214),"")</x:f>
      </x:c>
      <x:c r="Q214" s="432"/>
    </x:row>
    <x:row r="215" ht="25" customHeight="1">
      <x:c r="A215" s="432"/>
      <x:c r="B215" s="432" t="str">
        <x:f>IF('Properties'!A173="","",'Properties'!A173)</x:f>
      </x:c>
      <x:c r="C215" s="432" t="n">
        <x:f>IF(AND(B215&lt;&gt;"",'Properties'!M173="Available"),1,0)</x:f>
        <x:v>0</x:v>
      </x:c>
      <x:c r="D215" s="432" t="n">
        <x:f>IF($M$13="Buy",IF('Properties'!D173="Sale",1,0),IF($M$13="Rent",IF('Properties'!D173="Rental",1,0),0))</x:f>
        <x:v>0</x:v>
      </x:c>
      <x:c r="E215" s="432" t="n">
        <x:f>IF(AND(ISNUMBER('Properties'!L173),'Properties'!L173&gt;0,ISNUMBER($M$18),$M$18&gt;0,'Properties'!L173&lt;=$M$18,OR(NOT(ISNUMBER($M$17)),'Properties'!L173&gt;=$M$17)),1,0)</x:f>
        <x:v>0</x:v>
      </x:c>
      <x:c r="F215" s="432" t="n">
        <x:f>IF($M$14="",1,IF('Properties'!E173=$M$14,1,0))</x:f>
        <x:v>1</x:v>
      </x:c>
      <x:c r="G215" s="432" t="n">
        <x:f>IF($M$15="",1,IF('Properties'!I173=$M$15,1,0))</x:f>
        <x:v>1</x:v>
      </x:c>
      <x:c r="H215" s="432" t="n">
        <x:f>IF(NOT(ISNUMBER($M$16)),1,IF(AND(ISNUMBER('Properties'!J173),'Properties'!J173=$M$16),1,0))</x:f>
        <x:v>1</x:v>
      </x:c>
      <x:c r="I215" s="432" t="n">
        <x:f>IF($M$19="",1,IF('Properties'!F173="",0,IF(ISNUMBER(SEARCH(","&amp;TRIM('Properties'!F173)&amp;",",","&amp;SUBSTITUTE(TRIM($M$19),", ",",")&amp;",")),1,0)))</x:f>
        <x:v>1</x:v>
      </x:c>
      <x:c r="J215" s="432" t="n">
        <x:f>IF($O$44=0,0,PRODUCT(C215:I215))</x:f>
        <x:v>0</x:v>
      </x:c>
      <x:c r="K215" s="432" t="str">
        <x:f>IF(J215=1,SUM($J$48:J215),"")</x:f>
      </x:c>
      <x:c r="L215" s="432"/>
      <x:c r="M215" s="432"/>
      <x:c r="N215" s="432" t="str">
        <x:f>IF('Clients'!A173="","",'Clients'!A173)</x:f>
      </x:c>
      <x:c r="O215" s="432" t="n">
        <x:f>IF(N215="",0,IF($B$6="",1,IF(ISNUMBER(SEARCH($B$6,'Clients'!A173&amp;" "&amp;'Clients'!B173&amp;" "&amp;'Clients'!C173&amp;" "&amp;'Clients'!D173)),1,0)))</x:f>
        <x:v>0</x:v>
      </x:c>
      <x:c r="P215" s="432" t="str">
        <x:f>IF(O215=1,SUM($O$48:O215),"")</x:f>
      </x:c>
      <x:c r="Q215" s="432"/>
    </x:row>
    <x:row r="216" ht="25" customHeight="1">
      <x:c r="A216" s="432"/>
      <x:c r="B216" s="432" t="str">
        <x:f>IF('Properties'!A174="","",'Properties'!A174)</x:f>
      </x:c>
      <x:c r="C216" s="432" t="n">
        <x:f>IF(AND(B216&lt;&gt;"",'Properties'!M174="Available"),1,0)</x:f>
        <x:v>0</x:v>
      </x:c>
      <x:c r="D216" s="432" t="n">
        <x:f>IF($M$13="Buy",IF('Properties'!D174="Sale",1,0),IF($M$13="Rent",IF('Properties'!D174="Rental",1,0),0))</x:f>
        <x:v>0</x:v>
      </x:c>
      <x:c r="E216" s="432" t="n">
        <x:f>IF(AND(ISNUMBER('Properties'!L174),'Properties'!L174&gt;0,ISNUMBER($M$18),$M$18&gt;0,'Properties'!L174&lt;=$M$18,OR(NOT(ISNUMBER($M$17)),'Properties'!L174&gt;=$M$17)),1,0)</x:f>
        <x:v>0</x:v>
      </x:c>
      <x:c r="F216" s="432" t="n">
        <x:f>IF($M$14="",1,IF('Properties'!E174=$M$14,1,0))</x:f>
        <x:v>1</x:v>
      </x:c>
      <x:c r="G216" s="432" t="n">
        <x:f>IF($M$15="",1,IF('Properties'!I174=$M$15,1,0))</x:f>
        <x:v>1</x:v>
      </x:c>
      <x:c r="H216" s="432" t="n">
        <x:f>IF(NOT(ISNUMBER($M$16)),1,IF(AND(ISNUMBER('Properties'!J174),'Properties'!J174=$M$16),1,0))</x:f>
        <x:v>1</x:v>
      </x:c>
      <x:c r="I216" s="432" t="n">
        <x:f>IF($M$19="",1,IF('Properties'!F174="",0,IF(ISNUMBER(SEARCH(","&amp;TRIM('Properties'!F174)&amp;",",","&amp;SUBSTITUTE(TRIM($M$19),", ",",")&amp;",")),1,0)))</x:f>
        <x:v>1</x:v>
      </x:c>
      <x:c r="J216" s="432" t="n">
        <x:f>IF($O$44=0,0,PRODUCT(C216:I216))</x:f>
        <x:v>0</x:v>
      </x:c>
      <x:c r="K216" s="432" t="str">
        <x:f>IF(J216=1,SUM($J$48:J216),"")</x:f>
      </x:c>
      <x:c r="L216" s="432"/>
      <x:c r="M216" s="432"/>
      <x:c r="N216" s="432" t="str">
        <x:f>IF('Clients'!A174="","",'Clients'!A174)</x:f>
      </x:c>
      <x:c r="O216" s="432" t="n">
        <x:f>IF(N216="",0,IF($B$6="",1,IF(ISNUMBER(SEARCH($B$6,'Clients'!A174&amp;" "&amp;'Clients'!B174&amp;" "&amp;'Clients'!C174&amp;" "&amp;'Clients'!D174)),1,0)))</x:f>
        <x:v>0</x:v>
      </x:c>
      <x:c r="P216" s="432" t="str">
        <x:f>IF(O216=1,SUM($O$48:O216),"")</x:f>
      </x:c>
      <x:c r="Q216" s="432"/>
    </x:row>
    <x:row r="217" ht="25" customHeight="1">
      <x:c r="A217" s="432"/>
      <x:c r="B217" s="432" t="str">
        <x:f>IF('Properties'!A175="","",'Properties'!A175)</x:f>
      </x:c>
      <x:c r="C217" s="432" t="n">
        <x:f>IF(AND(B217&lt;&gt;"",'Properties'!M175="Available"),1,0)</x:f>
        <x:v>0</x:v>
      </x:c>
      <x:c r="D217" s="432" t="n">
        <x:f>IF($M$13="Buy",IF('Properties'!D175="Sale",1,0),IF($M$13="Rent",IF('Properties'!D175="Rental",1,0),0))</x:f>
        <x:v>0</x:v>
      </x:c>
      <x:c r="E217" s="432" t="n">
        <x:f>IF(AND(ISNUMBER('Properties'!L175),'Properties'!L175&gt;0,ISNUMBER($M$18),$M$18&gt;0,'Properties'!L175&lt;=$M$18,OR(NOT(ISNUMBER($M$17)),'Properties'!L175&gt;=$M$17)),1,0)</x:f>
        <x:v>0</x:v>
      </x:c>
      <x:c r="F217" s="432" t="n">
        <x:f>IF($M$14="",1,IF('Properties'!E175=$M$14,1,0))</x:f>
        <x:v>1</x:v>
      </x:c>
      <x:c r="G217" s="432" t="n">
        <x:f>IF($M$15="",1,IF('Properties'!I175=$M$15,1,0))</x:f>
        <x:v>1</x:v>
      </x:c>
      <x:c r="H217" s="432" t="n">
        <x:f>IF(NOT(ISNUMBER($M$16)),1,IF(AND(ISNUMBER('Properties'!J175),'Properties'!J175=$M$16),1,0))</x:f>
        <x:v>1</x:v>
      </x:c>
      <x:c r="I217" s="432" t="n">
        <x:f>IF($M$19="",1,IF('Properties'!F175="",0,IF(ISNUMBER(SEARCH(","&amp;TRIM('Properties'!F175)&amp;",",","&amp;SUBSTITUTE(TRIM($M$19),", ",",")&amp;",")),1,0)))</x:f>
        <x:v>1</x:v>
      </x:c>
      <x:c r="J217" s="432" t="n">
        <x:f>IF($O$44=0,0,PRODUCT(C217:I217))</x:f>
        <x:v>0</x:v>
      </x:c>
      <x:c r="K217" s="432" t="str">
        <x:f>IF(J217=1,SUM($J$48:J217),"")</x:f>
      </x:c>
      <x:c r="L217" s="432"/>
      <x:c r="M217" s="432"/>
      <x:c r="N217" s="432" t="str">
        <x:f>IF('Clients'!A175="","",'Clients'!A175)</x:f>
      </x:c>
      <x:c r="O217" s="432" t="n">
        <x:f>IF(N217="",0,IF($B$6="",1,IF(ISNUMBER(SEARCH($B$6,'Clients'!A175&amp;" "&amp;'Clients'!B175&amp;" "&amp;'Clients'!C175&amp;" "&amp;'Clients'!D175)),1,0)))</x:f>
        <x:v>0</x:v>
      </x:c>
      <x:c r="P217" s="432" t="str">
        <x:f>IF(O217=1,SUM($O$48:O217),"")</x:f>
      </x:c>
      <x:c r="Q217" s="432"/>
    </x:row>
    <x:row r="218" ht="25" customHeight="1">
      <x:c r="A218" s="432"/>
      <x:c r="B218" s="432" t="str">
        <x:f>IF('Properties'!A176="","",'Properties'!A176)</x:f>
      </x:c>
      <x:c r="C218" s="432" t="n">
        <x:f>IF(AND(B218&lt;&gt;"",'Properties'!M176="Available"),1,0)</x:f>
        <x:v>0</x:v>
      </x:c>
      <x:c r="D218" s="432" t="n">
        <x:f>IF($M$13="Buy",IF('Properties'!D176="Sale",1,0),IF($M$13="Rent",IF('Properties'!D176="Rental",1,0),0))</x:f>
        <x:v>0</x:v>
      </x:c>
      <x:c r="E218" s="432" t="n">
        <x:f>IF(AND(ISNUMBER('Properties'!L176),'Properties'!L176&gt;0,ISNUMBER($M$18),$M$18&gt;0,'Properties'!L176&lt;=$M$18,OR(NOT(ISNUMBER($M$17)),'Properties'!L176&gt;=$M$17)),1,0)</x:f>
        <x:v>0</x:v>
      </x:c>
      <x:c r="F218" s="432" t="n">
        <x:f>IF($M$14="",1,IF('Properties'!E176=$M$14,1,0))</x:f>
        <x:v>1</x:v>
      </x:c>
      <x:c r="G218" s="432" t="n">
        <x:f>IF($M$15="",1,IF('Properties'!I176=$M$15,1,0))</x:f>
        <x:v>1</x:v>
      </x:c>
      <x:c r="H218" s="432" t="n">
        <x:f>IF(NOT(ISNUMBER($M$16)),1,IF(AND(ISNUMBER('Properties'!J176),'Properties'!J176=$M$16),1,0))</x:f>
        <x:v>1</x:v>
      </x:c>
      <x:c r="I218" s="432" t="n">
        <x:f>IF($M$19="",1,IF('Properties'!F176="",0,IF(ISNUMBER(SEARCH(","&amp;TRIM('Properties'!F176)&amp;",",","&amp;SUBSTITUTE(TRIM($M$19),", ",",")&amp;",")),1,0)))</x:f>
        <x:v>1</x:v>
      </x:c>
      <x:c r="J218" s="432" t="n">
        <x:f>IF($O$44=0,0,PRODUCT(C218:I218))</x:f>
        <x:v>0</x:v>
      </x:c>
      <x:c r="K218" s="432" t="str">
        <x:f>IF(J218=1,SUM($J$48:J218),"")</x:f>
      </x:c>
      <x:c r="L218" s="432"/>
      <x:c r="M218" s="432"/>
      <x:c r="N218" s="432" t="str">
        <x:f>IF('Clients'!A176="","",'Clients'!A176)</x:f>
      </x:c>
      <x:c r="O218" s="432" t="n">
        <x:f>IF(N218="",0,IF($B$6="",1,IF(ISNUMBER(SEARCH($B$6,'Clients'!A176&amp;" "&amp;'Clients'!B176&amp;" "&amp;'Clients'!C176&amp;" "&amp;'Clients'!D176)),1,0)))</x:f>
        <x:v>0</x:v>
      </x:c>
      <x:c r="P218" s="432" t="str">
        <x:f>IF(O218=1,SUM($O$48:O218),"")</x:f>
      </x:c>
      <x:c r="Q218" s="432"/>
    </x:row>
    <x:row r="219" ht="25" customHeight="1">
      <x:c r="A219" s="432"/>
      <x:c r="B219" s="432" t="str">
        <x:f>IF('Properties'!A177="","",'Properties'!A177)</x:f>
      </x:c>
      <x:c r="C219" s="432" t="n">
        <x:f>IF(AND(B219&lt;&gt;"",'Properties'!M177="Available"),1,0)</x:f>
        <x:v>0</x:v>
      </x:c>
      <x:c r="D219" s="432" t="n">
        <x:f>IF($M$13="Buy",IF('Properties'!D177="Sale",1,0),IF($M$13="Rent",IF('Properties'!D177="Rental",1,0),0))</x:f>
        <x:v>0</x:v>
      </x:c>
      <x:c r="E219" s="432" t="n">
        <x:f>IF(AND(ISNUMBER('Properties'!L177),'Properties'!L177&gt;0,ISNUMBER($M$18),$M$18&gt;0,'Properties'!L177&lt;=$M$18,OR(NOT(ISNUMBER($M$17)),'Properties'!L177&gt;=$M$17)),1,0)</x:f>
        <x:v>0</x:v>
      </x:c>
      <x:c r="F219" s="432" t="n">
        <x:f>IF($M$14="",1,IF('Properties'!E177=$M$14,1,0))</x:f>
        <x:v>1</x:v>
      </x:c>
      <x:c r="G219" s="432" t="n">
        <x:f>IF($M$15="",1,IF('Properties'!I177=$M$15,1,0))</x:f>
        <x:v>1</x:v>
      </x:c>
      <x:c r="H219" s="432" t="n">
        <x:f>IF(NOT(ISNUMBER($M$16)),1,IF(AND(ISNUMBER('Properties'!J177),'Properties'!J177=$M$16),1,0))</x:f>
        <x:v>1</x:v>
      </x:c>
      <x:c r="I219" s="432" t="n">
        <x:f>IF($M$19="",1,IF('Properties'!F177="",0,IF(ISNUMBER(SEARCH(","&amp;TRIM('Properties'!F177)&amp;",",","&amp;SUBSTITUTE(TRIM($M$19),", ",",")&amp;",")),1,0)))</x:f>
        <x:v>1</x:v>
      </x:c>
      <x:c r="J219" s="432" t="n">
        <x:f>IF($O$44=0,0,PRODUCT(C219:I219))</x:f>
        <x:v>0</x:v>
      </x:c>
      <x:c r="K219" s="432" t="str">
        <x:f>IF(J219=1,SUM($J$48:J219),"")</x:f>
      </x:c>
      <x:c r="L219" s="432"/>
      <x:c r="M219" s="432"/>
      <x:c r="N219" s="432" t="str">
        <x:f>IF('Clients'!A177="","",'Clients'!A177)</x:f>
      </x:c>
      <x:c r="O219" s="432" t="n">
        <x:f>IF(N219="",0,IF($B$6="",1,IF(ISNUMBER(SEARCH($B$6,'Clients'!A177&amp;" "&amp;'Clients'!B177&amp;" "&amp;'Clients'!C177&amp;" "&amp;'Clients'!D177)),1,0)))</x:f>
        <x:v>0</x:v>
      </x:c>
      <x:c r="P219" s="432" t="str">
        <x:f>IF(O219=1,SUM($O$48:O219),"")</x:f>
      </x:c>
      <x:c r="Q219" s="432"/>
    </x:row>
    <x:row r="220" ht="25" customHeight="1">
      <x:c r="A220" s="432"/>
      <x:c r="B220" s="432" t="str">
        <x:f>IF('Properties'!A178="","",'Properties'!A178)</x:f>
      </x:c>
      <x:c r="C220" s="432" t="n">
        <x:f>IF(AND(B220&lt;&gt;"",'Properties'!M178="Available"),1,0)</x:f>
        <x:v>0</x:v>
      </x:c>
      <x:c r="D220" s="432" t="n">
        <x:f>IF($M$13="Buy",IF('Properties'!D178="Sale",1,0),IF($M$13="Rent",IF('Properties'!D178="Rental",1,0),0))</x:f>
        <x:v>0</x:v>
      </x:c>
      <x:c r="E220" s="432" t="n">
        <x:f>IF(AND(ISNUMBER('Properties'!L178),'Properties'!L178&gt;0,ISNUMBER($M$18),$M$18&gt;0,'Properties'!L178&lt;=$M$18,OR(NOT(ISNUMBER($M$17)),'Properties'!L178&gt;=$M$17)),1,0)</x:f>
        <x:v>0</x:v>
      </x:c>
      <x:c r="F220" s="432" t="n">
        <x:f>IF($M$14="",1,IF('Properties'!E178=$M$14,1,0))</x:f>
        <x:v>1</x:v>
      </x:c>
      <x:c r="G220" s="432" t="n">
        <x:f>IF($M$15="",1,IF('Properties'!I178=$M$15,1,0))</x:f>
        <x:v>1</x:v>
      </x:c>
      <x:c r="H220" s="432" t="n">
        <x:f>IF(NOT(ISNUMBER($M$16)),1,IF(AND(ISNUMBER('Properties'!J178),'Properties'!J178=$M$16),1,0))</x:f>
        <x:v>1</x:v>
      </x:c>
      <x:c r="I220" s="432" t="n">
        <x:f>IF($M$19="",1,IF('Properties'!F178="",0,IF(ISNUMBER(SEARCH(","&amp;TRIM('Properties'!F178)&amp;",",","&amp;SUBSTITUTE(TRIM($M$19),", ",",")&amp;",")),1,0)))</x:f>
        <x:v>1</x:v>
      </x:c>
      <x:c r="J220" s="432" t="n">
        <x:f>IF($O$44=0,0,PRODUCT(C220:I220))</x:f>
        <x:v>0</x:v>
      </x:c>
      <x:c r="K220" s="432" t="str">
        <x:f>IF(J220=1,SUM($J$48:J220),"")</x:f>
      </x:c>
      <x:c r="L220" s="432"/>
      <x:c r="M220" s="432"/>
      <x:c r="N220" s="432" t="str">
        <x:f>IF('Clients'!A178="","",'Clients'!A178)</x:f>
      </x:c>
      <x:c r="O220" s="432" t="n">
        <x:f>IF(N220="",0,IF($B$6="",1,IF(ISNUMBER(SEARCH($B$6,'Clients'!A178&amp;" "&amp;'Clients'!B178&amp;" "&amp;'Clients'!C178&amp;" "&amp;'Clients'!D178)),1,0)))</x:f>
        <x:v>0</x:v>
      </x:c>
      <x:c r="P220" s="432" t="str">
        <x:f>IF(O220=1,SUM($O$48:O220),"")</x:f>
      </x:c>
      <x:c r="Q220" s="432"/>
    </x:row>
    <x:row r="221" ht="25" customHeight="1">
      <x:c r="A221" s="432"/>
      <x:c r="B221" s="432" t="str">
        <x:f>IF('Properties'!A179="","",'Properties'!A179)</x:f>
      </x:c>
      <x:c r="C221" s="432" t="n">
        <x:f>IF(AND(B221&lt;&gt;"",'Properties'!M179="Available"),1,0)</x:f>
        <x:v>0</x:v>
      </x:c>
      <x:c r="D221" s="432" t="n">
        <x:f>IF($M$13="Buy",IF('Properties'!D179="Sale",1,0),IF($M$13="Rent",IF('Properties'!D179="Rental",1,0),0))</x:f>
        <x:v>0</x:v>
      </x:c>
      <x:c r="E221" s="432" t="n">
        <x:f>IF(AND(ISNUMBER('Properties'!L179),'Properties'!L179&gt;0,ISNUMBER($M$18),$M$18&gt;0,'Properties'!L179&lt;=$M$18,OR(NOT(ISNUMBER($M$17)),'Properties'!L179&gt;=$M$17)),1,0)</x:f>
        <x:v>0</x:v>
      </x:c>
      <x:c r="F221" s="432" t="n">
        <x:f>IF($M$14="",1,IF('Properties'!E179=$M$14,1,0))</x:f>
        <x:v>1</x:v>
      </x:c>
      <x:c r="G221" s="432" t="n">
        <x:f>IF($M$15="",1,IF('Properties'!I179=$M$15,1,0))</x:f>
        <x:v>1</x:v>
      </x:c>
      <x:c r="H221" s="432" t="n">
        <x:f>IF(NOT(ISNUMBER($M$16)),1,IF(AND(ISNUMBER('Properties'!J179),'Properties'!J179=$M$16),1,0))</x:f>
        <x:v>1</x:v>
      </x:c>
      <x:c r="I221" s="432" t="n">
        <x:f>IF($M$19="",1,IF('Properties'!F179="",0,IF(ISNUMBER(SEARCH(","&amp;TRIM('Properties'!F179)&amp;",",","&amp;SUBSTITUTE(TRIM($M$19),", ",",")&amp;",")),1,0)))</x:f>
        <x:v>1</x:v>
      </x:c>
      <x:c r="J221" s="432" t="n">
        <x:f>IF($O$44=0,0,PRODUCT(C221:I221))</x:f>
        <x:v>0</x:v>
      </x:c>
      <x:c r="K221" s="432" t="str">
        <x:f>IF(J221=1,SUM($J$48:J221),"")</x:f>
      </x:c>
      <x:c r="L221" s="432"/>
      <x:c r="M221" s="432"/>
      <x:c r="N221" s="432" t="str">
        <x:f>IF('Clients'!A179="","",'Clients'!A179)</x:f>
      </x:c>
      <x:c r="O221" s="432" t="n">
        <x:f>IF(N221="",0,IF($B$6="",1,IF(ISNUMBER(SEARCH($B$6,'Clients'!A179&amp;" "&amp;'Clients'!B179&amp;" "&amp;'Clients'!C179&amp;" "&amp;'Clients'!D179)),1,0)))</x:f>
        <x:v>0</x:v>
      </x:c>
      <x:c r="P221" s="432" t="str">
        <x:f>IF(O221=1,SUM($O$48:O221),"")</x:f>
      </x:c>
      <x:c r="Q221" s="432"/>
    </x:row>
    <x:row r="222" ht="25" customHeight="1">
      <x:c r="A222" s="432"/>
      <x:c r="B222" s="432" t="str">
        <x:f>IF('Properties'!A180="","",'Properties'!A180)</x:f>
      </x:c>
      <x:c r="C222" s="432" t="n">
        <x:f>IF(AND(B222&lt;&gt;"",'Properties'!M180="Available"),1,0)</x:f>
        <x:v>0</x:v>
      </x:c>
      <x:c r="D222" s="432" t="n">
        <x:f>IF($M$13="Buy",IF('Properties'!D180="Sale",1,0),IF($M$13="Rent",IF('Properties'!D180="Rental",1,0),0))</x:f>
        <x:v>0</x:v>
      </x:c>
      <x:c r="E222" s="432" t="n">
        <x:f>IF(AND(ISNUMBER('Properties'!L180),'Properties'!L180&gt;0,ISNUMBER($M$18),$M$18&gt;0,'Properties'!L180&lt;=$M$18,OR(NOT(ISNUMBER($M$17)),'Properties'!L180&gt;=$M$17)),1,0)</x:f>
        <x:v>0</x:v>
      </x:c>
      <x:c r="F222" s="432" t="n">
        <x:f>IF($M$14="",1,IF('Properties'!E180=$M$14,1,0))</x:f>
        <x:v>1</x:v>
      </x:c>
      <x:c r="G222" s="432" t="n">
        <x:f>IF($M$15="",1,IF('Properties'!I180=$M$15,1,0))</x:f>
        <x:v>1</x:v>
      </x:c>
      <x:c r="H222" s="432" t="n">
        <x:f>IF(NOT(ISNUMBER($M$16)),1,IF(AND(ISNUMBER('Properties'!J180),'Properties'!J180=$M$16),1,0))</x:f>
        <x:v>1</x:v>
      </x:c>
      <x:c r="I222" s="432" t="n">
        <x:f>IF($M$19="",1,IF('Properties'!F180="",0,IF(ISNUMBER(SEARCH(","&amp;TRIM('Properties'!F180)&amp;",",","&amp;SUBSTITUTE(TRIM($M$19),", ",",")&amp;",")),1,0)))</x:f>
        <x:v>1</x:v>
      </x:c>
      <x:c r="J222" s="432" t="n">
        <x:f>IF($O$44=0,0,PRODUCT(C222:I222))</x:f>
        <x:v>0</x:v>
      </x:c>
      <x:c r="K222" s="432" t="str">
        <x:f>IF(J222=1,SUM($J$48:J222),"")</x:f>
      </x:c>
      <x:c r="L222" s="432"/>
      <x:c r="M222" s="432"/>
      <x:c r="N222" s="432" t="str">
        <x:f>IF('Clients'!A180="","",'Clients'!A180)</x:f>
      </x:c>
      <x:c r="O222" s="432" t="n">
        <x:f>IF(N222="",0,IF($B$6="",1,IF(ISNUMBER(SEARCH($B$6,'Clients'!A180&amp;" "&amp;'Clients'!B180&amp;" "&amp;'Clients'!C180&amp;" "&amp;'Clients'!D180)),1,0)))</x:f>
        <x:v>0</x:v>
      </x:c>
      <x:c r="P222" s="432" t="str">
        <x:f>IF(O222=1,SUM($O$48:O222),"")</x:f>
      </x:c>
      <x:c r="Q222" s="432"/>
    </x:row>
    <x:row r="223" ht="25" customHeight="1">
      <x:c r="A223" s="432"/>
      <x:c r="B223" s="432" t="str">
        <x:f>IF('Properties'!A181="","",'Properties'!A181)</x:f>
      </x:c>
      <x:c r="C223" s="432" t="n">
        <x:f>IF(AND(B223&lt;&gt;"",'Properties'!M181="Available"),1,0)</x:f>
        <x:v>0</x:v>
      </x:c>
      <x:c r="D223" s="432" t="n">
        <x:f>IF($M$13="Buy",IF('Properties'!D181="Sale",1,0),IF($M$13="Rent",IF('Properties'!D181="Rental",1,0),0))</x:f>
        <x:v>0</x:v>
      </x:c>
      <x:c r="E223" s="432" t="n">
        <x:f>IF(AND(ISNUMBER('Properties'!L181),'Properties'!L181&gt;0,ISNUMBER($M$18),$M$18&gt;0,'Properties'!L181&lt;=$M$18,OR(NOT(ISNUMBER($M$17)),'Properties'!L181&gt;=$M$17)),1,0)</x:f>
        <x:v>0</x:v>
      </x:c>
      <x:c r="F223" s="432" t="n">
        <x:f>IF($M$14="",1,IF('Properties'!E181=$M$14,1,0))</x:f>
        <x:v>1</x:v>
      </x:c>
      <x:c r="G223" s="432" t="n">
        <x:f>IF($M$15="",1,IF('Properties'!I181=$M$15,1,0))</x:f>
        <x:v>1</x:v>
      </x:c>
      <x:c r="H223" s="432" t="n">
        <x:f>IF(NOT(ISNUMBER($M$16)),1,IF(AND(ISNUMBER('Properties'!J181),'Properties'!J181=$M$16),1,0))</x:f>
        <x:v>1</x:v>
      </x:c>
      <x:c r="I223" s="432" t="n">
        <x:f>IF($M$19="",1,IF('Properties'!F181="",0,IF(ISNUMBER(SEARCH(","&amp;TRIM('Properties'!F181)&amp;",",","&amp;SUBSTITUTE(TRIM($M$19),", ",",")&amp;",")),1,0)))</x:f>
        <x:v>1</x:v>
      </x:c>
      <x:c r="J223" s="432" t="n">
        <x:f>IF($O$44=0,0,PRODUCT(C223:I223))</x:f>
        <x:v>0</x:v>
      </x:c>
      <x:c r="K223" s="432" t="str">
        <x:f>IF(J223=1,SUM($J$48:J223),"")</x:f>
      </x:c>
      <x:c r="L223" s="432"/>
      <x:c r="M223" s="432"/>
      <x:c r="N223" s="432" t="str">
        <x:f>IF('Clients'!A181="","",'Clients'!A181)</x:f>
      </x:c>
      <x:c r="O223" s="432" t="n">
        <x:f>IF(N223="",0,IF($B$6="",1,IF(ISNUMBER(SEARCH($B$6,'Clients'!A181&amp;" "&amp;'Clients'!B181&amp;" "&amp;'Clients'!C181&amp;" "&amp;'Clients'!D181)),1,0)))</x:f>
        <x:v>0</x:v>
      </x:c>
      <x:c r="P223" s="432" t="str">
        <x:f>IF(O223=1,SUM($O$48:O223),"")</x:f>
      </x:c>
      <x:c r="Q223" s="432"/>
    </x:row>
    <x:row r="224" ht="25" customHeight="1">
      <x:c r="A224" s="432"/>
      <x:c r="B224" s="432" t="str">
        <x:f>IF('Properties'!A182="","",'Properties'!A182)</x:f>
      </x:c>
      <x:c r="C224" s="432" t="n">
        <x:f>IF(AND(B224&lt;&gt;"",'Properties'!M182="Available"),1,0)</x:f>
        <x:v>0</x:v>
      </x:c>
      <x:c r="D224" s="432" t="n">
        <x:f>IF($M$13="Buy",IF('Properties'!D182="Sale",1,0),IF($M$13="Rent",IF('Properties'!D182="Rental",1,0),0))</x:f>
        <x:v>0</x:v>
      </x:c>
      <x:c r="E224" s="432" t="n">
        <x:f>IF(AND(ISNUMBER('Properties'!L182),'Properties'!L182&gt;0,ISNUMBER($M$18),$M$18&gt;0,'Properties'!L182&lt;=$M$18,OR(NOT(ISNUMBER($M$17)),'Properties'!L182&gt;=$M$17)),1,0)</x:f>
        <x:v>0</x:v>
      </x:c>
      <x:c r="F224" s="432" t="n">
        <x:f>IF($M$14="",1,IF('Properties'!E182=$M$14,1,0))</x:f>
        <x:v>1</x:v>
      </x:c>
      <x:c r="G224" s="432" t="n">
        <x:f>IF($M$15="",1,IF('Properties'!I182=$M$15,1,0))</x:f>
        <x:v>1</x:v>
      </x:c>
      <x:c r="H224" s="432" t="n">
        <x:f>IF(NOT(ISNUMBER($M$16)),1,IF(AND(ISNUMBER('Properties'!J182),'Properties'!J182=$M$16),1,0))</x:f>
        <x:v>1</x:v>
      </x:c>
      <x:c r="I224" s="432" t="n">
        <x:f>IF($M$19="",1,IF('Properties'!F182="",0,IF(ISNUMBER(SEARCH(","&amp;TRIM('Properties'!F182)&amp;",",","&amp;SUBSTITUTE(TRIM($M$19),", ",",")&amp;",")),1,0)))</x:f>
        <x:v>1</x:v>
      </x:c>
      <x:c r="J224" s="432" t="n">
        <x:f>IF($O$44=0,0,PRODUCT(C224:I224))</x:f>
        <x:v>0</x:v>
      </x:c>
      <x:c r="K224" s="432" t="str">
        <x:f>IF(J224=1,SUM($J$48:J224),"")</x:f>
      </x:c>
      <x:c r="L224" s="432"/>
      <x:c r="M224" s="432"/>
      <x:c r="N224" s="432" t="str">
        <x:f>IF('Clients'!A182="","",'Clients'!A182)</x:f>
      </x:c>
      <x:c r="O224" s="432" t="n">
        <x:f>IF(N224="",0,IF($B$6="",1,IF(ISNUMBER(SEARCH($B$6,'Clients'!A182&amp;" "&amp;'Clients'!B182&amp;" "&amp;'Clients'!C182&amp;" "&amp;'Clients'!D182)),1,0)))</x:f>
        <x:v>0</x:v>
      </x:c>
      <x:c r="P224" s="432" t="str">
        <x:f>IF(O224=1,SUM($O$48:O224),"")</x:f>
      </x:c>
      <x:c r="Q224" s="432"/>
    </x:row>
    <x:row r="225" ht="25" customHeight="1">
      <x:c r="A225" s="432"/>
      <x:c r="B225" s="432" t="str">
        <x:f>IF('Properties'!A183="","",'Properties'!A183)</x:f>
      </x:c>
      <x:c r="C225" s="432" t="n">
        <x:f>IF(AND(B225&lt;&gt;"",'Properties'!M183="Available"),1,0)</x:f>
        <x:v>0</x:v>
      </x:c>
      <x:c r="D225" s="432" t="n">
        <x:f>IF($M$13="Buy",IF('Properties'!D183="Sale",1,0),IF($M$13="Rent",IF('Properties'!D183="Rental",1,0),0))</x:f>
        <x:v>0</x:v>
      </x:c>
      <x:c r="E225" s="432" t="n">
        <x:f>IF(AND(ISNUMBER('Properties'!L183),'Properties'!L183&gt;0,ISNUMBER($M$18),$M$18&gt;0,'Properties'!L183&lt;=$M$18,OR(NOT(ISNUMBER($M$17)),'Properties'!L183&gt;=$M$17)),1,0)</x:f>
        <x:v>0</x:v>
      </x:c>
      <x:c r="F225" s="432" t="n">
        <x:f>IF($M$14="",1,IF('Properties'!E183=$M$14,1,0))</x:f>
        <x:v>1</x:v>
      </x:c>
      <x:c r="G225" s="432" t="n">
        <x:f>IF($M$15="",1,IF('Properties'!I183=$M$15,1,0))</x:f>
        <x:v>1</x:v>
      </x:c>
      <x:c r="H225" s="432" t="n">
        <x:f>IF(NOT(ISNUMBER($M$16)),1,IF(AND(ISNUMBER('Properties'!J183),'Properties'!J183=$M$16),1,0))</x:f>
        <x:v>1</x:v>
      </x:c>
      <x:c r="I225" s="432" t="n">
        <x:f>IF($M$19="",1,IF('Properties'!F183="",0,IF(ISNUMBER(SEARCH(","&amp;TRIM('Properties'!F183)&amp;",",","&amp;SUBSTITUTE(TRIM($M$19),", ",",")&amp;",")),1,0)))</x:f>
        <x:v>1</x:v>
      </x:c>
      <x:c r="J225" s="432" t="n">
        <x:f>IF($O$44=0,0,PRODUCT(C225:I225))</x:f>
        <x:v>0</x:v>
      </x:c>
      <x:c r="K225" s="432" t="str">
        <x:f>IF(J225=1,SUM($J$48:J225),"")</x:f>
      </x:c>
      <x:c r="L225" s="432"/>
      <x:c r="M225" s="432"/>
      <x:c r="N225" s="432" t="str">
        <x:f>IF('Clients'!A183="","",'Clients'!A183)</x:f>
      </x:c>
      <x:c r="O225" s="432" t="n">
        <x:f>IF(N225="",0,IF($B$6="",1,IF(ISNUMBER(SEARCH($B$6,'Clients'!A183&amp;" "&amp;'Clients'!B183&amp;" "&amp;'Clients'!C183&amp;" "&amp;'Clients'!D183)),1,0)))</x:f>
        <x:v>0</x:v>
      </x:c>
      <x:c r="P225" s="432" t="str">
        <x:f>IF(O225=1,SUM($O$48:O225),"")</x:f>
      </x:c>
      <x:c r="Q225" s="432"/>
    </x:row>
    <x:row r="226" ht="25" customHeight="1">
      <x:c r="A226" s="432"/>
      <x:c r="B226" s="432" t="str">
        <x:f>IF('Properties'!A184="","",'Properties'!A184)</x:f>
      </x:c>
      <x:c r="C226" s="432" t="n">
        <x:f>IF(AND(B226&lt;&gt;"",'Properties'!M184="Available"),1,0)</x:f>
        <x:v>0</x:v>
      </x:c>
      <x:c r="D226" s="432" t="n">
        <x:f>IF($M$13="Buy",IF('Properties'!D184="Sale",1,0),IF($M$13="Rent",IF('Properties'!D184="Rental",1,0),0))</x:f>
        <x:v>0</x:v>
      </x:c>
      <x:c r="E226" s="432" t="n">
        <x:f>IF(AND(ISNUMBER('Properties'!L184),'Properties'!L184&gt;0,ISNUMBER($M$18),$M$18&gt;0,'Properties'!L184&lt;=$M$18,OR(NOT(ISNUMBER($M$17)),'Properties'!L184&gt;=$M$17)),1,0)</x:f>
        <x:v>0</x:v>
      </x:c>
      <x:c r="F226" s="432" t="n">
        <x:f>IF($M$14="",1,IF('Properties'!E184=$M$14,1,0))</x:f>
        <x:v>1</x:v>
      </x:c>
      <x:c r="G226" s="432" t="n">
        <x:f>IF($M$15="",1,IF('Properties'!I184=$M$15,1,0))</x:f>
        <x:v>1</x:v>
      </x:c>
      <x:c r="H226" s="432" t="n">
        <x:f>IF(NOT(ISNUMBER($M$16)),1,IF(AND(ISNUMBER('Properties'!J184),'Properties'!J184=$M$16),1,0))</x:f>
        <x:v>1</x:v>
      </x:c>
      <x:c r="I226" s="432" t="n">
        <x:f>IF($M$19="",1,IF('Properties'!F184="",0,IF(ISNUMBER(SEARCH(","&amp;TRIM('Properties'!F184)&amp;",",","&amp;SUBSTITUTE(TRIM($M$19),", ",",")&amp;",")),1,0)))</x:f>
        <x:v>1</x:v>
      </x:c>
      <x:c r="J226" s="432" t="n">
        <x:f>IF($O$44=0,0,PRODUCT(C226:I226))</x:f>
        <x:v>0</x:v>
      </x:c>
      <x:c r="K226" s="432" t="str">
        <x:f>IF(J226=1,SUM($J$48:J226),"")</x:f>
      </x:c>
      <x:c r="L226" s="432"/>
      <x:c r="M226" s="432"/>
      <x:c r="N226" s="432" t="str">
        <x:f>IF('Clients'!A184="","",'Clients'!A184)</x:f>
      </x:c>
      <x:c r="O226" s="432" t="n">
        <x:f>IF(N226="",0,IF($B$6="",1,IF(ISNUMBER(SEARCH($B$6,'Clients'!A184&amp;" "&amp;'Clients'!B184&amp;" "&amp;'Clients'!C184&amp;" "&amp;'Clients'!D184)),1,0)))</x:f>
        <x:v>0</x:v>
      </x:c>
      <x:c r="P226" s="432" t="str">
        <x:f>IF(O226=1,SUM($O$48:O226),"")</x:f>
      </x:c>
      <x:c r="Q226" s="432"/>
    </x:row>
    <x:row r="227" ht="25" customHeight="1">
      <x:c r="A227" s="432"/>
      <x:c r="B227" s="432" t="str">
        <x:f>IF('Properties'!A185="","",'Properties'!A185)</x:f>
      </x:c>
      <x:c r="C227" s="432" t="n">
        <x:f>IF(AND(B227&lt;&gt;"",'Properties'!M185="Available"),1,0)</x:f>
        <x:v>0</x:v>
      </x:c>
      <x:c r="D227" s="432" t="n">
        <x:f>IF($M$13="Buy",IF('Properties'!D185="Sale",1,0),IF($M$13="Rent",IF('Properties'!D185="Rental",1,0),0))</x:f>
        <x:v>0</x:v>
      </x:c>
      <x:c r="E227" s="432" t="n">
        <x:f>IF(AND(ISNUMBER('Properties'!L185),'Properties'!L185&gt;0,ISNUMBER($M$18),$M$18&gt;0,'Properties'!L185&lt;=$M$18,OR(NOT(ISNUMBER($M$17)),'Properties'!L185&gt;=$M$17)),1,0)</x:f>
        <x:v>0</x:v>
      </x:c>
      <x:c r="F227" s="432" t="n">
        <x:f>IF($M$14="",1,IF('Properties'!E185=$M$14,1,0))</x:f>
        <x:v>1</x:v>
      </x:c>
      <x:c r="G227" s="432" t="n">
        <x:f>IF($M$15="",1,IF('Properties'!I185=$M$15,1,0))</x:f>
        <x:v>1</x:v>
      </x:c>
      <x:c r="H227" s="432" t="n">
        <x:f>IF(NOT(ISNUMBER($M$16)),1,IF(AND(ISNUMBER('Properties'!J185),'Properties'!J185=$M$16),1,0))</x:f>
        <x:v>1</x:v>
      </x:c>
      <x:c r="I227" s="432" t="n">
        <x:f>IF($M$19="",1,IF('Properties'!F185="",0,IF(ISNUMBER(SEARCH(","&amp;TRIM('Properties'!F185)&amp;",",","&amp;SUBSTITUTE(TRIM($M$19),", ",",")&amp;",")),1,0)))</x:f>
        <x:v>1</x:v>
      </x:c>
      <x:c r="J227" s="432" t="n">
        <x:f>IF($O$44=0,0,PRODUCT(C227:I227))</x:f>
        <x:v>0</x:v>
      </x:c>
      <x:c r="K227" s="432" t="str">
        <x:f>IF(J227=1,SUM($J$48:J227),"")</x:f>
      </x:c>
      <x:c r="L227" s="432"/>
      <x:c r="M227" s="432"/>
      <x:c r="N227" s="432" t="str">
        <x:f>IF('Clients'!A185="","",'Clients'!A185)</x:f>
      </x:c>
      <x:c r="O227" s="432" t="n">
        <x:f>IF(N227="",0,IF($B$6="",1,IF(ISNUMBER(SEARCH($B$6,'Clients'!A185&amp;" "&amp;'Clients'!B185&amp;" "&amp;'Clients'!C185&amp;" "&amp;'Clients'!D185)),1,0)))</x:f>
        <x:v>0</x:v>
      </x:c>
      <x:c r="P227" s="432" t="str">
        <x:f>IF(O227=1,SUM($O$48:O227),"")</x:f>
      </x:c>
      <x:c r="Q227" s="432"/>
    </x:row>
    <x:row r="228" ht="25" customHeight="1">
      <x:c r="A228" s="432"/>
      <x:c r="B228" s="432" t="str">
        <x:f>IF('Properties'!A186="","",'Properties'!A186)</x:f>
      </x:c>
      <x:c r="C228" s="432" t="n">
        <x:f>IF(AND(B228&lt;&gt;"",'Properties'!M186="Available"),1,0)</x:f>
        <x:v>0</x:v>
      </x:c>
      <x:c r="D228" s="432" t="n">
        <x:f>IF($M$13="Buy",IF('Properties'!D186="Sale",1,0),IF($M$13="Rent",IF('Properties'!D186="Rental",1,0),0))</x:f>
        <x:v>0</x:v>
      </x:c>
      <x:c r="E228" s="432" t="n">
        <x:f>IF(AND(ISNUMBER('Properties'!L186),'Properties'!L186&gt;0,ISNUMBER($M$18),$M$18&gt;0,'Properties'!L186&lt;=$M$18,OR(NOT(ISNUMBER($M$17)),'Properties'!L186&gt;=$M$17)),1,0)</x:f>
        <x:v>0</x:v>
      </x:c>
      <x:c r="F228" s="432" t="n">
        <x:f>IF($M$14="",1,IF('Properties'!E186=$M$14,1,0))</x:f>
        <x:v>1</x:v>
      </x:c>
      <x:c r="G228" s="432" t="n">
        <x:f>IF($M$15="",1,IF('Properties'!I186=$M$15,1,0))</x:f>
        <x:v>1</x:v>
      </x:c>
      <x:c r="H228" s="432" t="n">
        <x:f>IF(NOT(ISNUMBER($M$16)),1,IF(AND(ISNUMBER('Properties'!J186),'Properties'!J186=$M$16),1,0))</x:f>
        <x:v>1</x:v>
      </x:c>
      <x:c r="I228" s="432" t="n">
        <x:f>IF($M$19="",1,IF('Properties'!F186="",0,IF(ISNUMBER(SEARCH(","&amp;TRIM('Properties'!F186)&amp;",",","&amp;SUBSTITUTE(TRIM($M$19),", ",",")&amp;",")),1,0)))</x:f>
        <x:v>1</x:v>
      </x:c>
      <x:c r="J228" s="432" t="n">
        <x:f>IF($O$44=0,0,PRODUCT(C228:I228))</x:f>
        <x:v>0</x:v>
      </x:c>
      <x:c r="K228" s="432" t="str">
        <x:f>IF(J228=1,SUM($J$48:J228),"")</x:f>
      </x:c>
      <x:c r="L228" s="432"/>
      <x:c r="M228" s="432"/>
      <x:c r="N228" s="432" t="str">
        <x:f>IF('Clients'!A186="","",'Clients'!A186)</x:f>
      </x:c>
      <x:c r="O228" s="432" t="n">
        <x:f>IF(N228="",0,IF($B$6="",1,IF(ISNUMBER(SEARCH($B$6,'Clients'!A186&amp;" "&amp;'Clients'!B186&amp;" "&amp;'Clients'!C186&amp;" "&amp;'Clients'!D186)),1,0)))</x:f>
        <x:v>0</x:v>
      </x:c>
      <x:c r="P228" s="432" t="str">
        <x:f>IF(O228=1,SUM($O$48:O228),"")</x:f>
      </x:c>
      <x:c r="Q228" s="432"/>
    </x:row>
    <x:row r="229" ht="25" customHeight="1">
      <x:c r="A229" s="432"/>
      <x:c r="B229" s="432" t="str">
        <x:f>IF('Properties'!A187="","",'Properties'!A187)</x:f>
      </x:c>
      <x:c r="C229" s="432" t="n">
        <x:f>IF(AND(B229&lt;&gt;"",'Properties'!M187="Available"),1,0)</x:f>
        <x:v>0</x:v>
      </x:c>
      <x:c r="D229" s="432" t="n">
        <x:f>IF($M$13="Buy",IF('Properties'!D187="Sale",1,0),IF($M$13="Rent",IF('Properties'!D187="Rental",1,0),0))</x:f>
        <x:v>0</x:v>
      </x:c>
      <x:c r="E229" s="432" t="n">
        <x:f>IF(AND(ISNUMBER('Properties'!L187),'Properties'!L187&gt;0,ISNUMBER($M$18),$M$18&gt;0,'Properties'!L187&lt;=$M$18,OR(NOT(ISNUMBER($M$17)),'Properties'!L187&gt;=$M$17)),1,0)</x:f>
        <x:v>0</x:v>
      </x:c>
      <x:c r="F229" s="432" t="n">
        <x:f>IF($M$14="",1,IF('Properties'!E187=$M$14,1,0))</x:f>
        <x:v>1</x:v>
      </x:c>
      <x:c r="G229" s="432" t="n">
        <x:f>IF($M$15="",1,IF('Properties'!I187=$M$15,1,0))</x:f>
        <x:v>1</x:v>
      </x:c>
      <x:c r="H229" s="432" t="n">
        <x:f>IF(NOT(ISNUMBER($M$16)),1,IF(AND(ISNUMBER('Properties'!J187),'Properties'!J187=$M$16),1,0))</x:f>
        <x:v>1</x:v>
      </x:c>
      <x:c r="I229" s="432" t="n">
        <x:f>IF($M$19="",1,IF('Properties'!F187="",0,IF(ISNUMBER(SEARCH(","&amp;TRIM('Properties'!F187)&amp;",",","&amp;SUBSTITUTE(TRIM($M$19),", ",",")&amp;",")),1,0)))</x:f>
        <x:v>1</x:v>
      </x:c>
      <x:c r="J229" s="432" t="n">
        <x:f>IF($O$44=0,0,PRODUCT(C229:I229))</x:f>
        <x:v>0</x:v>
      </x:c>
      <x:c r="K229" s="432" t="str">
        <x:f>IF(J229=1,SUM($J$48:J229),"")</x:f>
      </x:c>
      <x:c r="L229" s="432"/>
      <x:c r="M229" s="432"/>
      <x:c r="N229" s="432" t="str">
        <x:f>IF('Clients'!A187="","",'Clients'!A187)</x:f>
      </x:c>
      <x:c r="O229" s="432" t="n">
        <x:f>IF(N229="",0,IF($B$6="",1,IF(ISNUMBER(SEARCH($B$6,'Clients'!A187&amp;" "&amp;'Clients'!B187&amp;" "&amp;'Clients'!C187&amp;" "&amp;'Clients'!D187)),1,0)))</x:f>
        <x:v>0</x:v>
      </x:c>
      <x:c r="P229" s="432" t="str">
        <x:f>IF(O229=1,SUM($O$48:O229),"")</x:f>
      </x:c>
      <x:c r="Q229" s="432"/>
    </x:row>
    <x:row r="230" ht="25" customHeight="1">
      <x:c r="A230" s="432"/>
      <x:c r="B230" s="432" t="str">
        <x:f>IF('Properties'!A188="","",'Properties'!A188)</x:f>
      </x:c>
      <x:c r="C230" s="432" t="n">
        <x:f>IF(AND(B230&lt;&gt;"",'Properties'!M188="Available"),1,0)</x:f>
        <x:v>0</x:v>
      </x:c>
      <x:c r="D230" s="432" t="n">
        <x:f>IF($M$13="Buy",IF('Properties'!D188="Sale",1,0),IF($M$13="Rent",IF('Properties'!D188="Rental",1,0),0))</x:f>
        <x:v>0</x:v>
      </x:c>
      <x:c r="E230" s="432" t="n">
        <x:f>IF(AND(ISNUMBER('Properties'!L188),'Properties'!L188&gt;0,ISNUMBER($M$18),$M$18&gt;0,'Properties'!L188&lt;=$M$18,OR(NOT(ISNUMBER($M$17)),'Properties'!L188&gt;=$M$17)),1,0)</x:f>
        <x:v>0</x:v>
      </x:c>
      <x:c r="F230" s="432" t="n">
        <x:f>IF($M$14="",1,IF('Properties'!E188=$M$14,1,0))</x:f>
        <x:v>1</x:v>
      </x:c>
      <x:c r="G230" s="432" t="n">
        <x:f>IF($M$15="",1,IF('Properties'!I188=$M$15,1,0))</x:f>
        <x:v>1</x:v>
      </x:c>
      <x:c r="H230" s="432" t="n">
        <x:f>IF(NOT(ISNUMBER($M$16)),1,IF(AND(ISNUMBER('Properties'!J188),'Properties'!J188=$M$16),1,0))</x:f>
        <x:v>1</x:v>
      </x:c>
      <x:c r="I230" s="432" t="n">
        <x:f>IF($M$19="",1,IF('Properties'!F188="",0,IF(ISNUMBER(SEARCH(","&amp;TRIM('Properties'!F188)&amp;",",","&amp;SUBSTITUTE(TRIM($M$19),", ",",")&amp;",")),1,0)))</x:f>
        <x:v>1</x:v>
      </x:c>
      <x:c r="J230" s="432" t="n">
        <x:f>IF($O$44=0,0,PRODUCT(C230:I230))</x:f>
        <x:v>0</x:v>
      </x:c>
      <x:c r="K230" s="432" t="str">
        <x:f>IF(J230=1,SUM($J$48:J230),"")</x:f>
      </x:c>
      <x:c r="L230" s="432"/>
      <x:c r="M230" s="432"/>
      <x:c r="N230" s="432" t="str">
        <x:f>IF('Clients'!A188="","",'Clients'!A188)</x:f>
      </x:c>
      <x:c r="O230" s="432" t="n">
        <x:f>IF(N230="",0,IF($B$6="",1,IF(ISNUMBER(SEARCH($B$6,'Clients'!A188&amp;" "&amp;'Clients'!B188&amp;" "&amp;'Clients'!C188&amp;" "&amp;'Clients'!D188)),1,0)))</x:f>
        <x:v>0</x:v>
      </x:c>
      <x:c r="P230" s="432" t="str">
        <x:f>IF(O230=1,SUM($O$48:O230),"")</x:f>
      </x:c>
      <x:c r="Q230" s="432"/>
    </x:row>
    <x:row r="231" ht="25" customHeight="1">
      <x:c r="A231" s="432"/>
      <x:c r="B231" s="432" t="str">
        <x:f>IF('Properties'!A189="","",'Properties'!A189)</x:f>
      </x:c>
      <x:c r="C231" s="432" t="n">
        <x:f>IF(AND(B231&lt;&gt;"",'Properties'!M189="Available"),1,0)</x:f>
        <x:v>0</x:v>
      </x:c>
      <x:c r="D231" s="432" t="n">
        <x:f>IF($M$13="Buy",IF('Properties'!D189="Sale",1,0),IF($M$13="Rent",IF('Properties'!D189="Rental",1,0),0))</x:f>
        <x:v>0</x:v>
      </x:c>
      <x:c r="E231" s="432" t="n">
        <x:f>IF(AND(ISNUMBER('Properties'!L189),'Properties'!L189&gt;0,ISNUMBER($M$18),$M$18&gt;0,'Properties'!L189&lt;=$M$18,OR(NOT(ISNUMBER($M$17)),'Properties'!L189&gt;=$M$17)),1,0)</x:f>
        <x:v>0</x:v>
      </x:c>
      <x:c r="F231" s="432" t="n">
        <x:f>IF($M$14="",1,IF('Properties'!E189=$M$14,1,0))</x:f>
        <x:v>1</x:v>
      </x:c>
      <x:c r="G231" s="432" t="n">
        <x:f>IF($M$15="",1,IF('Properties'!I189=$M$15,1,0))</x:f>
        <x:v>1</x:v>
      </x:c>
      <x:c r="H231" s="432" t="n">
        <x:f>IF(NOT(ISNUMBER($M$16)),1,IF(AND(ISNUMBER('Properties'!J189),'Properties'!J189=$M$16),1,0))</x:f>
        <x:v>1</x:v>
      </x:c>
      <x:c r="I231" s="432" t="n">
        <x:f>IF($M$19="",1,IF('Properties'!F189="",0,IF(ISNUMBER(SEARCH(","&amp;TRIM('Properties'!F189)&amp;",",","&amp;SUBSTITUTE(TRIM($M$19),", ",",")&amp;",")),1,0)))</x:f>
        <x:v>1</x:v>
      </x:c>
      <x:c r="J231" s="432" t="n">
        <x:f>IF($O$44=0,0,PRODUCT(C231:I231))</x:f>
        <x:v>0</x:v>
      </x:c>
      <x:c r="K231" s="432" t="str">
        <x:f>IF(J231=1,SUM($J$48:J231),"")</x:f>
      </x:c>
      <x:c r="L231" s="432"/>
      <x:c r="M231" s="432"/>
      <x:c r="N231" s="432" t="str">
        <x:f>IF('Clients'!A189="","",'Clients'!A189)</x:f>
      </x:c>
      <x:c r="O231" s="432" t="n">
        <x:f>IF(N231="",0,IF($B$6="",1,IF(ISNUMBER(SEARCH($B$6,'Clients'!A189&amp;" "&amp;'Clients'!B189&amp;" "&amp;'Clients'!C189&amp;" "&amp;'Clients'!D189)),1,0)))</x:f>
        <x:v>0</x:v>
      </x:c>
      <x:c r="P231" s="432" t="str">
        <x:f>IF(O231=1,SUM($O$48:O231),"")</x:f>
      </x:c>
      <x:c r="Q231" s="432"/>
    </x:row>
    <x:row r="232" ht="25" customHeight="1">
      <x:c r="A232" s="432"/>
      <x:c r="B232" s="432" t="str">
        <x:f>IF('Properties'!A190="","",'Properties'!A190)</x:f>
      </x:c>
      <x:c r="C232" s="432" t="n">
        <x:f>IF(AND(B232&lt;&gt;"",'Properties'!M190="Available"),1,0)</x:f>
        <x:v>0</x:v>
      </x:c>
      <x:c r="D232" s="432" t="n">
        <x:f>IF($M$13="Buy",IF('Properties'!D190="Sale",1,0),IF($M$13="Rent",IF('Properties'!D190="Rental",1,0),0))</x:f>
        <x:v>0</x:v>
      </x:c>
      <x:c r="E232" s="432" t="n">
        <x:f>IF(AND(ISNUMBER('Properties'!L190),'Properties'!L190&gt;0,ISNUMBER($M$18),$M$18&gt;0,'Properties'!L190&lt;=$M$18,OR(NOT(ISNUMBER($M$17)),'Properties'!L190&gt;=$M$17)),1,0)</x:f>
        <x:v>0</x:v>
      </x:c>
      <x:c r="F232" s="432" t="n">
        <x:f>IF($M$14="",1,IF('Properties'!E190=$M$14,1,0))</x:f>
        <x:v>1</x:v>
      </x:c>
      <x:c r="G232" s="432" t="n">
        <x:f>IF($M$15="",1,IF('Properties'!I190=$M$15,1,0))</x:f>
        <x:v>1</x:v>
      </x:c>
      <x:c r="H232" s="432" t="n">
        <x:f>IF(NOT(ISNUMBER($M$16)),1,IF(AND(ISNUMBER('Properties'!J190),'Properties'!J190=$M$16),1,0))</x:f>
        <x:v>1</x:v>
      </x:c>
      <x:c r="I232" s="432" t="n">
        <x:f>IF($M$19="",1,IF('Properties'!F190="",0,IF(ISNUMBER(SEARCH(","&amp;TRIM('Properties'!F190)&amp;",",","&amp;SUBSTITUTE(TRIM($M$19),", ",",")&amp;",")),1,0)))</x:f>
        <x:v>1</x:v>
      </x:c>
      <x:c r="J232" s="432" t="n">
        <x:f>IF($O$44=0,0,PRODUCT(C232:I232))</x:f>
        <x:v>0</x:v>
      </x:c>
      <x:c r="K232" s="432" t="str">
        <x:f>IF(J232=1,SUM($J$48:J232),"")</x:f>
      </x:c>
      <x:c r="L232" s="432"/>
      <x:c r="M232" s="432"/>
      <x:c r="N232" s="432" t="str">
        <x:f>IF('Clients'!A190="","",'Clients'!A190)</x:f>
      </x:c>
      <x:c r="O232" s="432" t="n">
        <x:f>IF(N232="",0,IF($B$6="",1,IF(ISNUMBER(SEARCH($B$6,'Clients'!A190&amp;" "&amp;'Clients'!B190&amp;" "&amp;'Clients'!C190&amp;" "&amp;'Clients'!D190)),1,0)))</x:f>
        <x:v>0</x:v>
      </x:c>
      <x:c r="P232" s="432" t="str">
        <x:f>IF(O232=1,SUM($O$48:O232),"")</x:f>
      </x:c>
      <x:c r="Q232" s="432"/>
    </x:row>
    <x:row r="233" ht="25" customHeight="1">
      <x:c r="A233" s="432"/>
      <x:c r="B233" s="432" t="str">
        <x:f>IF('Properties'!A191="","",'Properties'!A191)</x:f>
      </x:c>
      <x:c r="C233" s="432" t="n">
        <x:f>IF(AND(B233&lt;&gt;"",'Properties'!M191="Available"),1,0)</x:f>
        <x:v>0</x:v>
      </x:c>
      <x:c r="D233" s="432" t="n">
        <x:f>IF($M$13="Buy",IF('Properties'!D191="Sale",1,0),IF($M$13="Rent",IF('Properties'!D191="Rental",1,0),0))</x:f>
        <x:v>0</x:v>
      </x:c>
      <x:c r="E233" s="432" t="n">
        <x:f>IF(AND(ISNUMBER('Properties'!L191),'Properties'!L191&gt;0,ISNUMBER($M$18),$M$18&gt;0,'Properties'!L191&lt;=$M$18,OR(NOT(ISNUMBER($M$17)),'Properties'!L191&gt;=$M$17)),1,0)</x:f>
        <x:v>0</x:v>
      </x:c>
      <x:c r="F233" s="432" t="n">
        <x:f>IF($M$14="",1,IF('Properties'!E191=$M$14,1,0))</x:f>
        <x:v>1</x:v>
      </x:c>
      <x:c r="G233" s="432" t="n">
        <x:f>IF($M$15="",1,IF('Properties'!I191=$M$15,1,0))</x:f>
        <x:v>1</x:v>
      </x:c>
      <x:c r="H233" s="432" t="n">
        <x:f>IF(NOT(ISNUMBER($M$16)),1,IF(AND(ISNUMBER('Properties'!J191),'Properties'!J191=$M$16),1,0))</x:f>
        <x:v>1</x:v>
      </x:c>
      <x:c r="I233" s="432" t="n">
        <x:f>IF($M$19="",1,IF('Properties'!F191="",0,IF(ISNUMBER(SEARCH(","&amp;TRIM('Properties'!F191)&amp;",",","&amp;SUBSTITUTE(TRIM($M$19),", ",",")&amp;",")),1,0)))</x:f>
        <x:v>1</x:v>
      </x:c>
      <x:c r="J233" s="432" t="n">
        <x:f>IF($O$44=0,0,PRODUCT(C233:I233))</x:f>
        <x:v>0</x:v>
      </x:c>
      <x:c r="K233" s="432" t="str">
        <x:f>IF(J233=1,SUM($J$48:J233),"")</x:f>
      </x:c>
      <x:c r="L233" s="432"/>
      <x:c r="M233" s="432"/>
      <x:c r="N233" s="432" t="str">
        <x:f>IF('Clients'!A191="","",'Clients'!A191)</x:f>
      </x:c>
      <x:c r="O233" s="432" t="n">
        <x:f>IF(N233="",0,IF($B$6="",1,IF(ISNUMBER(SEARCH($B$6,'Clients'!A191&amp;" "&amp;'Clients'!B191&amp;" "&amp;'Clients'!C191&amp;" "&amp;'Clients'!D191)),1,0)))</x:f>
        <x:v>0</x:v>
      </x:c>
      <x:c r="P233" s="432" t="str">
        <x:f>IF(O233=1,SUM($O$48:O233),"")</x:f>
      </x:c>
      <x:c r="Q233" s="432"/>
    </x:row>
    <x:row r="234" ht="25" customHeight="1">
      <x:c r="A234" s="432"/>
      <x:c r="B234" s="432" t="str">
        <x:f>IF('Properties'!A192="","",'Properties'!A192)</x:f>
      </x:c>
      <x:c r="C234" s="432" t="n">
        <x:f>IF(AND(B234&lt;&gt;"",'Properties'!M192="Available"),1,0)</x:f>
        <x:v>0</x:v>
      </x:c>
      <x:c r="D234" s="432" t="n">
        <x:f>IF($M$13="Buy",IF('Properties'!D192="Sale",1,0),IF($M$13="Rent",IF('Properties'!D192="Rental",1,0),0))</x:f>
        <x:v>0</x:v>
      </x:c>
      <x:c r="E234" s="432" t="n">
        <x:f>IF(AND(ISNUMBER('Properties'!L192),'Properties'!L192&gt;0,ISNUMBER($M$18),$M$18&gt;0,'Properties'!L192&lt;=$M$18,OR(NOT(ISNUMBER($M$17)),'Properties'!L192&gt;=$M$17)),1,0)</x:f>
        <x:v>0</x:v>
      </x:c>
      <x:c r="F234" s="432" t="n">
        <x:f>IF($M$14="",1,IF('Properties'!E192=$M$14,1,0))</x:f>
        <x:v>1</x:v>
      </x:c>
      <x:c r="G234" s="432" t="n">
        <x:f>IF($M$15="",1,IF('Properties'!I192=$M$15,1,0))</x:f>
        <x:v>1</x:v>
      </x:c>
      <x:c r="H234" s="432" t="n">
        <x:f>IF(NOT(ISNUMBER($M$16)),1,IF(AND(ISNUMBER('Properties'!J192),'Properties'!J192=$M$16),1,0))</x:f>
        <x:v>1</x:v>
      </x:c>
      <x:c r="I234" s="432" t="n">
        <x:f>IF($M$19="",1,IF('Properties'!F192="",0,IF(ISNUMBER(SEARCH(","&amp;TRIM('Properties'!F192)&amp;",",","&amp;SUBSTITUTE(TRIM($M$19),", ",",")&amp;",")),1,0)))</x:f>
        <x:v>1</x:v>
      </x:c>
      <x:c r="J234" s="432" t="n">
        <x:f>IF($O$44=0,0,PRODUCT(C234:I234))</x:f>
        <x:v>0</x:v>
      </x:c>
      <x:c r="K234" s="432" t="str">
        <x:f>IF(J234=1,SUM($J$48:J234),"")</x:f>
      </x:c>
      <x:c r="L234" s="432"/>
      <x:c r="M234" s="432"/>
      <x:c r="N234" s="432" t="str">
        <x:f>IF('Clients'!A192="","",'Clients'!A192)</x:f>
      </x:c>
      <x:c r="O234" s="432" t="n">
        <x:f>IF(N234="",0,IF($B$6="",1,IF(ISNUMBER(SEARCH($B$6,'Clients'!A192&amp;" "&amp;'Clients'!B192&amp;" "&amp;'Clients'!C192&amp;" "&amp;'Clients'!D192)),1,0)))</x:f>
        <x:v>0</x:v>
      </x:c>
      <x:c r="P234" s="432" t="str">
        <x:f>IF(O234=1,SUM($O$48:O234),"")</x:f>
      </x:c>
      <x:c r="Q234" s="432"/>
    </x:row>
    <x:row r="235" ht="25" customHeight="1">
      <x:c r="A235" s="432"/>
      <x:c r="B235" s="432" t="str">
        <x:f>IF('Properties'!A193="","",'Properties'!A193)</x:f>
      </x:c>
      <x:c r="C235" s="432" t="n">
        <x:f>IF(AND(B235&lt;&gt;"",'Properties'!M193="Available"),1,0)</x:f>
        <x:v>0</x:v>
      </x:c>
      <x:c r="D235" s="432" t="n">
        <x:f>IF($M$13="Buy",IF('Properties'!D193="Sale",1,0),IF($M$13="Rent",IF('Properties'!D193="Rental",1,0),0))</x:f>
        <x:v>0</x:v>
      </x:c>
      <x:c r="E235" s="432" t="n">
        <x:f>IF(AND(ISNUMBER('Properties'!L193),'Properties'!L193&gt;0,ISNUMBER($M$18),$M$18&gt;0,'Properties'!L193&lt;=$M$18,OR(NOT(ISNUMBER($M$17)),'Properties'!L193&gt;=$M$17)),1,0)</x:f>
        <x:v>0</x:v>
      </x:c>
      <x:c r="F235" s="432" t="n">
        <x:f>IF($M$14="",1,IF('Properties'!E193=$M$14,1,0))</x:f>
        <x:v>1</x:v>
      </x:c>
      <x:c r="G235" s="432" t="n">
        <x:f>IF($M$15="",1,IF('Properties'!I193=$M$15,1,0))</x:f>
        <x:v>1</x:v>
      </x:c>
      <x:c r="H235" s="432" t="n">
        <x:f>IF(NOT(ISNUMBER($M$16)),1,IF(AND(ISNUMBER('Properties'!J193),'Properties'!J193=$M$16),1,0))</x:f>
        <x:v>1</x:v>
      </x:c>
      <x:c r="I235" s="432" t="n">
        <x:f>IF($M$19="",1,IF('Properties'!F193="",0,IF(ISNUMBER(SEARCH(","&amp;TRIM('Properties'!F193)&amp;",",","&amp;SUBSTITUTE(TRIM($M$19),", ",",")&amp;",")),1,0)))</x:f>
        <x:v>1</x:v>
      </x:c>
      <x:c r="J235" s="432" t="n">
        <x:f>IF($O$44=0,0,PRODUCT(C235:I235))</x:f>
        <x:v>0</x:v>
      </x:c>
      <x:c r="K235" s="432" t="str">
        <x:f>IF(J235=1,SUM($J$48:J235),"")</x:f>
      </x:c>
      <x:c r="L235" s="432"/>
      <x:c r="M235" s="432"/>
      <x:c r="N235" s="432" t="str">
        <x:f>IF('Clients'!A193="","",'Clients'!A193)</x:f>
      </x:c>
      <x:c r="O235" s="432" t="n">
        <x:f>IF(N235="",0,IF($B$6="",1,IF(ISNUMBER(SEARCH($B$6,'Clients'!A193&amp;" "&amp;'Clients'!B193&amp;" "&amp;'Clients'!C193&amp;" "&amp;'Clients'!D193)),1,0)))</x:f>
        <x:v>0</x:v>
      </x:c>
      <x:c r="P235" s="432" t="str">
        <x:f>IF(O235=1,SUM($O$48:O235),"")</x:f>
      </x:c>
      <x:c r="Q235" s="432"/>
    </x:row>
    <x:row r="236" ht="25" customHeight="1">
      <x:c r="A236" s="432"/>
      <x:c r="B236" s="432" t="str">
        <x:f>IF('Properties'!A194="","",'Properties'!A194)</x:f>
      </x:c>
      <x:c r="C236" s="432" t="n">
        <x:f>IF(AND(B236&lt;&gt;"",'Properties'!M194="Available"),1,0)</x:f>
        <x:v>0</x:v>
      </x:c>
      <x:c r="D236" s="432" t="n">
        <x:f>IF($M$13="Buy",IF('Properties'!D194="Sale",1,0),IF($M$13="Rent",IF('Properties'!D194="Rental",1,0),0))</x:f>
        <x:v>0</x:v>
      </x:c>
      <x:c r="E236" s="432" t="n">
        <x:f>IF(AND(ISNUMBER('Properties'!L194),'Properties'!L194&gt;0,ISNUMBER($M$18),$M$18&gt;0,'Properties'!L194&lt;=$M$18,OR(NOT(ISNUMBER($M$17)),'Properties'!L194&gt;=$M$17)),1,0)</x:f>
        <x:v>0</x:v>
      </x:c>
      <x:c r="F236" s="432" t="n">
        <x:f>IF($M$14="",1,IF('Properties'!E194=$M$14,1,0))</x:f>
        <x:v>1</x:v>
      </x:c>
      <x:c r="G236" s="432" t="n">
        <x:f>IF($M$15="",1,IF('Properties'!I194=$M$15,1,0))</x:f>
        <x:v>1</x:v>
      </x:c>
      <x:c r="H236" s="432" t="n">
        <x:f>IF(NOT(ISNUMBER($M$16)),1,IF(AND(ISNUMBER('Properties'!J194),'Properties'!J194=$M$16),1,0))</x:f>
        <x:v>1</x:v>
      </x:c>
      <x:c r="I236" s="432" t="n">
        <x:f>IF($M$19="",1,IF('Properties'!F194="",0,IF(ISNUMBER(SEARCH(","&amp;TRIM('Properties'!F194)&amp;",",","&amp;SUBSTITUTE(TRIM($M$19),", ",",")&amp;",")),1,0)))</x:f>
        <x:v>1</x:v>
      </x:c>
      <x:c r="J236" s="432" t="n">
        <x:f>IF($O$44=0,0,PRODUCT(C236:I236))</x:f>
        <x:v>0</x:v>
      </x:c>
      <x:c r="K236" s="432" t="str">
        <x:f>IF(J236=1,SUM($J$48:J236),"")</x:f>
      </x:c>
      <x:c r="L236" s="432"/>
      <x:c r="M236" s="432"/>
      <x:c r="N236" s="432" t="str">
        <x:f>IF('Clients'!A194="","",'Clients'!A194)</x:f>
      </x:c>
      <x:c r="O236" s="432" t="n">
        <x:f>IF(N236="",0,IF($B$6="",1,IF(ISNUMBER(SEARCH($B$6,'Clients'!A194&amp;" "&amp;'Clients'!B194&amp;" "&amp;'Clients'!C194&amp;" "&amp;'Clients'!D194)),1,0)))</x:f>
        <x:v>0</x:v>
      </x:c>
      <x:c r="P236" s="432" t="str">
        <x:f>IF(O236=1,SUM($O$48:O236),"")</x:f>
      </x:c>
      <x:c r="Q236" s="432"/>
    </x:row>
    <x:row r="237" ht="25" customHeight="1">
      <x:c r="A237" s="432"/>
      <x:c r="B237" s="432" t="str">
        <x:f>IF('Properties'!A195="","",'Properties'!A195)</x:f>
      </x:c>
      <x:c r="C237" s="432" t="n">
        <x:f>IF(AND(B237&lt;&gt;"",'Properties'!M195="Available"),1,0)</x:f>
        <x:v>0</x:v>
      </x:c>
      <x:c r="D237" s="432" t="n">
        <x:f>IF($M$13="Buy",IF('Properties'!D195="Sale",1,0),IF($M$13="Rent",IF('Properties'!D195="Rental",1,0),0))</x:f>
        <x:v>0</x:v>
      </x:c>
      <x:c r="E237" s="432" t="n">
        <x:f>IF(AND(ISNUMBER('Properties'!L195),'Properties'!L195&gt;0,ISNUMBER($M$18),$M$18&gt;0,'Properties'!L195&lt;=$M$18,OR(NOT(ISNUMBER($M$17)),'Properties'!L195&gt;=$M$17)),1,0)</x:f>
        <x:v>0</x:v>
      </x:c>
      <x:c r="F237" s="432" t="n">
        <x:f>IF($M$14="",1,IF('Properties'!E195=$M$14,1,0))</x:f>
        <x:v>1</x:v>
      </x:c>
      <x:c r="G237" s="432" t="n">
        <x:f>IF($M$15="",1,IF('Properties'!I195=$M$15,1,0))</x:f>
        <x:v>1</x:v>
      </x:c>
      <x:c r="H237" s="432" t="n">
        <x:f>IF(NOT(ISNUMBER($M$16)),1,IF(AND(ISNUMBER('Properties'!J195),'Properties'!J195=$M$16),1,0))</x:f>
        <x:v>1</x:v>
      </x:c>
      <x:c r="I237" s="432" t="n">
        <x:f>IF($M$19="",1,IF('Properties'!F195="",0,IF(ISNUMBER(SEARCH(","&amp;TRIM('Properties'!F195)&amp;",",","&amp;SUBSTITUTE(TRIM($M$19),", ",",")&amp;",")),1,0)))</x:f>
        <x:v>1</x:v>
      </x:c>
      <x:c r="J237" s="432" t="n">
        <x:f>IF($O$44=0,0,PRODUCT(C237:I237))</x:f>
        <x:v>0</x:v>
      </x:c>
      <x:c r="K237" s="432" t="str">
        <x:f>IF(J237=1,SUM($J$48:J237),"")</x:f>
      </x:c>
      <x:c r="L237" s="432"/>
      <x:c r="M237" s="432"/>
      <x:c r="N237" s="432" t="str">
        <x:f>IF('Clients'!A195="","",'Clients'!A195)</x:f>
      </x:c>
      <x:c r="O237" s="432" t="n">
        <x:f>IF(N237="",0,IF($B$6="",1,IF(ISNUMBER(SEARCH($B$6,'Clients'!A195&amp;" "&amp;'Clients'!B195&amp;" "&amp;'Clients'!C195&amp;" "&amp;'Clients'!D195)),1,0)))</x:f>
        <x:v>0</x:v>
      </x:c>
      <x:c r="P237" s="432" t="str">
        <x:f>IF(O237=1,SUM($O$48:O237),"")</x:f>
      </x:c>
      <x:c r="Q237" s="432"/>
    </x:row>
    <x:row r="238" ht="25" customHeight="1">
      <x:c r="A238" s="432"/>
      <x:c r="B238" s="432" t="str">
        <x:f>IF('Properties'!A196="","",'Properties'!A196)</x:f>
      </x:c>
      <x:c r="C238" s="432" t="n">
        <x:f>IF(AND(B238&lt;&gt;"",'Properties'!M196="Available"),1,0)</x:f>
        <x:v>0</x:v>
      </x:c>
      <x:c r="D238" s="432" t="n">
        <x:f>IF($M$13="Buy",IF('Properties'!D196="Sale",1,0),IF($M$13="Rent",IF('Properties'!D196="Rental",1,0),0))</x:f>
        <x:v>0</x:v>
      </x:c>
      <x:c r="E238" s="432" t="n">
        <x:f>IF(AND(ISNUMBER('Properties'!L196),'Properties'!L196&gt;0,ISNUMBER($M$18),$M$18&gt;0,'Properties'!L196&lt;=$M$18,OR(NOT(ISNUMBER($M$17)),'Properties'!L196&gt;=$M$17)),1,0)</x:f>
        <x:v>0</x:v>
      </x:c>
      <x:c r="F238" s="432" t="n">
        <x:f>IF($M$14="",1,IF('Properties'!E196=$M$14,1,0))</x:f>
        <x:v>1</x:v>
      </x:c>
      <x:c r="G238" s="432" t="n">
        <x:f>IF($M$15="",1,IF('Properties'!I196=$M$15,1,0))</x:f>
        <x:v>1</x:v>
      </x:c>
      <x:c r="H238" s="432" t="n">
        <x:f>IF(NOT(ISNUMBER($M$16)),1,IF(AND(ISNUMBER('Properties'!J196),'Properties'!J196=$M$16),1,0))</x:f>
        <x:v>1</x:v>
      </x:c>
      <x:c r="I238" s="432" t="n">
        <x:f>IF($M$19="",1,IF('Properties'!F196="",0,IF(ISNUMBER(SEARCH(","&amp;TRIM('Properties'!F196)&amp;",",","&amp;SUBSTITUTE(TRIM($M$19),", ",",")&amp;",")),1,0)))</x:f>
        <x:v>1</x:v>
      </x:c>
      <x:c r="J238" s="432" t="n">
        <x:f>IF($O$44=0,0,PRODUCT(C238:I238))</x:f>
        <x:v>0</x:v>
      </x:c>
      <x:c r="K238" s="432" t="str">
        <x:f>IF(J238=1,SUM($J$48:J238),"")</x:f>
      </x:c>
      <x:c r="L238" s="432"/>
      <x:c r="M238" s="432"/>
      <x:c r="N238" s="432" t="str">
        <x:f>IF('Clients'!A196="","",'Clients'!A196)</x:f>
      </x:c>
      <x:c r="O238" s="432" t="n">
        <x:f>IF(N238="",0,IF($B$6="",1,IF(ISNUMBER(SEARCH($B$6,'Clients'!A196&amp;" "&amp;'Clients'!B196&amp;" "&amp;'Clients'!C196&amp;" "&amp;'Clients'!D196)),1,0)))</x:f>
        <x:v>0</x:v>
      </x:c>
      <x:c r="P238" s="432" t="str">
        <x:f>IF(O238=1,SUM($O$48:O238),"")</x:f>
      </x:c>
      <x:c r="Q238" s="432"/>
    </x:row>
    <x:row r="239" ht="25" customHeight="1">
      <x:c r="A239" s="432"/>
      <x:c r="B239" s="432" t="str">
        <x:f>IF('Properties'!A197="","",'Properties'!A197)</x:f>
      </x:c>
      <x:c r="C239" s="432" t="n">
        <x:f>IF(AND(B239&lt;&gt;"",'Properties'!M197="Available"),1,0)</x:f>
        <x:v>0</x:v>
      </x:c>
      <x:c r="D239" s="432" t="n">
        <x:f>IF($M$13="Buy",IF('Properties'!D197="Sale",1,0),IF($M$13="Rent",IF('Properties'!D197="Rental",1,0),0))</x:f>
        <x:v>0</x:v>
      </x:c>
      <x:c r="E239" s="432" t="n">
        <x:f>IF(AND(ISNUMBER('Properties'!L197),'Properties'!L197&gt;0,ISNUMBER($M$18),$M$18&gt;0,'Properties'!L197&lt;=$M$18,OR(NOT(ISNUMBER($M$17)),'Properties'!L197&gt;=$M$17)),1,0)</x:f>
        <x:v>0</x:v>
      </x:c>
      <x:c r="F239" s="432" t="n">
        <x:f>IF($M$14="",1,IF('Properties'!E197=$M$14,1,0))</x:f>
        <x:v>1</x:v>
      </x:c>
      <x:c r="G239" s="432" t="n">
        <x:f>IF($M$15="",1,IF('Properties'!I197=$M$15,1,0))</x:f>
        <x:v>1</x:v>
      </x:c>
      <x:c r="H239" s="432" t="n">
        <x:f>IF(NOT(ISNUMBER($M$16)),1,IF(AND(ISNUMBER('Properties'!J197),'Properties'!J197=$M$16),1,0))</x:f>
        <x:v>1</x:v>
      </x:c>
      <x:c r="I239" s="432" t="n">
        <x:f>IF($M$19="",1,IF('Properties'!F197="",0,IF(ISNUMBER(SEARCH(","&amp;TRIM('Properties'!F197)&amp;",",","&amp;SUBSTITUTE(TRIM($M$19),", ",",")&amp;",")),1,0)))</x:f>
        <x:v>1</x:v>
      </x:c>
      <x:c r="J239" s="432" t="n">
        <x:f>IF($O$44=0,0,PRODUCT(C239:I239))</x:f>
        <x:v>0</x:v>
      </x:c>
      <x:c r="K239" s="432" t="str">
        <x:f>IF(J239=1,SUM($J$48:J239),"")</x:f>
      </x:c>
      <x:c r="L239" s="432"/>
      <x:c r="M239" s="432"/>
      <x:c r="N239" s="432" t="str">
        <x:f>IF('Clients'!A197="","",'Clients'!A197)</x:f>
      </x:c>
      <x:c r="O239" s="432" t="n">
        <x:f>IF(N239="",0,IF($B$6="",1,IF(ISNUMBER(SEARCH($B$6,'Clients'!A197&amp;" "&amp;'Clients'!B197&amp;" "&amp;'Clients'!C197&amp;" "&amp;'Clients'!D197)),1,0)))</x:f>
        <x:v>0</x:v>
      </x:c>
      <x:c r="P239" s="432" t="str">
        <x:f>IF(O239=1,SUM($O$48:O239),"")</x:f>
      </x:c>
      <x:c r="Q239" s="432"/>
    </x:row>
    <x:row r="240" ht="25" customHeight="1">
      <x:c r="A240" s="432"/>
      <x:c r="B240" s="432" t="str">
        <x:f>IF('Properties'!A198="","",'Properties'!A198)</x:f>
      </x:c>
      <x:c r="C240" s="432" t="n">
        <x:f>IF(AND(B240&lt;&gt;"",'Properties'!M198="Available"),1,0)</x:f>
        <x:v>0</x:v>
      </x:c>
      <x:c r="D240" s="432" t="n">
        <x:f>IF($M$13="Buy",IF('Properties'!D198="Sale",1,0),IF($M$13="Rent",IF('Properties'!D198="Rental",1,0),0))</x:f>
        <x:v>0</x:v>
      </x:c>
      <x:c r="E240" s="432" t="n">
        <x:f>IF(AND(ISNUMBER('Properties'!L198),'Properties'!L198&gt;0,ISNUMBER($M$18),$M$18&gt;0,'Properties'!L198&lt;=$M$18,OR(NOT(ISNUMBER($M$17)),'Properties'!L198&gt;=$M$17)),1,0)</x:f>
        <x:v>0</x:v>
      </x:c>
      <x:c r="F240" s="432" t="n">
        <x:f>IF($M$14="",1,IF('Properties'!E198=$M$14,1,0))</x:f>
        <x:v>1</x:v>
      </x:c>
      <x:c r="G240" s="432" t="n">
        <x:f>IF($M$15="",1,IF('Properties'!I198=$M$15,1,0))</x:f>
        <x:v>1</x:v>
      </x:c>
      <x:c r="H240" s="432" t="n">
        <x:f>IF(NOT(ISNUMBER($M$16)),1,IF(AND(ISNUMBER('Properties'!J198),'Properties'!J198=$M$16),1,0))</x:f>
        <x:v>1</x:v>
      </x:c>
      <x:c r="I240" s="432" t="n">
        <x:f>IF($M$19="",1,IF('Properties'!F198="",0,IF(ISNUMBER(SEARCH(","&amp;TRIM('Properties'!F198)&amp;",",","&amp;SUBSTITUTE(TRIM($M$19),", ",",")&amp;",")),1,0)))</x:f>
        <x:v>1</x:v>
      </x:c>
      <x:c r="J240" s="432" t="n">
        <x:f>IF($O$44=0,0,PRODUCT(C240:I240))</x:f>
        <x:v>0</x:v>
      </x:c>
      <x:c r="K240" s="432" t="str">
        <x:f>IF(J240=1,SUM($J$48:J240),"")</x:f>
      </x:c>
      <x:c r="L240" s="432"/>
      <x:c r="M240" s="432"/>
      <x:c r="N240" s="432" t="str">
        <x:f>IF('Clients'!A198="","",'Clients'!A198)</x:f>
      </x:c>
      <x:c r="O240" s="432" t="n">
        <x:f>IF(N240="",0,IF($B$6="",1,IF(ISNUMBER(SEARCH($B$6,'Clients'!A198&amp;" "&amp;'Clients'!B198&amp;" "&amp;'Clients'!C198&amp;" "&amp;'Clients'!D198)),1,0)))</x:f>
        <x:v>0</x:v>
      </x:c>
      <x:c r="P240" s="432" t="str">
        <x:f>IF(O240=1,SUM($O$48:O240),"")</x:f>
      </x:c>
      <x:c r="Q240" s="432"/>
    </x:row>
    <x:row r="241" ht="25" customHeight="1">
      <x:c r="A241" s="432"/>
      <x:c r="B241" s="432" t="str">
        <x:f>IF('Properties'!A199="","",'Properties'!A199)</x:f>
      </x:c>
      <x:c r="C241" s="432" t="n">
        <x:f>IF(AND(B241&lt;&gt;"",'Properties'!M199="Available"),1,0)</x:f>
        <x:v>0</x:v>
      </x:c>
      <x:c r="D241" s="432" t="n">
        <x:f>IF($M$13="Buy",IF('Properties'!D199="Sale",1,0),IF($M$13="Rent",IF('Properties'!D199="Rental",1,0),0))</x:f>
        <x:v>0</x:v>
      </x:c>
      <x:c r="E241" s="432" t="n">
        <x:f>IF(AND(ISNUMBER('Properties'!L199),'Properties'!L199&gt;0,ISNUMBER($M$18),$M$18&gt;0,'Properties'!L199&lt;=$M$18,OR(NOT(ISNUMBER($M$17)),'Properties'!L199&gt;=$M$17)),1,0)</x:f>
        <x:v>0</x:v>
      </x:c>
      <x:c r="F241" s="432" t="n">
        <x:f>IF($M$14="",1,IF('Properties'!E199=$M$14,1,0))</x:f>
        <x:v>1</x:v>
      </x:c>
      <x:c r="G241" s="432" t="n">
        <x:f>IF($M$15="",1,IF('Properties'!I199=$M$15,1,0))</x:f>
        <x:v>1</x:v>
      </x:c>
      <x:c r="H241" s="432" t="n">
        <x:f>IF(NOT(ISNUMBER($M$16)),1,IF(AND(ISNUMBER('Properties'!J199),'Properties'!J199=$M$16),1,0))</x:f>
        <x:v>1</x:v>
      </x:c>
      <x:c r="I241" s="432" t="n">
        <x:f>IF($M$19="",1,IF('Properties'!F199="",0,IF(ISNUMBER(SEARCH(","&amp;TRIM('Properties'!F199)&amp;",",","&amp;SUBSTITUTE(TRIM($M$19),", ",",")&amp;",")),1,0)))</x:f>
        <x:v>1</x:v>
      </x:c>
      <x:c r="J241" s="432" t="n">
        <x:f>IF($O$44=0,0,PRODUCT(C241:I241))</x:f>
        <x:v>0</x:v>
      </x:c>
      <x:c r="K241" s="432" t="str">
        <x:f>IF(J241=1,SUM($J$48:J241),"")</x:f>
      </x:c>
      <x:c r="L241" s="432"/>
      <x:c r="M241" s="432"/>
      <x:c r="N241" s="432" t="str">
        <x:f>IF('Clients'!A199="","",'Clients'!A199)</x:f>
      </x:c>
      <x:c r="O241" s="432" t="n">
        <x:f>IF(N241="",0,IF($B$6="",1,IF(ISNUMBER(SEARCH($B$6,'Clients'!A199&amp;" "&amp;'Clients'!B199&amp;" "&amp;'Clients'!C199&amp;" "&amp;'Clients'!D199)),1,0)))</x:f>
        <x:v>0</x:v>
      </x:c>
      <x:c r="P241" s="432" t="str">
        <x:f>IF(O241=1,SUM($O$48:O241),"")</x:f>
      </x:c>
      <x:c r="Q241" s="432"/>
    </x:row>
    <x:row r="242" ht="25" customHeight="1">
      <x:c r="A242" s="432"/>
      <x:c r="B242" s="432" t="str">
        <x:f>IF('Properties'!A200="","",'Properties'!A200)</x:f>
      </x:c>
      <x:c r="C242" s="432" t="n">
        <x:f>IF(AND(B242&lt;&gt;"",'Properties'!M200="Available"),1,0)</x:f>
        <x:v>0</x:v>
      </x:c>
      <x:c r="D242" s="432" t="n">
        <x:f>IF($M$13="Buy",IF('Properties'!D200="Sale",1,0),IF($M$13="Rent",IF('Properties'!D200="Rental",1,0),0))</x:f>
        <x:v>0</x:v>
      </x:c>
      <x:c r="E242" s="432" t="n">
        <x:f>IF(AND(ISNUMBER('Properties'!L200),'Properties'!L200&gt;0,ISNUMBER($M$18),$M$18&gt;0,'Properties'!L200&lt;=$M$18,OR(NOT(ISNUMBER($M$17)),'Properties'!L200&gt;=$M$17)),1,0)</x:f>
        <x:v>0</x:v>
      </x:c>
      <x:c r="F242" s="432" t="n">
        <x:f>IF($M$14="",1,IF('Properties'!E200=$M$14,1,0))</x:f>
        <x:v>1</x:v>
      </x:c>
      <x:c r="G242" s="432" t="n">
        <x:f>IF($M$15="",1,IF('Properties'!I200=$M$15,1,0))</x:f>
        <x:v>1</x:v>
      </x:c>
      <x:c r="H242" s="432" t="n">
        <x:f>IF(NOT(ISNUMBER($M$16)),1,IF(AND(ISNUMBER('Properties'!J200),'Properties'!J200=$M$16),1,0))</x:f>
        <x:v>1</x:v>
      </x:c>
      <x:c r="I242" s="432" t="n">
        <x:f>IF($M$19="",1,IF('Properties'!F200="",0,IF(ISNUMBER(SEARCH(","&amp;TRIM('Properties'!F200)&amp;",",","&amp;SUBSTITUTE(TRIM($M$19),", ",",")&amp;",")),1,0)))</x:f>
        <x:v>1</x:v>
      </x:c>
      <x:c r="J242" s="432" t="n">
        <x:f>IF($O$44=0,0,PRODUCT(C242:I242))</x:f>
        <x:v>0</x:v>
      </x:c>
      <x:c r="K242" s="432" t="str">
        <x:f>IF(J242=1,SUM($J$48:J242),"")</x:f>
      </x:c>
      <x:c r="L242" s="432"/>
      <x:c r="M242" s="432"/>
      <x:c r="N242" s="432" t="str">
        <x:f>IF('Clients'!A200="","",'Clients'!A200)</x:f>
      </x:c>
      <x:c r="O242" s="432" t="n">
        <x:f>IF(N242="",0,IF($B$6="",1,IF(ISNUMBER(SEARCH($B$6,'Clients'!A200&amp;" "&amp;'Clients'!B200&amp;" "&amp;'Clients'!C200&amp;" "&amp;'Clients'!D200)),1,0)))</x:f>
        <x:v>0</x:v>
      </x:c>
      <x:c r="P242" s="432" t="str">
        <x:f>IF(O242=1,SUM($O$48:O242),"")</x:f>
      </x:c>
      <x:c r="Q242" s="432"/>
    </x:row>
    <x:row r="243" ht="25" customHeight="1">
      <x:c r="A243" s="432"/>
      <x:c r="B243" s="432" t="str">
        <x:f>IF('Properties'!A201="","",'Properties'!A201)</x:f>
      </x:c>
      <x:c r="C243" s="432" t="n">
        <x:f>IF(AND(B243&lt;&gt;"",'Properties'!M201="Available"),1,0)</x:f>
        <x:v>0</x:v>
      </x:c>
      <x:c r="D243" s="432" t="n">
        <x:f>IF($M$13="Buy",IF('Properties'!D201="Sale",1,0),IF($M$13="Rent",IF('Properties'!D201="Rental",1,0),0))</x:f>
        <x:v>0</x:v>
      </x:c>
      <x:c r="E243" s="432" t="n">
        <x:f>IF(AND(ISNUMBER('Properties'!L201),'Properties'!L201&gt;0,ISNUMBER($M$18),$M$18&gt;0,'Properties'!L201&lt;=$M$18,OR(NOT(ISNUMBER($M$17)),'Properties'!L201&gt;=$M$17)),1,0)</x:f>
        <x:v>0</x:v>
      </x:c>
      <x:c r="F243" s="432" t="n">
        <x:f>IF($M$14="",1,IF('Properties'!E201=$M$14,1,0))</x:f>
        <x:v>1</x:v>
      </x:c>
      <x:c r="G243" s="432" t="n">
        <x:f>IF($M$15="",1,IF('Properties'!I201=$M$15,1,0))</x:f>
        <x:v>1</x:v>
      </x:c>
      <x:c r="H243" s="432" t="n">
        <x:f>IF(NOT(ISNUMBER($M$16)),1,IF(AND(ISNUMBER('Properties'!J201),'Properties'!J201=$M$16),1,0))</x:f>
        <x:v>1</x:v>
      </x:c>
      <x:c r="I243" s="432" t="n">
        <x:f>IF($M$19="",1,IF('Properties'!F201="",0,IF(ISNUMBER(SEARCH(","&amp;TRIM('Properties'!F201)&amp;",",","&amp;SUBSTITUTE(TRIM($M$19),", ",",")&amp;",")),1,0)))</x:f>
        <x:v>1</x:v>
      </x:c>
      <x:c r="J243" s="432" t="n">
        <x:f>IF($O$44=0,0,PRODUCT(C243:I243))</x:f>
        <x:v>0</x:v>
      </x:c>
      <x:c r="K243" s="432" t="str">
        <x:f>IF(J243=1,SUM($J$48:J243),"")</x:f>
      </x:c>
      <x:c r="L243" s="432"/>
      <x:c r="M243" s="432"/>
      <x:c r="N243" s="432" t="str">
        <x:f>IF('Clients'!A201="","",'Clients'!A201)</x:f>
      </x:c>
      <x:c r="O243" s="432" t="n">
        <x:f>IF(N243="",0,IF($B$6="",1,IF(ISNUMBER(SEARCH($B$6,'Clients'!A201&amp;" "&amp;'Clients'!B201&amp;" "&amp;'Clients'!C201&amp;" "&amp;'Clients'!D201)),1,0)))</x:f>
        <x:v>0</x:v>
      </x:c>
      <x:c r="P243" s="432" t="str">
        <x:f>IF(O243=1,SUM($O$48:O243),"")</x:f>
      </x:c>
      <x:c r="Q243" s="432"/>
    </x:row>
    <x:row r="244" ht="25" customHeight="1">
      <x:c r="A244" s="432"/>
      <x:c r="B244" s="432" t="str">
        <x:f>IF('Properties'!A202="","",'Properties'!A202)</x:f>
      </x:c>
      <x:c r="C244" s="432" t="n">
        <x:f>IF(AND(B244&lt;&gt;"",'Properties'!M202="Available"),1,0)</x:f>
        <x:v>0</x:v>
      </x:c>
      <x:c r="D244" s="432" t="n">
        <x:f>IF($M$13="Buy",IF('Properties'!D202="Sale",1,0),IF($M$13="Rent",IF('Properties'!D202="Rental",1,0),0))</x:f>
        <x:v>0</x:v>
      </x:c>
      <x:c r="E244" s="432" t="n">
        <x:f>IF(AND(ISNUMBER('Properties'!L202),'Properties'!L202&gt;0,ISNUMBER($M$18),$M$18&gt;0,'Properties'!L202&lt;=$M$18,OR(NOT(ISNUMBER($M$17)),'Properties'!L202&gt;=$M$17)),1,0)</x:f>
        <x:v>0</x:v>
      </x:c>
      <x:c r="F244" s="432" t="n">
        <x:f>IF($M$14="",1,IF('Properties'!E202=$M$14,1,0))</x:f>
        <x:v>1</x:v>
      </x:c>
      <x:c r="G244" s="432" t="n">
        <x:f>IF($M$15="",1,IF('Properties'!I202=$M$15,1,0))</x:f>
        <x:v>1</x:v>
      </x:c>
      <x:c r="H244" s="432" t="n">
        <x:f>IF(NOT(ISNUMBER($M$16)),1,IF(AND(ISNUMBER('Properties'!J202),'Properties'!J202=$M$16),1,0))</x:f>
        <x:v>1</x:v>
      </x:c>
      <x:c r="I244" s="432" t="n">
        <x:f>IF($M$19="",1,IF('Properties'!F202="",0,IF(ISNUMBER(SEARCH(","&amp;TRIM('Properties'!F202)&amp;",",","&amp;SUBSTITUTE(TRIM($M$19),", ",",")&amp;",")),1,0)))</x:f>
        <x:v>1</x:v>
      </x:c>
      <x:c r="J244" s="432" t="n">
        <x:f>IF($O$44=0,0,PRODUCT(C244:I244))</x:f>
        <x:v>0</x:v>
      </x:c>
      <x:c r="K244" s="432" t="str">
        <x:f>IF(J244=1,SUM($J$48:J244),"")</x:f>
      </x:c>
      <x:c r="L244" s="432"/>
      <x:c r="M244" s="432"/>
      <x:c r="N244" s="432" t="str">
        <x:f>IF('Clients'!A202="","",'Clients'!A202)</x:f>
      </x:c>
      <x:c r="O244" s="432" t="n">
        <x:f>IF(N244="",0,IF($B$6="",1,IF(ISNUMBER(SEARCH($B$6,'Clients'!A202&amp;" "&amp;'Clients'!B202&amp;" "&amp;'Clients'!C202&amp;" "&amp;'Clients'!D202)),1,0)))</x:f>
        <x:v>0</x:v>
      </x:c>
      <x:c r="P244" s="432" t="str">
        <x:f>IF(O244=1,SUM($O$48:O244),"")</x:f>
      </x:c>
      <x:c r="Q244" s="432"/>
    </x:row>
    <x:row r="245" ht="25" customHeight="1">
      <x:c r="A245" s="432"/>
      <x:c r="B245" s="432" t="str">
        <x:f>IF('Properties'!A203="","",'Properties'!A203)</x:f>
      </x:c>
      <x:c r="C245" s="432" t="n">
        <x:f>IF(AND(B245&lt;&gt;"",'Properties'!M203="Available"),1,0)</x:f>
        <x:v>0</x:v>
      </x:c>
      <x:c r="D245" s="432" t="n">
        <x:f>IF($M$13="Buy",IF('Properties'!D203="Sale",1,0),IF($M$13="Rent",IF('Properties'!D203="Rental",1,0),0))</x:f>
        <x:v>0</x:v>
      </x:c>
      <x:c r="E245" s="432" t="n">
        <x:f>IF(AND(ISNUMBER('Properties'!L203),'Properties'!L203&gt;0,ISNUMBER($M$18),$M$18&gt;0,'Properties'!L203&lt;=$M$18,OR(NOT(ISNUMBER($M$17)),'Properties'!L203&gt;=$M$17)),1,0)</x:f>
        <x:v>0</x:v>
      </x:c>
      <x:c r="F245" s="432" t="n">
        <x:f>IF($M$14="",1,IF('Properties'!E203=$M$14,1,0))</x:f>
        <x:v>1</x:v>
      </x:c>
      <x:c r="G245" s="432" t="n">
        <x:f>IF($M$15="",1,IF('Properties'!I203=$M$15,1,0))</x:f>
        <x:v>1</x:v>
      </x:c>
      <x:c r="H245" s="432" t="n">
        <x:f>IF(NOT(ISNUMBER($M$16)),1,IF(AND(ISNUMBER('Properties'!J203),'Properties'!J203=$M$16),1,0))</x:f>
        <x:v>1</x:v>
      </x:c>
      <x:c r="I245" s="432" t="n">
        <x:f>IF($M$19="",1,IF('Properties'!F203="",0,IF(ISNUMBER(SEARCH(","&amp;TRIM('Properties'!F203)&amp;",",","&amp;SUBSTITUTE(TRIM($M$19),", ",",")&amp;",")),1,0)))</x:f>
        <x:v>1</x:v>
      </x:c>
      <x:c r="J245" s="432" t="n">
        <x:f>IF($O$44=0,0,PRODUCT(C245:I245))</x:f>
        <x:v>0</x:v>
      </x:c>
      <x:c r="K245" s="432" t="str">
        <x:f>IF(J245=1,SUM($J$48:J245),"")</x:f>
      </x:c>
      <x:c r="L245" s="432"/>
      <x:c r="M245" s="432"/>
      <x:c r="N245" s="432" t="str">
        <x:f>IF('Clients'!A203="","",'Clients'!A203)</x:f>
      </x:c>
      <x:c r="O245" s="432" t="n">
        <x:f>IF(N245="",0,IF($B$6="",1,IF(ISNUMBER(SEARCH($B$6,'Clients'!A203&amp;" "&amp;'Clients'!B203&amp;" "&amp;'Clients'!C203&amp;" "&amp;'Clients'!D203)),1,0)))</x:f>
        <x:v>0</x:v>
      </x:c>
      <x:c r="P245" s="432" t="str">
        <x:f>IF(O245=1,SUM($O$48:O245),"")</x:f>
      </x:c>
      <x:c r="Q245" s="432"/>
    </x:row>
    <x:row r="246" ht="25" customHeight="1">
      <x:c r="A246" s="432"/>
      <x:c r="B246" s="432" t="str">
        <x:f>IF('Properties'!A204="","",'Properties'!A204)</x:f>
      </x:c>
      <x:c r="C246" s="432" t="n">
        <x:f>IF(AND(B246&lt;&gt;"",'Properties'!M204="Available"),1,0)</x:f>
        <x:v>0</x:v>
      </x:c>
      <x:c r="D246" s="432" t="n">
        <x:f>IF($M$13="Buy",IF('Properties'!D204="Sale",1,0),IF($M$13="Rent",IF('Properties'!D204="Rental",1,0),0))</x:f>
        <x:v>0</x:v>
      </x:c>
      <x:c r="E246" s="432" t="n">
        <x:f>IF(AND(ISNUMBER('Properties'!L204),'Properties'!L204&gt;0,ISNUMBER($M$18),$M$18&gt;0,'Properties'!L204&lt;=$M$18,OR(NOT(ISNUMBER($M$17)),'Properties'!L204&gt;=$M$17)),1,0)</x:f>
        <x:v>0</x:v>
      </x:c>
      <x:c r="F246" s="432" t="n">
        <x:f>IF($M$14="",1,IF('Properties'!E204=$M$14,1,0))</x:f>
        <x:v>1</x:v>
      </x:c>
      <x:c r="G246" s="432" t="n">
        <x:f>IF($M$15="",1,IF('Properties'!I204=$M$15,1,0))</x:f>
        <x:v>1</x:v>
      </x:c>
      <x:c r="H246" s="432" t="n">
        <x:f>IF(NOT(ISNUMBER($M$16)),1,IF(AND(ISNUMBER('Properties'!J204),'Properties'!J204=$M$16),1,0))</x:f>
        <x:v>1</x:v>
      </x:c>
      <x:c r="I246" s="432" t="n">
        <x:f>IF($M$19="",1,IF('Properties'!F204="",0,IF(ISNUMBER(SEARCH(","&amp;TRIM('Properties'!F204)&amp;",",","&amp;SUBSTITUTE(TRIM($M$19),", ",",")&amp;",")),1,0)))</x:f>
        <x:v>1</x:v>
      </x:c>
      <x:c r="J246" s="432" t="n">
        <x:f>IF($O$44=0,0,PRODUCT(C246:I246))</x:f>
        <x:v>0</x:v>
      </x:c>
      <x:c r="K246" s="432" t="str">
        <x:f>IF(J246=1,SUM($J$48:J246),"")</x:f>
      </x:c>
      <x:c r="L246" s="432"/>
      <x:c r="M246" s="432"/>
      <x:c r="N246" s="432" t="str">
        <x:f>IF('Clients'!A204="","",'Clients'!A204)</x:f>
      </x:c>
      <x:c r="O246" s="432" t="n">
        <x:f>IF(N246="",0,IF($B$6="",1,IF(ISNUMBER(SEARCH($B$6,'Clients'!A204&amp;" "&amp;'Clients'!B204&amp;" "&amp;'Clients'!C204&amp;" "&amp;'Clients'!D204)),1,0)))</x:f>
        <x:v>0</x:v>
      </x:c>
      <x:c r="P246" s="432" t="str">
        <x:f>IF(O246=1,SUM($O$48:O246),"")</x:f>
      </x:c>
      <x:c r="Q246" s="432"/>
    </x:row>
    <x:row r="247" ht="25" customHeight="1">
      <x:c r="A247" s="432"/>
      <x:c r="B247" s="432" t="str">
        <x:f>IF('Properties'!A205="","",'Properties'!A205)</x:f>
      </x:c>
      <x:c r="C247" s="432" t="n">
        <x:f>IF(AND(B247&lt;&gt;"",'Properties'!M205="Available"),1,0)</x:f>
        <x:v>0</x:v>
      </x:c>
      <x:c r="D247" s="432" t="n">
        <x:f>IF($M$13="Buy",IF('Properties'!D205="Sale",1,0),IF($M$13="Rent",IF('Properties'!D205="Rental",1,0),0))</x:f>
        <x:v>0</x:v>
      </x:c>
      <x:c r="E247" s="432" t="n">
        <x:f>IF(AND(ISNUMBER('Properties'!L205),'Properties'!L205&gt;0,ISNUMBER($M$18),$M$18&gt;0,'Properties'!L205&lt;=$M$18,OR(NOT(ISNUMBER($M$17)),'Properties'!L205&gt;=$M$17)),1,0)</x:f>
        <x:v>0</x:v>
      </x:c>
      <x:c r="F247" s="432" t="n">
        <x:f>IF($M$14="",1,IF('Properties'!E205=$M$14,1,0))</x:f>
        <x:v>1</x:v>
      </x:c>
      <x:c r="G247" s="432" t="n">
        <x:f>IF($M$15="",1,IF('Properties'!I205=$M$15,1,0))</x:f>
        <x:v>1</x:v>
      </x:c>
      <x:c r="H247" s="432" t="n">
        <x:f>IF(NOT(ISNUMBER($M$16)),1,IF(AND(ISNUMBER('Properties'!J205),'Properties'!J205=$M$16),1,0))</x:f>
        <x:v>1</x:v>
      </x:c>
      <x:c r="I247" s="432" t="n">
        <x:f>IF($M$19="",1,IF('Properties'!F205="",0,IF(ISNUMBER(SEARCH(","&amp;TRIM('Properties'!F205)&amp;",",","&amp;SUBSTITUTE(TRIM($M$19),", ",",")&amp;",")),1,0)))</x:f>
        <x:v>1</x:v>
      </x:c>
      <x:c r="J247" s="432" t="n">
        <x:f>IF($O$44=0,0,PRODUCT(C247:I247))</x:f>
        <x:v>0</x:v>
      </x:c>
      <x:c r="K247" s="432" t="str">
        <x:f>IF(J247=1,SUM($J$48:J247),"")</x:f>
      </x:c>
      <x:c r="L247" s="432"/>
      <x:c r="M247" s="432"/>
      <x:c r="N247" s="432" t="str">
        <x:f>IF('Clients'!A205="","",'Clients'!A205)</x:f>
      </x:c>
      <x:c r="O247" s="432" t="n">
        <x:f>IF(N247="",0,IF($B$6="",1,IF(ISNUMBER(SEARCH($B$6,'Clients'!A205&amp;" "&amp;'Clients'!B205&amp;" "&amp;'Clients'!C205&amp;" "&amp;'Clients'!D205)),1,0)))</x:f>
        <x:v>0</x:v>
      </x:c>
      <x:c r="P247" s="432" t="str">
        <x:f>IF(O247=1,SUM($O$48:O247),"")</x:f>
      </x:c>
      <x:c r="Q247" s="432"/>
    </x:row>
    <x:row r="248" ht="25" customHeight="1">
      <x:c r="A248" s="432"/>
      <x:c r="B248" s="432"/>
      <x:c r="C248" s="432"/>
      <x:c r="D248" s="432"/>
      <x:c r="E248" s="432"/>
      <x:c r="F248" s="432"/>
      <x:c r="G248" s="432"/>
      <x:c r="H248" s="432"/>
      <x:c r="I248" s="432"/>
      <x:c r="J248" s="432"/>
      <x:c r="K248" s="432"/>
      <x:c r="L248" s="432"/>
      <x:c r="M248" s="432"/>
      <x:c r="N248" s="432"/>
      <x:c r="O248" s="432"/>
      <x:c r="P248" s="432"/>
      <x:c r="Q248" s="432"/>
    </x:row>
    <x:row r="249" ht="25" customHeight="1">
      <x:c r="A249" s="432"/>
      <x:c r="B249" s="432"/>
      <x:c r="C249" s="432"/>
      <x:c r="D249" s="432"/>
      <x:c r="E249" s="432"/>
      <x:c r="F249" s="432"/>
      <x:c r="G249" s="432"/>
      <x:c r="H249" s="432"/>
      <x:c r="I249" s="432"/>
      <x:c r="J249" s="432"/>
      <x:c r="K249" s="432"/>
      <x:c r="L249" s="432"/>
      <x:c r="M249" s="432"/>
      <x:c r="N249" s="432"/>
      <x:c r="O249" s="432"/>
      <x:c r="P249" s="432"/>
      <x:c r="Q249" s="432"/>
    </x:row>
    <x:row r="250" ht="25" customHeight="1">
      <x:c r="A250" s="432"/>
      <x:c r="B250" s="432"/>
      <x:c r="C250" s="432"/>
      <x:c r="D250" s="432"/>
      <x:c r="E250" s="432"/>
      <x:c r="F250" s="432"/>
      <x:c r="G250" s="432"/>
      <x:c r="H250" s="432"/>
      <x:c r="I250" s="432"/>
      <x:c r="J250" s="432"/>
      <x:c r="K250" s="432"/>
      <x:c r="L250" s="432"/>
      <x:c r="M250" s="432"/>
      <x:c r="N250" s="432"/>
      <x:c r="O250" s="432"/>
      <x:c r="P250" s="432"/>
      <x:c r="Q250" s="432"/>
    </x:row>
    <x:row r="251" ht="25" customHeight="1">
      <x:c r="A251" s="432"/>
      <x:c r="B251" s="432"/>
      <x:c r="C251" s="432"/>
      <x:c r="D251" s="432"/>
      <x:c r="E251" s="432"/>
      <x:c r="F251" s="432"/>
      <x:c r="G251" s="432"/>
      <x:c r="H251" s="432"/>
      <x:c r="I251" s="432"/>
      <x:c r="J251" s="432"/>
      <x:c r="K251" s="432"/>
      <x:c r="L251" s="432"/>
      <x:c r="M251" s="432"/>
      <x:c r="N251" s="432"/>
      <x:c r="O251" s="432"/>
      <x:c r="P251" s="432"/>
      <x:c r="Q251" s="432"/>
    </x:row>
    <x:row r="252" ht="25" customHeight="1">
      <x:c r="A252" s="432"/>
      <x:c r="B252" s="432"/>
      <x:c r="C252" s="432"/>
      <x:c r="D252" s="432"/>
      <x:c r="E252" s="432"/>
      <x:c r="F252" s="432"/>
      <x:c r="G252" s="432"/>
      <x:c r="H252" s="432"/>
      <x:c r="I252" s="432"/>
      <x:c r="J252" s="432"/>
      <x:c r="K252" s="432"/>
      <x:c r="L252" s="432"/>
      <x:c r="M252" s="432"/>
      <x:c r="N252" s="432"/>
      <x:c r="O252" s="432"/>
      <x:c r="P252" s="432"/>
      <x:c r="Q252" s="432"/>
    </x:row>
    <x:row r="253" ht="25" customHeight="1">
      <x:c r="A253" s="432"/>
      <x:c r="B253" s="432"/>
      <x:c r="C253" s="432"/>
      <x:c r="D253" s="432"/>
      <x:c r="E253" s="432"/>
      <x:c r="F253" s="432"/>
      <x:c r="G253" s="432"/>
      <x:c r="H253" s="432"/>
      <x:c r="I253" s="432"/>
      <x:c r="J253" s="432"/>
      <x:c r="K253" s="432"/>
      <x:c r="L253" s="432"/>
      <x:c r="M253" s="432"/>
      <x:c r="N253" s="432"/>
      <x:c r="O253" s="432"/>
      <x:c r="P253" s="432"/>
      <x:c r="Q253" s="432"/>
    </x:row>
    <x:row r="254" ht="25" customHeight="1">
      <x:c r="A254" s="432"/>
      <x:c r="B254" s="432"/>
      <x:c r="C254" s="432"/>
      <x:c r="D254" s="432"/>
      <x:c r="E254" s="432"/>
      <x:c r="F254" s="432"/>
      <x:c r="G254" s="432"/>
      <x:c r="H254" s="432"/>
      <x:c r="I254" s="432"/>
      <x:c r="J254" s="432"/>
      <x:c r="K254" s="432"/>
      <x:c r="L254" s="432"/>
      <x:c r="M254" s="432"/>
      <x:c r="N254" s="432"/>
      <x:c r="O254" s="432"/>
      <x:c r="P254" s="432"/>
      <x:c r="Q254" s="432"/>
    </x:row>
    <x:row r="255" ht="25" customHeight="1">
      <x:c r="A255" s="432"/>
      <x:c r="B255" s="432"/>
      <x:c r="C255" s="432"/>
      <x:c r="D255" s="432"/>
      <x:c r="E255" s="432"/>
      <x:c r="F255" s="432"/>
      <x:c r="G255" s="432"/>
      <x:c r="H255" s="432"/>
      <x:c r="I255" s="432"/>
      <x:c r="J255" s="432"/>
      <x:c r="K255" s="432"/>
      <x:c r="L255" s="432"/>
      <x:c r="M255" s="432"/>
      <x:c r="N255" s="432"/>
      <x:c r="O255" s="432"/>
      <x:c r="P255" s="432"/>
      <x:c r="Q255" s="432"/>
    </x:row>
    <x:row r="256" ht="25" customHeight="1">
      <x:c r="A256" s="432"/>
      <x:c r="B256" s="432"/>
      <x:c r="C256" s="432"/>
      <x:c r="D256" s="432"/>
      <x:c r="E256" s="432"/>
      <x:c r="F256" s="432"/>
      <x:c r="G256" s="432"/>
      <x:c r="H256" s="432"/>
      <x:c r="I256" s="432"/>
      <x:c r="J256" s="432"/>
      <x:c r="K256" s="432"/>
      <x:c r="L256" s="432"/>
      <x:c r="M256" s="432"/>
      <x:c r="N256" s="432"/>
      <x:c r="O256" s="432"/>
      <x:c r="P256" s="432"/>
      <x:c r="Q256" s="432"/>
    </x:row>
    <x:row r="257" ht="25" customHeight="1">
      <x:c r="A257" s="432"/>
      <x:c r="B257" s="432"/>
      <x:c r="C257" s="432"/>
      <x:c r="D257" s="432"/>
      <x:c r="E257" s="432"/>
      <x:c r="F257" s="432"/>
      <x:c r="G257" s="432"/>
      <x:c r="H257" s="432"/>
      <x:c r="I257" s="432"/>
      <x:c r="J257" s="432"/>
      <x:c r="K257" s="432"/>
      <x:c r="L257" s="432"/>
      <x:c r="M257" s="432"/>
      <x:c r="N257" s="432"/>
      <x:c r="O257" s="432"/>
      <x:c r="P257" s="432"/>
      <x:c r="Q257" s="432"/>
    </x:row>
    <x:row r="258" ht="25" customHeight="1">
      <x:c r="A258" s="432"/>
      <x:c r="B258" s="432"/>
      <x:c r="C258" s="432"/>
      <x:c r="D258" s="432"/>
      <x:c r="E258" s="432"/>
      <x:c r="F258" s="432"/>
      <x:c r="G258" s="432"/>
      <x:c r="H258" s="432"/>
      <x:c r="I258" s="432"/>
      <x:c r="J258" s="432"/>
      <x:c r="K258" s="432"/>
      <x:c r="L258" s="432"/>
      <x:c r="M258" s="432"/>
      <x:c r="N258" s="432"/>
      <x:c r="O258" s="432"/>
      <x:c r="P258" s="432"/>
      <x:c r="Q258" s="432"/>
    </x:row>
    <x:row r="259" ht="25" customHeight="1">
      <x:c r="A259" s="432"/>
      <x:c r="B259" s="432"/>
      <x:c r="C259" s="432"/>
      <x:c r="D259" s="432"/>
      <x:c r="E259" s="432"/>
      <x:c r="F259" s="432"/>
      <x:c r="G259" s="432"/>
      <x:c r="H259" s="432"/>
      <x:c r="I259" s="432"/>
      <x:c r="J259" s="432"/>
      <x:c r="K259" s="432"/>
      <x:c r="L259" s="432"/>
      <x:c r="M259" s="432"/>
      <x:c r="N259" s="432"/>
      <x:c r="O259" s="432"/>
      <x:c r="P259" s="432"/>
      <x:c r="Q259" s="432"/>
    </x:row>
    <x:row r="260" ht="25" customHeight="1">
      <x:c r="A260" s="432"/>
      <x:c r="B260" s="432"/>
      <x:c r="C260" s="432"/>
      <x:c r="D260" s="432"/>
      <x:c r="E260" s="432"/>
      <x:c r="F260" s="432"/>
      <x:c r="G260" s="432"/>
      <x:c r="H260" s="432"/>
      <x:c r="I260" s="432"/>
      <x:c r="J260" s="432"/>
      <x:c r="K260" s="432"/>
      <x:c r="L260" s="432"/>
      <x:c r="M260" s="432"/>
      <x:c r="N260" s="432"/>
      <x:c r="O260" s="432"/>
      <x:c r="P260" s="432"/>
      <x:c r="Q260" s="432"/>
    </x:row>
  </x:sheetData>
  <x:mergeCells>
    <x:mergeCell ref="B2:P2"/>
    <x:mergeCell ref="B3:P3"/>
    <x:mergeCell ref="B4:P4"/>
    <x:mergeCell ref="B5:F5"/>
    <x:mergeCell ref="G5:H5"/>
    <x:mergeCell ref="J5:L5"/>
    <x:mergeCell ref="N5:P5"/>
    <x:mergeCell ref="B6:F6"/>
    <x:mergeCell ref="G6:H6"/>
    <x:mergeCell ref="J6:L6"/>
    <x:mergeCell ref="N6:P6"/>
    <x:mergeCell ref="B8:H8"/>
    <x:mergeCell ref="J8:P8"/>
    <x:mergeCell ref="B9:C9"/>
    <x:mergeCell ref="D9:F9"/>
    <x:mergeCell ref="G9:H9"/>
    <x:mergeCell ref="J10:L10"/>
    <x:mergeCell ref="M10:P10"/>
    <x:mergeCell ref="J11:L11"/>
    <x:mergeCell ref="M11:P11"/>
    <x:mergeCell ref="J12:L12"/>
    <x:mergeCell ref="M12:P12"/>
    <x:mergeCell ref="J13:L13"/>
    <x:mergeCell ref="M13:P13"/>
    <x:mergeCell ref="J14:L14"/>
    <x:mergeCell ref="M14:P14"/>
    <x:mergeCell ref="J15:L15"/>
    <x:mergeCell ref="M15:P15"/>
    <x:mergeCell ref="J16:L16"/>
    <x:mergeCell ref="M16:P16"/>
    <x:mergeCell ref="J17:L17"/>
    <x:mergeCell ref="M17:P17"/>
    <x:mergeCell ref="J18:L18"/>
    <x:mergeCell ref="M18:P18"/>
    <x:mergeCell ref="J19:L19"/>
    <x:mergeCell ref="M19:P19"/>
    <x:mergeCell ref="J20:L20"/>
    <x:mergeCell ref="M20:P20"/>
    <x:mergeCell ref="J21:L21"/>
    <x:mergeCell ref="M21:P21"/>
    <x:mergeCell ref="J22:L22"/>
    <x:mergeCell ref="M22:P22"/>
    <x:mergeCell ref="B21:H22"/>
    <x:mergeCell ref="B24:P24"/>
    <x:mergeCell ref="B25:P25"/>
    <x:mergeCell ref="B27:C27"/>
    <x:mergeCell ref="D27:G27"/>
    <x:mergeCell ref="H27:J27"/>
    <x:mergeCell ref="K27:L27"/>
    <x:mergeCell ref="M27:N27"/>
    <x:mergeCell ref="O27:P27"/>
    <x:mergeCell ref="B39:P40"/>
    <x:mergeCell ref="B42:P42"/>
    <x:mergeCell ref="B46:K46"/>
    <x:mergeCell ref="N46:P46"/>
    <x:mergeCell ref="B10:C10"/>
    <x:mergeCell ref="D10:F10"/>
    <x:mergeCell ref="G10:H10"/>
    <x:mergeCell ref="B28:C28"/>
    <x:mergeCell ref="D28:G28"/>
    <x:mergeCell ref="H28:J28"/>
    <x:mergeCell ref="K28:L28"/>
    <x:mergeCell ref="M28:N28"/>
    <x:mergeCell ref="O28:P28"/>
    <x:mergeCell ref="B11:C11"/>
    <x:mergeCell ref="D11:F11"/>
    <x:mergeCell ref="G11:H11"/>
    <x:mergeCell ref="B29:C29"/>
    <x:mergeCell ref="D29:G29"/>
    <x:mergeCell ref="H29:J29"/>
    <x:mergeCell ref="K29:L29"/>
    <x:mergeCell ref="M29:N29"/>
    <x:mergeCell ref="O29:P29"/>
    <x:mergeCell ref="B12:C12"/>
    <x:mergeCell ref="D12:F12"/>
    <x:mergeCell ref="G12:H12"/>
    <x:mergeCell ref="B30:C30"/>
    <x:mergeCell ref="D30:G30"/>
    <x:mergeCell ref="H30:J30"/>
    <x:mergeCell ref="K30:L30"/>
    <x:mergeCell ref="M30:N30"/>
    <x:mergeCell ref="O30:P30"/>
    <x:mergeCell ref="B13:C13"/>
    <x:mergeCell ref="D13:F13"/>
    <x:mergeCell ref="G13:H13"/>
    <x:mergeCell ref="B31:C31"/>
    <x:mergeCell ref="D31:G31"/>
    <x:mergeCell ref="H31:J31"/>
    <x:mergeCell ref="K31:L31"/>
    <x:mergeCell ref="M31:N31"/>
    <x:mergeCell ref="O31:P31"/>
    <x:mergeCell ref="B14:C14"/>
    <x:mergeCell ref="D14:F14"/>
    <x:mergeCell ref="G14:H14"/>
    <x:mergeCell ref="B32:C32"/>
    <x:mergeCell ref="D32:G32"/>
    <x:mergeCell ref="H32:J32"/>
    <x:mergeCell ref="K32:L32"/>
    <x:mergeCell ref="M32:N32"/>
    <x:mergeCell ref="O32:P32"/>
    <x:mergeCell ref="B15:C15"/>
    <x:mergeCell ref="D15:F15"/>
    <x:mergeCell ref="G15:H15"/>
    <x:mergeCell ref="B33:C33"/>
    <x:mergeCell ref="D33:G33"/>
    <x:mergeCell ref="H33:J33"/>
    <x:mergeCell ref="K33:L33"/>
    <x:mergeCell ref="M33:N33"/>
    <x:mergeCell ref="O33:P33"/>
    <x:mergeCell ref="B16:C16"/>
    <x:mergeCell ref="D16:F16"/>
    <x:mergeCell ref="G16:H16"/>
    <x:mergeCell ref="B34:C34"/>
    <x:mergeCell ref="D34:G34"/>
    <x:mergeCell ref="H34:J34"/>
    <x:mergeCell ref="K34:L34"/>
    <x:mergeCell ref="M34:N34"/>
    <x:mergeCell ref="O34:P34"/>
    <x:mergeCell ref="B17:C17"/>
    <x:mergeCell ref="D17:F17"/>
    <x:mergeCell ref="G17:H17"/>
    <x:mergeCell ref="B35:C35"/>
    <x:mergeCell ref="D35:G35"/>
    <x:mergeCell ref="H35:J35"/>
    <x:mergeCell ref="K35:L35"/>
    <x:mergeCell ref="M35:N35"/>
    <x:mergeCell ref="O35:P35"/>
    <x:mergeCell ref="B18:C18"/>
    <x:mergeCell ref="D18:F18"/>
    <x:mergeCell ref="G18:H18"/>
    <x:mergeCell ref="B36:C36"/>
    <x:mergeCell ref="D36:G36"/>
    <x:mergeCell ref="H36:J36"/>
    <x:mergeCell ref="K36:L36"/>
    <x:mergeCell ref="M36:N36"/>
    <x:mergeCell ref="O36:P36"/>
    <x:mergeCell ref="B19:C19"/>
    <x:mergeCell ref="D19:F19"/>
    <x:mergeCell ref="G19:H19"/>
    <x:mergeCell ref="B37:C37"/>
    <x:mergeCell ref="D37:G37"/>
    <x:mergeCell ref="H37:J37"/>
    <x:mergeCell ref="K37:L37"/>
    <x:mergeCell ref="M37:N37"/>
    <x:mergeCell ref="O37:P37"/>
  </x:mergeCells>
  <x:dataValidations count="3">
    <x:dataValidation type="list" sqref="J6">
      <x:formula1>'Clients'!$A$6:$A$205</x:formula1>
    </x:dataValidation>
    <x:dataValidation type="whole" operator="between" sqref="G6">
      <x:formula1>1</x:formula1>
      <x:formula2>20</x:formula2>
    </x:dataValidation>
    <x:dataValidation type="whole" operator="between" sqref="N6">
      <x:formula1>1</x:formula1>
      <x:formula2>20</x:formula2>
    </x:dataValidation>
  </x:dataValidations>
  <x:pageMargins left="0.7" right="0.7" top="0.75" bottom="0.75" header="0.3" footer="0.3"/>
</x:worksheet>
</file>

<file path=xl/worksheets/sheet13.xml><?xml version="1.0" encoding="utf-8"?>
<x:worksheet xmlns:x="http://schemas.openxmlformats.org/spreadsheetml/2006/main">
  <x:sheetPr>
    <x:tabColor rgb="FFA18350"/>
  </x:sheetPr>
  <x:sheetViews>
    <x:sheetView showGridLines="0" workbookViewId="0">
      <x:pane ySplit="6" topLeftCell="A7" activePane="bottomLeft" state="frozen"/>
    </x:sheetView>
  </x:sheetViews>
  <x:sheetFormatPr defaultRowHeight="15"/>
  <x:cols>
    <x:col min="1" max="1" width="3"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5" hidden="0" customWidth="1"/>
    <x:col min="17" max="17" width="3" hidden="0" customWidth="1"/>
  </x:cols>
  <x:sheetData>
    <x:row r="1" ht="25" customHeight="1">
      <x:c r="A1" s="432"/>
      <x:c r="B1" s="432"/>
      <x:c r="C1" s="432"/>
      <x:c r="D1" s="432"/>
      <x:c r="E1" s="432"/>
      <x:c r="F1" s="432"/>
      <x:c r="G1" s="432"/>
      <x:c r="H1" s="432"/>
      <x:c r="I1" s="432"/>
      <x:c r="J1" s="432"/>
      <x:c r="K1" s="432"/>
      <x:c r="L1" s="432"/>
      <x:c r="M1" s="432"/>
      <x:c r="N1" s="432"/>
      <x:c r="O1" s="432"/>
      <x:c r="P1" s="432"/>
      <x:c r="Q1" s="432"/>
    </x:row>
    <x:row r="2" ht="25" customHeight="1">
      <x:c r="A2" s="432"/>
      <x:c r="B2" s="434" t="str">
        <x:v>KEYS WITH SIMONI</x:v>
      </x:c>
      <x:c r="C2" s="434"/>
      <x:c r="D2" s="434"/>
      <x:c r="E2" s="434"/>
      <x:c r="F2" s="434"/>
      <x:c r="G2" s="434"/>
      <x:c r="H2" s="434"/>
      <x:c r="I2" s="434"/>
      <x:c r="J2" s="434"/>
      <x:c r="K2" s="434"/>
      <x:c r="L2" s="434"/>
      <x:c r="M2" s="434"/>
      <x:c r="N2" s="434"/>
      <x:c r="O2" s="434"/>
      <x:c r="P2" s="434"/>
      <x:c r="Q2" s="432"/>
    </x:row>
    <x:row r="3" ht="37" customHeight="1">
      <x:c r="A3" s="432"/>
      <x:c r="B3" s="436" t="str">
        <x:v>Search by date</x:v>
      </x:c>
      <x:c r="C3" s="436"/>
      <x:c r="D3" s="436"/>
      <x:c r="E3" s="436"/>
      <x:c r="F3" s="436"/>
      <x:c r="G3" s="436"/>
      <x:c r="H3" s="436"/>
      <x:c r="I3" s="436"/>
      <x:c r="J3" s="436"/>
      <x:c r="K3" s="436"/>
      <x:c r="L3" s="436"/>
      <x:c r="M3" s="436"/>
      <x:c r="N3" s="436"/>
      <x:c r="O3" s="436"/>
      <x:c r="P3" s="436"/>
      <x:c r="Q3" s="432"/>
    </x:row>
    <x:row r="4" ht="30" customHeight="1">
      <x:c r="A4" s="432"/>
      <x:c r="B4" s="438" t="str">
        <x:v>Choose a date type and an inclusive date range. Results are chronological, with 20 rows per page.</x:v>
      </x:c>
      <x:c r="C4" s="438"/>
      <x:c r="D4" s="438"/>
      <x:c r="E4" s="438"/>
      <x:c r="F4" s="438"/>
      <x:c r="G4" s="438"/>
      <x:c r="H4" s="438"/>
      <x:c r="I4" s="438"/>
      <x:c r="J4" s="438"/>
      <x:c r="K4" s="438"/>
      <x:c r="L4" s="438"/>
      <x:c r="M4" s="438"/>
      <x:c r="N4" s="438"/>
      <x:c r="O4" s="438"/>
      <x:c r="P4" s="438"/>
      <x:c r="Q4" s="432"/>
    </x:row>
    <x:row r="5" ht="25" customHeight="1">
      <x:c r="A5" s="432"/>
      <x:c r="B5" s="439" t="str">
        <x:v>Date type</x:v>
      </x:c>
      <x:c r="C5" s="439"/>
      <x:c r="D5" s="439"/>
      <x:c r="E5" s="439"/>
      <x:c r="F5" s="439"/>
      <x:c r="G5" s="439" t="str">
        <x:v>From date</x:v>
      </x:c>
      <x:c r="H5" s="439"/>
      <x:c r="I5" s="439"/>
      <x:c r="J5" s="439"/>
      <x:c r="K5" s="439" t="str">
        <x:v>To date</x:v>
      </x:c>
      <x:c r="L5" s="439"/>
      <x:c r="M5" s="439"/>
      <x:c r="N5" s="439"/>
      <x:c r="O5" s="439" t="str">
        <x:v>Page</x:v>
      </x:c>
      <x:c r="P5" s="439"/>
      <x:c r="Q5" s="432"/>
    </x:row>
    <x:row r="6" ht="30" customHeight="1">
      <x:c r="A6" s="432"/>
      <x:c r="B6" s="507" t="str">
        <x:v>New enquiries</x:v>
      </x:c>
      <x:c r="C6" s="508"/>
      <x:c r="D6" s="508"/>
      <x:c r="E6" s="508"/>
      <x:c r="F6" s="509"/>
      <x:c r="G6" s="518" t="n">
        <x:v>46266</x:v>
      </x:c>
      <x:c r="H6" s="519"/>
      <x:c r="I6" s="519"/>
      <x:c r="J6" s="520"/>
      <x:c r="K6" s="518" t="n">
        <x:v>46295</x:v>
      </x:c>
      <x:c r="L6" s="519"/>
      <x:c r="M6" s="519"/>
      <x:c r="N6" s="520"/>
      <x:c r="O6" s="510" t="n">
        <x:v>1</x:v>
      </x:c>
      <x:c r="P6" s="511"/>
      <x:c r="Q6" s="432"/>
    </x:row>
    <x:row r="7" ht="25" customHeight="1">
      <x:c r="A7" s="432"/>
      <x:c r="B7" s="432"/>
      <x:c r="C7" s="432"/>
      <x:c r="D7" s="432"/>
      <x:c r="E7" s="432"/>
      <x:c r="F7" s="432"/>
      <x:c r="G7" s="432"/>
      <x:c r="H7" s="432"/>
      <x:c r="I7" s="432"/>
      <x:c r="J7" s="432"/>
      <x:c r="K7" s="432"/>
      <x:c r="L7" s="432"/>
      <x:c r="M7" s="432"/>
      <x:c r="N7" s="432"/>
      <x:c r="O7" s="432"/>
      <x:c r="P7" s="432"/>
      <x:c r="Q7" s="432"/>
    </x:row>
    <x:row r="8" ht="25" customHeight="1">
      <x:c r="A8" s="432"/>
      <x:c r="B8" s="462" t="str">
        <x:f>IF(M43=0,"Choose a date type and valid dates; From must not be later than To",SUM(H48:H247)&amp;" records. Page "&amp;M44&amp;" of "&amp;MAX(1,ROUNDUP(SUM(H48:H247)/20,0))&amp;". Includes the full To day.")</x:f>
        <x:v>0 records. Page 1 of 1. Includes the full To day.</x:v>
      </x:c>
      <x:c r="C8" s="462"/>
      <x:c r="D8" s="462"/>
      <x:c r="E8" s="462"/>
      <x:c r="F8" s="462"/>
      <x:c r="G8" s="462"/>
      <x:c r="H8" s="462"/>
      <x:c r="I8" s="462"/>
      <x:c r="J8" s="462"/>
      <x:c r="K8" s="462"/>
      <x:c r="L8" s="462"/>
      <x:c r="M8" s="462"/>
      <x:c r="N8" s="462"/>
      <x:c r="O8" s="462"/>
      <x:c r="P8" s="462"/>
      <x:c r="Q8" s="432"/>
    </x:row>
    <x:row r="9" ht="25" customHeight="1">
      <x:c r="A9" s="432"/>
      <x:c r="B9" s="432"/>
      <x:c r="C9" s="432"/>
      <x:c r="D9" s="432"/>
      <x:c r="E9" s="432"/>
      <x:c r="F9" s="432"/>
      <x:c r="G9" s="432"/>
      <x:c r="H9" s="432"/>
      <x:c r="I9" s="432"/>
      <x:c r="J9" s="432"/>
      <x:c r="K9" s="432"/>
      <x:c r="L9" s="432"/>
      <x:c r="M9" s="432"/>
      <x:c r="N9" s="432"/>
      <x:c r="O9" s="432"/>
      <x:c r="P9" s="432"/>
      <x:c r="Q9" s="432"/>
    </x:row>
    <x:row r="10" ht="36" customHeight="1">
      <x:c r="A10" s="432"/>
      <x:c r="B10" s="447" t="str">
        <x:v>Record ID</x:v>
      </x:c>
      <x:c r="C10" s="447"/>
      <x:c r="D10" s="447" t="str">
        <x:v>Date &amp; time</x:v>
      </x:c>
      <x:c r="E10" s="447"/>
      <x:c r="F10" s="447"/>
      <x:c r="G10" s="447" t="str">
        <x:v>Client / supplier / deal</x:v>
      </x:c>
      <x:c r="H10" s="447"/>
      <x:c r="I10" s="447"/>
      <x:c r="J10" s="447"/>
      <x:c r="K10" s="447" t="str">
        <x:v>Property / reference</x:v>
      </x:c>
      <x:c r="L10" s="447"/>
      <x:c r="M10" s="447"/>
      <x:c r="N10" s="447" t="str">
        <x:v>Status / category</x:v>
      </x:c>
      <x:c r="O10" s="447"/>
      <x:c r="P10" s="447" t="str">
        <x:v>Amount AED</x:v>
      </x:c>
      <x:c r="Q10" s="432"/>
    </x:row>
    <x:row r="11" ht="29" customHeight="1">
      <x:c r="A11" s="432"/>
      <x:c r="B11" s="465" t="str">
        <x:f>IF((($M$44-1)*20+1)&gt;SUM($H$48:$H$247),"",IF(ISNUMBER(INDEX($B$48:$B$247,MATCH((($M$44-1)*20+1),$I$48:$I$247,0))),INDEX($B$48:$B$247,MATCH((($M$44-1)*20+1),$I$48:$I$247,0)),IF(INDEX($B$48:$B$247,MATCH((($M$44-1)*20+1),$I$48:$I$247,0))="","",INDEX($B$48:$B$247,MATCH((($M$44-1)*20+1),$I$48:$I$247,0)))))</x:f>
      </x:c>
      <x:c r="C11" s="465"/>
      <x:c r="D11" s="474" t="str">
        <x:f>IF((($M$44-1)*20+1)&gt;SUM($H$48:$H$247),"",IF(ISNUMBER(INDEX($C$48:$C$247,MATCH((($M$44-1)*20+1),$I$48:$I$247,0))),INDEX($C$48:$C$247,MATCH((($M$44-1)*20+1),$I$48:$I$247,0)),IF(INDEX($C$48:$C$247,MATCH((($M$44-1)*20+1),$I$48:$I$247,0))="","",INDEX($C$48:$C$247,MATCH((($M$44-1)*20+1),$I$48:$I$247,0)))))</x:f>
      </x:c>
      <x:c r="E11" s="474"/>
      <x:c r="F11" s="474"/>
      <x:c r="G11" s="465" t="str">
        <x:f>IF((($M$44-1)*20+1)&gt;SUM($H$48:$H$247),"",IF(ISNUMBER(INDEX($D$48:$D$247,MATCH((($M$44-1)*20+1),$I$48:$I$247,0))),INDEX($D$48:$D$247,MATCH((($M$44-1)*20+1),$I$48:$I$247,0)),IF(INDEX($D$48:$D$247,MATCH((($M$44-1)*20+1),$I$48:$I$247,0))="","",INDEX($D$48:$D$247,MATCH((($M$44-1)*20+1),$I$48:$I$247,0)))))</x:f>
      </x:c>
      <x:c r="H11" s="465"/>
      <x:c r="I11" s="465"/>
      <x:c r="J11" s="465"/>
      <x:c r="K11" s="465" t="str">
        <x:f>IF((($M$44-1)*20+1)&gt;SUM($H$48:$H$247),"",IF(ISNUMBER(INDEX($E$48:$E$247,MATCH((($M$44-1)*20+1),$I$48:$I$247,0))),INDEX($E$48:$E$247,MATCH((($M$44-1)*20+1),$I$48:$I$247,0)),IF(INDEX($E$48:$E$247,MATCH((($M$44-1)*20+1),$I$48:$I$247,0))="","",INDEX($E$48:$E$247,MATCH((($M$44-1)*20+1),$I$48:$I$247,0)))))</x:f>
      </x:c>
      <x:c r="L11" s="465"/>
      <x:c r="M11" s="465"/>
      <x:c r="N11" s="465" t="str">
        <x:f>IF((($M$44-1)*20+1)&gt;SUM($H$48:$H$247),"",IF(ISNUMBER(INDEX($F$48:$F$247,MATCH((($M$44-1)*20+1),$I$48:$I$247,0))),INDEX($F$48:$F$247,MATCH((($M$44-1)*20+1),$I$48:$I$247,0)),IF(INDEX($F$48:$F$247,MATCH((($M$44-1)*20+1),$I$48:$I$247,0))="","",INDEX($F$48:$F$247,MATCH((($M$44-1)*20+1),$I$48:$I$247,0)))))</x:f>
      </x:c>
      <x:c r="O11" s="465"/>
      <x:c r="P11" s="466" t="str">
        <x:f>IF((($M$44-1)*20+1)&gt;SUM($H$48:$H$247),"",IF(ISNUMBER(INDEX($G$48:$G$247,MATCH((($M$44-1)*20+1),$I$48:$I$247,0))),INDEX($G$48:$G$247,MATCH((($M$44-1)*20+1),$I$48:$I$247,0)),IF(INDEX($G$48:$G$247,MATCH((($M$44-1)*20+1),$I$48:$I$247,0))="","",INDEX($G$48:$G$247,MATCH((($M$44-1)*20+1),$I$48:$I$247,0)))))</x:f>
      </x:c>
      <x:c r="Q11" s="432"/>
    </x:row>
    <x:row r="12" ht="29" customHeight="1">
      <x:c r="A12" s="432"/>
      <x:c r="B12" s="468" t="str">
        <x:f>IF((($M$44-1)*20+2)&gt;SUM($H$48:$H$247),"",IF(ISNUMBER(INDEX($B$48:$B$247,MATCH((($M$44-1)*20+2),$I$48:$I$247,0))),INDEX($B$48:$B$247,MATCH((($M$44-1)*20+2),$I$48:$I$247,0)),IF(INDEX($B$48:$B$247,MATCH((($M$44-1)*20+2),$I$48:$I$247,0))="","",INDEX($B$48:$B$247,MATCH((($M$44-1)*20+2),$I$48:$I$247,0)))))</x:f>
      </x:c>
      <x:c r="C12" s="468"/>
      <x:c r="D12" s="475" t="str">
        <x:f>IF((($M$44-1)*20+2)&gt;SUM($H$48:$H$247),"",IF(ISNUMBER(INDEX($C$48:$C$247,MATCH((($M$44-1)*20+2),$I$48:$I$247,0))),INDEX($C$48:$C$247,MATCH((($M$44-1)*20+2),$I$48:$I$247,0)),IF(INDEX($C$48:$C$247,MATCH((($M$44-1)*20+2),$I$48:$I$247,0))="","",INDEX($C$48:$C$247,MATCH((($M$44-1)*20+2),$I$48:$I$247,0)))))</x:f>
      </x:c>
      <x:c r="E12" s="475"/>
      <x:c r="F12" s="475"/>
      <x:c r="G12" s="468" t="str">
        <x:f>IF((($M$44-1)*20+2)&gt;SUM($H$48:$H$247),"",IF(ISNUMBER(INDEX($D$48:$D$247,MATCH((($M$44-1)*20+2),$I$48:$I$247,0))),INDEX($D$48:$D$247,MATCH((($M$44-1)*20+2),$I$48:$I$247,0)),IF(INDEX($D$48:$D$247,MATCH((($M$44-1)*20+2),$I$48:$I$247,0))="","",INDEX($D$48:$D$247,MATCH((($M$44-1)*20+2),$I$48:$I$247,0)))))</x:f>
      </x:c>
      <x:c r="H12" s="468"/>
      <x:c r="I12" s="468"/>
      <x:c r="J12" s="468"/>
      <x:c r="K12" s="468" t="str">
        <x:f>IF((($M$44-1)*20+2)&gt;SUM($H$48:$H$247),"",IF(ISNUMBER(INDEX($E$48:$E$247,MATCH((($M$44-1)*20+2),$I$48:$I$247,0))),INDEX($E$48:$E$247,MATCH((($M$44-1)*20+2),$I$48:$I$247,0)),IF(INDEX($E$48:$E$247,MATCH((($M$44-1)*20+2),$I$48:$I$247,0))="","",INDEX($E$48:$E$247,MATCH((($M$44-1)*20+2),$I$48:$I$247,0)))))</x:f>
      </x:c>
      <x:c r="L12" s="468"/>
      <x:c r="M12" s="468"/>
      <x:c r="N12" s="468" t="str">
        <x:f>IF((($M$44-1)*20+2)&gt;SUM($H$48:$H$247),"",IF(ISNUMBER(INDEX($F$48:$F$247,MATCH((($M$44-1)*20+2),$I$48:$I$247,0))),INDEX($F$48:$F$247,MATCH((($M$44-1)*20+2),$I$48:$I$247,0)),IF(INDEX($F$48:$F$247,MATCH((($M$44-1)*20+2),$I$48:$I$247,0))="","",INDEX($F$48:$F$247,MATCH((($M$44-1)*20+2),$I$48:$I$247,0)))))</x:f>
      </x:c>
      <x:c r="O12" s="468"/>
      <x:c r="P12" s="469" t="str">
        <x:f>IF((($M$44-1)*20+2)&gt;SUM($H$48:$H$247),"",IF(ISNUMBER(INDEX($G$48:$G$247,MATCH((($M$44-1)*20+2),$I$48:$I$247,0))),INDEX($G$48:$G$247,MATCH((($M$44-1)*20+2),$I$48:$I$247,0)),IF(INDEX($G$48:$G$247,MATCH((($M$44-1)*20+2),$I$48:$I$247,0))="","",INDEX($G$48:$G$247,MATCH((($M$44-1)*20+2),$I$48:$I$247,0)))))</x:f>
      </x:c>
      <x:c r="Q12" s="432"/>
    </x:row>
    <x:row r="13" ht="29" customHeight="1">
      <x:c r="A13" s="432"/>
      <x:c r="B13" s="465" t="str">
        <x:f>IF((($M$44-1)*20+3)&gt;SUM($H$48:$H$247),"",IF(ISNUMBER(INDEX($B$48:$B$247,MATCH((($M$44-1)*20+3),$I$48:$I$247,0))),INDEX($B$48:$B$247,MATCH((($M$44-1)*20+3),$I$48:$I$247,0)),IF(INDEX($B$48:$B$247,MATCH((($M$44-1)*20+3),$I$48:$I$247,0))="","",INDEX($B$48:$B$247,MATCH((($M$44-1)*20+3),$I$48:$I$247,0)))))</x:f>
      </x:c>
      <x:c r="C13" s="465"/>
      <x:c r="D13" s="474" t="str">
        <x:f>IF((($M$44-1)*20+3)&gt;SUM($H$48:$H$247),"",IF(ISNUMBER(INDEX($C$48:$C$247,MATCH((($M$44-1)*20+3),$I$48:$I$247,0))),INDEX($C$48:$C$247,MATCH((($M$44-1)*20+3),$I$48:$I$247,0)),IF(INDEX($C$48:$C$247,MATCH((($M$44-1)*20+3),$I$48:$I$247,0))="","",INDEX($C$48:$C$247,MATCH((($M$44-1)*20+3),$I$48:$I$247,0)))))</x:f>
      </x:c>
      <x:c r="E13" s="474"/>
      <x:c r="F13" s="474"/>
      <x:c r="G13" s="465" t="str">
        <x:f>IF((($M$44-1)*20+3)&gt;SUM($H$48:$H$247),"",IF(ISNUMBER(INDEX($D$48:$D$247,MATCH((($M$44-1)*20+3),$I$48:$I$247,0))),INDEX($D$48:$D$247,MATCH((($M$44-1)*20+3),$I$48:$I$247,0)),IF(INDEX($D$48:$D$247,MATCH((($M$44-1)*20+3),$I$48:$I$247,0))="","",INDEX($D$48:$D$247,MATCH((($M$44-1)*20+3),$I$48:$I$247,0)))))</x:f>
      </x:c>
      <x:c r="H13" s="465"/>
      <x:c r="I13" s="465"/>
      <x:c r="J13" s="465"/>
      <x:c r="K13" s="465" t="str">
        <x:f>IF((($M$44-1)*20+3)&gt;SUM($H$48:$H$247),"",IF(ISNUMBER(INDEX($E$48:$E$247,MATCH((($M$44-1)*20+3),$I$48:$I$247,0))),INDEX($E$48:$E$247,MATCH((($M$44-1)*20+3),$I$48:$I$247,0)),IF(INDEX($E$48:$E$247,MATCH((($M$44-1)*20+3),$I$48:$I$247,0))="","",INDEX($E$48:$E$247,MATCH((($M$44-1)*20+3),$I$48:$I$247,0)))))</x:f>
      </x:c>
      <x:c r="L13" s="465"/>
      <x:c r="M13" s="465"/>
      <x:c r="N13" s="465" t="str">
        <x:f>IF((($M$44-1)*20+3)&gt;SUM($H$48:$H$247),"",IF(ISNUMBER(INDEX($F$48:$F$247,MATCH((($M$44-1)*20+3),$I$48:$I$247,0))),INDEX($F$48:$F$247,MATCH((($M$44-1)*20+3),$I$48:$I$247,0)),IF(INDEX($F$48:$F$247,MATCH((($M$44-1)*20+3),$I$48:$I$247,0))="","",INDEX($F$48:$F$247,MATCH((($M$44-1)*20+3),$I$48:$I$247,0)))))</x:f>
      </x:c>
      <x:c r="O13" s="465"/>
      <x:c r="P13" s="466" t="str">
        <x:f>IF((($M$44-1)*20+3)&gt;SUM($H$48:$H$247),"",IF(ISNUMBER(INDEX($G$48:$G$247,MATCH((($M$44-1)*20+3),$I$48:$I$247,0))),INDEX($G$48:$G$247,MATCH((($M$44-1)*20+3),$I$48:$I$247,0)),IF(INDEX($G$48:$G$247,MATCH((($M$44-1)*20+3),$I$48:$I$247,0))="","",INDEX($G$48:$G$247,MATCH((($M$44-1)*20+3),$I$48:$I$247,0)))))</x:f>
      </x:c>
      <x:c r="Q13" s="432"/>
    </x:row>
    <x:row r="14" ht="29" customHeight="1">
      <x:c r="A14" s="432"/>
      <x:c r="B14" s="468" t="str">
        <x:f>IF((($M$44-1)*20+4)&gt;SUM($H$48:$H$247),"",IF(ISNUMBER(INDEX($B$48:$B$247,MATCH((($M$44-1)*20+4),$I$48:$I$247,0))),INDEX($B$48:$B$247,MATCH((($M$44-1)*20+4),$I$48:$I$247,0)),IF(INDEX($B$48:$B$247,MATCH((($M$44-1)*20+4),$I$48:$I$247,0))="","",INDEX($B$48:$B$247,MATCH((($M$44-1)*20+4),$I$48:$I$247,0)))))</x:f>
      </x:c>
      <x:c r="C14" s="468"/>
      <x:c r="D14" s="475" t="str">
        <x:f>IF((($M$44-1)*20+4)&gt;SUM($H$48:$H$247),"",IF(ISNUMBER(INDEX($C$48:$C$247,MATCH((($M$44-1)*20+4),$I$48:$I$247,0))),INDEX($C$48:$C$247,MATCH((($M$44-1)*20+4),$I$48:$I$247,0)),IF(INDEX($C$48:$C$247,MATCH((($M$44-1)*20+4),$I$48:$I$247,0))="","",INDEX($C$48:$C$247,MATCH((($M$44-1)*20+4),$I$48:$I$247,0)))))</x:f>
      </x:c>
      <x:c r="E14" s="475"/>
      <x:c r="F14" s="475"/>
      <x:c r="G14" s="468" t="str">
        <x:f>IF((($M$44-1)*20+4)&gt;SUM($H$48:$H$247),"",IF(ISNUMBER(INDEX($D$48:$D$247,MATCH((($M$44-1)*20+4),$I$48:$I$247,0))),INDEX($D$48:$D$247,MATCH((($M$44-1)*20+4),$I$48:$I$247,0)),IF(INDEX($D$48:$D$247,MATCH((($M$44-1)*20+4),$I$48:$I$247,0))="","",INDEX($D$48:$D$247,MATCH((($M$44-1)*20+4),$I$48:$I$247,0)))))</x:f>
      </x:c>
      <x:c r="H14" s="468"/>
      <x:c r="I14" s="468"/>
      <x:c r="J14" s="468"/>
      <x:c r="K14" s="468" t="str">
        <x:f>IF((($M$44-1)*20+4)&gt;SUM($H$48:$H$247),"",IF(ISNUMBER(INDEX($E$48:$E$247,MATCH((($M$44-1)*20+4),$I$48:$I$247,0))),INDEX($E$48:$E$247,MATCH((($M$44-1)*20+4),$I$48:$I$247,0)),IF(INDEX($E$48:$E$247,MATCH((($M$44-1)*20+4),$I$48:$I$247,0))="","",INDEX($E$48:$E$247,MATCH((($M$44-1)*20+4),$I$48:$I$247,0)))))</x:f>
      </x:c>
      <x:c r="L14" s="468"/>
      <x:c r="M14" s="468"/>
      <x:c r="N14" s="468" t="str">
        <x:f>IF((($M$44-1)*20+4)&gt;SUM($H$48:$H$247),"",IF(ISNUMBER(INDEX($F$48:$F$247,MATCH((($M$44-1)*20+4),$I$48:$I$247,0))),INDEX($F$48:$F$247,MATCH((($M$44-1)*20+4),$I$48:$I$247,0)),IF(INDEX($F$48:$F$247,MATCH((($M$44-1)*20+4),$I$48:$I$247,0))="","",INDEX($F$48:$F$247,MATCH((($M$44-1)*20+4),$I$48:$I$247,0)))))</x:f>
      </x:c>
      <x:c r="O14" s="468"/>
      <x:c r="P14" s="469" t="str">
        <x:f>IF((($M$44-1)*20+4)&gt;SUM($H$48:$H$247),"",IF(ISNUMBER(INDEX($G$48:$G$247,MATCH((($M$44-1)*20+4),$I$48:$I$247,0))),INDEX($G$48:$G$247,MATCH((($M$44-1)*20+4),$I$48:$I$247,0)),IF(INDEX($G$48:$G$247,MATCH((($M$44-1)*20+4),$I$48:$I$247,0))="","",INDEX($G$48:$G$247,MATCH((($M$44-1)*20+4),$I$48:$I$247,0)))))</x:f>
      </x:c>
      <x:c r="Q14" s="432"/>
    </x:row>
    <x:row r="15" ht="29" customHeight="1">
      <x:c r="A15" s="432"/>
      <x:c r="B15" s="465" t="str">
        <x:f>IF((($M$44-1)*20+5)&gt;SUM($H$48:$H$247),"",IF(ISNUMBER(INDEX($B$48:$B$247,MATCH((($M$44-1)*20+5),$I$48:$I$247,0))),INDEX($B$48:$B$247,MATCH((($M$44-1)*20+5),$I$48:$I$247,0)),IF(INDEX($B$48:$B$247,MATCH((($M$44-1)*20+5),$I$48:$I$247,0))="","",INDEX($B$48:$B$247,MATCH((($M$44-1)*20+5),$I$48:$I$247,0)))))</x:f>
      </x:c>
      <x:c r="C15" s="465"/>
      <x:c r="D15" s="474" t="str">
        <x:f>IF((($M$44-1)*20+5)&gt;SUM($H$48:$H$247),"",IF(ISNUMBER(INDEX($C$48:$C$247,MATCH((($M$44-1)*20+5),$I$48:$I$247,0))),INDEX($C$48:$C$247,MATCH((($M$44-1)*20+5),$I$48:$I$247,0)),IF(INDEX($C$48:$C$247,MATCH((($M$44-1)*20+5),$I$48:$I$247,0))="","",INDEX($C$48:$C$247,MATCH((($M$44-1)*20+5),$I$48:$I$247,0)))))</x:f>
      </x:c>
      <x:c r="E15" s="474"/>
      <x:c r="F15" s="474"/>
      <x:c r="G15" s="465" t="str">
        <x:f>IF((($M$44-1)*20+5)&gt;SUM($H$48:$H$247),"",IF(ISNUMBER(INDEX($D$48:$D$247,MATCH((($M$44-1)*20+5),$I$48:$I$247,0))),INDEX($D$48:$D$247,MATCH((($M$44-1)*20+5),$I$48:$I$247,0)),IF(INDEX($D$48:$D$247,MATCH((($M$44-1)*20+5),$I$48:$I$247,0))="","",INDEX($D$48:$D$247,MATCH((($M$44-1)*20+5),$I$48:$I$247,0)))))</x:f>
      </x:c>
      <x:c r="H15" s="465"/>
      <x:c r="I15" s="465"/>
      <x:c r="J15" s="465"/>
      <x:c r="K15" s="465" t="str">
        <x:f>IF((($M$44-1)*20+5)&gt;SUM($H$48:$H$247),"",IF(ISNUMBER(INDEX($E$48:$E$247,MATCH((($M$44-1)*20+5),$I$48:$I$247,0))),INDEX($E$48:$E$247,MATCH((($M$44-1)*20+5),$I$48:$I$247,0)),IF(INDEX($E$48:$E$247,MATCH((($M$44-1)*20+5),$I$48:$I$247,0))="","",INDEX($E$48:$E$247,MATCH((($M$44-1)*20+5),$I$48:$I$247,0)))))</x:f>
      </x:c>
      <x:c r="L15" s="465"/>
      <x:c r="M15" s="465"/>
      <x:c r="N15" s="465" t="str">
        <x:f>IF((($M$44-1)*20+5)&gt;SUM($H$48:$H$247),"",IF(ISNUMBER(INDEX($F$48:$F$247,MATCH((($M$44-1)*20+5),$I$48:$I$247,0))),INDEX($F$48:$F$247,MATCH((($M$44-1)*20+5),$I$48:$I$247,0)),IF(INDEX($F$48:$F$247,MATCH((($M$44-1)*20+5),$I$48:$I$247,0))="","",INDEX($F$48:$F$247,MATCH((($M$44-1)*20+5),$I$48:$I$247,0)))))</x:f>
      </x:c>
      <x:c r="O15" s="465"/>
      <x:c r="P15" s="466" t="str">
        <x:f>IF((($M$44-1)*20+5)&gt;SUM($H$48:$H$247),"",IF(ISNUMBER(INDEX($G$48:$G$247,MATCH((($M$44-1)*20+5),$I$48:$I$247,0))),INDEX($G$48:$G$247,MATCH((($M$44-1)*20+5),$I$48:$I$247,0)),IF(INDEX($G$48:$G$247,MATCH((($M$44-1)*20+5),$I$48:$I$247,0))="","",INDEX($G$48:$G$247,MATCH((($M$44-1)*20+5),$I$48:$I$247,0)))))</x:f>
      </x:c>
      <x:c r="Q15" s="432"/>
    </x:row>
    <x:row r="16" ht="29" customHeight="1">
      <x:c r="A16" s="432"/>
      <x:c r="B16" s="468" t="str">
        <x:f>IF((($M$44-1)*20+6)&gt;SUM($H$48:$H$247),"",IF(ISNUMBER(INDEX($B$48:$B$247,MATCH((($M$44-1)*20+6),$I$48:$I$247,0))),INDEX($B$48:$B$247,MATCH((($M$44-1)*20+6),$I$48:$I$247,0)),IF(INDEX($B$48:$B$247,MATCH((($M$44-1)*20+6),$I$48:$I$247,0))="","",INDEX($B$48:$B$247,MATCH((($M$44-1)*20+6),$I$48:$I$247,0)))))</x:f>
      </x:c>
      <x:c r="C16" s="468"/>
      <x:c r="D16" s="475" t="str">
        <x:f>IF((($M$44-1)*20+6)&gt;SUM($H$48:$H$247),"",IF(ISNUMBER(INDEX($C$48:$C$247,MATCH((($M$44-1)*20+6),$I$48:$I$247,0))),INDEX($C$48:$C$247,MATCH((($M$44-1)*20+6),$I$48:$I$247,0)),IF(INDEX($C$48:$C$247,MATCH((($M$44-1)*20+6),$I$48:$I$247,0))="","",INDEX($C$48:$C$247,MATCH((($M$44-1)*20+6),$I$48:$I$247,0)))))</x:f>
      </x:c>
      <x:c r="E16" s="475"/>
      <x:c r="F16" s="475"/>
      <x:c r="G16" s="468" t="str">
        <x:f>IF((($M$44-1)*20+6)&gt;SUM($H$48:$H$247),"",IF(ISNUMBER(INDEX($D$48:$D$247,MATCH((($M$44-1)*20+6),$I$48:$I$247,0))),INDEX($D$48:$D$247,MATCH((($M$44-1)*20+6),$I$48:$I$247,0)),IF(INDEX($D$48:$D$247,MATCH((($M$44-1)*20+6),$I$48:$I$247,0))="","",INDEX($D$48:$D$247,MATCH((($M$44-1)*20+6),$I$48:$I$247,0)))))</x:f>
      </x:c>
      <x:c r="H16" s="468"/>
      <x:c r="I16" s="468"/>
      <x:c r="J16" s="468"/>
      <x:c r="K16" s="468" t="str">
        <x:f>IF((($M$44-1)*20+6)&gt;SUM($H$48:$H$247),"",IF(ISNUMBER(INDEX($E$48:$E$247,MATCH((($M$44-1)*20+6),$I$48:$I$247,0))),INDEX($E$48:$E$247,MATCH((($M$44-1)*20+6),$I$48:$I$247,0)),IF(INDEX($E$48:$E$247,MATCH((($M$44-1)*20+6),$I$48:$I$247,0))="","",INDEX($E$48:$E$247,MATCH((($M$44-1)*20+6),$I$48:$I$247,0)))))</x:f>
      </x:c>
      <x:c r="L16" s="468"/>
      <x:c r="M16" s="468"/>
      <x:c r="N16" s="468" t="str">
        <x:f>IF((($M$44-1)*20+6)&gt;SUM($H$48:$H$247),"",IF(ISNUMBER(INDEX($F$48:$F$247,MATCH((($M$44-1)*20+6),$I$48:$I$247,0))),INDEX($F$48:$F$247,MATCH((($M$44-1)*20+6),$I$48:$I$247,0)),IF(INDEX($F$48:$F$247,MATCH((($M$44-1)*20+6),$I$48:$I$247,0))="","",INDEX($F$48:$F$247,MATCH((($M$44-1)*20+6),$I$48:$I$247,0)))))</x:f>
      </x:c>
      <x:c r="O16" s="468"/>
      <x:c r="P16" s="469" t="str">
        <x:f>IF((($M$44-1)*20+6)&gt;SUM($H$48:$H$247),"",IF(ISNUMBER(INDEX($G$48:$G$247,MATCH((($M$44-1)*20+6),$I$48:$I$247,0))),INDEX($G$48:$G$247,MATCH((($M$44-1)*20+6),$I$48:$I$247,0)),IF(INDEX($G$48:$G$247,MATCH((($M$44-1)*20+6),$I$48:$I$247,0))="","",INDEX($G$48:$G$247,MATCH((($M$44-1)*20+6),$I$48:$I$247,0)))))</x:f>
      </x:c>
      <x:c r="Q16" s="432"/>
    </x:row>
    <x:row r="17" ht="29" customHeight="1">
      <x:c r="A17" s="432"/>
      <x:c r="B17" s="465" t="str">
        <x:f>IF((($M$44-1)*20+7)&gt;SUM($H$48:$H$247),"",IF(ISNUMBER(INDEX($B$48:$B$247,MATCH((($M$44-1)*20+7),$I$48:$I$247,0))),INDEX($B$48:$B$247,MATCH((($M$44-1)*20+7),$I$48:$I$247,0)),IF(INDEX($B$48:$B$247,MATCH((($M$44-1)*20+7),$I$48:$I$247,0))="","",INDEX($B$48:$B$247,MATCH((($M$44-1)*20+7),$I$48:$I$247,0)))))</x:f>
      </x:c>
      <x:c r="C17" s="465"/>
      <x:c r="D17" s="474" t="str">
        <x:f>IF((($M$44-1)*20+7)&gt;SUM($H$48:$H$247),"",IF(ISNUMBER(INDEX($C$48:$C$247,MATCH((($M$44-1)*20+7),$I$48:$I$247,0))),INDEX($C$48:$C$247,MATCH((($M$44-1)*20+7),$I$48:$I$247,0)),IF(INDEX($C$48:$C$247,MATCH((($M$44-1)*20+7),$I$48:$I$247,0))="","",INDEX($C$48:$C$247,MATCH((($M$44-1)*20+7),$I$48:$I$247,0)))))</x:f>
      </x:c>
      <x:c r="E17" s="474"/>
      <x:c r="F17" s="474"/>
      <x:c r="G17" s="465" t="str">
        <x:f>IF((($M$44-1)*20+7)&gt;SUM($H$48:$H$247),"",IF(ISNUMBER(INDEX($D$48:$D$247,MATCH((($M$44-1)*20+7),$I$48:$I$247,0))),INDEX($D$48:$D$247,MATCH((($M$44-1)*20+7),$I$48:$I$247,0)),IF(INDEX($D$48:$D$247,MATCH((($M$44-1)*20+7),$I$48:$I$247,0))="","",INDEX($D$48:$D$247,MATCH((($M$44-1)*20+7),$I$48:$I$247,0)))))</x:f>
      </x:c>
      <x:c r="H17" s="465"/>
      <x:c r="I17" s="465"/>
      <x:c r="J17" s="465"/>
      <x:c r="K17" s="465" t="str">
        <x:f>IF((($M$44-1)*20+7)&gt;SUM($H$48:$H$247),"",IF(ISNUMBER(INDEX($E$48:$E$247,MATCH((($M$44-1)*20+7),$I$48:$I$247,0))),INDEX($E$48:$E$247,MATCH((($M$44-1)*20+7),$I$48:$I$247,0)),IF(INDEX($E$48:$E$247,MATCH((($M$44-1)*20+7),$I$48:$I$247,0))="","",INDEX($E$48:$E$247,MATCH((($M$44-1)*20+7),$I$48:$I$247,0)))))</x:f>
      </x:c>
      <x:c r="L17" s="465"/>
      <x:c r="M17" s="465"/>
      <x:c r="N17" s="465" t="str">
        <x:f>IF((($M$44-1)*20+7)&gt;SUM($H$48:$H$247),"",IF(ISNUMBER(INDEX($F$48:$F$247,MATCH((($M$44-1)*20+7),$I$48:$I$247,0))),INDEX($F$48:$F$247,MATCH((($M$44-1)*20+7),$I$48:$I$247,0)),IF(INDEX($F$48:$F$247,MATCH((($M$44-1)*20+7),$I$48:$I$247,0))="","",INDEX($F$48:$F$247,MATCH((($M$44-1)*20+7),$I$48:$I$247,0)))))</x:f>
      </x:c>
      <x:c r="O17" s="465"/>
      <x:c r="P17" s="466" t="str">
        <x:f>IF((($M$44-1)*20+7)&gt;SUM($H$48:$H$247),"",IF(ISNUMBER(INDEX($G$48:$G$247,MATCH((($M$44-1)*20+7),$I$48:$I$247,0))),INDEX($G$48:$G$247,MATCH((($M$44-1)*20+7),$I$48:$I$247,0)),IF(INDEX($G$48:$G$247,MATCH((($M$44-1)*20+7),$I$48:$I$247,0))="","",INDEX($G$48:$G$247,MATCH((($M$44-1)*20+7),$I$48:$I$247,0)))))</x:f>
      </x:c>
      <x:c r="Q17" s="432"/>
    </x:row>
    <x:row r="18" ht="29" customHeight="1">
      <x:c r="A18" s="432"/>
      <x:c r="B18" s="468" t="str">
        <x:f>IF((($M$44-1)*20+8)&gt;SUM($H$48:$H$247),"",IF(ISNUMBER(INDEX($B$48:$B$247,MATCH((($M$44-1)*20+8),$I$48:$I$247,0))),INDEX($B$48:$B$247,MATCH((($M$44-1)*20+8),$I$48:$I$247,0)),IF(INDEX($B$48:$B$247,MATCH((($M$44-1)*20+8),$I$48:$I$247,0))="","",INDEX($B$48:$B$247,MATCH((($M$44-1)*20+8),$I$48:$I$247,0)))))</x:f>
      </x:c>
      <x:c r="C18" s="468"/>
      <x:c r="D18" s="475" t="str">
        <x:f>IF((($M$44-1)*20+8)&gt;SUM($H$48:$H$247),"",IF(ISNUMBER(INDEX($C$48:$C$247,MATCH((($M$44-1)*20+8),$I$48:$I$247,0))),INDEX($C$48:$C$247,MATCH((($M$44-1)*20+8),$I$48:$I$247,0)),IF(INDEX($C$48:$C$247,MATCH((($M$44-1)*20+8),$I$48:$I$247,0))="","",INDEX($C$48:$C$247,MATCH((($M$44-1)*20+8),$I$48:$I$247,0)))))</x:f>
      </x:c>
      <x:c r="E18" s="475"/>
      <x:c r="F18" s="475"/>
      <x:c r="G18" s="468" t="str">
        <x:f>IF((($M$44-1)*20+8)&gt;SUM($H$48:$H$247),"",IF(ISNUMBER(INDEX($D$48:$D$247,MATCH((($M$44-1)*20+8),$I$48:$I$247,0))),INDEX($D$48:$D$247,MATCH((($M$44-1)*20+8),$I$48:$I$247,0)),IF(INDEX($D$48:$D$247,MATCH((($M$44-1)*20+8),$I$48:$I$247,0))="","",INDEX($D$48:$D$247,MATCH((($M$44-1)*20+8),$I$48:$I$247,0)))))</x:f>
      </x:c>
      <x:c r="H18" s="468"/>
      <x:c r="I18" s="468"/>
      <x:c r="J18" s="468"/>
      <x:c r="K18" s="468" t="str">
        <x:f>IF((($M$44-1)*20+8)&gt;SUM($H$48:$H$247),"",IF(ISNUMBER(INDEX($E$48:$E$247,MATCH((($M$44-1)*20+8),$I$48:$I$247,0))),INDEX($E$48:$E$247,MATCH((($M$44-1)*20+8),$I$48:$I$247,0)),IF(INDEX($E$48:$E$247,MATCH((($M$44-1)*20+8),$I$48:$I$247,0))="","",INDEX($E$48:$E$247,MATCH((($M$44-1)*20+8),$I$48:$I$247,0)))))</x:f>
      </x:c>
      <x:c r="L18" s="468"/>
      <x:c r="M18" s="468"/>
      <x:c r="N18" s="468" t="str">
        <x:f>IF((($M$44-1)*20+8)&gt;SUM($H$48:$H$247),"",IF(ISNUMBER(INDEX($F$48:$F$247,MATCH((($M$44-1)*20+8),$I$48:$I$247,0))),INDEX($F$48:$F$247,MATCH((($M$44-1)*20+8),$I$48:$I$247,0)),IF(INDEX($F$48:$F$247,MATCH((($M$44-1)*20+8),$I$48:$I$247,0))="","",INDEX($F$48:$F$247,MATCH((($M$44-1)*20+8),$I$48:$I$247,0)))))</x:f>
      </x:c>
      <x:c r="O18" s="468"/>
      <x:c r="P18" s="469" t="str">
        <x:f>IF((($M$44-1)*20+8)&gt;SUM($H$48:$H$247),"",IF(ISNUMBER(INDEX($G$48:$G$247,MATCH((($M$44-1)*20+8),$I$48:$I$247,0))),INDEX($G$48:$G$247,MATCH((($M$44-1)*20+8),$I$48:$I$247,0)),IF(INDEX($G$48:$G$247,MATCH((($M$44-1)*20+8),$I$48:$I$247,0))="","",INDEX($G$48:$G$247,MATCH((($M$44-1)*20+8),$I$48:$I$247,0)))))</x:f>
      </x:c>
      <x:c r="Q18" s="432"/>
    </x:row>
    <x:row r="19" ht="29" customHeight="1">
      <x:c r="A19" s="432"/>
      <x:c r="B19" s="465" t="str">
        <x:f>IF((($M$44-1)*20+9)&gt;SUM($H$48:$H$247),"",IF(ISNUMBER(INDEX($B$48:$B$247,MATCH((($M$44-1)*20+9),$I$48:$I$247,0))),INDEX($B$48:$B$247,MATCH((($M$44-1)*20+9),$I$48:$I$247,0)),IF(INDEX($B$48:$B$247,MATCH((($M$44-1)*20+9),$I$48:$I$247,0))="","",INDEX($B$48:$B$247,MATCH((($M$44-1)*20+9),$I$48:$I$247,0)))))</x:f>
      </x:c>
      <x:c r="C19" s="465"/>
      <x:c r="D19" s="474" t="str">
        <x:f>IF((($M$44-1)*20+9)&gt;SUM($H$48:$H$247),"",IF(ISNUMBER(INDEX($C$48:$C$247,MATCH((($M$44-1)*20+9),$I$48:$I$247,0))),INDEX($C$48:$C$247,MATCH((($M$44-1)*20+9),$I$48:$I$247,0)),IF(INDEX($C$48:$C$247,MATCH((($M$44-1)*20+9),$I$48:$I$247,0))="","",INDEX($C$48:$C$247,MATCH((($M$44-1)*20+9),$I$48:$I$247,0)))))</x:f>
      </x:c>
      <x:c r="E19" s="474"/>
      <x:c r="F19" s="474"/>
      <x:c r="G19" s="465" t="str">
        <x:f>IF((($M$44-1)*20+9)&gt;SUM($H$48:$H$247),"",IF(ISNUMBER(INDEX($D$48:$D$247,MATCH((($M$44-1)*20+9),$I$48:$I$247,0))),INDEX($D$48:$D$247,MATCH((($M$44-1)*20+9),$I$48:$I$247,0)),IF(INDEX($D$48:$D$247,MATCH((($M$44-1)*20+9),$I$48:$I$247,0))="","",INDEX($D$48:$D$247,MATCH((($M$44-1)*20+9),$I$48:$I$247,0)))))</x:f>
      </x:c>
      <x:c r="H19" s="465"/>
      <x:c r="I19" s="465"/>
      <x:c r="J19" s="465"/>
      <x:c r="K19" s="465" t="str">
        <x:f>IF((($M$44-1)*20+9)&gt;SUM($H$48:$H$247),"",IF(ISNUMBER(INDEX($E$48:$E$247,MATCH((($M$44-1)*20+9),$I$48:$I$247,0))),INDEX($E$48:$E$247,MATCH((($M$44-1)*20+9),$I$48:$I$247,0)),IF(INDEX($E$48:$E$247,MATCH((($M$44-1)*20+9),$I$48:$I$247,0))="","",INDEX($E$48:$E$247,MATCH((($M$44-1)*20+9),$I$48:$I$247,0)))))</x:f>
      </x:c>
      <x:c r="L19" s="465"/>
      <x:c r="M19" s="465"/>
      <x:c r="N19" s="465" t="str">
        <x:f>IF((($M$44-1)*20+9)&gt;SUM($H$48:$H$247),"",IF(ISNUMBER(INDEX($F$48:$F$247,MATCH((($M$44-1)*20+9),$I$48:$I$247,0))),INDEX($F$48:$F$247,MATCH((($M$44-1)*20+9),$I$48:$I$247,0)),IF(INDEX($F$48:$F$247,MATCH((($M$44-1)*20+9),$I$48:$I$247,0))="","",INDEX($F$48:$F$247,MATCH((($M$44-1)*20+9),$I$48:$I$247,0)))))</x:f>
      </x:c>
      <x:c r="O19" s="465"/>
      <x:c r="P19" s="466" t="str">
        <x:f>IF((($M$44-1)*20+9)&gt;SUM($H$48:$H$247),"",IF(ISNUMBER(INDEX($G$48:$G$247,MATCH((($M$44-1)*20+9),$I$48:$I$247,0))),INDEX($G$48:$G$247,MATCH((($M$44-1)*20+9),$I$48:$I$247,0)),IF(INDEX($G$48:$G$247,MATCH((($M$44-1)*20+9),$I$48:$I$247,0))="","",INDEX($G$48:$G$247,MATCH((($M$44-1)*20+9),$I$48:$I$247,0)))))</x:f>
      </x:c>
      <x:c r="Q19" s="432"/>
    </x:row>
    <x:row r="20" ht="29" customHeight="1">
      <x:c r="A20" s="432"/>
      <x:c r="B20" s="468" t="str">
        <x:f>IF((($M$44-1)*20+10)&gt;SUM($H$48:$H$247),"",IF(ISNUMBER(INDEX($B$48:$B$247,MATCH((($M$44-1)*20+10),$I$48:$I$247,0))),INDEX($B$48:$B$247,MATCH((($M$44-1)*20+10),$I$48:$I$247,0)),IF(INDEX($B$48:$B$247,MATCH((($M$44-1)*20+10),$I$48:$I$247,0))="","",INDEX($B$48:$B$247,MATCH((($M$44-1)*20+10),$I$48:$I$247,0)))))</x:f>
      </x:c>
      <x:c r="C20" s="468"/>
      <x:c r="D20" s="475" t="str">
        <x:f>IF((($M$44-1)*20+10)&gt;SUM($H$48:$H$247),"",IF(ISNUMBER(INDEX($C$48:$C$247,MATCH((($M$44-1)*20+10),$I$48:$I$247,0))),INDEX($C$48:$C$247,MATCH((($M$44-1)*20+10),$I$48:$I$247,0)),IF(INDEX($C$48:$C$247,MATCH((($M$44-1)*20+10),$I$48:$I$247,0))="","",INDEX($C$48:$C$247,MATCH((($M$44-1)*20+10),$I$48:$I$247,0)))))</x:f>
      </x:c>
      <x:c r="E20" s="475"/>
      <x:c r="F20" s="475"/>
      <x:c r="G20" s="468" t="str">
        <x:f>IF((($M$44-1)*20+10)&gt;SUM($H$48:$H$247),"",IF(ISNUMBER(INDEX($D$48:$D$247,MATCH((($M$44-1)*20+10),$I$48:$I$247,0))),INDEX($D$48:$D$247,MATCH((($M$44-1)*20+10),$I$48:$I$247,0)),IF(INDEX($D$48:$D$247,MATCH((($M$44-1)*20+10),$I$48:$I$247,0))="","",INDEX($D$48:$D$247,MATCH((($M$44-1)*20+10),$I$48:$I$247,0)))))</x:f>
      </x:c>
      <x:c r="H20" s="468"/>
      <x:c r="I20" s="468"/>
      <x:c r="J20" s="468"/>
      <x:c r="K20" s="468" t="str">
        <x:f>IF((($M$44-1)*20+10)&gt;SUM($H$48:$H$247),"",IF(ISNUMBER(INDEX($E$48:$E$247,MATCH((($M$44-1)*20+10),$I$48:$I$247,0))),INDEX($E$48:$E$247,MATCH((($M$44-1)*20+10),$I$48:$I$247,0)),IF(INDEX($E$48:$E$247,MATCH((($M$44-1)*20+10),$I$48:$I$247,0))="","",INDEX($E$48:$E$247,MATCH((($M$44-1)*20+10),$I$48:$I$247,0)))))</x:f>
      </x:c>
      <x:c r="L20" s="468"/>
      <x:c r="M20" s="468"/>
      <x:c r="N20" s="468" t="str">
        <x:f>IF((($M$44-1)*20+10)&gt;SUM($H$48:$H$247),"",IF(ISNUMBER(INDEX($F$48:$F$247,MATCH((($M$44-1)*20+10),$I$48:$I$247,0))),INDEX($F$48:$F$247,MATCH((($M$44-1)*20+10),$I$48:$I$247,0)),IF(INDEX($F$48:$F$247,MATCH((($M$44-1)*20+10),$I$48:$I$247,0))="","",INDEX($F$48:$F$247,MATCH((($M$44-1)*20+10),$I$48:$I$247,0)))))</x:f>
      </x:c>
      <x:c r="O20" s="468"/>
      <x:c r="P20" s="469" t="str">
        <x:f>IF((($M$44-1)*20+10)&gt;SUM($H$48:$H$247),"",IF(ISNUMBER(INDEX($G$48:$G$247,MATCH((($M$44-1)*20+10),$I$48:$I$247,0))),INDEX($G$48:$G$247,MATCH((($M$44-1)*20+10),$I$48:$I$247,0)),IF(INDEX($G$48:$G$247,MATCH((($M$44-1)*20+10),$I$48:$I$247,0))="","",INDEX($G$48:$G$247,MATCH((($M$44-1)*20+10),$I$48:$I$247,0)))))</x:f>
      </x:c>
      <x:c r="Q20" s="432"/>
    </x:row>
    <x:row r="21" ht="29" customHeight="1">
      <x:c r="A21" s="432"/>
      <x:c r="B21" s="465" t="str">
        <x:f>IF((($M$44-1)*20+11)&gt;SUM($H$48:$H$247),"",IF(ISNUMBER(INDEX($B$48:$B$247,MATCH((($M$44-1)*20+11),$I$48:$I$247,0))),INDEX($B$48:$B$247,MATCH((($M$44-1)*20+11),$I$48:$I$247,0)),IF(INDEX($B$48:$B$247,MATCH((($M$44-1)*20+11),$I$48:$I$247,0))="","",INDEX($B$48:$B$247,MATCH((($M$44-1)*20+11),$I$48:$I$247,0)))))</x:f>
      </x:c>
      <x:c r="C21" s="465"/>
      <x:c r="D21" s="474" t="str">
        <x:f>IF((($M$44-1)*20+11)&gt;SUM($H$48:$H$247),"",IF(ISNUMBER(INDEX($C$48:$C$247,MATCH((($M$44-1)*20+11),$I$48:$I$247,0))),INDEX($C$48:$C$247,MATCH((($M$44-1)*20+11),$I$48:$I$247,0)),IF(INDEX($C$48:$C$247,MATCH((($M$44-1)*20+11),$I$48:$I$247,0))="","",INDEX($C$48:$C$247,MATCH((($M$44-1)*20+11),$I$48:$I$247,0)))))</x:f>
      </x:c>
      <x:c r="E21" s="474"/>
      <x:c r="F21" s="474"/>
      <x:c r="G21" s="465" t="str">
        <x:f>IF((($M$44-1)*20+11)&gt;SUM($H$48:$H$247),"",IF(ISNUMBER(INDEX($D$48:$D$247,MATCH((($M$44-1)*20+11),$I$48:$I$247,0))),INDEX($D$48:$D$247,MATCH((($M$44-1)*20+11),$I$48:$I$247,0)),IF(INDEX($D$48:$D$247,MATCH((($M$44-1)*20+11),$I$48:$I$247,0))="","",INDEX($D$48:$D$247,MATCH((($M$44-1)*20+11),$I$48:$I$247,0)))))</x:f>
      </x:c>
      <x:c r="H21" s="465"/>
      <x:c r="I21" s="465"/>
      <x:c r="J21" s="465"/>
      <x:c r="K21" s="465" t="str">
        <x:f>IF((($M$44-1)*20+11)&gt;SUM($H$48:$H$247),"",IF(ISNUMBER(INDEX($E$48:$E$247,MATCH((($M$44-1)*20+11),$I$48:$I$247,0))),INDEX($E$48:$E$247,MATCH((($M$44-1)*20+11),$I$48:$I$247,0)),IF(INDEX($E$48:$E$247,MATCH((($M$44-1)*20+11),$I$48:$I$247,0))="","",INDEX($E$48:$E$247,MATCH((($M$44-1)*20+11),$I$48:$I$247,0)))))</x:f>
      </x:c>
      <x:c r="L21" s="465"/>
      <x:c r="M21" s="465"/>
      <x:c r="N21" s="465" t="str">
        <x:f>IF((($M$44-1)*20+11)&gt;SUM($H$48:$H$247),"",IF(ISNUMBER(INDEX($F$48:$F$247,MATCH((($M$44-1)*20+11),$I$48:$I$247,0))),INDEX($F$48:$F$247,MATCH((($M$44-1)*20+11),$I$48:$I$247,0)),IF(INDEX($F$48:$F$247,MATCH((($M$44-1)*20+11),$I$48:$I$247,0))="","",INDEX($F$48:$F$247,MATCH((($M$44-1)*20+11),$I$48:$I$247,0)))))</x:f>
      </x:c>
      <x:c r="O21" s="465"/>
      <x:c r="P21" s="466" t="str">
        <x:f>IF((($M$44-1)*20+11)&gt;SUM($H$48:$H$247),"",IF(ISNUMBER(INDEX($G$48:$G$247,MATCH((($M$44-1)*20+11),$I$48:$I$247,0))),INDEX($G$48:$G$247,MATCH((($M$44-1)*20+11),$I$48:$I$247,0)),IF(INDEX($G$48:$G$247,MATCH((($M$44-1)*20+11),$I$48:$I$247,0))="","",INDEX($G$48:$G$247,MATCH((($M$44-1)*20+11),$I$48:$I$247,0)))))</x:f>
      </x:c>
      <x:c r="Q21" s="432"/>
    </x:row>
    <x:row r="22" ht="29" customHeight="1">
      <x:c r="A22" s="432"/>
      <x:c r="B22" s="468" t="str">
        <x:f>IF((($M$44-1)*20+12)&gt;SUM($H$48:$H$247),"",IF(ISNUMBER(INDEX($B$48:$B$247,MATCH((($M$44-1)*20+12),$I$48:$I$247,0))),INDEX($B$48:$B$247,MATCH((($M$44-1)*20+12),$I$48:$I$247,0)),IF(INDEX($B$48:$B$247,MATCH((($M$44-1)*20+12),$I$48:$I$247,0))="","",INDEX($B$48:$B$247,MATCH((($M$44-1)*20+12),$I$48:$I$247,0)))))</x:f>
      </x:c>
      <x:c r="C22" s="468"/>
      <x:c r="D22" s="475" t="str">
        <x:f>IF((($M$44-1)*20+12)&gt;SUM($H$48:$H$247),"",IF(ISNUMBER(INDEX($C$48:$C$247,MATCH((($M$44-1)*20+12),$I$48:$I$247,0))),INDEX($C$48:$C$247,MATCH((($M$44-1)*20+12),$I$48:$I$247,0)),IF(INDEX($C$48:$C$247,MATCH((($M$44-1)*20+12),$I$48:$I$247,0))="","",INDEX($C$48:$C$247,MATCH((($M$44-1)*20+12),$I$48:$I$247,0)))))</x:f>
      </x:c>
      <x:c r="E22" s="475"/>
      <x:c r="F22" s="475"/>
      <x:c r="G22" s="468" t="str">
        <x:f>IF((($M$44-1)*20+12)&gt;SUM($H$48:$H$247),"",IF(ISNUMBER(INDEX($D$48:$D$247,MATCH((($M$44-1)*20+12),$I$48:$I$247,0))),INDEX($D$48:$D$247,MATCH((($M$44-1)*20+12),$I$48:$I$247,0)),IF(INDEX($D$48:$D$247,MATCH((($M$44-1)*20+12),$I$48:$I$247,0))="","",INDEX($D$48:$D$247,MATCH((($M$44-1)*20+12),$I$48:$I$247,0)))))</x:f>
      </x:c>
      <x:c r="H22" s="468"/>
      <x:c r="I22" s="468"/>
      <x:c r="J22" s="468"/>
      <x:c r="K22" s="468" t="str">
        <x:f>IF((($M$44-1)*20+12)&gt;SUM($H$48:$H$247),"",IF(ISNUMBER(INDEX($E$48:$E$247,MATCH((($M$44-1)*20+12),$I$48:$I$247,0))),INDEX($E$48:$E$247,MATCH((($M$44-1)*20+12),$I$48:$I$247,0)),IF(INDEX($E$48:$E$247,MATCH((($M$44-1)*20+12),$I$48:$I$247,0))="","",INDEX($E$48:$E$247,MATCH((($M$44-1)*20+12),$I$48:$I$247,0)))))</x:f>
      </x:c>
      <x:c r="L22" s="468"/>
      <x:c r="M22" s="468"/>
      <x:c r="N22" s="468" t="str">
        <x:f>IF((($M$44-1)*20+12)&gt;SUM($H$48:$H$247),"",IF(ISNUMBER(INDEX($F$48:$F$247,MATCH((($M$44-1)*20+12),$I$48:$I$247,0))),INDEX($F$48:$F$247,MATCH((($M$44-1)*20+12),$I$48:$I$247,0)),IF(INDEX($F$48:$F$247,MATCH((($M$44-1)*20+12),$I$48:$I$247,0))="","",INDEX($F$48:$F$247,MATCH((($M$44-1)*20+12),$I$48:$I$247,0)))))</x:f>
      </x:c>
      <x:c r="O22" s="468"/>
      <x:c r="P22" s="469" t="str">
        <x:f>IF((($M$44-1)*20+12)&gt;SUM($H$48:$H$247),"",IF(ISNUMBER(INDEX($G$48:$G$247,MATCH((($M$44-1)*20+12),$I$48:$I$247,0))),INDEX($G$48:$G$247,MATCH((($M$44-1)*20+12),$I$48:$I$247,0)),IF(INDEX($G$48:$G$247,MATCH((($M$44-1)*20+12),$I$48:$I$247,0))="","",INDEX($G$48:$G$247,MATCH((($M$44-1)*20+12),$I$48:$I$247,0)))))</x:f>
      </x:c>
      <x:c r="Q22" s="432"/>
    </x:row>
    <x:row r="23" ht="29" customHeight="1">
      <x:c r="A23" s="432"/>
      <x:c r="B23" s="465" t="str">
        <x:f>IF((($M$44-1)*20+13)&gt;SUM($H$48:$H$247),"",IF(ISNUMBER(INDEX($B$48:$B$247,MATCH((($M$44-1)*20+13),$I$48:$I$247,0))),INDEX($B$48:$B$247,MATCH((($M$44-1)*20+13),$I$48:$I$247,0)),IF(INDEX($B$48:$B$247,MATCH((($M$44-1)*20+13),$I$48:$I$247,0))="","",INDEX($B$48:$B$247,MATCH((($M$44-1)*20+13),$I$48:$I$247,0)))))</x:f>
      </x:c>
      <x:c r="C23" s="465"/>
      <x:c r="D23" s="474" t="str">
        <x:f>IF((($M$44-1)*20+13)&gt;SUM($H$48:$H$247),"",IF(ISNUMBER(INDEX($C$48:$C$247,MATCH((($M$44-1)*20+13),$I$48:$I$247,0))),INDEX($C$48:$C$247,MATCH((($M$44-1)*20+13),$I$48:$I$247,0)),IF(INDEX($C$48:$C$247,MATCH((($M$44-1)*20+13),$I$48:$I$247,0))="","",INDEX($C$48:$C$247,MATCH((($M$44-1)*20+13),$I$48:$I$247,0)))))</x:f>
      </x:c>
      <x:c r="E23" s="474"/>
      <x:c r="F23" s="474"/>
      <x:c r="G23" s="465" t="str">
        <x:f>IF((($M$44-1)*20+13)&gt;SUM($H$48:$H$247),"",IF(ISNUMBER(INDEX($D$48:$D$247,MATCH((($M$44-1)*20+13),$I$48:$I$247,0))),INDEX($D$48:$D$247,MATCH((($M$44-1)*20+13),$I$48:$I$247,0)),IF(INDEX($D$48:$D$247,MATCH((($M$44-1)*20+13),$I$48:$I$247,0))="","",INDEX($D$48:$D$247,MATCH((($M$44-1)*20+13),$I$48:$I$247,0)))))</x:f>
      </x:c>
      <x:c r="H23" s="465"/>
      <x:c r="I23" s="465"/>
      <x:c r="J23" s="465"/>
      <x:c r="K23" s="465" t="str">
        <x:f>IF((($M$44-1)*20+13)&gt;SUM($H$48:$H$247),"",IF(ISNUMBER(INDEX($E$48:$E$247,MATCH((($M$44-1)*20+13),$I$48:$I$247,0))),INDEX($E$48:$E$247,MATCH((($M$44-1)*20+13),$I$48:$I$247,0)),IF(INDEX($E$48:$E$247,MATCH((($M$44-1)*20+13),$I$48:$I$247,0))="","",INDEX($E$48:$E$247,MATCH((($M$44-1)*20+13),$I$48:$I$247,0)))))</x:f>
      </x:c>
      <x:c r="L23" s="465"/>
      <x:c r="M23" s="465"/>
      <x:c r="N23" s="465" t="str">
        <x:f>IF((($M$44-1)*20+13)&gt;SUM($H$48:$H$247),"",IF(ISNUMBER(INDEX($F$48:$F$247,MATCH((($M$44-1)*20+13),$I$48:$I$247,0))),INDEX($F$48:$F$247,MATCH((($M$44-1)*20+13),$I$48:$I$247,0)),IF(INDEX($F$48:$F$247,MATCH((($M$44-1)*20+13),$I$48:$I$247,0))="","",INDEX($F$48:$F$247,MATCH((($M$44-1)*20+13),$I$48:$I$247,0)))))</x:f>
      </x:c>
      <x:c r="O23" s="465"/>
      <x:c r="P23" s="466" t="str">
        <x:f>IF((($M$44-1)*20+13)&gt;SUM($H$48:$H$247),"",IF(ISNUMBER(INDEX($G$48:$G$247,MATCH((($M$44-1)*20+13),$I$48:$I$247,0))),INDEX($G$48:$G$247,MATCH((($M$44-1)*20+13),$I$48:$I$247,0)),IF(INDEX($G$48:$G$247,MATCH((($M$44-1)*20+13),$I$48:$I$247,0))="","",INDEX($G$48:$G$247,MATCH((($M$44-1)*20+13),$I$48:$I$247,0)))))</x:f>
      </x:c>
      <x:c r="Q23" s="432"/>
    </x:row>
    <x:row r="24" ht="29" customHeight="1">
      <x:c r="A24" s="432"/>
      <x:c r="B24" s="468" t="str">
        <x:f>IF((($M$44-1)*20+14)&gt;SUM($H$48:$H$247),"",IF(ISNUMBER(INDEX($B$48:$B$247,MATCH((($M$44-1)*20+14),$I$48:$I$247,0))),INDEX($B$48:$B$247,MATCH((($M$44-1)*20+14),$I$48:$I$247,0)),IF(INDEX($B$48:$B$247,MATCH((($M$44-1)*20+14),$I$48:$I$247,0))="","",INDEX($B$48:$B$247,MATCH((($M$44-1)*20+14),$I$48:$I$247,0)))))</x:f>
      </x:c>
      <x:c r="C24" s="468"/>
      <x:c r="D24" s="475" t="str">
        <x:f>IF((($M$44-1)*20+14)&gt;SUM($H$48:$H$247),"",IF(ISNUMBER(INDEX($C$48:$C$247,MATCH((($M$44-1)*20+14),$I$48:$I$247,0))),INDEX($C$48:$C$247,MATCH((($M$44-1)*20+14),$I$48:$I$247,0)),IF(INDEX($C$48:$C$247,MATCH((($M$44-1)*20+14),$I$48:$I$247,0))="","",INDEX($C$48:$C$247,MATCH((($M$44-1)*20+14),$I$48:$I$247,0)))))</x:f>
      </x:c>
      <x:c r="E24" s="475"/>
      <x:c r="F24" s="475"/>
      <x:c r="G24" s="468" t="str">
        <x:f>IF((($M$44-1)*20+14)&gt;SUM($H$48:$H$247),"",IF(ISNUMBER(INDEX($D$48:$D$247,MATCH((($M$44-1)*20+14),$I$48:$I$247,0))),INDEX($D$48:$D$247,MATCH((($M$44-1)*20+14),$I$48:$I$247,0)),IF(INDEX($D$48:$D$247,MATCH((($M$44-1)*20+14),$I$48:$I$247,0))="","",INDEX($D$48:$D$247,MATCH((($M$44-1)*20+14),$I$48:$I$247,0)))))</x:f>
      </x:c>
      <x:c r="H24" s="468"/>
      <x:c r="I24" s="468"/>
      <x:c r="J24" s="468"/>
      <x:c r="K24" s="468" t="str">
        <x:f>IF((($M$44-1)*20+14)&gt;SUM($H$48:$H$247),"",IF(ISNUMBER(INDEX($E$48:$E$247,MATCH((($M$44-1)*20+14),$I$48:$I$247,0))),INDEX($E$48:$E$247,MATCH((($M$44-1)*20+14),$I$48:$I$247,0)),IF(INDEX($E$48:$E$247,MATCH((($M$44-1)*20+14),$I$48:$I$247,0))="","",INDEX($E$48:$E$247,MATCH((($M$44-1)*20+14),$I$48:$I$247,0)))))</x:f>
      </x:c>
      <x:c r="L24" s="468"/>
      <x:c r="M24" s="468"/>
      <x:c r="N24" s="468" t="str">
        <x:f>IF((($M$44-1)*20+14)&gt;SUM($H$48:$H$247),"",IF(ISNUMBER(INDEX($F$48:$F$247,MATCH((($M$44-1)*20+14),$I$48:$I$247,0))),INDEX($F$48:$F$247,MATCH((($M$44-1)*20+14),$I$48:$I$247,0)),IF(INDEX($F$48:$F$247,MATCH((($M$44-1)*20+14),$I$48:$I$247,0))="","",INDEX($F$48:$F$247,MATCH((($M$44-1)*20+14),$I$48:$I$247,0)))))</x:f>
      </x:c>
      <x:c r="O24" s="468"/>
      <x:c r="P24" s="469" t="str">
        <x:f>IF((($M$44-1)*20+14)&gt;SUM($H$48:$H$247),"",IF(ISNUMBER(INDEX($G$48:$G$247,MATCH((($M$44-1)*20+14),$I$48:$I$247,0))),INDEX($G$48:$G$247,MATCH((($M$44-1)*20+14),$I$48:$I$247,0)),IF(INDEX($G$48:$G$247,MATCH((($M$44-1)*20+14),$I$48:$I$247,0))="","",INDEX($G$48:$G$247,MATCH((($M$44-1)*20+14),$I$48:$I$247,0)))))</x:f>
      </x:c>
      <x:c r="Q24" s="432"/>
    </x:row>
    <x:row r="25" ht="29" customHeight="1">
      <x:c r="A25" s="432"/>
      <x:c r="B25" s="465" t="str">
        <x:f>IF((($M$44-1)*20+15)&gt;SUM($H$48:$H$247),"",IF(ISNUMBER(INDEX($B$48:$B$247,MATCH((($M$44-1)*20+15),$I$48:$I$247,0))),INDEX($B$48:$B$247,MATCH((($M$44-1)*20+15),$I$48:$I$247,0)),IF(INDEX($B$48:$B$247,MATCH((($M$44-1)*20+15),$I$48:$I$247,0))="","",INDEX($B$48:$B$247,MATCH((($M$44-1)*20+15),$I$48:$I$247,0)))))</x:f>
      </x:c>
      <x:c r="C25" s="465"/>
      <x:c r="D25" s="474" t="str">
        <x:f>IF((($M$44-1)*20+15)&gt;SUM($H$48:$H$247),"",IF(ISNUMBER(INDEX($C$48:$C$247,MATCH((($M$44-1)*20+15),$I$48:$I$247,0))),INDEX($C$48:$C$247,MATCH((($M$44-1)*20+15),$I$48:$I$247,0)),IF(INDEX($C$48:$C$247,MATCH((($M$44-1)*20+15),$I$48:$I$247,0))="","",INDEX($C$48:$C$247,MATCH((($M$44-1)*20+15),$I$48:$I$247,0)))))</x:f>
      </x:c>
      <x:c r="E25" s="474"/>
      <x:c r="F25" s="474"/>
      <x:c r="G25" s="465" t="str">
        <x:f>IF((($M$44-1)*20+15)&gt;SUM($H$48:$H$247),"",IF(ISNUMBER(INDEX($D$48:$D$247,MATCH((($M$44-1)*20+15),$I$48:$I$247,0))),INDEX($D$48:$D$247,MATCH((($M$44-1)*20+15),$I$48:$I$247,0)),IF(INDEX($D$48:$D$247,MATCH((($M$44-1)*20+15),$I$48:$I$247,0))="","",INDEX($D$48:$D$247,MATCH((($M$44-1)*20+15),$I$48:$I$247,0)))))</x:f>
      </x:c>
      <x:c r="H25" s="465"/>
      <x:c r="I25" s="465"/>
      <x:c r="J25" s="465"/>
      <x:c r="K25" s="465" t="str">
        <x:f>IF((($M$44-1)*20+15)&gt;SUM($H$48:$H$247),"",IF(ISNUMBER(INDEX($E$48:$E$247,MATCH((($M$44-1)*20+15),$I$48:$I$247,0))),INDEX($E$48:$E$247,MATCH((($M$44-1)*20+15),$I$48:$I$247,0)),IF(INDEX($E$48:$E$247,MATCH((($M$44-1)*20+15),$I$48:$I$247,0))="","",INDEX($E$48:$E$247,MATCH((($M$44-1)*20+15),$I$48:$I$247,0)))))</x:f>
      </x:c>
      <x:c r="L25" s="465"/>
      <x:c r="M25" s="465"/>
      <x:c r="N25" s="465" t="str">
        <x:f>IF((($M$44-1)*20+15)&gt;SUM($H$48:$H$247),"",IF(ISNUMBER(INDEX($F$48:$F$247,MATCH((($M$44-1)*20+15),$I$48:$I$247,0))),INDEX($F$48:$F$247,MATCH((($M$44-1)*20+15),$I$48:$I$247,0)),IF(INDEX($F$48:$F$247,MATCH((($M$44-1)*20+15),$I$48:$I$247,0))="","",INDEX($F$48:$F$247,MATCH((($M$44-1)*20+15),$I$48:$I$247,0)))))</x:f>
      </x:c>
      <x:c r="O25" s="465"/>
      <x:c r="P25" s="466" t="str">
        <x:f>IF((($M$44-1)*20+15)&gt;SUM($H$48:$H$247),"",IF(ISNUMBER(INDEX($G$48:$G$247,MATCH((($M$44-1)*20+15),$I$48:$I$247,0))),INDEX($G$48:$G$247,MATCH((($M$44-1)*20+15),$I$48:$I$247,0)),IF(INDEX($G$48:$G$247,MATCH((($M$44-1)*20+15),$I$48:$I$247,0))="","",INDEX($G$48:$G$247,MATCH((($M$44-1)*20+15),$I$48:$I$247,0)))))</x:f>
      </x:c>
      <x:c r="Q25" s="432"/>
    </x:row>
    <x:row r="26" ht="29" customHeight="1">
      <x:c r="A26" s="432"/>
      <x:c r="B26" s="468" t="str">
        <x:f>IF((($M$44-1)*20+16)&gt;SUM($H$48:$H$247),"",IF(ISNUMBER(INDEX($B$48:$B$247,MATCH((($M$44-1)*20+16),$I$48:$I$247,0))),INDEX($B$48:$B$247,MATCH((($M$44-1)*20+16),$I$48:$I$247,0)),IF(INDEX($B$48:$B$247,MATCH((($M$44-1)*20+16),$I$48:$I$247,0))="","",INDEX($B$48:$B$247,MATCH((($M$44-1)*20+16),$I$48:$I$247,0)))))</x:f>
      </x:c>
      <x:c r="C26" s="468"/>
      <x:c r="D26" s="475" t="str">
        <x:f>IF((($M$44-1)*20+16)&gt;SUM($H$48:$H$247),"",IF(ISNUMBER(INDEX($C$48:$C$247,MATCH((($M$44-1)*20+16),$I$48:$I$247,0))),INDEX($C$48:$C$247,MATCH((($M$44-1)*20+16),$I$48:$I$247,0)),IF(INDEX($C$48:$C$247,MATCH((($M$44-1)*20+16),$I$48:$I$247,0))="","",INDEX($C$48:$C$247,MATCH((($M$44-1)*20+16),$I$48:$I$247,0)))))</x:f>
      </x:c>
      <x:c r="E26" s="475"/>
      <x:c r="F26" s="475"/>
      <x:c r="G26" s="468" t="str">
        <x:f>IF((($M$44-1)*20+16)&gt;SUM($H$48:$H$247),"",IF(ISNUMBER(INDEX($D$48:$D$247,MATCH((($M$44-1)*20+16),$I$48:$I$247,0))),INDEX($D$48:$D$247,MATCH((($M$44-1)*20+16),$I$48:$I$247,0)),IF(INDEX($D$48:$D$247,MATCH((($M$44-1)*20+16),$I$48:$I$247,0))="","",INDEX($D$48:$D$247,MATCH((($M$44-1)*20+16),$I$48:$I$247,0)))))</x:f>
      </x:c>
      <x:c r="H26" s="468"/>
      <x:c r="I26" s="468"/>
      <x:c r="J26" s="468"/>
      <x:c r="K26" s="468" t="str">
        <x:f>IF((($M$44-1)*20+16)&gt;SUM($H$48:$H$247),"",IF(ISNUMBER(INDEX($E$48:$E$247,MATCH((($M$44-1)*20+16),$I$48:$I$247,0))),INDEX($E$48:$E$247,MATCH((($M$44-1)*20+16),$I$48:$I$247,0)),IF(INDEX($E$48:$E$247,MATCH((($M$44-1)*20+16),$I$48:$I$247,0))="","",INDEX($E$48:$E$247,MATCH((($M$44-1)*20+16),$I$48:$I$247,0)))))</x:f>
      </x:c>
      <x:c r="L26" s="468"/>
      <x:c r="M26" s="468"/>
      <x:c r="N26" s="468" t="str">
        <x:f>IF((($M$44-1)*20+16)&gt;SUM($H$48:$H$247),"",IF(ISNUMBER(INDEX($F$48:$F$247,MATCH((($M$44-1)*20+16),$I$48:$I$247,0))),INDEX($F$48:$F$247,MATCH((($M$44-1)*20+16),$I$48:$I$247,0)),IF(INDEX($F$48:$F$247,MATCH((($M$44-1)*20+16),$I$48:$I$247,0))="","",INDEX($F$48:$F$247,MATCH((($M$44-1)*20+16),$I$48:$I$247,0)))))</x:f>
      </x:c>
      <x:c r="O26" s="468"/>
      <x:c r="P26" s="469" t="str">
        <x:f>IF((($M$44-1)*20+16)&gt;SUM($H$48:$H$247),"",IF(ISNUMBER(INDEX($G$48:$G$247,MATCH((($M$44-1)*20+16),$I$48:$I$247,0))),INDEX($G$48:$G$247,MATCH((($M$44-1)*20+16),$I$48:$I$247,0)),IF(INDEX($G$48:$G$247,MATCH((($M$44-1)*20+16),$I$48:$I$247,0))="","",INDEX($G$48:$G$247,MATCH((($M$44-1)*20+16),$I$48:$I$247,0)))))</x:f>
      </x:c>
      <x:c r="Q26" s="432"/>
    </x:row>
    <x:row r="27" ht="29" customHeight="1">
      <x:c r="A27" s="432"/>
      <x:c r="B27" s="465" t="str">
        <x:f>IF((($M$44-1)*20+17)&gt;SUM($H$48:$H$247),"",IF(ISNUMBER(INDEX($B$48:$B$247,MATCH((($M$44-1)*20+17),$I$48:$I$247,0))),INDEX($B$48:$B$247,MATCH((($M$44-1)*20+17),$I$48:$I$247,0)),IF(INDEX($B$48:$B$247,MATCH((($M$44-1)*20+17),$I$48:$I$247,0))="","",INDEX($B$48:$B$247,MATCH((($M$44-1)*20+17),$I$48:$I$247,0)))))</x:f>
      </x:c>
      <x:c r="C27" s="465"/>
      <x:c r="D27" s="474" t="str">
        <x:f>IF((($M$44-1)*20+17)&gt;SUM($H$48:$H$247),"",IF(ISNUMBER(INDEX($C$48:$C$247,MATCH((($M$44-1)*20+17),$I$48:$I$247,0))),INDEX($C$48:$C$247,MATCH((($M$44-1)*20+17),$I$48:$I$247,0)),IF(INDEX($C$48:$C$247,MATCH((($M$44-1)*20+17),$I$48:$I$247,0))="","",INDEX($C$48:$C$247,MATCH((($M$44-1)*20+17),$I$48:$I$247,0)))))</x:f>
      </x:c>
      <x:c r="E27" s="474"/>
      <x:c r="F27" s="474"/>
      <x:c r="G27" s="465" t="str">
        <x:f>IF((($M$44-1)*20+17)&gt;SUM($H$48:$H$247),"",IF(ISNUMBER(INDEX($D$48:$D$247,MATCH((($M$44-1)*20+17),$I$48:$I$247,0))),INDEX($D$48:$D$247,MATCH((($M$44-1)*20+17),$I$48:$I$247,0)),IF(INDEX($D$48:$D$247,MATCH((($M$44-1)*20+17),$I$48:$I$247,0))="","",INDEX($D$48:$D$247,MATCH((($M$44-1)*20+17),$I$48:$I$247,0)))))</x:f>
      </x:c>
      <x:c r="H27" s="465"/>
      <x:c r="I27" s="465"/>
      <x:c r="J27" s="465"/>
      <x:c r="K27" s="465" t="str">
        <x:f>IF((($M$44-1)*20+17)&gt;SUM($H$48:$H$247),"",IF(ISNUMBER(INDEX($E$48:$E$247,MATCH((($M$44-1)*20+17),$I$48:$I$247,0))),INDEX($E$48:$E$247,MATCH((($M$44-1)*20+17),$I$48:$I$247,0)),IF(INDEX($E$48:$E$247,MATCH((($M$44-1)*20+17),$I$48:$I$247,0))="","",INDEX($E$48:$E$247,MATCH((($M$44-1)*20+17),$I$48:$I$247,0)))))</x:f>
      </x:c>
      <x:c r="L27" s="465"/>
      <x:c r="M27" s="465"/>
      <x:c r="N27" s="465" t="str">
        <x:f>IF((($M$44-1)*20+17)&gt;SUM($H$48:$H$247),"",IF(ISNUMBER(INDEX($F$48:$F$247,MATCH((($M$44-1)*20+17),$I$48:$I$247,0))),INDEX($F$48:$F$247,MATCH((($M$44-1)*20+17),$I$48:$I$247,0)),IF(INDEX($F$48:$F$247,MATCH((($M$44-1)*20+17),$I$48:$I$247,0))="","",INDEX($F$48:$F$247,MATCH((($M$44-1)*20+17),$I$48:$I$247,0)))))</x:f>
      </x:c>
      <x:c r="O27" s="465"/>
      <x:c r="P27" s="466" t="str">
        <x:f>IF((($M$44-1)*20+17)&gt;SUM($H$48:$H$247),"",IF(ISNUMBER(INDEX($G$48:$G$247,MATCH((($M$44-1)*20+17),$I$48:$I$247,0))),INDEX($G$48:$G$247,MATCH((($M$44-1)*20+17),$I$48:$I$247,0)),IF(INDEX($G$48:$G$247,MATCH((($M$44-1)*20+17),$I$48:$I$247,0))="","",INDEX($G$48:$G$247,MATCH((($M$44-1)*20+17),$I$48:$I$247,0)))))</x:f>
      </x:c>
      <x:c r="Q27" s="432"/>
    </x:row>
    <x:row r="28" ht="29" customHeight="1">
      <x:c r="A28" s="432"/>
      <x:c r="B28" s="468" t="str">
        <x:f>IF((($M$44-1)*20+18)&gt;SUM($H$48:$H$247),"",IF(ISNUMBER(INDEX($B$48:$B$247,MATCH((($M$44-1)*20+18),$I$48:$I$247,0))),INDEX($B$48:$B$247,MATCH((($M$44-1)*20+18),$I$48:$I$247,0)),IF(INDEX($B$48:$B$247,MATCH((($M$44-1)*20+18),$I$48:$I$247,0))="","",INDEX($B$48:$B$247,MATCH((($M$44-1)*20+18),$I$48:$I$247,0)))))</x:f>
      </x:c>
      <x:c r="C28" s="468"/>
      <x:c r="D28" s="475" t="str">
        <x:f>IF((($M$44-1)*20+18)&gt;SUM($H$48:$H$247),"",IF(ISNUMBER(INDEX($C$48:$C$247,MATCH((($M$44-1)*20+18),$I$48:$I$247,0))),INDEX($C$48:$C$247,MATCH((($M$44-1)*20+18),$I$48:$I$247,0)),IF(INDEX($C$48:$C$247,MATCH((($M$44-1)*20+18),$I$48:$I$247,0))="","",INDEX($C$48:$C$247,MATCH((($M$44-1)*20+18),$I$48:$I$247,0)))))</x:f>
      </x:c>
      <x:c r="E28" s="475"/>
      <x:c r="F28" s="475"/>
      <x:c r="G28" s="468" t="str">
        <x:f>IF((($M$44-1)*20+18)&gt;SUM($H$48:$H$247),"",IF(ISNUMBER(INDEX($D$48:$D$247,MATCH((($M$44-1)*20+18),$I$48:$I$247,0))),INDEX($D$48:$D$247,MATCH((($M$44-1)*20+18),$I$48:$I$247,0)),IF(INDEX($D$48:$D$247,MATCH((($M$44-1)*20+18),$I$48:$I$247,0))="","",INDEX($D$48:$D$247,MATCH((($M$44-1)*20+18),$I$48:$I$247,0)))))</x:f>
      </x:c>
      <x:c r="H28" s="468"/>
      <x:c r="I28" s="468"/>
      <x:c r="J28" s="468"/>
      <x:c r="K28" s="468" t="str">
        <x:f>IF((($M$44-1)*20+18)&gt;SUM($H$48:$H$247),"",IF(ISNUMBER(INDEX($E$48:$E$247,MATCH((($M$44-1)*20+18),$I$48:$I$247,0))),INDEX($E$48:$E$247,MATCH((($M$44-1)*20+18),$I$48:$I$247,0)),IF(INDEX($E$48:$E$247,MATCH((($M$44-1)*20+18),$I$48:$I$247,0))="","",INDEX($E$48:$E$247,MATCH((($M$44-1)*20+18),$I$48:$I$247,0)))))</x:f>
      </x:c>
      <x:c r="L28" s="468"/>
      <x:c r="M28" s="468"/>
      <x:c r="N28" s="468" t="str">
        <x:f>IF((($M$44-1)*20+18)&gt;SUM($H$48:$H$247),"",IF(ISNUMBER(INDEX($F$48:$F$247,MATCH((($M$44-1)*20+18),$I$48:$I$247,0))),INDEX($F$48:$F$247,MATCH((($M$44-1)*20+18),$I$48:$I$247,0)),IF(INDEX($F$48:$F$247,MATCH((($M$44-1)*20+18),$I$48:$I$247,0))="","",INDEX($F$48:$F$247,MATCH((($M$44-1)*20+18),$I$48:$I$247,0)))))</x:f>
      </x:c>
      <x:c r="O28" s="468"/>
      <x:c r="P28" s="469" t="str">
        <x:f>IF((($M$44-1)*20+18)&gt;SUM($H$48:$H$247),"",IF(ISNUMBER(INDEX($G$48:$G$247,MATCH((($M$44-1)*20+18),$I$48:$I$247,0))),INDEX($G$48:$G$247,MATCH((($M$44-1)*20+18),$I$48:$I$247,0)),IF(INDEX($G$48:$G$247,MATCH((($M$44-1)*20+18),$I$48:$I$247,0))="","",INDEX($G$48:$G$247,MATCH((($M$44-1)*20+18),$I$48:$I$247,0)))))</x:f>
      </x:c>
      <x:c r="Q28" s="432"/>
    </x:row>
    <x:row r="29" ht="29" customHeight="1">
      <x:c r="A29" s="432"/>
      <x:c r="B29" s="465" t="str">
        <x:f>IF((($M$44-1)*20+19)&gt;SUM($H$48:$H$247),"",IF(ISNUMBER(INDEX($B$48:$B$247,MATCH((($M$44-1)*20+19),$I$48:$I$247,0))),INDEX($B$48:$B$247,MATCH((($M$44-1)*20+19),$I$48:$I$247,0)),IF(INDEX($B$48:$B$247,MATCH((($M$44-1)*20+19),$I$48:$I$247,0))="","",INDEX($B$48:$B$247,MATCH((($M$44-1)*20+19),$I$48:$I$247,0)))))</x:f>
      </x:c>
      <x:c r="C29" s="465"/>
      <x:c r="D29" s="474" t="str">
        <x:f>IF((($M$44-1)*20+19)&gt;SUM($H$48:$H$247),"",IF(ISNUMBER(INDEX($C$48:$C$247,MATCH((($M$44-1)*20+19),$I$48:$I$247,0))),INDEX($C$48:$C$247,MATCH((($M$44-1)*20+19),$I$48:$I$247,0)),IF(INDEX($C$48:$C$247,MATCH((($M$44-1)*20+19),$I$48:$I$247,0))="","",INDEX($C$48:$C$247,MATCH((($M$44-1)*20+19),$I$48:$I$247,0)))))</x:f>
      </x:c>
      <x:c r="E29" s="474"/>
      <x:c r="F29" s="474"/>
      <x:c r="G29" s="465" t="str">
        <x:f>IF((($M$44-1)*20+19)&gt;SUM($H$48:$H$247),"",IF(ISNUMBER(INDEX($D$48:$D$247,MATCH((($M$44-1)*20+19),$I$48:$I$247,0))),INDEX($D$48:$D$247,MATCH((($M$44-1)*20+19),$I$48:$I$247,0)),IF(INDEX($D$48:$D$247,MATCH((($M$44-1)*20+19),$I$48:$I$247,0))="","",INDEX($D$48:$D$247,MATCH((($M$44-1)*20+19),$I$48:$I$247,0)))))</x:f>
      </x:c>
      <x:c r="H29" s="465"/>
      <x:c r="I29" s="465"/>
      <x:c r="J29" s="465"/>
      <x:c r="K29" s="465" t="str">
        <x:f>IF((($M$44-1)*20+19)&gt;SUM($H$48:$H$247),"",IF(ISNUMBER(INDEX($E$48:$E$247,MATCH((($M$44-1)*20+19),$I$48:$I$247,0))),INDEX($E$48:$E$247,MATCH((($M$44-1)*20+19),$I$48:$I$247,0)),IF(INDEX($E$48:$E$247,MATCH((($M$44-1)*20+19),$I$48:$I$247,0))="","",INDEX($E$48:$E$247,MATCH((($M$44-1)*20+19),$I$48:$I$247,0)))))</x:f>
      </x:c>
      <x:c r="L29" s="465"/>
      <x:c r="M29" s="465"/>
      <x:c r="N29" s="465" t="str">
        <x:f>IF((($M$44-1)*20+19)&gt;SUM($H$48:$H$247),"",IF(ISNUMBER(INDEX($F$48:$F$247,MATCH((($M$44-1)*20+19),$I$48:$I$247,0))),INDEX($F$48:$F$247,MATCH((($M$44-1)*20+19),$I$48:$I$247,0)),IF(INDEX($F$48:$F$247,MATCH((($M$44-1)*20+19),$I$48:$I$247,0))="","",INDEX($F$48:$F$247,MATCH((($M$44-1)*20+19),$I$48:$I$247,0)))))</x:f>
      </x:c>
      <x:c r="O29" s="465"/>
      <x:c r="P29" s="466" t="str">
        <x:f>IF((($M$44-1)*20+19)&gt;SUM($H$48:$H$247),"",IF(ISNUMBER(INDEX($G$48:$G$247,MATCH((($M$44-1)*20+19),$I$48:$I$247,0))),INDEX($G$48:$G$247,MATCH((($M$44-1)*20+19),$I$48:$I$247,0)),IF(INDEX($G$48:$G$247,MATCH((($M$44-1)*20+19),$I$48:$I$247,0))="","",INDEX($G$48:$G$247,MATCH((($M$44-1)*20+19),$I$48:$I$247,0)))))</x:f>
      </x:c>
      <x:c r="Q29" s="432"/>
    </x:row>
    <x:row r="30" ht="29" customHeight="1">
      <x:c r="A30" s="432"/>
      <x:c r="B30" s="468" t="str">
        <x:f>IF((($M$44-1)*20+20)&gt;SUM($H$48:$H$247),"",IF(ISNUMBER(INDEX($B$48:$B$247,MATCH((($M$44-1)*20+20),$I$48:$I$247,0))),INDEX($B$48:$B$247,MATCH((($M$44-1)*20+20),$I$48:$I$247,0)),IF(INDEX($B$48:$B$247,MATCH((($M$44-1)*20+20),$I$48:$I$247,0))="","",INDEX($B$48:$B$247,MATCH((($M$44-1)*20+20),$I$48:$I$247,0)))))</x:f>
      </x:c>
      <x:c r="C30" s="468"/>
      <x:c r="D30" s="475" t="str">
        <x:f>IF((($M$44-1)*20+20)&gt;SUM($H$48:$H$247),"",IF(ISNUMBER(INDEX($C$48:$C$247,MATCH((($M$44-1)*20+20),$I$48:$I$247,0))),INDEX($C$48:$C$247,MATCH((($M$44-1)*20+20),$I$48:$I$247,0)),IF(INDEX($C$48:$C$247,MATCH((($M$44-1)*20+20),$I$48:$I$247,0))="","",INDEX($C$48:$C$247,MATCH((($M$44-1)*20+20),$I$48:$I$247,0)))))</x:f>
      </x:c>
      <x:c r="E30" s="475"/>
      <x:c r="F30" s="475"/>
      <x:c r="G30" s="468" t="str">
        <x:f>IF((($M$44-1)*20+20)&gt;SUM($H$48:$H$247),"",IF(ISNUMBER(INDEX($D$48:$D$247,MATCH((($M$44-1)*20+20),$I$48:$I$247,0))),INDEX($D$48:$D$247,MATCH((($M$44-1)*20+20),$I$48:$I$247,0)),IF(INDEX($D$48:$D$247,MATCH((($M$44-1)*20+20),$I$48:$I$247,0))="","",INDEX($D$48:$D$247,MATCH((($M$44-1)*20+20),$I$48:$I$247,0)))))</x:f>
      </x:c>
      <x:c r="H30" s="468"/>
      <x:c r="I30" s="468"/>
      <x:c r="J30" s="468"/>
      <x:c r="K30" s="468" t="str">
        <x:f>IF((($M$44-1)*20+20)&gt;SUM($H$48:$H$247),"",IF(ISNUMBER(INDEX($E$48:$E$247,MATCH((($M$44-1)*20+20),$I$48:$I$247,0))),INDEX($E$48:$E$247,MATCH((($M$44-1)*20+20),$I$48:$I$247,0)),IF(INDEX($E$48:$E$247,MATCH((($M$44-1)*20+20),$I$48:$I$247,0))="","",INDEX($E$48:$E$247,MATCH((($M$44-1)*20+20),$I$48:$I$247,0)))))</x:f>
      </x:c>
      <x:c r="L30" s="468"/>
      <x:c r="M30" s="468"/>
      <x:c r="N30" s="468" t="str">
        <x:f>IF((($M$44-1)*20+20)&gt;SUM($H$48:$H$247),"",IF(ISNUMBER(INDEX($F$48:$F$247,MATCH((($M$44-1)*20+20),$I$48:$I$247,0))),INDEX($F$48:$F$247,MATCH((($M$44-1)*20+20),$I$48:$I$247,0)),IF(INDEX($F$48:$F$247,MATCH((($M$44-1)*20+20),$I$48:$I$247,0))="","",INDEX($F$48:$F$247,MATCH((($M$44-1)*20+20),$I$48:$I$247,0)))))</x:f>
      </x:c>
      <x:c r="O30" s="468"/>
      <x:c r="P30" s="469" t="str">
        <x:f>IF((($M$44-1)*20+20)&gt;SUM($H$48:$H$247),"",IF(ISNUMBER(INDEX($G$48:$G$247,MATCH((($M$44-1)*20+20),$I$48:$I$247,0))),INDEX($G$48:$G$247,MATCH((($M$44-1)*20+20),$I$48:$I$247,0)),IF(INDEX($G$48:$G$247,MATCH((($M$44-1)*20+20),$I$48:$I$247,0))="","",INDEX($G$48:$G$247,MATCH((($M$44-1)*20+20),$I$48:$I$247,0)))))</x:f>
      </x:c>
      <x:c r="Q30" s="432"/>
    </x:row>
    <x:row r="31" ht="25" customHeight="1">
      <x:c r="A31" s="432"/>
      <x:c r="B31" s="432"/>
      <x:c r="C31" s="432"/>
      <x:c r="D31" s="432"/>
      <x:c r="E31" s="432"/>
      <x:c r="F31" s="432"/>
      <x:c r="G31" s="432"/>
      <x:c r="H31" s="432"/>
      <x:c r="I31" s="432"/>
      <x:c r="J31" s="432"/>
      <x:c r="K31" s="432"/>
      <x:c r="L31" s="432"/>
      <x:c r="M31" s="432"/>
      <x:c r="N31" s="432"/>
      <x:c r="O31" s="432"/>
      <x:c r="P31" s="432"/>
      <x:c r="Q31" s="432"/>
    </x:row>
    <x:row r="32" ht="25" customHeight="1">
      <x:c r="A32" s="432"/>
      <x:c r="B32" s="432"/>
      <x:c r="C32" s="432"/>
      <x:c r="D32" s="432"/>
      <x:c r="E32" s="432"/>
      <x:c r="F32" s="432"/>
      <x:c r="G32" s="432"/>
      <x:c r="H32" s="432"/>
      <x:c r="I32" s="432"/>
      <x:c r="J32" s="432"/>
      <x:c r="K32" s="432"/>
      <x:c r="L32" s="432"/>
      <x:c r="M32" s="432"/>
      <x:c r="N32" s="432"/>
      <x:c r="O32" s="432"/>
      <x:c r="P32" s="432"/>
      <x:c r="Q32" s="432"/>
    </x:row>
    <x:row r="33" ht="25" customHeight="1">
      <x:c r="A33" s="432"/>
      <x:c r="B33" s="461" t="str">
        <x:v>Use the date-type selector for enquiries, client target dates, viewings, deal milestones, due tasks and payments. Reset Page to 1 after changing your filters.</x:v>
      </x:c>
      <x:c r="C33" s="461"/>
      <x:c r="D33" s="461"/>
      <x:c r="E33" s="461"/>
      <x:c r="F33" s="461"/>
      <x:c r="G33" s="461"/>
      <x:c r="H33" s="461"/>
      <x:c r="I33" s="461"/>
      <x:c r="J33" s="461"/>
      <x:c r="K33" s="461"/>
      <x:c r="L33" s="461"/>
      <x:c r="M33" s="461"/>
      <x:c r="N33" s="461"/>
      <x:c r="O33" s="461"/>
      <x:c r="P33" s="461"/>
      <x:c r="Q33" s="432"/>
    </x:row>
    <x:row r="34" ht="25" customHeight="1">
      <x:c r="A34" s="432"/>
      <x:c r="B34" s="461"/>
      <x:c r="C34" s="461"/>
      <x:c r="D34" s="461"/>
      <x:c r="E34" s="461"/>
      <x:c r="F34" s="461"/>
      <x:c r="G34" s="461"/>
      <x:c r="H34" s="461"/>
      <x:c r="I34" s="461"/>
      <x:c r="J34" s="461"/>
      <x:c r="K34" s="461"/>
      <x:c r="L34" s="461"/>
      <x:c r="M34" s="461"/>
      <x:c r="N34" s="461"/>
      <x:c r="O34" s="461"/>
      <x:c r="P34" s="461"/>
      <x:c r="Q34" s="432"/>
    </x:row>
    <x:row r="35" ht="25" customHeight="1">
      <x:c r="A35" s="432"/>
      <x:c r="B35" s="432"/>
      <x:c r="C35" s="432"/>
      <x:c r="D35" s="432"/>
      <x:c r="E35" s="432"/>
      <x:c r="F35" s="432"/>
      <x:c r="G35" s="432"/>
      <x:c r="H35" s="432"/>
      <x:c r="I35" s="432"/>
      <x:c r="J35" s="432"/>
      <x:c r="K35" s="432"/>
      <x:c r="L35" s="432"/>
      <x:c r="M35" s="432"/>
      <x:c r="N35" s="432"/>
      <x:c r="O35" s="432"/>
      <x:c r="P35" s="432"/>
      <x:c r="Q35" s="432"/>
    </x:row>
    <x:row r="36" ht="25" customHeight="1">
      <x:c r="A36" s="432"/>
      <x:c r="B36" s="432"/>
      <x:c r="C36" s="432"/>
      <x:c r="D36" s="432"/>
      <x:c r="E36" s="432"/>
      <x:c r="F36" s="432"/>
      <x:c r="G36" s="432"/>
      <x:c r="H36" s="432"/>
      <x:c r="I36" s="432"/>
      <x:c r="J36" s="432"/>
      <x:c r="K36" s="432"/>
      <x:c r="L36" s="432"/>
      <x:c r="M36" s="432"/>
      <x:c r="N36" s="432"/>
      <x:c r="O36" s="432"/>
      <x:c r="P36" s="432"/>
      <x:c r="Q36" s="432"/>
    </x:row>
    <x:row r="37" ht="28" customHeight="1">
      <x:c r="A37" s="432"/>
      <x:c r="B37" s="444" t="str">
        <x:v>Date field definitions</x:v>
      </x:c>
      <x:c r="C37" s="444"/>
      <x:c r="D37" s="444"/>
      <x:c r="E37" s="444"/>
      <x:c r="F37" s="444"/>
      <x:c r="G37" s="444"/>
      <x:c r="H37" s="444"/>
      <x:c r="I37" s="432"/>
      <x:c r="J37" s="432"/>
      <x:c r="K37" s="432"/>
      <x:c r="L37" s="432"/>
      <x:c r="M37" s="432"/>
      <x:c r="N37" s="432"/>
      <x:c r="O37" s="432"/>
      <x:c r="P37" s="432"/>
      <x:c r="Q37" s="432"/>
    </x:row>
    <x:row r="38" ht="38" customHeight="1">
      <x:c r="A38" s="432"/>
      <x:c r="B38" s="461" t="str">
        <x:v>New enquiries</x:v>
      </x:c>
      <x:c r="C38" s="461" t="str">
        <x:v>Clients</x:v>
      </x:c>
      <x:c r="D38" s="461" t="str">
        <x:v>Date added</x:v>
      </x:c>
      <x:c r="E38" s="432"/>
      <x:c r="F38" s="432"/>
      <x:c r="G38" s="432"/>
      <x:c r="H38" s="432"/>
      <x:c r="I38" s="432"/>
      <x:c r="J38" s="432"/>
      <x:c r="K38" s="432"/>
      <x:c r="L38" s="432"/>
      <x:c r="M38" s="432"/>
      <x:c r="N38" s="432"/>
      <x:c r="O38" s="432"/>
      <x:c r="P38" s="432"/>
      <x:c r="Q38" s="432"/>
    </x:row>
    <x:row r="39" ht="38" customHeight="1">
      <x:c r="A39" s="432"/>
      <x:c r="B39" s="461" t="str">
        <x:v>Client target dates</x:v>
      </x:c>
      <x:c r="C39" s="461" t="str">
        <x:v>Clients</x:v>
      </x:c>
      <x:c r="D39" s="461" t="str">
        <x:v>Target date</x:v>
      </x:c>
      <x:c r="E39" s="432"/>
      <x:c r="F39" s="432"/>
      <x:c r="G39" s="432"/>
      <x:c r="H39" s="432"/>
      <x:c r="I39" s="432"/>
      <x:c r="J39" s="432"/>
      <x:c r="K39" s="432"/>
      <x:c r="L39" s="432"/>
      <x:c r="M39" s="432"/>
      <x:c r="N39" s="432"/>
      <x:c r="O39" s="432"/>
      <x:c r="P39" s="432"/>
      <x:c r="Q39" s="432"/>
    </x:row>
    <x:row r="40" ht="38" customHeight="1">
      <x:c r="A40" s="432"/>
      <x:c r="B40" s="461" t="str">
        <x:v>Viewings</x:v>
      </x:c>
      <x:c r="C40" s="461" t="str">
        <x:v>Viewings</x:v>
      </x:c>
      <x:c r="D40" s="461" t="str">
        <x:v>Appointment</x:v>
      </x:c>
      <x:c r="E40" s="432"/>
      <x:c r="F40" s="432"/>
      <x:c r="G40" s="432"/>
      <x:c r="H40" s="432"/>
      <x:c r="I40" s="432"/>
      <x:c r="J40" s="432"/>
      <x:c r="K40" s="432"/>
      <x:c r="L40" s="432"/>
      <x:c r="M40" s="432"/>
      <x:c r="N40" s="432"/>
      <x:c r="O40" s="432"/>
      <x:c r="P40" s="432"/>
      <x:c r="Q40" s="432"/>
    </x:row>
    <x:row r="41" ht="38" customHeight="1">
      <x:c r="A41" s="432"/>
      <x:c r="B41" s="461" t="str">
        <x:v>Deals opened</x:v>
      </x:c>
      <x:c r="C41" s="461" t="str">
        <x:v>Deals</x:v>
      </x:c>
      <x:c r="D41" s="461" t="str">
        <x:v>Opened date</x:v>
      </x:c>
      <x:c r="E41" s="432"/>
      <x:c r="F41" s="432"/>
      <x:c r="G41" s="432"/>
      <x:c r="H41" s="432"/>
      <x:c r="I41" s="432"/>
      <x:c r="J41" s="432"/>
      <x:c r="K41" s="432"/>
      <x:c r="L41" s="432"/>
      <x:c r="M41" s="432"/>
      <x:c r="N41" s="432"/>
      <x:c r="O41" s="432"/>
      <x:c r="P41" s="432"/>
      <x:c r="Q41" s="432"/>
    </x:row>
    <x:row r="42" ht="38" customHeight="1">
      <x:c r="A42" s="432"/>
      <x:c r="B42" s="461" t="str">
        <x:v>Target close dates</x:v>
      </x:c>
      <x:c r="C42" s="461" t="str">
        <x:v>Deals</x:v>
      </x:c>
      <x:c r="D42" s="461" t="str">
        <x:v>Target close</x:v>
      </x:c>
      <x:c r="E42" s="432"/>
      <x:c r="F42" s="432"/>
      <x:c r="G42" s="432"/>
      <x:c r="H42" s="432"/>
      <x:c r="I42" s="432"/>
      <x:c r="J42" s="432"/>
      <x:c r="K42" s="432"/>
      <x:c r="L42" s="432" t="str">
        <x:v>Category</x:v>
      </x:c>
      <x:c r="M42" s="432" t="n">
        <x:f>IFERROR(MATCH(B6,B38:B46,0),1)</x:f>
        <x:v>1</x:v>
      </x:c>
      <x:c r="N42" s="432"/>
      <x:c r="O42" s="432"/>
      <x:c r="P42" s="432"/>
      <x:c r="Q42" s="432"/>
    </x:row>
    <x:row r="43" ht="38" customHeight="1">
      <x:c r="A43" s="432"/>
      <x:c r="B43" s="461" t="str">
        <x:v>Deals closed</x:v>
      </x:c>
      <x:c r="C43" s="461" t="str">
        <x:v>Deals</x:v>
      </x:c>
      <x:c r="D43" s="461" t="str">
        <x:v>Closed date</x:v>
      </x:c>
      <x:c r="E43" s="432"/>
      <x:c r="F43" s="432"/>
      <x:c r="G43" s="432"/>
      <x:c r="H43" s="432"/>
      <x:c r="I43" s="432"/>
      <x:c r="J43" s="432"/>
      <x:c r="K43" s="432"/>
      <x:c r="L43" s="432" t="str">
        <x:v>Valid dates</x:v>
      </x:c>
      <x:c r="M43" s="432" t="n">
        <x:f>IF(AND(COUNTIF(B38:B46,B6)=1,ISNUMBER(G6),ISNUMBER(K6),G6&gt;0,K6&gt;=G6),1,0)</x:f>
        <x:v>1</x:v>
      </x:c>
      <x:c r="N43" s="432"/>
      <x:c r="O43" s="432"/>
      <x:c r="P43" s="432"/>
      <x:c r="Q43" s="432"/>
    </x:row>
    <x:row r="44" ht="38" customHeight="1">
      <x:c r="A44" s="432"/>
      <x:c r="B44" s="461" t="str">
        <x:v>Follow-ups due</x:v>
      </x:c>
      <x:c r="C44" s="461" t="str">
        <x:v>Follow-ups</x:v>
      </x:c>
      <x:c r="D44" s="461" t="str">
        <x:v>Due date</x:v>
      </x:c>
      <x:c r="E44" s="432"/>
      <x:c r="F44" s="432"/>
      <x:c r="G44" s="432"/>
      <x:c r="H44" s="432"/>
      <x:c r="I44" s="432"/>
      <x:c r="J44" s="432"/>
      <x:c r="K44" s="432"/>
      <x:c r="L44" s="432" t="str">
        <x:v>Page</x:v>
      </x:c>
      <x:c r="M44" s="432" t="n">
        <x:f>IF(ISNUMBER(O6),MAX(1,INT(O6)),1)</x:f>
        <x:v>1</x:v>
      </x:c>
      <x:c r="N44" s="432"/>
      <x:c r="O44" s="432"/>
      <x:c r="P44" s="432"/>
      <x:c r="Q44" s="432"/>
    </x:row>
    <x:row r="45" ht="38" customHeight="1">
      <x:c r="A45" s="432"/>
      <x:c r="B45" s="461" t="str">
        <x:v>Payments received</x:v>
      </x:c>
      <x:c r="C45" s="461" t="str">
        <x:v>Payments</x:v>
      </x:c>
      <x:c r="D45" s="461" t="str">
        <x:v>Receipt date</x:v>
      </x:c>
      <x:c r="E45" s="432"/>
      <x:c r="F45" s="432"/>
      <x:c r="G45" s="432"/>
      <x:c r="H45" s="432"/>
      <x:c r="I45" s="432"/>
      <x:c r="J45" s="432"/>
      <x:c r="K45" s="432"/>
      <x:c r="L45" s="432"/>
      <x:c r="M45" s="432"/>
      <x:c r="N45" s="432"/>
      <x:c r="O45" s="432"/>
      <x:c r="P45" s="432"/>
      <x:c r="Q45" s="432"/>
    </x:row>
    <x:row r="46" ht="38" customHeight="1">
      <x:c r="A46" s="432"/>
      <x:c r="B46" s="461" t="str">
        <x:v>Expenses paid</x:v>
      </x:c>
      <x:c r="C46" s="461" t="str">
        <x:v>Expenses</x:v>
      </x:c>
      <x:c r="D46" s="461" t="str">
        <x:v>Date paid</x:v>
      </x:c>
      <x:c r="E46" s="432"/>
      <x:c r="F46" s="432"/>
      <x:c r="G46" s="432"/>
      <x:c r="H46" s="432"/>
      <x:c r="I46" s="432"/>
      <x:c r="J46" s="432"/>
      <x:c r="K46" s="432"/>
      <x:c r="L46" s="432"/>
      <x:c r="M46" s="432"/>
      <x:c r="N46" s="432"/>
      <x:c r="O46" s="432"/>
      <x:c r="P46" s="432"/>
      <x:c r="Q46" s="432"/>
    </x:row>
    <x:row r="47" ht="37" customHeight="1">
      <x:c r="A47" s="432"/>
      <x:c r="B47" s="464" t="str">
        <x:v>ID</x:v>
      </x:c>
      <x:c r="C47" s="464" t="str">
        <x:v>Date</x:v>
      </x:c>
      <x:c r="D47" s="464" t="str">
        <x:v>Client / supplier</x:v>
      </x:c>
      <x:c r="E47" s="464" t="str">
        <x:v>Property / ref</x:v>
      </x:c>
      <x:c r="F47" s="464" t="str">
        <x:v>Status</x:v>
      </x:c>
      <x:c r="G47" s="464" t="str">
        <x:v>Amount</x:v>
      </x:c>
      <x:c r="H47" s="464" t="str">
        <x:v>Included</x:v>
      </x:c>
      <x:c r="I47" s="464" t="str">
        <x:v>Order</x:v>
      </x:c>
      <x:c r="J47" s="432"/>
      <x:c r="K47" s="432"/>
      <x:c r="L47" s="432"/>
      <x:c r="M47" s="432"/>
      <x:c r="N47" s="432"/>
      <x:c r="O47" s="432"/>
      <x:c r="P47" s="432"/>
      <x:c r="Q47" s="432"/>
    </x:row>
    <x:row r="48" ht="25" customHeight="1">
      <x:c r="A48" s="432"/>
      <x:c r="B48" s="432" t="str">
        <x:f>IF(CHOOSE($M$42,'Clients'!A6,'Clients'!A6,'Viewings'!A6,'Deals'!A6,'Deals'!A6,'Deals'!A6,'Follow-ups'!A6,'Payments'!A6,'Expenses'!A6)="","",CHOOSE($M$42,'Clients'!A6,'Clients'!A6,'Viewings'!A6,'Deals'!A6,'Deals'!A6,'Deals'!A6,'Follow-ups'!A6,'Payments'!A6,'Expenses'!A6))</x:f>
      </x:c>
      <x:c r="C48" s="472" t="str">
        <x:f>IF(B48="","",IF(CHOOSE($M$42,'Clients'!R6,'Clients'!Q6,'Viewings'!D6,'Deals'!X6,'Deals'!Y6,'Deals'!Z6,'Follow-ups'!H6,'Payments'!C6,'Expenses'!B6)="","",CHOOSE($M$42,'Clients'!R6,'Clients'!Q6,'Viewings'!D6,'Deals'!X6,'Deals'!Y6,'Deals'!Z6,'Follow-ups'!H6,'Payments'!C6,'Expenses'!B6)))</x:f>
      </x:c>
      <x:c r="D48" s="432" t="str">
        <x:f>IF(B48="","",IF(ISNUMBER(CHOOSE($M$42,'Clients'!B6,'Clients'!B6,'Viewings'!H6,IF('Deals'!B6="","",IF(COUNTIFS('Clients'!$A$6:$A$205,'Deals'!B6)&lt;&gt;1,"Check Client ID",INDEX('Clients'!$B$6:$B$205,MATCH('Deals'!B6,'Clients'!$A$6:$A$205,0)))),IF('Deals'!B6="","",IF(COUNTIFS('Clients'!$A$6:$A$205,'Deals'!B6)&lt;&gt;1,"Check Client ID",INDEX('Clients'!$B$6:$B$205,MATCH('Deals'!B6,'Clients'!$A$6:$A$205,0)))),IF('Deals'!B6="","",IF(COUNTIFS('Clients'!$A$6:$A$205,'Deals'!B6)&lt;&gt;1,"Check Client ID",INDEX('Clients'!$B$6:$B$205,MATCH('Deals'!B6,'Clients'!$A$6:$A$205,0)))),'Follow-ups'!K6,'Payments'!B6,'Expenses'!D6)),CHOOSE($M$42,'Clients'!B6,'Clients'!B6,'Viewings'!H6,IF('Deals'!B6="","",IF(COUNTIFS('Clients'!$A$6:$A$205,'Deals'!B6)&lt;&gt;1,"Check Client ID",INDEX('Clients'!$B$6:$B$205,MATCH('Deals'!B6,'Clients'!$A$6:$A$205,0)))),IF('Deals'!B6="","",IF(COUNTIFS('Clients'!$A$6:$A$205,'Deals'!B6)&lt;&gt;1,"Check Client ID",INDEX('Clients'!$B$6:$B$205,MATCH('Deals'!B6,'Clients'!$A$6:$A$205,0)))),IF('Deals'!B6="","",IF(COUNTIFS('Clients'!$A$6:$A$205,'Deals'!B6)&lt;&gt;1,"Check Client ID",INDEX('Clients'!$B$6:$B$205,MATCH('Deals'!B6,'Clients'!$A$6:$A$205,0)))),'Follow-ups'!K6,'Payments'!B6,'Expenses'!D6),IF(CHOOSE($M$42,'Clients'!B6,'Clients'!B6,'Viewings'!H6,IF('Deals'!B6="","",IF(COUNTIFS('Clients'!$A$6:$A$205,'Deals'!B6)&lt;&gt;1,"Check Client ID",INDEX('Clients'!$B$6:$B$205,MATCH('Deals'!B6,'Clients'!$A$6:$A$205,0)))),IF('Deals'!B6="","",IF(COUNTIFS('Clients'!$A$6:$A$205,'Deals'!B6)&lt;&gt;1,"Check Client ID",INDEX('Clients'!$B$6:$B$205,MATCH('Deals'!B6,'Clients'!$A$6:$A$205,0)))),IF('Deals'!B6="","",IF(COUNTIFS('Clients'!$A$6:$A$205,'Deals'!B6)&lt;&gt;1,"Check Client ID",INDEX('Clients'!$B$6:$B$205,MATCH('Deals'!B6,'Clients'!$A$6:$A$205,0)))),'Follow-ups'!K6,'Payments'!B6,'Expenses'!D6)="","",CHOOSE($M$42,'Clients'!B6,'Clients'!B6,'Viewings'!H6,IF('Deals'!B6="","",IF(COUNTIFS('Clients'!$A$6:$A$205,'Deals'!B6)&lt;&gt;1,"Check Client ID",INDEX('Clients'!$B$6:$B$205,MATCH('Deals'!B6,'Clients'!$A$6:$A$205,0)))),IF('Deals'!B6="","",IF(COUNTIFS('Clients'!$A$6:$A$205,'Deals'!B6)&lt;&gt;1,"Check Client ID",INDEX('Clients'!$B$6:$B$205,MATCH('Deals'!B6,'Clients'!$A$6:$A$205,0)))),IF('Deals'!B6="","",IF(COUNTIFS('Clients'!$A$6:$A$205,'Deals'!B6)&lt;&gt;1,"Check Client ID",INDEX('Clients'!$B$6:$B$205,MATCH('Deals'!B6,'Clients'!$A$6:$A$205,0)))),'Follow-ups'!K6,'Payments'!B6,'Expenses'!D6))))</x:f>
      </x:c>
      <x:c r="E48" s="432" t="str">
        <x:f>IF(B48="","",IF(ISNUMBER(CHOOSE($M$42,'Clients'!K6,'Clients'!K6,'Viewings'!I6,'Deals'!C6,'Deals'!C6,'Deals'!C6,'Follow-ups'!L6,'Payments'!G6,'Expenses'!F6)),CHOOSE($M$42,'Clients'!K6,'Clients'!K6,'Viewings'!I6,'Deals'!C6,'Deals'!C6,'Deals'!C6,'Follow-ups'!L6,'Payments'!G6,'Expenses'!F6),IF(CHOOSE($M$42,'Clients'!K6,'Clients'!K6,'Viewings'!I6,'Deals'!C6,'Deals'!C6,'Deals'!C6,'Follow-ups'!L6,'Payments'!G6,'Expenses'!F6)="","",CHOOSE($M$42,'Clients'!K6,'Clients'!K6,'Viewings'!I6,'Deals'!C6,'Deals'!C6,'Deals'!C6,'Follow-ups'!L6,'Payments'!G6,'Expenses'!F6))))</x:f>
      </x:c>
      <x:c r="F48" s="432" t="str">
        <x:f>IF(B48="","",IF(ISNUMBER(CHOOSE($M$42,'Clients'!H6,'Clients'!H6,'Viewings'!E6,'Deals'!E6,'Deals'!E6,'Deals'!E6,'Follow-ups'!I6,"Receipt",'Expenses'!C6)),CHOOSE($M$42,'Clients'!H6,'Clients'!H6,'Viewings'!E6,'Deals'!E6,'Deals'!E6,'Deals'!E6,'Follow-ups'!I6,"Receipt",'Expenses'!C6),IF(CHOOSE($M$42,'Clients'!H6,'Clients'!H6,'Viewings'!E6,'Deals'!E6,'Deals'!E6,'Deals'!E6,'Follow-ups'!I6,"Receipt",'Expenses'!C6)="","",CHOOSE($M$42,'Clients'!H6,'Clients'!H6,'Viewings'!E6,'Deals'!E6,'Deals'!E6,'Deals'!E6,'Follow-ups'!I6,"Receipt",'Expenses'!C6))))</x:f>
      </x:c>
      <x:c r="G48" s="473" t="str">
        <x:f>IF(B48="","",IF(ISNUMBER(CHOOSE($M$42,"","","",'Deals'!F6,'Deals'!F6,'Deals'!F6,"",'Payments'!D6,'Expenses'!G6)),CHOOSE($M$42,"","","",'Deals'!F6,'Deals'!F6,'Deals'!F6,"",'Payments'!D6,'Expenses'!G6),IF(CHOOSE($M$42,"","","",'Deals'!F6,'Deals'!F6,'Deals'!F6,"",'Payments'!D6,'Expenses'!G6)="","",CHOOSE($M$42,"","","",'Deals'!F6,'Deals'!F6,'Deals'!F6,"",'Payments'!D6,'Expenses'!G6))))</x:f>
      </x:c>
      <x:c r="H48" s="432" t="n">
        <x:f>IF(AND($M$43=1,B48&lt;&gt;"",ISNUMBER(C48),C48&gt;=$G$6,C48&lt;$K$6+1),1,0)</x:f>
        <x:v>0</x:v>
      </x:c>
      <x:c r="I48" s="432" t="str">
        <x:f>IF(H48=0,"",COUNTIFS($H$48:$H$247,1,$C$48:$C$247,"&lt;"&amp;C48)+COUNTIFS($H$48:H48,1,$C$48:C48,C48))</x:f>
      </x:c>
      <x:c r="J48" s="432"/>
      <x:c r="K48" s="432"/>
      <x:c r="L48" s="432"/>
      <x:c r="M48" s="432"/>
      <x:c r="N48" s="432"/>
      <x:c r="O48" s="432"/>
      <x:c r="P48" s="432"/>
      <x:c r="Q48" s="432"/>
    </x:row>
    <x:row r="49" ht="25" customHeight="1">
      <x:c r="A49" s="432"/>
      <x:c r="B49" s="432" t="str">
        <x:f>IF(CHOOSE($M$42,'Clients'!A7,'Clients'!A7,'Viewings'!A7,'Deals'!A7,'Deals'!A7,'Deals'!A7,'Follow-ups'!A7,'Payments'!A7,'Expenses'!A7)="","",CHOOSE($M$42,'Clients'!A7,'Clients'!A7,'Viewings'!A7,'Deals'!A7,'Deals'!A7,'Deals'!A7,'Follow-ups'!A7,'Payments'!A7,'Expenses'!A7))</x:f>
      </x:c>
      <x:c r="C49" s="472" t="str">
        <x:f>IF(B49="","",IF(CHOOSE($M$42,'Clients'!R7,'Clients'!Q7,'Viewings'!D7,'Deals'!X7,'Deals'!Y7,'Deals'!Z7,'Follow-ups'!H7,'Payments'!C7,'Expenses'!B7)="","",CHOOSE($M$42,'Clients'!R7,'Clients'!Q7,'Viewings'!D7,'Deals'!X7,'Deals'!Y7,'Deals'!Z7,'Follow-ups'!H7,'Payments'!C7,'Expenses'!B7)))</x:f>
      </x:c>
      <x:c r="D49" s="432" t="str">
        <x:f>IF(B49="","",IF(ISNUMBER(CHOOSE($M$42,'Clients'!B7,'Clients'!B7,'Viewings'!H7,IF('Deals'!B7="","",IF(COUNTIFS('Clients'!$A$6:$A$205,'Deals'!B7)&lt;&gt;1,"Check Client ID",INDEX('Clients'!$B$6:$B$205,MATCH('Deals'!B7,'Clients'!$A$6:$A$205,0)))),IF('Deals'!B7="","",IF(COUNTIFS('Clients'!$A$6:$A$205,'Deals'!B7)&lt;&gt;1,"Check Client ID",INDEX('Clients'!$B$6:$B$205,MATCH('Deals'!B7,'Clients'!$A$6:$A$205,0)))),IF('Deals'!B7="","",IF(COUNTIFS('Clients'!$A$6:$A$205,'Deals'!B7)&lt;&gt;1,"Check Client ID",INDEX('Clients'!$B$6:$B$205,MATCH('Deals'!B7,'Clients'!$A$6:$A$205,0)))),'Follow-ups'!K7,'Payments'!B7,'Expenses'!D7)),CHOOSE($M$42,'Clients'!B7,'Clients'!B7,'Viewings'!H7,IF('Deals'!B7="","",IF(COUNTIFS('Clients'!$A$6:$A$205,'Deals'!B7)&lt;&gt;1,"Check Client ID",INDEX('Clients'!$B$6:$B$205,MATCH('Deals'!B7,'Clients'!$A$6:$A$205,0)))),IF('Deals'!B7="","",IF(COUNTIFS('Clients'!$A$6:$A$205,'Deals'!B7)&lt;&gt;1,"Check Client ID",INDEX('Clients'!$B$6:$B$205,MATCH('Deals'!B7,'Clients'!$A$6:$A$205,0)))),IF('Deals'!B7="","",IF(COUNTIFS('Clients'!$A$6:$A$205,'Deals'!B7)&lt;&gt;1,"Check Client ID",INDEX('Clients'!$B$6:$B$205,MATCH('Deals'!B7,'Clients'!$A$6:$A$205,0)))),'Follow-ups'!K7,'Payments'!B7,'Expenses'!D7),IF(CHOOSE($M$42,'Clients'!B7,'Clients'!B7,'Viewings'!H7,IF('Deals'!B7="","",IF(COUNTIFS('Clients'!$A$6:$A$205,'Deals'!B7)&lt;&gt;1,"Check Client ID",INDEX('Clients'!$B$6:$B$205,MATCH('Deals'!B7,'Clients'!$A$6:$A$205,0)))),IF('Deals'!B7="","",IF(COUNTIFS('Clients'!$A$6:$A$205,'Deals'!B7)&lt;&gt;1,"Check Client ID",INDEX('Clients'!$B$6:$B$205,MATCH('Deals'!B7,'Clients'!$A$6:$A$205,0)))),IF('Deals'!B7="","",IF(COUNTIFS('Clients'!$A$6:$A$205,'Deals'!B7)&lt;&gt;1,"Check Client ID",INDEX('Clients'!$B$6:$B$205,MATCH('Deals'!B7,'Clients'!$A$6:$A$205,0)))),'Follow-ups'!K7,'Payments'!B7,'Expenses'!D7)="","",CHOOSE($M$42,'Clients'!B7,'Clients'!B7,'Viewings'!H7,IF('Deals'!B7="","",IF(COUNTIFS('Clients'!$A$6:$A$205,'Deals'!B7)&lt;&gt;1,"Check Client ID",INDEX('Clients'!$B$6:$B$205,MATCH('Deals'!B7,'Clients'!$A$6:$A$205,0)))),IF('Deals'!B7="","",IF(COUNTIFS('Clients'!$A$6:$A$205,'Deals'!B7)&lt;&gt;1,"Check Client ID",INDEX('Clients'!$B$6:$B$205,MATCH('Deals'!B7,'Clients'!$A$6:$A$205,0)))),IF('Deals'!B7="","",IF(COUNTIFS('Clients'!$A$6:$A$205,'Deals'!B7)&lt;&gt;1,"Check Client ID",INDEX('Clients'!$B$6:$B$205,MATCH('Deals'!B7,'Clients'!$A$6:$A$205,0)))),'Follow-ups'!K7,'Payments'!B7,'Expenses'!D7))))</x:f>
      </x:c>
      <x:c r="E49" s="432" t="str">
        <x:f>IF(B49="","",IF(ISNUMBER(CHOOSE($M$42,'Clients'!K7,'Clients'!K7,'Viewings'!I7,'Deals'!C7,'Deals'!C7,'Deals'!C7,'Follow-ups'!L7,'Payments'!G7,'Expenses'!F7)),CHOOSE($M$42,'Clients'!K7,'Clients'!K7,'Viewings'!I7,'Deals'!C7,'Deals'!C7,'Deals'!C7,'Follow-ups'!L7,'Payments'!G7,'Expenses'!F7),IF(CHOOSE($M$42,'Clients'!K7,'Clients'!K7,'Viewings'!I7,'Deals'!C7,'Deals'!C7,'Deals'!C7,'Follow-ups'!L7,'Payments'!G7,'Expenses'!F7)="","",CHOOSE($M$42,'Clients'!K7,'Clients'!K7,'Viewings'!I7,'Deals'!C7,'Deals'!C7,'Deals'!C7,'Follow-ups'!L7,'Payments'!G7,'Expenses'!F7))))</x:f>
      </x:c>
      <x:c r="F49" s="432" t="str">
        <x:f>IF(B49="","",IF(ISNUMBER(CHOOSE($M$42,'Clients'!H7,'Clients'!H7,'Viewings'!E7,'Deals'!E7,'Deals'!E7,'Deals'!E7,'Follow-ups'!I7,"Receipt",'Expenses'!C7)),CHOOSE($M$42,'Clients'!H7,'Clients'!H7,'Viewings'!E7,'Deals'!E7,'Deals'!E7,'Deals'!E7,'Follow-ups'!I7,"Receipt",'Expenses'!C7),IF(CHOOSE($M$42,'Clients'!H7,'Clients'!H7,'Viewings'!E7,'Deals'!E7,'Deals'!E7,'Deals'!E7,'Follow-ups'!I7,"Receipt",'Expenses'!C7)="","",CHOOSE($M$42,'Clients'!H7,'Clients'!H7,'Viewings'!E7,'Deals'!E7,'Deals'!E7,'Deals'!E7,'Follow-ups'!I7,"Receipt",'Expenses'!C7))))</x:f>
      </x:c>
      <x:c r="G49" s="473" t="str">
        <x:f>IF(B49="","",IF(ISNUMBER(CHOOSE($M$42,"","","",'Deals'!F7,'Deals'!F7,'Deals'!F7,"",'Payments'!D7,'Expenses'!G7)),CHOOSE($M$42,"","","",'Deals'!F7,'Deals'!F7,'Deals'!F7,"",'Payments'!D7,'Expenses'!G7),IF(CHOOSE($M$42,"","","",'Deals'!F7,'Deals'!F7,'Deals'!F7,"",'Payments'!D7,'Expenses'!G7)="","",CHOOSE($M$42,"","","",'Deals'!F7,'Deals'!F7,'Deals'!F7,"",'Payments'!D7,'Expenses'!G7))))</x:f>
      </x:c>
      <x:c r="H49" s="432" t="n">
        <x:f>IF(AND($M$43=1,B49&lt;&gt;"",ISNUMBER(C49),C49&gt;=$G$6,C49&lt;$K$6+1),1,0)</x:f>
        <x:v>0</x:v>
      </x:c>
      <x:c r="I49" s="432" t="str">
        <x:f>IF(H49=0,"",COUNTIFS($H$48:$H$247,1,$C$48:$C$247,"&lt;"&amp;C49)+COUNTIFS($H$48:H49,1,$C$48:C49,C49))</x:f>
      </x:c>
      <x:c r="J49" s="432"/>
      <x:c r="K49" s="432"/>
      <x:c r="L49" s="432"/>
      <x:c r="M49" s="432"/>
      <x:c r="N49" s="432"/>
      <x:c r="O49" s="432"/>
      <x:c r="P49" s="432"/>
      <x:c r="Q49" s="432"/>
    </x:row>
    <x:row r="50" ht="25" customHeight="1">
      <x:c r="A50" s="432"/>
      <x:c r="B50" s="432" t="str">
        <x:f>IF(CHOOSE($M$42,'Clients'!A8,'Clients'!A8,'Viewings'!A8,'Deals'!A8,'Deals'!A8,'Deals'!A8,'Follow-ups'!A8,'Payments'!A8,'Expenses'!A8)="","",CHOOSE($M$42,'Clients'!A8,'Clients'!A8,'Viewings'!A8,'Deals'!A8,'Deals'!A8,'Deals'!A8,'Follow-ups'!A8,'Payments'!A8,'Expenses'!A8))</x:f>
      </x:c>
      <x:c r="C50" s="472" t="str">
        <x:f>IF(B50="","",IF(CHOOSE($M$42,'Clients'!R8,'Clients'!Q8,'Viewings'!D8,'Deals'!X8,'Deals'!Y8,'Deals'!Z8,'Follow-ups'!H8,'Payments'!C8,'Expenses'!B8)="","",CHOOSE($M$42,'Clients'!R8,'Clients'!Q8,'Viewings'!D8,'Deals'!X8,'Deals'!Y8,'Deals'!Z8,'Follow-ups'!H8,'Payments'!C8,'Expenses'!B8)))</x:f>
      </x:c>
      <x:c r="D50" s="432" t="str">
        <x:f>IF(B50="","",IF(ISNUMBER(CHOOSE($M$42,'Clients'!B8,'Clients'!B8,'Viewings'!H8,IF('Deals'!B8="","",IF(COUNTIFS('Clients'!$A$6:$A$205,'Deals'!B8)&lt;&gt;1,"Check Client ID",INDEX('Clients'!$B$6:$B$205,MATCH('Deals'!B8,'Clients'!$A$6:$A$205,0)))),IF('Deals'!B8="","",IF(COUNTIFS('Clients'!$A$6:$A$205,'Deals'!B8)&lt;&gt;1,"Check Client ID",INDEX('Clients'!$B$6:$B$205,MATCH('Deals'!B8,'Clients'!$A$6:$A$205,0)))),IF('Deals'!B8="","",IF(COUNTIFS('Clients'!$A$6:$A$205,'Deals'!B8)&lt;&gt;1,"Check Client ID",INDEX('Clients'!$B$6:$B$205,MATCH('Deals'!B8,'Clients'!$A$6:$A$205,0)))),'Follow-ups'!K8,'Payments'!B8,'Expenses'!D8)),CHOOSE($M$42,'Clients'!B8,'Clients'!B8,'Viewings'!H8,IF('Deals'!B8="","",IF(COUNTIFS('Clients'!$A$6:$A$205,'Deals'!B8)&lt;&gt;1,"Check Client ID",INDEX('Clients'!$B$6:$B$205,MATCH('Deals'!B8,'Clients'!$A$6:$A$205,0)))),IF('Deals'!B8="","",IF(COUNTIFS('Clients'!$A$6:$A$205,'Deals'!B8)&lt;&gt;1,"Check Client ID",INDEX('Clients'!$B$6:$B$205,MATCH('Deals'!B8,'Clients'!$A$6:$A$205,0)))),IF('Deals'!B8="","",IF(COUNTIFS('Clients'!$A$6:$A$205,'Deals'!B8)&lt;&gt;1,"Check Client ID",INDEX('Clients'!$B$6:$B$205,MATCH('Deals'!B8,'Clients'!$A$6:$A$205,0)))),'Follow-ups'!K8,'Payments'!B8,'Expenses'!D8),IF(CHOOSE($M$42,'Clients'!B8,'Clients'!B8,'Viewings'!H8,IF('Deals'!B8="","",IF(COUNTIFS('Clients'!$A$6:$A$205,'Deals'!B8)&lt;&gt;1,"Check Client ID",INDEX('Clients'!$B$6:$B$205,MATCH('Deals'!B8,'Clients'!$A$6:$A$205,0)))),IF('Deals'!B8="","",IF(COUNTIFS('Clients'!$A$6:$A$205,'Deals'!B8)&lt;&gt;1,"Check Client ID",INDEX('Clients'!$B$6:$B$205,MATCH('Deals'!B8,'Clients'!$A$6:$A$205,0)))),IF('Deals'!B8="","",IF(COUNTIFS('Clients'!$A$6:$A$205,'Deals'!B8)&lt;&gt;1,"Check Client ID",INDEX('Clients'!$B$6:$B$205,MATCH('Deals'!B8,'Clients'!$A$6:$A$205,0)))),'Follow-ups'!K8,'Payments'!B8,'Expenses'!D8)="","",CHOOSE($M$42,'Clients'!B8,'Clients'!B8,'Viewings'!H8,IF('Deals'!B8="","",IF(COUNTIFS('Clients'!$A$6:$A$205,'Deals'!B8)&lt;&gt;1,"Check Client ID",INDEX('Clients'!$B$6:$B$205,MATCH('Deals'!B8,'Clients'!$A$6:$A$205,0)))),IF('Deals'!B8="","",IF(COUNTIFS('Clients'!$A$6:$A$205,'Deals'!B8)&lt;&gt;1,"Check Client ID",INDEX('Clients'!$B$6:$B$205,MATCH('Deals'!B8,'Clients'!$A$6:$A$205,0)))),IF('Deals'!B8="","",IF(COUNTIFS('Clients'!$A$6:$A$205,'Deals'!B8)&lt;&gt;1,"Check Client ID",INDEX('Clients'!$B$6:$B$205,MATCH('Deals'!B8,'Clients'!$A$6:$A$205,0)))),'Follow-ups'!K8,'Payments'!B8,'Expenses'!D8))))</x:f>
      </x:c>
      <x:c r="E50" s="432" t="str">
        <x:f>IF(B50="","",IF(ISNUMBER(CHOOSE($M$42,'Clients'!K8,'Clients'!K8,'Viewings'!I8,'Deals'!C8,'Deals'!C8,'Deals'!C8,'Follow-ups'!L8,'Payments'!G8,'Expenses'!F8)),CHOOSE($M$42,'Clients'!K8,'Clients'!K8,'Viewings'!I8,'Deals'!C8,'Deals'!C8,'Deals'!C8,'Follow-ups'!L8,'Payments'!G8,'Expenses'!F8),IF(CHOOSE($M$42,'Clients'!K8,'Clients'!K8,'Viewings'!I8,'Deals'!C8,'Deals'!C8,'Deals'!C8,'Follow-ups'!L8,'Payments'!G8,'Expenses'!F8)="","",CHOOSE($M$42,'Clients'!K8,'Clients'!K8,'Viewings'!I8,'Deals'!C8,'Deals'!C8,'Deals'!C8,'Follow-ups'!L8,'Payments'!G8,'Expenses'!F8))))</x:f>
      </x:c>
      <x:c r="F50" s="432" t="str">
        <x:f>IF(B50="","",IF(ISNUMBER(CHOOSE($M$42,'Clients'!H8,'Clients'!H8,'Viewings'!E8,'Deals'!E8,'Deals'!E8,'Deals'!E8,'Follow-ups'!I8,"Receipt",'Expenses'!C8)),CHOOSE($M$42,'Clients'!H8,'Clients'!H8,'Viewings'!E8,'Deals'!E8,'Deals'!E8,'Deals'!E8,'Follow-ups'!I8,"Receipt",'Expenses'!C8),IF(CHOOSE($M$42,'Clients'!H8,'Clients'!H8,'Viewings'!E8,'Deals'!E8,'Deals'!E8,'Deals'!E8,'Follow-ups'!I8,"Receipt",'Expenses'!C8)="","",CHOOSE($M$42,'Clients'!H8,'Clients'!H8,'Viewings'!E8,'Deals'!E8,'Deals'!E8,'Deals'!E8,'Follow-ups'!I8,"Receipt",'Expenses'!C8))))</x:f>
      </x:c>
      <x:c r="G50" s="473" t="str">
        <x:f>IF(B50="","",IF(ISNUMBER(CHOOSE($M$42,"","","",'Deals'!F8,'Deals'!F8,'Deals'!F8,"",'Payments'!D8,'Expenses'!G8)),CHOOSE($M$42,"","","",'Deals'!F8,'Deals'!F8,'Deals'!F8,"",'Payments'!D8,'Expenses'!G8),IF(CHOOSE($M$42,"","","",'Deals'!F8,'Deals'!F8,'Deals'!F8,"",'Payments'!D8,'Expenses'!G8)="","",CHOOSE($M$42,"","","",'Deals'!F8,'Deals'!F8,'Deals'!F8,"",'Payments'!D8,'Expenses'!G8))))</x:f>
      </x:c>
      <x:c r="H50" s="432" t="n">
        <x:f>IF(AND($M$43=1,B50&lt;&gt;"",ISNUMBER(C50),C50&gt;=$G$6,C50&lt;$K$6+1),1,0)</x:f>
        <x:v>0</x:v>
      </x:c>
      <x:c r="I50" s="432" t="str">
        <x:f>IF(H50=0,"",COUNTIFS($H$48:$H$247,1,$C$48:$C$247,"&lt;"&amp;C50)+COUNTIFS($H$48:H50,1,$C$48:C50,C50))</x:f>
      </x:c>
      <x:c r="J50" s="432"/>
      <x:c r="K50" s="432"/>
      <x:c r="L50" s="432"/>
      <x:c r="M50" s="432"/>
      <x:c r="N50" s="432"/>
      <x:c r="O50" s="432"/>
      <x:c r="P50" s="432"/>
      <x:c r="Q50" s="432"/>
    </x:row>
    <x:row r="51" ht="25" customHeight="1">
      <x:c r="A51" s="432"/>
      <x:c r="B51" s="432" t="str">
        <x:f>IF(CHOOSE($M$42,'Clients'!A9,'Clients'!A9,'Viewings'!A9,'Deals'!A9,'Deals'!A9,'Deals'!A9,'Follow-ups'!A9,'Payments'!A9,'Expenses'!A9)="","",CHOOSE($M$42,'Clients'!A9,'Clients'!A9,'Viewings'!A9,'Deals'!A9,'Deals'!A9,'Deals'!A9,'Follow-ups'!A9,'Payments'!A9,'Expenses'!A9))</x:f>
      </x:c>
      <x:c r="C51" s="472" t="str">
        <x:f>IF(B51="","",IF(CHOOSE($M$42,'Clients'!R9,'Clients'!Q9,'Viewings'!D9,'Deals'!X9,'Deals'!Y9,'Deals'!Z9,'Follow-ups'!H9,'Payments'!C9,'Expenses'!B9)="","",CHOOSE($M$42,'Clients'!R9,'Clients'!Q9,'Viewings'!D9,'Deals'!X9,'Deals'!Y9,'Deals'!Z9,'Follow-ups'!H9,'Payments'!C9,'Expenses'!B9)))</x:f>
      </x:c>
      <x:c r="D51" s="432" t="str">
        <x:f>IF(B51="","",IF(ISNUMBER(CHOOSE($M$42,'Clients'!B9,'Clients'!B9,'Viewings'!H9,IF('Deals'!B9="","",IF(COUNTIFS('Clients'!$A$6:$A$205,'Deals'!B9)&lt;&gt;1,"Check Client ID",INDEX('Clients'!$B$6:$B$205,MATCH('Deals'!B9,'Clients'!$A$6:$A$205,0)))),IF('Deals'!B9="","",IF(COUNTIFS('Clients'!$A$6:$A$205,'Deals'!B9)&lt;&gt;1,"Check Client ID",INDEX('Clients'!$B$6:$B$205,MATCH('Deals'!B9,'Clients'!$A$6:$A$205,0)))),IF('Deals'!B9="","",IF(COUNTIFS('Clients'!$A$6:$A$205,'Deals'!B9)&lt;&gt;1,"Check Client ID",INDEX('Clients'!$B$6:$B$205,MATCH('Deals'!B9,'Clients'!$A$6:$A$205,0)))),'Follow-ups'!K9,'Payments'!B9,'Expenses'!D9)),CHOOSE($M$42,'Clients'!B9,'Clients'!B9,'Viewings'!H9,IF('Deals'!B9="","",IF(COUNTIFS('Clients'!$A$6:$A$205,'Deals'!B9)&lt;&gt;1,"Check Client ID",INDEX('Clients'!$B$6:$B$205,MATCH('Deals'!B9,'Clients'!$A$6:$A$205,0)))),IF('Deals'!B9="","",IF(COUNTIFS('Clients'!$A$6:$A$205,'Deals'!B9)&lt;&gt;1,"Check Client ID",INDEX('Clients'!$B$6:$B$205,MATCH('Deals'!B9,'Clients'!$A$6:$A$205,0)))),IF('Deals'!B9="","",IF(COUNTIFS('Clients'!$A$6:$A$205,'Deals'!B9)&lt;&gt;1,"Check Client ID",INDEX('Clients'!$B$6:$B$205,MATCH('Deals'!B9,'Clients'!$A$6:$A$205,0)))),'Follow-ups'!K9,'Payments'!B9,'Expenses'!D9),IF(CHOOSE($M$42,'Clients'!B9,'Clients'!B9,'Viewings'!H9,IF('Deals'!B9="","",IF(COUNTIFS('Clients'!$A$6:$A$205,'Deals'!B9)&lt;&gt;1,"Check Client ID",INDEX('Clients'!$B$6:$B$205,MATCH('Deals'!B9,'Clients'!$A$6:$A$205,0)))),IF('Deals'!B9="","",IF(COUNTIFS('Clients'!$A$6:$A$205,'Deals'!B9)&lt;&gt;1,"Check Client ID",INDEX('Clients'!$B$6:$B$205,MATCH('Deals'!B9,'Clients'!$A$6:$A$205,0)))),IF('Deals'!B9="","",IF(COUNTIFS('Clients'!$A$6:$A$205,'Deals'!B9)&lt;&gt;1,"Check Client ID",INDEX('Clients'!$B$6:$B$205,MATCH('Deals'!B9,'Clients'!$A$6:$A$205,0)))),'Follow-ups'!K9,'Payments'!B9,'Expenses'!D9)="","",CHOOSE($M$42,'Clients'!B9,'Clients'!B9,'Viewings'!H9,IF('Deals'!B9="","",IF(COUNTIFS('Clients'!$A$6:$A$205,'Deals'!B9)&lt;&gt;1,"Check Client ID",INDEX('Clients'!$B$6:$B$205,MATCH('Deals'!B9,'Clients'!$A$6:$A$205,0)))),IF('Deals'!B9="","",IF(COUNTIFS('Clients'!$A$6:$A$205,'Deals'!B9)&lt;&gt;1,"Check Client ID",INDEX('Clients'!$B$6:$B$205,MATCH('Deals'!B9,'Clients'!$A$6:$A$205,0)))),IF('Deals'!B9="","",IF(COUNTIFS('Clients'!$A$6:$A$205,'Deals'!B9)&lt;&gt;1,"Check Client ID",INDEX('Clients'!$B$6:$B$205,MATCH('Deals'!B9,'Clients'!$A$6:$A$205,0)))),'Follow-ups'!K9,'Payments'!B9,'Expenses'!D9))))</x:f>
      </x:c>
      <x:c r="E51" s="432" t="str">
        <x:f>IF(B51="","",IF(ISNUMBER(CHOOSE($M$42,'Clients'!K9,'Clients'!K9,'Viewings'!I9,'Deals'!C9,'Deals'!C9,'Deals'!C9,'Follow-ups'!L9,'Payments'!G9,'Expenses'!F9)),CHOOSE($M$42,'Clients'!K9,'Clients'!K9,'Viewings'!I9,'Deals'!C9,'Deals'!C9,'Deals'!C9,'Follow-ups'!L9,'Payments'!G9,'Expenses'!F9),IF(CHOOSE($M$42,'Clients'!K9,'Clients'!K9,'Viewings'!I9,'Deals'!C9,'Deals'!C9,'Deals'!C9,'Follow-ups'!L9,'Payments'!G9,'Expenses'!F9)="","",CHOOSE($M$42,'Clients'!K9,'Clients'!K9,'Viewings'!I9,'Deals'!C9,'Deals'!C9,'Deals'!C9,'Follow-ups'!L9,'Payments'!G9,'Expenses'!F9))))</x:f>
      </x:c>
      <x:c r="F51" s="432" t="str">
        <x:f>IF(B51="","",IF(ISNUMBER(CHOOSE($M$42,'Clients'!H9,'Clients'!H9,'Viewings'!E9,'Deals'!E9,'Deals'!E9,'Deals'!E9,'Follow-ups'!I9,"Receipt",'Expenses'!C9)),CHOOSE($M$42,'Clients'!H9,'Clients'!H9,'Viewings'!E9,'Deals'!E9,'Deals'!E9,'Deals'!E9,'Follow-ups'!I9,"Receipt",'Expenses'!C9),IF(CHOOSE($M$42,'Clients'!H9,'Clients'!H9,'Viewings'!E9,'Deals'!E9,'Deals'!E9,'Deals'!E9,'Follow-ups'!I9,"Receipt",'Expenses'!C9)="","",CHOOSE($M$42,'Clients'!H9,'Clients'!H9,'Viewings'!E9,'Deals'!E9,'Deals'!E9,'Deals'!E9,'Follow-ups'!I9,"Receipt",'Expenses'!C9))))</x:f>
      </x:c>
      <x:c r="G51" s="473" t="str">
        <x:f>IF(B51="","",IF(ISNUMBER(CHOOSE($M$42,"","","",'Deals'!F9,'Deals'!F9,'Deals'!F9,"",'Payments'!D9,'Expenses'!G9)),CHOOSE($M$42,"","","",'Deals'!F9,'Deals'!F9,'Deals'!F9,"",'Payments'!D9,'Expenses'!G9),IF(CHOOSE($M$42,"","","",'Deals'!F9,'Deals'!F9,'Deals'!F9,"",'Payments'!D9,'Expenses'!G9)="","",CHOOSE($M$42,"","","",'Deals'!F9,'Deals'!F9,'Deals'!F9,"",'Payments'!D9,'Expenses'!G9))))</x:f>
      </x:c>
      <x:c r="H51" s="432" t="n">
        <x:f>IF(AND($M$43=1,B51&lt;&gt;"",ISNUMBER(C51),C51&gt;=$G$6,C51&lt;$K$6+1),1,0)</x:f>
        <x:v>0</x:v>
      </x:c>
      <x:c r="I51" s="432" t="str">
        <x:f>IF(H51=0,"",COUNTIFS($H$48:$H$247,1,$C$48:$C$247,"&lt;"&amp;C51)+COUNTIFS($H$48:H51,1,$C$48:C51,C51))</x:f>
      </x:c>
      <x:c r="J51" s="432"/>
      <x:c r="K51" s="432"/>
      <x:c r="L51" s="432"/>
      <x:c r="M51" s="432"/>
      <x:c r="N51" s="432"/>
      <x:c r="O51" s="432"/>
      <x:c r="P51" s="432"/>
      <x:c r="Q51" s="432"/>
    </x:row>
    <x:row r="52" ht="25" customHeight="1">
      <x:c r="A52" s="432"/>
      <x:c r="B52" s="432" t="str">
        <x:f>IF(CHOOSE($M$42,'Clients'!A10,'Clients'!A10,'Viewings'!A10,'Deals'!A10,'Deals'!A10,'Deals'!A10,'Follow-ups'!A10,'Payments'!A10,'Expenses'!A10)="","",CHOOSE($M$42,'Clients'!A10,'Clients'!A10,'Viewings'!A10,'Deals'!A10,'Deals'!A10,'Deals'!A10,'Follow-ups'!A10,'Payments'!A10,'Expenses'!A10))</x:f>
      </x:c>
      <x:c r="C52" s="472" t="str">
        <x:f>IF(B52="","",IF(CHOOSE($M$42,'Clients'!R10,'Clients'!Q10,'Viewings'!D10,'Deals'!X10,'Deals'!Y10,'Deals'!Z10,'Follow-ups'!H10,'Payments'!C10,'Expenses'!B10)="","",CHOOSE($M$42,'Clients'!R10,'Clients'!Q10,'Viewings'!D10,'Deals'!X10,'Deals'!Y10,'Deals'!Z10,'Follow-ups'!H10,'Payments'!C10,'Expenses'!B10)))</x:f>
      </x:c>
      <x:c r="D52" s="432" t="str">
        <x:f>IF(B52="","",IF(ISNUMBER(CHOOSE($M$42,'Clients'!B10,'Clients'!B10,'Viewings'!H10,IF('Deals'!B10="","",IF(COUNTIFS('Clients'!$A$6:$A$205,'Deals'!B10)&lt;&gt;1,"Check Client ID",INDEX('Clients'!$B$6:$B$205,MATCH('Deals'!B10,'Clients'!$A$6:$A$205,0)))),IF('Deals'!B10="","",IF(COUNTIFS('Clients'!$A$6:$A$205,'Deals'!B10)&lt;&gt;1,"Check Client ID",INDEX('Clients'!$B$6:$B$205,MATCH('Deals'!B10,'Clients'!$A$6:$A$205,0)))),IF('Deals'!B10="","",IF(COUNTIFS('Clients'!$A$6:$A$205,'Deals'!B10)&lt;&gt;1,"Check Client ID",INDEX('Clients'!$B$6:$B$205,MATCH('Deals'!B10,'Clients'!$A$6:$A$205,0)))),'Follow-ups'!K10,'Payments'!B10,'Expenses'!D10)),CHOOSE($M$42,'Clients'!B10,'Clients'!B10,'Viewings'!H10,IF('Deals'!B10="","",IF(COUNTIFS('Clients'!$A$6:$A$205,'Deals'!B10)&lt;&gt;1,"Check Client ID",INDEX('Clients'!$B$6:$B$205,MATCH('Deals'!B10,'Clients'!$A$6:$A$205,0)))),IF('Deals'!B10="","",IF(COUNTIFS('Clients'!$A$6:$A$205,'Deals'!B10)&lt;&gt;1,"Check Client ID",INDEX('Clients'!$B$6:$B$205,MATCH('Deals'!B10,'Clients'!$A$6:$A$205,0)))),IF('Deals'!B10="","",IF(COUNTIFS('Clients'!$A$6:$A$205,'Deals'!B10)&lt;&gt;1,"Check Client ID",INDEX('Clients'!$B$6:$B$205,MATCH('Deals'!B10,'Clients'!$A$6:$A$205,0)))),'Follow-ups'!K10,'Payments'!B10,'Expenses'!D10),IF(CHOOSE($M$42,'Clients'!B10,'Clients'!B10,'Viewings'!H10,IF('Deals'!B10="","",IF(COUNTIFS('Clients'!$A$6:$A$205,'Deals'!B10)&lt;&gt;1,"Check Client ID",INDEX('Clients'!$B$6:$B$205,MATCH('Deals'!B10,'Clients'!$A$6:$A$205,0)))),IF('Deals'!B10="","",IF(COUNTIFS('Clients'!$A$6:$A$205,'Deals'!B10)&lt;&gt;1,"Check Client ID",INDEX('Clients'!$B$6:$B$205,MATCH('Deals'!B10,'Clients'!$A$6:$A$205,0)))),IF('Deals'!B10="","",IF(COUNTIFS('Clients'!$A$6:$A$205,'Deals'!B10)&lt;&gt;1,"Check Client ID",INDEX('Clients'!$B$6:$B$205,MATCH('Deals'!B10,'Clients'!$A$6:$A$205,0)))),'Follow-ups'!K10,'Payments'!B10,'Expenses'!D10)="","",CHOOSE($M$42,'Clients'!B10,'Clients'!B10,'Viewings'!H10,IF('Deals'!B10="","",IF(COUNTIFS('Clients'!$A$6:$A$205,'Deals'!B10)&lt;&gt;1,"Check Client ID",INDEX('Clients'!$B$6:$B$205,MATCH('Deals'!B10,'Clients'!$A$6:$A$205,0)))),IF('Deals'!B10="","",IF(COUNTIFS('Clients'!$A$6:$A$205,'Deals'!B10)&lt;&gt;1,"Check Client ID",INDEX('Clients'!$B$6:$B$205,MATCH('Deals'!B10,'Clients'!$A$6:$A$205,0)))),IF('Deals'!B10="","",IF(COUNTIFS('Clients'!$A$6:$A$205,'Deals'!B10)&lt;&gt;1,"Check Client ID",INDEX('Clients'!$B$6:$B$205,MATCH('Deals'!B10,'Clients'!$A$6:$A$205,0)))),'Follow-ups'!K10,'Payments'!B10,'Expenses'!D10))))</x:f>
      </x:c>
      <x:c r="E52" s="432" t="str">
        <x:f>IF(B52="","",IF(ISNUMBER(CHOOSE($M$42,'Clients'!K10,'Clients'!K10,'Viewings'!I10,'Deals'!C10,'Deals'!C10,'Deals'!C10,'Follow-ups'!L10,'Payments'!G10,'Expenses'!F10)),CHOOSE($M$42,'Clients'!K10,'Clients'!K10,'Viewings'!I10,'Deals'!C10,'Deals'!C10,'Deals'!C10,'Follow-ups'!L10,'Payments'!G10,'Expenses'!F10),IF(CHOOSE($M$42,'Clients'!K10,'Clients'!K10,'Viewings'!I10,'Deals'!C10,'Deals'!C10,'Deals'!C10,'Follow-ups'!L10,'Payments'!G10,'Expenses'!F10)="","",CHOOSE($M$42,'Clients'!K10,'Clients'!K10,'Viewings'!I10,'Deals'!C10,'Deals'!C10,'Deals'!C10,'Follow-ups'!L10,'Payments'!G10,'Expenses'!F10))))</x:f>
      </x:c>
      <x:c r="F52" s="432" t="str">
        <x:f>IF(B52="","",IF(ISNUMBER(CHOOSE($M$42,'Clients'!H10,'Clients'!H10,'Viewings'!E10,'Deals'!E10,'Deals'!E10,'Deals'!E10,'Follow-ups'!I10,"Receipt",'Expenses'!C10)),CHOOSE($M$42,'Clients'!H10,'Clients'!H10,'Viewings'!E10,'Deals'!E10,'Deals'!E10,'Deals'!E10,'Follow-ups'!I10,"Receipt",'Expenses'!C10),IF(CHOOSE($M$42,'Clients'!H10,'Clients'!H10,'Viewings'!E10,'Deals'!E10,'Deals'!E10,'Deals'!E10,'Follow-ups'!I10,"Receipt",'Expenses'!C10)="","",CHOOSE($M$42,'Clients'!H10,'Clients'!H10,'Viewings'!E10,'Deals'!E10,'Deals'!E10,'Deals'!E10,'Follow-ups'!I10,"Receipt",'Expenses'!C10))))</x:f>
      </x:c>
      <x:c r="G52" s="473" t="str">
        <x:f>IF(B52="","",IF(ISNUMBER(CHOOSE($M$42,"","","",'Deals'!F10,'Deals'!F10,'Deals'!F10,"",'Payments'!D10,'Expenses'!G10)),CHOOSE($M$42,"","","",'Deals'!F10,'Deals'!F10,'Deals'!F10,"",'Payments'!D10,'Expenses'!G10),IF(CHOOSE($M$42,"","","",'Deals'!F10,'Deals'!F10,'Deals'!F10,"",'Payments'!D10,'Expenses'!G10)="","",CHOOSE($M$42,"","","",'Deals'!F10,'Deals'!F10,'Deals'!F10,"",'Payments'!D10,'Expenses'!G10))))</x:f>
      </x:c>
      <x:c r="H52" s="432" t="n">
        <x:f>IF(AND($M$43=1,B52&lt;&gt;"",ISNUMBER(C52),C52&gt;=$G$6,C52&lt;$K$6+1),1,0)</x:f>
        <x:v>0</x:v>
      </x:c>
      <x:c r="I52" s="432" t="str">
        <x:f>IF(H52=0,"",COUNTIFS($H$48:$H$247,1,$C$48:$C$247,"&lt;"&amp;C52)+COUNTIFS($H$48:H52,1,$C$48:C52,C52))</x:f>
      </x:c>
      <x:c r="J52" s="432"/>
      <x:c r="K52" s="432"/>
      <x:c r="L52" s="432"/>
      <x:c r="M52" s="432"/>
      <x:c r="N52" s="432"/>
      <x:c r="O52" s="432"/>
      <x:c r="P52" s="432"/>
      <x:c r="Q52" s="432"/>
    </x:row>
    <x:row r="53" ht="25" customHeight="1">
      <x:c r="A53" s="432"/>
      <x:c r="B53" s="432" t="str">
        <x:f>IF(CHOOSE($M$42,'Clients'!A11,'Clients'!A11,'Viewings'!A11,'Deals'!A11,'Deals'!A11,'Deals'!A11,'Follow-ups'!A11,'Payments'!A11,'Expenses'!A11)="","",CHOOSE($M$42,'Clients'!A11,'Clients'!A11,'Viewings'!A11,'Deals'!A11,'Deals'!A11,'Deals'!A11,'Follow-ups'!A11,'Payments'!A11,'Expenses'!A11))</x:f>
      </x:c>
      <x:c r="C53" s="472" t="str">
        <x:f>IF(B53="","",IF(CHOOSE($M$42,'Clients'!R11,'Clients'!Q11,'Viewings'!D11,'Deals'!X11,'Deals'!Y11,'Deals'!Z11,'Follow-ups'!H11,'Payments'!C11,'Expenses'!B11)="","",CHOOSE($M$42,'Clients'!R11,'Clients'!Q11,'Viewings'!D11,'Deals'!X11,'Deals'!Y11,'Deals'!Z11,'Follow-ups'!H11,'Payments'!C11,'Expenses'!B11)))</x:f>
      </x:c>
      <x:c r="D53" s="432" t="str">
        <x:f>IF(B53="","",IF(ISNUMBER(CHOOSE($M$42,'Clients'!B11,'Clients'!B11,'Viewings'!H11,IF('Deals'!B11="","",IF(COUNTIFS('Clients'!$A$6:$A$205,'Deals'!B11)&lt;&gt;1,"Check Client ID",INDEX('Clients'!$B$6:$B$205,MATCH('Deals'!B11,'Clients'!$A$6:$A$205,0)))),IF('Deals'!B11="","",IF(COUNTIFS('Clients'!$A$6:$A$205,'Deals'!B11)&lt;&gt;1,"Check Client ID",INDEX('Clients'!$B$6:$B$205,MATCH('Deals'!B11,'Clients'!$A$6:$A$205,0)))),IF('Deals'!B11="","",IF(COUNTIFS('Clients'!$A$6:$A$205,'Deals'!B11)&lt;&gt;1,"Check Client ID",INDEX('Clients'!$B$6:$B$205,MATCH('Deals'!B11,'Clients'!$A$6:$A$205,0)))),'Follow-ups'!K11,'Payments'!B11,'Expenses'!D11)),CHOOSE($M$42,'Clients'!B11,'Clients'!B11,'Viewings'!H11,IF('Deals'!B11="","",IF(COUNTIFS('Clients'!$A$6:$A$205,'Deals'!B11)&lt;&gt;1,"Check Client ID",INDEX('Clients'!$B$6:$B$205,MATCH('Deals'!B11,'Clients'!$A$6:$A$205,0)))),IF('Deals'!B11="","",IF(COUNTIFS('Clients'!$A$6:$A$205,'Deals'!B11)&lt;&gt;1,"Check Client ID",INDEX('Clients'!$B$6:$B$205,MATCH('Deals'!B11,'Clients'!$A$6:$A$205,0)))),IF('Deals'!B11="","",IF(COUNTIFS('Clients'!$A$6:$A$205,'Deals'!B11)&lt;&gt;1,"Check Client ID",INDEX('Clients'!$B$6:$B$205,MATCH('Deals'!B11,'Clients'!$A$6:$A$205,0)))),'Follow-ups'!K11,'Payments'!B11,'Expenses'!D11),IF(CHOOSE($M$42,'Clients'!B11,'Clients'!B11,'Viewings'!H11,IF('Deals'!B11="","",IF(COUNTIFS('Clients'!$A$6:$A$205,'Deals'!B11)&lt;&gt;1,"Check Client ID",INDEX('Clients'!$B$6:$B$205,MATCH('Deals'!B11,'Clients'!$A$6:$A$205,0)))),IF('Deals'!B11="","",IF(COUNTIFS('Clients'!$A$6:$A$205,'Deals'!B11)&lt;&gt;1,"Check Client ID",INDEX('Clients'!$B$6:$B$205,MATCH('Deals'!B11,'Clients'!$A$6:$A$205,0)))),IF('Deals'!B11="","",IF(COUNTIFS('Clients'!$A$6:$A$205,'Deals'!B11)&lt;&gt;1,"Check Client ID",INDEX('Clients'!$B$6:$B$205,MATCH('Deals'!B11,'Clients'!$A$6:$A$205,0)))),'Follow-ups'!K11,'Payments'!B11,'Expenses'!D11)="","",CHOOSE($M$42,'Clients'!B11,'Clients'!B11,'Viewings'!H11,IF('Deals'!B11="","",IF(COUNTIFS('Clients'!$A$6:$A$205,'Deals'!B11)&lt;&gt;1,"Check Client ID",INDEX('Clients'!$B$6:$B$205,MATCH('Deals'!B11,'Clients'!$A$6:$A$205,0)))),IF('Deals'!B11="","",IF(COUNTIFS('Clients'!$A$6:$A$205,'Deals'!B11)&lt;&gt;1,"Check Client ID",INDEX('Clients'!$B$6:$B$205,MATCH('Deals'!B11,'Clients'!$A$6:$A$205,0)))),IF('Deals'!B11="","",IF(COUNTIFS('Clients'!$A$6:$A$205,'Deals'!B11)&lt;&gt;1,"Check Client ID",INDEX('Clients'!$B$6:$B$205,MATCH('Deals'!B11,'Clients'!$A$6:$A$205,0)))),'Follow-ups'!K11,'Payments'!B11,'Expenses'!D11))))</x:f>
      </x:c>
      <x:c r="E53" s="432" t="str">
        <x:f>IF(B53="","",IF(ISNUMBER(CHOOSE($M$42,'Clients'!K11,'Clients'!K11,'Viewings'!I11,'Deals'!C11,'Deals'!C11,'Deals'!C11,'Follow-ups'!L11,'Payments'!G11,'Expenses'!F11)),CHOOSE($M$42,'Clients'!K11,'Clients'!K11,'Viewings'!I11,'Deals'!C11,'Deals'!C11,'Deals'!C11,'Follow-ups'!L11,'Payments'!G11,'Expenses'!F11),IF(CHOOSE($M$42,'Clients'!K11,'Clients'!K11,'Viewings'!I11,'Deals'!C11,'Deals'!C11,'Deals'!C11,'Follow-ups'!L11,'Payments'!G11,'Expenses'!F11)="","",CHOOSE($M$42,'Clients'!K11,'Clients'!K11,'Viewings'!I11,'Deals'!C11,'Deals'!C11,'Deals'!C11,'Follow-ups'!L11,'Payments'!G11,'Expenses'!F11))))</x:f>
      </x:c>
      <x:c r="F53" s="432" t="str">
        <x:f>IF(B53="","",IF(ISNUMBER(CHOOSE($M$42,'Clients'!H11,'Clients'!H11,'Viewings'!E11,'Deals'!E11,'Deals'!E11,'Deals'!E11,'Follow-ups'!I11,"Receipt",'Expenses'!C11)),CHOOSE($M$42,'Clients'!H11,'Clients'!H11,'Viewings'!E11,'Deals'!E11,'Deals'!E11,'Deals'!E11,'Follow-ups'!I11,"Receipt",'Expenses'!C11),IF(CHOOSE($M$42,'Clients'!H11,'Clients'!H11,'Viewings'!E11,'Deals'!E11,'Deals'!E11,'Deals'!E11,'Follow-ups'!I11,"Receipt",'Expenses'!C11)="","",CHOOSE($M$42,'Clients'!H11,'Clients'!H11,'Viewings'!E11,'Deals'!E11,'Deals'!E11,'Deals'!E11,'Follow-ups'!I11,"Receipt",'Expenses'!C11))))</x:f>
      </x:c>
      <x:c r="G53" s="473" t="str">
        <x:f>IF(B53="","",IF(ISNUMBER(CHOOSE($M$42,"","","",'Deals'!F11,'Deals'!F11,'Deals'!F11,"",'Payments'!D11,'Expenses'!G11)),CHOOSE($M$42,"","","",'Deals'!F11,'Deals'!F11,'Deals'!F11,"",'Payments'!D11,'Expenses'!G11),IF(CHOOSE($M$42,"","","",'Deals'!F11,'Deals'!F11,'Deals'!F11,"",'Payments'!D11,'Expenses'!G11)="","",CHOOSE($M$42,"","","",'Deals'!F11,'Deals'!F11,'Deals'!F11,"",'Payments'!D11,'Expenses'!G11))))</x:f>
      </x:c>
      <x:c r="H53" s="432" t="n">
        <x:f>IF(AND($M$43=1,B53&lt;&gt;"",ISNUMBER(C53),C53&gt;=$G$6,C53&lt;$K$6+1),1,0)</x:f>
        <x:v>0</x:v>
      </x:c>
      <x:c r="I53" s="432" t="str">
        <x:f>IF(H53=0,"",COUNTIFS($H$48:$H$247,1,$C$48:$C$247,"&lt;"&amp;C53)+COUNTIFS($H$48:H53,1,$C$48:C53,C53))</x:f>
      </x:c>
      <x:c r="J53" s="432"/>
      <x:c r="K53" s="432"/>
      <x:c r="L53" s="432"/>
      <x:c r="M53" s="432"/>
      <x:c r="N53" s="432"/>
      <x:c r="O53" s="432"/>
      <x:c r="P53" s="432"/>
      <x:c r="Q53" s="432"/>
    </x:row>
    <x:row r="54" ht="25" customHeight="1">
      <x:c r="A54" s="432"/>
      <x:c r="B54" s="432" t="str">
        <x:f>IF(CHOOSE($M$42,'Clients'!A12,'Clients'!A12,'Viewings'!A12,'Deals'!A12,'Deals'!A12,'Deals'!A12,'Follow-ups'!A12,'Payments'!A12,'Expenses'!A12)="","",CHOOSE($M$42,'Clients'!A12,'Clients'!A12,'Viewings'!A12,'Deals'!A12,'Deals'!A12,'Deals'!A12,'Follow-ups'!A12,'Payments'!A12,'Expenses'!A12))</x:f>
      </x:c>
      <x:c r="C54" s="472" t="str">
        <x:f>IF(B54="","",IF(CHOOSE($M$42,'Clients'!R12,'Clients'!Q12,'Viewings'!D12,'Deals'!X12,'Deals'!Y12,'Deals'!Z12,'Follow-ups'!H12,'Payments'!C12,'Expenses'!B12)="","",CHOOSE($M$42,'Clients'!R12,'Clients'!Q12,'Viewings'!D12,'Deals'!X12,'Deals'!Y12,'Deals'!Z12,'Follow-ups'!H12,'Payments'!C12,'Expenses'!B12)))</x:f>
      </x:c>
      <x:c r="D54" s="432" t="str">
        <x:f>IF(B54="","",IF(ISNUMBER(CHOOSE($M$42,'Clients'!B12,'Clients'!B12,'Viewings'!H12,IF('Deals'!B12="","",IF(COUNTIFS('Clients'!$A$6:$A$205,'Deals'!B12)&lt;&gt;1,"Check Client ID",INDEX('Clients'!$B$6:$B$205,MATCH('Deals'!B12,'Clients'!$A$6:$A$205,0)))),IF('Deals'!B12="","",IF(COUNTIFS('Clients'!$A$6:$A$205,'Deals'!B12)&lt;&gt;1,"Check Client ID",INDEX('Clients'!$B$6:$B$205,MATCH('Deals'!B12,'Clients'!$A$6:$A$205,0)))),IF('Deals'!B12="","",IF(COUNTIFS('Clients'!$A$6:$A$205,'Deals'!B12)&lt;&gt;1,"Check Client ID",INDEX('Clients'!$B$6:$B$205,MATCH('Deals'!B12,'Clients'!$A$6:$A$205,0)))),'Follow-ups'!K12,'Payments'!B12,'Expenses'!D12)),CHOOSE($M$42,'Clients'!B12,'Clients'!B12,'Viewings'!H12,IF('Deals'!B12="","",IF(COUNTIFS('Clients'!$A$6:$A$205,'Deals'!B12)&lt;&gt;1,"Check Client ID",INDEX('Clients'!$B$6:$B$205,MATCH('Deals'!B12,'Clients'!$A$6:$A$205,0)))),IF('Deals'!B12="","",IF(COUNTIFS('Clients'!$A$6:$A$205,'Deals'!B12)&lt;&gt;1,"Check Client ID",INDEX('Clients'!$B$6:$B$205,MATCH('Deals'!B12,'Clients'!$A$6:$A$205,0)))),IF('Deals'!B12="","",IF(COUNTIFS('Clients'!$A$6:$A$205,'Deals'!B12)&lt;&gt;1,"Check Client ID",INDEX('Clients'!$B$6:$B$205,MATCH('Deals'!B12,'Clients'!$A$6:$A$205,0)))),'Follow-ups'!K12,'Payments'!B12,'Expenses'!D12),IF(CHOOSE($M$42,'Clients'!B12,'Clients'!B12,'Viewings'!H12,IF('Deals'!B12="","",IF(COUNTIFS('Clients'!$A$6:$A$205,'Deals'!B12)&lt;&gt;1,"Check Client ID",INDEX('Clients'!$B$6:$B$205,MATCH('Deals'!B12,'Clients'!$A$6:$A$205,0)))),IF('Deals'!B12="","",IF(COUNTIFS('Clients'!$A$6:$A$205,'Deals'!B12)&lt;&gt;1,"Check Client ID",INDEX('Clients'!$B$6:$B$205,MATCH('Deals'!B12,'Clients'!$A$6:$A$205,0)))),IF('Deals'!B12="","",IF(COUNTIFS('Clients'!$A$6:$A$205,'Deals'!B12)&lt;&gt;1,"Check Client ID",INDEX('Clients'!$B$6:$B$205,MATCH('Deals'!B12,'Clients'!$A$6:$A$205,0)))),'Follow-ups'!K12,'Payments'!B12,'Expenses'!D12)="","",CHOOSE($M$42,'Clients'!B12,'Clients'!B12,'Viewings'!H12,IF('Deals'!B12="","",IF(COUNTIFS('Clients'!$A$6:$A$205,'Deals'!B12)&lt;&gt;1,"Check Client ID",INDEX('Clients'!$B$6:$B$205,MATCH('Deals'!B12,'Clients'!$A$6:$A$205,0)))),IF('Deals'!B12="","",IF(COUNTIFS('Clients'!$A$6:$A$205,'Deals'!B12)&lt;&gt;1,"Check Client ID",INDEX('Clients'!$B$6:$B$205,MATCH('Deals'!B12,'Clients'!$A$6:$A$205,0)))),IF('Deals'!B12="","",IF(COUNTIFS('Clients'!$A$6:$A$205,'Deals'!B12)&lt;&gt;1,"Check Client ID",INDEX('Clients'!$B$6:$B$205,MATCH('Deals'!B12,'Clients'!$A$6:$A$205,0)))),'Follow-ups'!K12,'Payments'!B12,'Expenses'!D12))))</x:f>
      </x:c>
      <x:c r="E54" s="432" t="str">
        <x:f>IF(B54="","",IF(ISNUMBER(CHOOSE($M$42,'Clients'!K12,'Clients'!K12,'Viewings'!I12,'Deals'!C12,'Deals'!C12,'Deals'!C12,'Follow-ups'!L12,'Payments'!G12,'Expenses'!F12)),CHOOSE($M$42,'Clients'!K12,'Clients'!K12,'Viewings'!I12,'Deals'!C12,'Deals'!C12,'Deals'!C12,'Follow-ups'!L12,'Payments'!G12,'Expenses'!F12),IF(CHOOSE($M$42,'Clients'!K12,'Clients'!K12,'Viewings'!I12,'Deals'!C12,'Deals'!C12,'Deals'!C12,'Follow-ups'!L12,'Payments'!G12,'Expenses'!F12)="","",CHOOSE($M$42,'Clients'!K12,'Clients'!K12,'Viewings'!I12,'Deals'!C12,'Deals'!C12,'Deals'!C12,'Follow-ups'!L12,'Payments'!G12,'Expenses'!F12))))</x:f>
      </x:c>
      <x:c r="F54" s="432" t="str">
        <x:f>IF(B54="","",IF(ISNUMBER(CHOOSE($M$42,'Clients'!H12,'Clients'!H12,'Viewings'!E12,'Deals'!E12,'Deals'!E12,'Deals'!E12,'Follow-ups'!I12,"Receipt",'Expenses'!C12)),CHOOSE($M$42,'Clients'!H12,'Clients'!H12,'Viewings'!E12,'Deals'!E12,'Deals'!E12,'Deals'!E12,'Follow-ups'!I12,"Receipt",'Expenses'!C12),IF(CHOOSE($M$42,'Clients'!H12,'Clients'!H12,'Viewings'!E12,'Deals'!E12,'Deals'!E12,'Deals'!E12,'Follow-ups'!I12,"Receipt",'Expenses'!C12)="","",CHOOSE($M$42,'Clients'!H12,'Clients'!H12,'Viewings'!E12,'Deals'!E12,'Deals'!E12,'Deals'!E12,'Follow-ups'!I12,"Receipt",'Expenses'!C12))))</x:f>
      </x:c>
      <x:c r="G54" s="473" t="str">
        <x:f>IF(B54="","",IF(ISNUMBER(CHOOSE($M$42,"","","",'Deals'!F12,'Deals'!F12,'Deals'!F12,"",'Payments'!D12,'Expenses'!G12)),CHOOSE($M$42,"","","",'Deals'!F12,'Deals'!F12,'Deals'!F12,"",'Payments'!D12,'Expenses'!G12),IF(CHOOSE($M$42,"","","",'Deals'!F12,'Deals'!F12,'Deals'!F12,"",'Payments'!D12,'Expenses'!G12)="","",CHOOSE($M$42,"","","",'Deals'!F12,'Deals'!F12,'Deals'!F12,"",'Payments'!D12,'Expenses'!G12))))</x:f>
      </x:c>
      <x:c r="H54" s="432" t="n">
        <x:f>IF(AND($M$43=1,B54&lt;&gt;"",ISNUMBER(C54),C54&gt;=$G$6,C54&lt;$K$6+1),1,0)</x:f>
        <x:v>0</x:v>
      </x:c>
      <x:c r="I54" s="432" t="str">
        <x:f>IF(H54=0,"",COUNTIFS($H$48:$H$247,1,$C$48:$C$247,"&lt;"&amp;C54)+COUNTIFS($H$48:H54,1,$C$48:C54,C54))</x:f>
      </x:c>
      <x:c r="J54" s="432"/>
      <x:c r="K54" s="432"/>
      <x:c r="L54" s="432"/>
      <x:c r="M54" s="432"/>
      <x:c r="N54" s="432"/>
      <x:c r="O54" s="432"/>
      <x:c r="P54" s="432"/>
      <x:c r="Q54" s="432"/>
    </x:row>
    <x:row r="55" ht="25" customHeight="1">
      <x:c r="A55" s="432"/>
      <x:c r="B55" s="432" t="str">
        <x:f>IF(CHOOSE($M$42,'Clients'!A13,'Clients'!A13,'Viewings'!A13,'Deals'!A13,'Deals'!A13,'Deals'!A13,'Follow-ups'!A13,'Payments'!A13,'Expenses'!A13)="","",CHOOSE($M$42,'Clients'!A13,'Clients'!A13,'Viewings'!A13,'Deals'!A13,'Deals'!A13,'Deals'!A13,'Follow-ups'!A13,'Payments'!A13,'Expenses'!A13))</x:f>
      </x:c>
      <x:c r="C55" s="472" t="str">
        <x:f>IF(B55="","",IF(CHOOSE($M$42,'Clients'!R13,'Clients'!Q13,'Viewings'!D13,'Deals'!X13,'Deals'!Y13,'Deals'!Z13,'Follow-ups'!H13,'Payments'!C13,'Expenses'!B13)="","",CHOOSE($M$42,'Clients'!R13,'Clients'!Q13,'Viewings'!D13,'Deals'!X13,'Deals'!Y13,'Deals'!Z13,'Follow-ups'!H13,'Payments'!C13,'Expenses'!B13)))</x:f>
      </x:c>
      <x:c r="D55" s="432" t="str">
        <x:f>IF(B55="","",IF(ISNUMBER(CHOOSE($M$42,'Clients'!B13,'Clients'!B13,'Viewings'!H13,IF('Deals'!B13="","",IF(COUNTIFS('Clients'!$A$6:$A$205,'Deals'!B13)&lt;&gt;1,"Check Client ID",INDEX('Clients'!$B$6:$B$205,MATCH('Deals'!B13,'Clients'!$A$6:$A$205,0)))),IF('Deals'!B13="","",IF(COUNTIFS('Clients'!$A$6:$A$205,'Deals'!B13)&lt;&gt;1,"Check Client ID",INDEX('Clients'!$B$6:$B$205,MATCH('Deals'!B13,'Clients'!$A$6:$A$205,0)))),IF('Deals'!B13="","",IF(COUNTIFS('Clients'!$A$6:$A$205,'Deals'!B13)&lt;&gt;1,"Check Client ID",INDEX('Clients'!$B$6:$B$205,MATCH('Deals'!B13,'Clients'!$A$6:$A$205,0)))),'Follow-ups'!K13,'Payments'!B13,'Expenses'!D13)),CHOOSE($M$42,'Clients'!B13,'Clients'!B13,'Viewings'!H13,IF('Deals'!B13="","",IF(COUNTIFS('Clients'!$A$6:$A$205,'Deals'!B13)&lt;&gt;1,"Check Client ID",INDEX('Clients'!$B$6:$B$205,MATCH('Deals'!B13,'Clients'!$A$6:$A$205,0)))),IF('Deals'!B13="","",IF(COUNTIFS('Clients'!$A$6:$A$205,'Deals'!B13)&lt;&gt;1,"Check Client ID",INDEX('Clients'!$B$6:$B$205,MATCH('Deals'!B13,'Clients'!$A$6:$A$205,0)))),IF('Deals'!B13="","",IF(COUNTIFS('Clients'!$A$6:$A$205,'Deals'!B13)&lt;&gt;1,"Check Client ID",INDEX('Clients'!$B$6:$B$205,MATCH('Deals'!B13,'Clients'!$A$6:$A$205,0)))),'Follow-ups'!K13,'Payments'!B13,'Expenses'!D13),IF(CHOOSE($M$42,'Clients'!B13,'Clients'!B13,'Viewings'!H13,IF('Deals'!B13="","",IF(COUNTIFS('Clients'!$A$6:$A$205,'Deals'!B13)&lt;&gt;1,"Check Client ID",INDEX('Clients'!$B$6:$B$205,MATCH('Deals'!B13,'Clients'!$A$6:$A$205,0)))),IF('Deals'!B13="","",IF(COUNTIFS('Clients'!$A$6:$A$205,'Deals'!B13)&lt;&gt;1,"Check Client ID",INDEX('Clients'!$B$6:$B$205,MATCH('Deals'!B13,'Clients'!$A$6:$A$205,0)))),IF('Deals'!B13="","",IF(COUNTIFS('Clients'!$A$6:$A$205,'Deals'!B13)&lt;&gt;1,"Check Client ID",INDEX('Clients'!$B$6:$B$205,MATCH('Deals'!B13,'Clients'!$A$6:$A$205,0)))),'Follow-ups'!K13,'Payments'!B13,'Expenses'!D13)="","",CHOOSE($M$42,'Clients'!B13,'Clients'!B13,'Viewings'!H13,IF('Deals'!B13="","",IF(COUNTIFS('Clients'!$A$6:$A$205,'Deals'!B13)&lt;&gt;1,"Check Client ID",INDEX('Clients'!$B$6:$B$205,MATCH('Deals'!B13,'Clients'!$A$6:$A$205,0)))),IF('Deals'!B13="","",IF(COUNTIFS('Clients'!$A$6:$A$205,'Deals'!B13)&lt;&gt;1,"Check Client ID",INDEX('Clients'!$B$6:$B$205,MATCH('Deals'!B13,'Clients'!$A$6:$A$205,0)))),IF('Deals'!B13="","",IF(COUNTIFS('Clients'!$A$6:$A$205,'Deals'!B13)&lt;&gt;1,"Check Client ID",INDEX('Clients'!$B$6:$B$205,MATCH('Deals'!B13,'Clients'!$A$6:$A$205,0)))),'Follow-ups'!K13,'Payments'!B13,'Expenses'!D13))))</x:f>
      </x:c>
      <x:c r="E55" s="432" t="str">
        <x:f>IF(B55="","",IF(ISNUMBER(CHOOSE($M$42,'Clients'!K13,'Clients'!K13,'Viewings'!I13,'Deals'!C13,'Deals'!C13,'Deals'!C13,'Follow-ups'!L13,'Payments'!G13,'Expenses'!F13)),CHOOSE($M$42,'Clients'!K13,'Clients'!K13,'Viewings'!I13,'Deals'!C13,'Deals'!C13,'Deals'!C13,'Follow-ups'!L13,'Payments'!G13,'Expenses'!F13),IF(CHOOSE($M$42,'Clients'!K13,'Clients'!K13,'Viewings'!I13,'Deals'!C13,'Deals'!C13,'Deals'!C13,'Follow-ups'!L13,'Payments'!G13,'Expenses'!F13)="","",CHOOSE($M$42,'Clients'!K13,'Clients'!K13,'Viewings'!I13,'Deals'!C13,'Deals'!C13,'Deals'!C13,'Follow-ups'!L13,'Payments'!G13,'Expenses'!F13))))</x:f>
      </x:c>
      <x:c r="F55" s="432" t="str">
        <x:f>IF(B55="","",IF(ISNUMBER(CHOOSE($M$42,'Clients'!H13,'Clients'!H13,'Viewings'!E13,'Deals'!E13,'Deals'!E13,'Deals'!E13,'Follow-ups'!I13,"Receipt",'Expenses'!C13)),CHOOSE($M$42,'Clients'!H13,'Clients'!H13,'Viewings'!E13,'Deals'!E13,'Deals'!E13,'Deals'!E13,'Follow-ups'!I13,"Receipt",'Expenses'!C13),IF(CHOOSE($M$42,'Clients'!H13,'Clients'!H13,'Viewings'!E13,'Deals'!E13,'Deals'!E13,'Deals'!E13,'Follow-ups'!I13,"Receipt",'Expenses'!C13)="","",CHOOSE($M$42,'Clients'!H13,'Clients'!H13,'Viewings'!E13,'Deals'!E13,'Deals'!E13,'Deals'!E13,'Follow-ups'!I13,"Receipt",'Expenses'!C13))))</x:f>
      </x:c>
      <x:c r="G55" s="473" t="str">
        <x:f>IF(B55="","",IF(ISNUMBER(CHOOSE($M$42,"","","",'Deals'!F13,'Deals'!F13,'Deals'!F13,"",'Payments'!D13,'Expenses'!G13)),CHOOSE($M$42,"","","",'Deals'!F13,'Deals'!F13,'Deals'!F13,"",'Payments'!D13,'Expenses'!G13),IF(CHOOSE($M$42,"","","",'Deals'!F13,'Deals'!F13,'Deals'!F13,"",'Payments'!D13,'Expenses'!G13)="","",CHOOSE($M$42,"","","",'Deals'!F13,'Deals'!F13,'Deals'!F13,"",'Payments'!D13,'Expenses'!G13))))</x:f>
      </x:c>
      <x:c r="H55" s="432" t="n">
        <x:f>IF(AND($M$43=1,B55&lt;&gt;"",ISNUMBER(C55),C55&gt;=$G$6,C55&lt;$K$6+1),1,0)</x:f>
        <x:v>0</x:v>
      </x:c>
      <x:c r="I55" s="432" t="str">
        <x:f>IF(H55=0,"",COUNTIFS($H$48:$H$247,1,$C$48:$C$247,"&lt;"&amp;C55)+COUNTIFS($H$48:H55,1,$C$48:C55,C55))</x:f>
      </x:c>
      <x:c r="J55" s="432"/>
      <x:c r="K55" s="432"/>
      <x:c r="L55" s="432"/>
      <x:c r="M55" s="432"/>
      <x:c r="N55" s="432"/>
      <x:c r="O55" s="432"/>
      <x:c r="P55" s="432"/>
      <x:c r="Q55" s="432"/>
    </x:row>
    <x:row r="56" ht="25" customHeight="1">
      <x:c r="A56" s="432"/>
      <x:c r="B56" s="432" t="str">
        <x:f>IF(CHOOSE($M$42,'Clients'!A14,'Clients'!A14,'Viewings'!A14,'Deals'!A14,'Deals'!A14,'Deals'!A14,'Follow-ups'!A14,'Payments'!A14,'Expenses'!A14)="","",CHOOSE($M$42,'Clients'!A14,'Clients'!A14,'Viewings'!A14,'Deals'!A14,'Deals'!A14,'Deals'!A14,'Follow-ups'!A14,'Payments'!A14,'Expenses'!A14))</x:f>
      </x:c>
      <x:c r="C56" s="472" t="str">
        <x:f>IF(B56="","",IF(CHOOSE($M$42,'Clients'!R14,'Clients'!Q14,'Viewings'!D14,'Deals'!X14,'Deals'!Y14,'Deals'!Z14,'Follow-ups'!H14,'Payments'!C14,'Expenses'!B14)="","",CHOOSE($M$42,'Clients'!R14,'Clients'!Q14,'Viewings'!D14,'Deals'!X14,'Deals'!Y14,'Deals'!Z14,'Follow-ups'!H14,'Payments'!C14,'Expenses'!B14)))</x:f>
      </x:c>
      <x:c r="D56" s="432" t="str">
        <x:f>IF(B56="","",IF(ISNUMBER(CHOOSE($M$42,'Clients'!B14,'Clients'!B14,'Viewings'!H14,IF('Deals'!B14="","",IF(COUNTIFS('Clients'!$A$6:$A$205,'Deals'!B14)&lt;&gt;1,"Check Client ID",INDEX('Clients'!$B$6:$B$205,MATCH('Deals'!B14,'Clients'!$A$6:$A$205,0)))),IF('Deals'!B14="","",IF(COUNTIFS('Clients'!$A$6:$A$205,'Deals'!B14)&lt;&gt;1,"Check Client ID",INDEX('Clients'!$B$6:$B$205,MATCH('Deals'!B14,'Clients'!$A$6:$A$205,0)))),IF('Deals'!B14="","",IF(COUNTIFS('Clients'!$A$6:$A$205,'Deals'!B14)&lt;&gt;1,"Check Client ID",INDEX('Clients'!$B$6:$B$205,MATCH('Deals'!B14,'Clients'!$A$6:$A$205,0)))),'Follow-ups'!K14,'Payments'!B14,'Expenses'!D14)),CHOOSE($M$42,'Clients'!B14,'Clients'!B14,'Viewings'!H14,IF('Deals'!B14="","",IF(COUNTIFS('Clients'!$A$6:$A$205,'Deals'!B14)&lt;&gt;1,"Check Client ID",INDEX('Clients'!$B$6:$B$205,MATCH('Deals'!B14,'Clients'!$A$6:$A$205,0)))),IF('Deals'!B14="","",IF(COUNTIFS('Clients'!$A$6:$A$205,'Deals'!B14)&lt;&gt;1,"Check Client ID",INDEX('Clients'!$B$6:$B$205,MATCH('Deals'!B14,'Clients'!$A$6:$A$205,0)))),IF('Deals'!B14="","",IF(COUNTIFS('Clients'!$A$6:$A$205,'Deals'!B14)&lt;&gt;1,"Check Client ID",INDEX('Clients'!$B$6:$B$205,MATCH('Deals'!B14,'Clients'!$A$6:$A$205,0)))),'Follow-ups'!K14,'Payments'!B14,'Expenses'!D14),IF(CHOOSE($M$42,'Clients'!B14,'Clients'!B14,'Viewings'!H14,IF('Deals'!B14="","",IF(COUNTIFS('Clients'!$A$6:$A$205,'Deals'!B14)&lt;&gt;1,"Check Client ID",INDEX('Clients'!$B$6:$B$205,MATCH('Deals'!B14,'Clients'!$A$6:$A$205,0)))),IF('Deals'!B14="","",IF(COUNTIFS('Clients'!$A$6:$A$205,'Deals'!B14)&lt;&gt;1,"Check Client ID",INDEX('Clients'!$B$6:$B$205,MATCH('Deals'!B14,'Clients'!$A$6:$A$205,0)))),IF('Deals'!B14="","",IF(COUNTIFS('Clients'!$A$6:$A$205,'Deals'!B14)&lt;&gt;1,"Check Client ID",INDEX('Clients'!$B$6:$B$205,MATCH('Deals'!B14,'Clients'!$A$6:$A$205,0)))),'Follow-ups'!K14,'Payments'!B14,'Expenses'!D14)="","",CHOOSE($M$42,'Clients'!B14,'Clients'!B14,'Viewings'!H14,IF('Deals'!B14="","",IF(COUNTIFS('Clients'!$A$6:$A$205,'Deals'!B14)&lt;&gt;1,"Check Client ID",INDEX('Clients'!$B$6:$B$205,MATCH('Deals'!B14,'Clients'!$A$6:$A$205,0)))),IF('Deals'!B14="","",IF(COUNTIFS('Clients'!$A$6:$A$205,'Deals'!B14)&lt;&gt;1,"Check Client ID",INDEX('Clients'!$B$6:$B$205,MATCH('Deals'!B14,'Clients'!$A$6:$A$205,0)))),IF('Deals'!B14="","",IF(COUNTIFS('Clients'!$A$6:$A$205,'Deals'!B14)&lt;&gt;1,"Check Client ID",INDEX('Clients'!$B$6:$B$205,MATCH('Deals'!B14,'Clients'!$A$6:$A$205,0)))),'Follow-ups'!K14,'Payments'!B14,'Expenses'!D14))))</x:f>
      </x:c>
      <x:c r="E56" s="432" t="str">
        <x:f>IF(B56="","",IF(ISNUMBER(CHOOSE($M$42,'Clients'!K14,'Clients'!K14,'Viewings'!I14,'Deals'!C14,'Deals'!C14,'Deals'!C14,'Follow-ups'!L14,'Payments'!G14,'Expenses'!F14)),CHOOSE($M$42,'Clients'!K14,'Clients'!K14,'Viewings'!I14,'Deals'!C14,'Deals'!C14,'Deals'!C14,'Follow-ups'!L14,'Payments'!G14,'Expenses'!F14),IF(CHOOSE($M$42,'Clients'!K14,'Clients'!K14,'Viewings'!I14,'Deals'!C14,'Deals'!C14,'Deals'!C14,'Follow-ups'!L14,'Payments'!G14,'Expenses'!F14)="","",CHOOSE($M$42,'Clients'!K14,'Clients'!K14,'Viewings'!I14,'Deals'!C14,'Deals'!C14,'Deals'!C14,'Follow-ups'!L14,'Payments'!G14,'Expenses'!F14))))</x:f>
      </x:c>
      <x:c r="F56" s="432" t="str">
        <x:f>IF(B56="","",IF(ISNUMBER(CHOOSE($M$42,'Clients'!H14,'Clients'!H14,'Viewings'!E14,'Deals'!E14,'Deals'!E14,'Deals'!E14,'Follow-ups'!I14,"Receipt",'Expenses'!C14)),CHOOSE($M$42,'Clients'!H14,'Clients'!H14,'Viewings'!E14,'Deals'!E14,'Deals'!E14,'Deals'!E14,'Follow-ups'!I14,"Receipt",'Expenses'!C14),IF(CHOOSE($M$42,'Clients'!H14,'Clients'!H14,'Viewings'!E14,'Deals'!E14,'Deals'!E14,'Deals'!E14,'Follow-ups'!I14,"Receipt",'Expenses'!C14)="","",CHOOSE($M$42,'Clients'!H14,'Clients'!H14,'Viewings'!E14,'Deals'!E14,'Deals'!E14,'Deals'!E14,'Follow-ups'!I14,"Receipt",'Expenses'!C14))))</x:f>
      </x:c>
      <x:c r="G56" s="473" t="str">
        <x:f>IF(B56="","",IF(ISNUMBER(CHOOSE($M$42,"","","",'Deals'!F14,'Deals'!F14,'Deals'!F14,"",'Payments'!D14,'Expenses'!G14)),CHOOSE($M$42,"","","",'Deals'!F14,'Deals'!F14,'Deals'!F14,"",'Payments'!D14,'Expenses'!G14),IF(CHOOSE($M$42,"","","",'Deals'!F14,'Deals'!F14,'Deals'!F14,"",'Payments'!D14,'Expenses'!G14)="","",CHOOSE($M$42,"","","",'Deals'!F14,'Deals'!F14,'Deals'!F14,"",'Payments'!D14,'Expenses'!G14))))</x:f>
      </x:c>
      <x:c r="H56" s="432" t="n">
        <x:f>IF(AND($M$43=1,B56&lt;&gt;"",ISNUMBER(C56),C56&gt;=$G$6,C56&lt;$K$6+1),1,0)</x:f>
        <x:v>0</x:v>
      </x:c>
      <x:c r="I56" s="432" t="str">
        <x:f>IF(H56=0,"",COUNTIFS($H$48:$H$247,1,$C$48:$C$247,"&lt;"&amp;C56)+COUNTIFS($H$48:H56,1,$C$48:C56,C56))</x:f>
      </x:c>
      <x:c r="J56" s="432"/>
      <x:c r="K56" s="432"/>
      <x:c r="L56" s="432"/>
      <x:c r="M56" s="432"/>
      <x:c r="N56" s="432"/>
      <x:c r="O56" s="432"/>
      <x:c r="P56" s="432"/>
      <x:c r="Q56" s="432"/>
    </x:row>
    <x:row r="57" ht="25" customHeight="1">
      <x:c r="A57" s="432"/>
      <x:c r="B57" s="432" t="str">
        <x:f>IF(CHOOSE($M$42,'Clients'!A15,'Clients'!A15,'Viewings'!A15,'Deals'!A15,'Deals'!A15,'Deals'!A15,'Follow-ups'!A15,'Payments'!A15,'Expenses'!A15)="","",CHOOSE($M$42,'Clients'!A15,'Clients'!A15,'Viewings'!A15,'Deals'!A15,'Deals'!A15,'Deals'!A15,'Follow-ups'!A15,'Payments'!A15,'Expenses'!A15))</x:f>
      </x:c>
      <x:c r="C57" s="472" t="str">
        <x:f>IF(B57="","",IF(CHOOSE($M$42,'Clients'!R15,'Clients'!Q15,'Viewings'!D15,'Deals'!X15,'Deals'!Y15,'Deals'!Z15,'Follow-ups'!H15,'Payments'!C15,'Expenses'!B15)="","",CHOOSE($M$42,'Clients'!R15,'Clients'!Q15,'Viewings'!D15,'Deals'!X15,'Deals'!Y15,'Deals'!Z15,'Follow-ups'!H15,'Payments'!C15,'Expenses'!B15)))</x:f>
      </x:c>
      <x:c r="D57" s="432" t="str">
        <x:f>IF(B57="","",IF(ISNUMBER(CHOOSE($M$42,'Clients'!B15,'Clients'!B15,'Viewings'!H15,IF('Deals'!B15="","",IF(COUNTIFS('Clients'!$A$6:$A$205,'Deals'!B15)&lt;&gt;1,"Check Client ID",INDEX('Clients'!$B$6:$B$205,MATCH('Deals'!B15,'Clients'!$A$6:$A$205,0)))),IF('Deals'!B15="","",IF(COUNTIFS('Clients'!$A$6:$A$205,'Deals'!B15)&lt;&gt;1,"Check Client ID",INDEX('Clients'!$B$6:$B$205,MATCH('Deals'!B15,'Clients'!$A$6:$A$205,0)))),IF('Deals'!B15="","",IF(COUNTIFS('Clients'!$A$6:$A$205,'Deals'!B15)&lt;&gt;1,"Check Client ID",INDEX('Clients'!$B$6:$B$205,MATCH('Deals'!B15,'Clients'!$A$6:$A$205,0)))),'Follow-ups'!K15,'Payments'!B15,'Expenses'!D15)),CHOOSE($M$42,'Clients'!B15,'Clients'!B15,'Viewings'!H15,IF('Deals'!B15="","",IF(COUNTIFS('Clients'!$A$6:$A$205,'Deals'!B15)&lt;&gt;1,"Check Client ID",INDEX('Clients'!$B$6:$B$205,MATCH('Deals'!B15,'Clients'!$A$6:$A$205,0)))),IF('Deals'!B15="","",IF(COUNTIFS('Clients'!$A$6:$A$205,'Deals'!B15)&lt;&gt;1,"Check Client ID",INDEX('Clients'!$B$6:$B$205,MATCH('Deals'!B15,'Clients'!$A$6:$A$205,0)))),IF('Deals'!B15="","",IF(COUNTIFS('Clients'!$A$6:$A$205,'Deals'!B15)&lt;&gt;1,"Check Client ID",INDEX('Clients'!$B$6:$B$205,MATCH('Deals'!B15,'Clients'!$A$6:$A$205,0)))),'Follow-ups'!K15,'Payments'!B15,'Expenses'!D15),IF(CHOOSE($M$42,'Clients'!B15,'Clients'!B15,'Viewings'!H15,IF('Deals'!B15="","",IF(COUNTIFS('Clients'!$A$6:$A$205,'Deals'!B15)&lt;&gt;1,"Check Client ID",INDEX('Clients'!$B$6:$B$205,MATCH('Deals'!B15,'Clients'!$A$6:$A$205,0)))),IF('Deals'!B15="","",IF(COUNTIFS('Clients'!$A$6:$A$205,'Deals'!B15)&lt;&gt;1,"Check Client ID",INDEX('Clients'!$B$6:$B$205,MATCH('Deals'!B15,'Clients'!$A$6:$A$205,0)))),IF('Deals'!B15="","",IF(COUNTIFS('Clients'!$A$6:$A$205,'Deals'!B15)&lt;&gt;1,"Check Client ID",INDEX('Clients'!$B$6:$B$205,MATCH('Deals'!B15,'Clients'!$A$6:$A$205,0)))),'Follow-ups'!K15,'Payments'!B15,'Expenses'!D15)="","",CHOOSE($M$42,'Clients'!B15,'Clients'!B15,'Viewings'!H15,IF('Deals'!B15="","",IF(COUNTIFS('Clients'!$A$6:$A$205,'Deals'!B15)&lt;&gt;1,"Check Client ID",INDEX('Clients'!$B$6:$B$205,MATCH('Deals'!B15,'Clients'!$A$6:$A$205,0)))),IF('Deals'!B15="","",IF(COUNTIFS('Clients'!$A$6:$A$205,'Deals'!B15)&lt;&gt;1,"Check Client ID",INDEX('Clients'!$B$6:$B$205,MATCH('Deals'!B15,'Clients'!$A$6:$A$205,0)))),IF('Deals'!B15="","",IF(COUNTIFS('Clients'!$A$6:$A$205,'Deals'!B15)&lt;&gt;1,"Check Client ID",INDEX('Clients'!$B$6:$B$205,MATCH('Deals'!B15,'Clients'!$A$6:$A$205,0)))),'Follow-ups'!K15,'Payments'!B15,'Expenses'!D15))))</x:f>
      </x:c>
      <x:c r="E57" s="432" t="str">
        <x:f>IF(B57="","",IF(ISNUMBER(CHOOSE($M$42,'Clients'!K15,'Clients'!K15,'Viewings'!I15,'Deals'!C15,'Deals'!C15,'Deals'!C15,'Follow-ups'!L15,'Payments'!G15,'Expenses'!F15)),CHOOSE($M$42,'Clients'!K15,'Clients'!K15,'Viewings'!I15,'Deals'!C15,'Deals'!C15,'Deals'!C15,'Follow-ups'!L15,'Payments'!G15,'Expenses'!F15),IF(CHOOSE($M$42,'Clients'!K15,'Clients'!K15,'Viewings'!I15,'Deals'!C15,'Deals'!C15,'Deals'!C15,'Follow-ups'!L15,'Payments'!G15,'Expenses'!F15)="","",CHOOSE($M$42,'Clients'!K15,'Clients'!K15,'Viewings'!I15,'Deals'!C15,'Deals'!C15,'Deals'!C15,'Follow-ups'!L15,'Payments'!G15,'Expenses'!F15))))</x:f>
      </x:c>
      <x:c r="F57" s="432" t="str">
        <x:f>IF(B57="","",IF(ISNUMBER(CHOOSE($M$42,'Clients'!H15,'Clients'!H15,'Viewings'!E15,'Deals'!E15,'Deals'!E15,'Deals'!E15,'Follow-ups'!I15,"Receipt",'Expenses'!C15)),CHOOSE($M$42,'Clients'!H15,'Clients'!H15,'Viewings'!E15,'Deals'!E15,'Deals'!E15,'Deals'!E15,'Follow-ups'!I15,"Receipt",'Expenses'!C15),IF(CHOOSE($M$42,'Clients'!H15,'Clients'!H15,'Viewings'!E15,'Deals'!E15,'Deals'!E15,'Deals'!E15,'Follow-ups'!I15,"Receipt",'Expenses'!C15)="","",CHOOSE($M$42,'Clients'!H15,'Clients'!H15,'Viewings'!E15,'Deals'!E15,'Deals'!E15,'Deals'!E15,'Follow-ups'!I15,"Receipt",'Expenses'!C15))))</x:f>
      </x:c>
      <x:c r="G57" s="473" t="str">
        <x:f>IF(B57="","",IF(ISNUMBER(CHOOSE($M$42,"","","",'Deals'!F15,'Deals'!F15,'Deals'!F15,"",'Payments'!D15,'Expenses'!G15)),CHOOSE($M$42,"","","",'Deals'!F15,'Deals'!F15,'Deals'!F15,"",'Payments'!D15,'Expenses'!G15),IF(CHOOSE($M$42,"","","",'Deals'!F15,'Deals'!F15,'Deals'!F15,"",'Payments'!D15,'Expenses'!G15)="","",CHOOSE($M$42,"","","",'Deals'!F15,'Deals'!F15,'Deals'!F15,"",'Payments'!D15,'Expenses'!G15))))</x:f>
      </x:c>
      <x:c r="H57" s="432" t="n">
        <x:f>IF(AND($M$43=1,B57&lt;&gt;"",ISNUMBER(C57),C57&gt;=$G$6,C57&lt;$K$6+1),1,0)</x:f>
        <x:v>0</x:v>
      </x:c>
      <x:c r="I57" s="432" t="str">
        <x:f>IF(H57=0,"",COUNTIFS($H$48:$H$247,1,$C$48:$C$247,"&lt;"&amp;C57)+COUNTIFS($H$48:H57,1,$C$48:C57,C57))</x:f>
      </x:c>
      <x:c r="J57" s="432"/>
      <x:c r="K57" s="432"/>
      <x:c r="L57" s="432"/>
      <x:c r="M57" s="432"/>
      <x:c r="N57" s="432"/>
      <x:c r="O57" s="432"/>
      <x:c r="P57" s="432"/>
      <x:c r="Q57" s="432"/>
    </x:row>
    <x:row r="58" ht="25" customHeight="1">
      <x:c r="A58" s="432"/>
      <x:c r="B58" s="432" t="str">
        <x:f>IF(CHOOSE($M$42,'Clients'!A16,'Clients'!A16,'Viewings'!A16,'Deals'!A16,'Deals'!A16,'Deals'!A16,'Follow-ups'!A16,'Payments'!A16,'Expenses'!A16)="","",CHOOSE($M$42,'Clients'!A16,'Clients'!A16,'Viewings'!A16,'Deals'!A16,'Deals'!A16,'Deals'!A16,'Follow-ups'!A16,'Payments'!A16,'Expenses'!A16))</x:f>
      </x:c>
      <x:c r="C58" s="472" t="str">
        <x:f>IF(B58="","",IF(CHOOSE($M$42,'Clients'!R16,'Clients'!Q16,'Viewings'!D16,'Deals'!X16,'Deals'!Y16,'Deals'!Z16,'Follow-ups'!H16,'Payments'!C16,'Expenses'!B16)="","",CHOOSE($M$42,'Clients'!R16,'Clients'!Q16,'Viewings'!D16,'Deals'!X16,'Deals'!Y16,'Deals'!Z16,'Follow-ups'!H16,'Payments'!C16,'Expenses'!B16)))</x:f>
      </x:c>
      <x:c r="D58" s="432" t="str">
        <x:f>IF(B58="","",IF(ISNUMBER(CHOOSE($M$42,'Clients'!B16,'Clients'!B16,'Viewings'!H16,IF('Deals'!B16="","",IF(COUNTIFS('Clients'!$A$6:$A$205,'Deals'!B16)&lt;&gt;1,"Check Client ID",INDEX('Clients'!$B$6:$B$205,MATCH('Deals'!B16,'Clients'!$A$6:$A$205,0)))),IF('Deals'!B16="","",IF(COUNTIFS('Clients'!$A$6:$A$205,'Deals'!B16)&lt;&gt;1,"Check Client ID",INDEX('Clients'!$B$6:$B$205,MATCH('Deals'!B16,'Clients'!$A$6:$A$205,0)))),IF('Deals'!B16="","",IF(COUNTIFS('Clients'!$A$6:$A$205,'Deals'!B16)&lt;&gt;1,"Check Client ID",INDEX('Clients'!$B$6:$B$205,MATCH('Deals'!B16,'Clients'!$A$6:$A$205,0)))),'Follow-ups'!K16,'Payments'!B16,'Expenses'!D16)),CHOOSE($M$42,'Clients'!B16,'Clients'!B16,'Viewings'!H16,IF('Deals'!B16="","",IF(COUNTIFS('Clients'!$A$6:$A$205,'Deals'!B16)&lt;&gt;1,"Check Client ID",INDEX('Clients'!$B$6:$B$205,MATCH('Deals'!B16,'Clients'!$A$6:$A$205,0)))),IF('Deals'!B16="","",IF(COUNTIFS('Clients'!$A$6:$A$205,'Deals'!B16)&lt;&gt;1,"Check Client ID",INDEX('Clients'!$B$6:$B$205,MATCH('Deals'!B16,'Clients'!$A$6:$A$205,0)))),IF('Deals'!B16="","",IF(COUNTIFS('Clients'!$A$6:$A$205,'Deals'!B16)&lt;&gt;1,"Check Client ID",INDEX('Clients'!$B$6:$B$205,MATCH('Deals'!B16,'Clients'!$A$6:$A$205,0)))),'Follow-ups'!K16,'Payments'!B16,'Expenses'!D16),IF(CHOOSE($M$42,'Clients'!B16,'Clients'!B16,'Viewings'!H16,IF('Deals'!B16="","",IF(COUNTIFS('Clients'!$A$6:$A$205,'Deals'!B16)&lt;&gt;1,"Check Client ID",INDEX('Clients'!$B$6:$B$205,MATCH('Deals'!B16,'Clients'!$A$6:$A$205,0)))),IF('Deals'!B16="","",IF(COUNTIFS('Clients'!$A$6:$A$205,'Deals'!B16)&lt;&gt;1,"Check Client ID",INDEX('Clients'!$B$6:$B$205,MATCH('Deals'!B16,'Clients'!$A$6:$A$205,0)))),IF('Deals'!B16="","",IF(COUNTIFS('Clients'!$A$6:$A$205,'Deals'!B16)&lt;&gt;1,"Check Client ID",INDEX('Clients'!$B$6:$B$205,MATCH('Deals'!B16,'Clients'!$A$6:$A$205,0)))),'Follow-ups'!K16,'Payments'!B16,'Expenses'!D16)="","",CHOOSE($M$42,'Clients'!B16,'Clients'!B16,'Viewings'!H16,IF('Deals'!B16="","",IF(COUNTIFS('Clients'!$A$6:$A$205,'Deals'!B16)&lt;&gt;1,"Check Client ID",INDEX('Clients'!$B$6:$B$205,MATCH('Deals'!B16,'Clients'!$A$6:$A$205,0)))),IF('Deals'!B16="","",IF(COUNTIFS('Clients'!$A$6:$A$205,'Deals'!B16)&lt;&gt;1,"Check Client ID",INDEX('Clients'!$B$6:$B$205,MATCH('Deals'!B16,'Clients'!$A$6:$A$205,0)))),IF('Deals'!B16="","",IF(COUNTIFS('Clients'!$A$6:$A$205,'Deals'!B16)&lt;&gt;1,"Check Client ID",INDEX('Clients'!$B$6:$B$205,MATCH('Deals'!B16,'Clients'!$A$6:$A$205,0)))),'Follow-ups'!K16,'Payments'!B16,'Expenses'!D16))))</x:f>
      </x:c>
      <x:c r="E58" s="432" t="str">
        <x:f>IF(B58="","",IF(ISNUMBER(CHOOSE($M$42,'Clients'!K16,'Clients'!K16,'Viewings'!I16,'Deals'!C16,'Deals'!C16,'Deals'!C16,'Follow-ups'!L16,'Payments'!G16,'Expenses'!F16)),CHOOSE($M$42,'Clients'!K16,'Clients'!K16,'Viewings'!I16,'Deals'!C16,'Deals'!C16,'Deals'!C16,'Follow-ups'!L16,'Payments'!G16,'Expenses'!F16),IF(CHOOSE($M$42,'Clients'!K16,'Clients'!K16,'Viewings'!I16,'Deals'!C16,'Deals'!C16,'Deals'!C16,'Follow-ups'!L16,'Payments'!G16,'Expenses'!F16)="","",CHOOSE($M$42,'Clients'!K16,'Clients'!K16,'Viewings'!I16,'Deals'!C16,'Deals'!C16,'Deals'!C16,'Follow-ups'!L16,'Payments'!G16,'Expenses'!F16))))</x:f>
      </x:c>
      <x:c r="F58" s="432" t="str">
        <x:f>IF(B58="","",IF(ISNUMBER(CHOOSE($M$42,'Clients'!H16,'Clients'!H16,'Viewings'!E16,'Deals'!E16,'Deals'!E16,'Deals'!E16,'Follow-ups'!I16,"Receipt",'Expenses'!C16)),CHOOSE($M$42,'Clients'!H16,'Clients'!H16,'Viewings'!E16,'Deals'!E16,'Deals'!E16,'Deals'!E16,'Follow-ups'!I16,"Receipt",'Expenses'!C16),IF(CHOOSE($M$42,'Clients'!H16,'Clients'!H16,'Viewings'!E16,'Deals'!E16,'Deals'!E16,'Deals'!E16,'Follow-ups'!I16,"Receipt",'Expenses'!C16)="","",CHOOSE($M$42,'Clients'!H16,'Clients'!H16,'Viewings'!E16,'Deals'!E16,'Deals'!E16,'Deals'!E16,'Follow-ups'!I16,"Receipt",'Expenses'!C16))))</x:f>
      </x:c>
      <x:c r="G58" s="473" t="str">
        <x:f>IF(B58="","",IF(ISNUMBER(CHOOSE($M$42,"","","",'Deals'!F16,'Deals'!F16,'Deals'!F16,"",'Payments'!D16,'Expenses'!G16)),CHOOSE($M$42,"","","",'Deals'!F16,'Deals'!F16,'Deals'!F16,"",'Payments'!D16,'Expenses'!G16),IF(CHOOSE($M$42,"","","",'Deals'!F16,'Deals'!F16,'Deals'!F16,"",'Payments'!D16,'Expenses'!G16)="","",CHOOSE($M$42,"","","",'Deals'!F16,'Deals'!F16,'Deals'!F16,"",'Payments'!D16,'Expenses'!G16))))</x:f>
      </x:c>
      <x:c r="H58" s="432" t="n">
        <x:f>IF(AND($M$43=1,B58&lt;&gt;"",ISNUMBER(C58),C58&gt;=$G$6,C58&lt;$K$6+1),1,0)</x:f>
        <x:v>0</x:v>
      </x:c>
      <x:c r="I58" s="432" t="str">
        <x:f>IF(H58=0,"",COUNTIFS($H$48:$H$247,1,$C$48:$C$247,"&lt;"&amp;C58)+COUNTIFS($H$48:H58,1,$C$48:C58,C58))</x:f>
      </x:c>
      <x:c r="J58" s="432"/>
      <x:c r="K58" s="432"/>
      <x:c r="L58" s="432"/>
      <x:c r="M58" s="432"/>
      <x:c r="N58" s="432"/>
      <x:c r="O58" s="432"/>
      <x:c r="P58" s="432"/>
      <x:c r="Q58" s="432"/>
    </x:row>
    <x:row r="59" ht="25" customHeight="1">
      <x:c r="A59" s="432"/>
      <x:c r="B59" s="432" t="str">
        <x:f>IF(CHOOSE($M$42,'Clients'!A17,'Clients'!A17,'Viewings'!A17,'Deals'!A17,'Deals'!A17,'Deals'!A17,'Follow-ups'!A17,'Payments'!A17,'Expenses'!A17)="","",CHOOSE($M$42,'Clients'!A17,'Clients'!A17,'Viewings'!A17,'Deals'!A17,'Deals'!A17,'Deals'!A17,'Follow-ups'!A17,'Payments'!A17,'Expenses'!A17))</x:f>
      </x:c>
      <x:c r="C59" s="472" t="str">
        <x:f>IF(B59="","",IF(CHOOSE($M$42,'Clients'!R17,'Clients'!Q17,'Viewings'!D17,'Deals'!X17,'Deals'!Y17,'Deals'!Z17,'Follow-ups'!H17,'Payments'!C17,'Expenses'!B17)="","",CHOOSE($M$42,'Clients'!R17,'Clients'!Q17,'Viewings'!D17,'Deals'!X17,'Deals'!Y17,'Deals'!Z17,'Follow-ups'!H17,'Payments'!C17,'Expenses'!B17)))</x:f>
      </x:c>
      <x:c r="D59" s="432" t="str">
        <x:f>IF(B59="","",IF(ISNUMBER(CHOOSE($M$42,'Clients'!B17,'Clients'!B17,'Viewings'!H17,IF('Deals'!B17="","",IF(COUNTIFS('Clients'!$A$6:$A$205,'Deals'!B17)&lt;&gt;1,"Check Client ID",INDEX('Clients'!$B$6:$B$205,MATCH('Deals'!B17,'Clients'!$A$6:$A$205,0)))),IF('Deals'!B17="","",IF(COUNTIFS('Clients'!$A$6:$A$205,'Deals'!B17)&lt;&gt;1,"Check Client ID",INDEX('Clients'!$B$6:$B$205,MATCH('Deals'!B17,'Clients'!$A$6:$A$205,0)))),IF('Deals'!B17="","",IF(COUNTIFS('Clients'!$A$6:$A$205,'Deals'!B17)&lt;&gt;1,"Check Client ID",INDEX('Clients'!$B$6:$B$205,MATCH('Deals'!B17,'Clients'!$A$6:$A$205,0)))),'Follow-ups'!K17,'Payments'!B17,'Expenses'!D17)),CHOOSE($M$42,'Clients'!B17,'Clients'!B17,'Viewings'!H17,IF('Deals'!B17="","",IF(COUNTIFS('Clients'!$A$6:$A$205,'Deals'!B17)&lt;&gt;1,"Check Client ID",INDEX('Clients'!$B$6:$B$205,MATCH('Deals'!B17,'Clients'!$A$6:$A$205,0)))),IF('Deals'!B17="","",IF(COUNTIFS('Clients'!$A$6:$A$205,'Deals'!B17)&lt;&gt;1,"Check Client ID",INDEX('Clients'!$B$6:$B$205,MATCH('Deals'!B17,'Clients'!$A$6:$A$205,0)))),IF('Deals'!B17="","",IF(COUNTIFS('Clients'!$A$6:$A$205,'Deals'!B17)&lt;&gt;1,"Check Client ID",INDEX('Clients'!$B$6:$B$205,MATCH('Deals'!B17,'Clients'!$A$6:$A$205,0)))),'Follow-ups'!K17,'Payments'!B17,'Expenses'!D17),IF(CHOOSE($M$42,'Clients'!B17,'Clients'!B17,'Viewings'!H17,IF('Deals'!B17="","",IF(COUNTIFS('Clients'!$A$6:$A$205,'Deals'!B17)&lt;&gt;1,"Check Client ID",INDEX('Clients'!$B$6:$B$205,MATCH('Deals'!B17,'Clients'!$A$6:$A$205,0)))),IF('Deals'!B17="","",IF(COUNTIFS('Clients'!$A$6:$A$205,'Deals'!B17)&lt;&gt;1,"Check Client ID",INDEX('Clients'!$B$6:$B$205,MATCH('Deals'!B17,'Clients'!$A$6:$A$205,0)))),IF('Deals'!B17="","",IF(COUNTIFS('Clients'!$A$6:$A$205,'Deals'!B17)&lt;&gt;1,"Check Client ID",INDEX('Clients'!$B$6:$B$205,MATCH('Deals'!B17,'Clients'!$A$6:$A$205,0)))),'Follow-ups'!K17,'Payments'!B17,'Expenses'!D17)="","",CHOOSE($M$42,'Clients'!B17,'Clients'!B17,'Viewings'!H17,IF('Deals'!B17="","",IF(COUNTIFS('Clients'!$A$6:$A$205,'Deals'!B17)&lt;&gt;1,"Check Client ID",INDEX('Clients'!$B$6:$B$205,MATCH('Deals'!B17,'Clients'!$A$6:$A$205,0)))),IF('Deals'!B17="","",IF(COUNTIFS('Clients'!$A$6:$A$205,'Deals'!B17)&lt;&gt;1,"Check Client ID",INDEX('Clients'!$B$6:$B$205,MATCH('Deals'!B17,'Clients'!$A$6:$A$205,0)))),IF('Deals'!B17="","",IF(COUNTIFS('Clients'!$A$6:$A$205,'Deals'!B17)&lt;&gt;1,"Check Client ID",INDEX('Clients'!$B$6:$B$205,MATCH('Deals'!B17,'Clients'!$A$6:$A$205,0)))),'Follow-ups'!K17,'Payments'!B17,'Expenses'!D17))))</x:f>
      </x:c>
      <x:c r="E59" s="432" t="str">
        <x:f>IF(B59="","",IF(ISNUMBER(CHOOSE($M$42,'Clients'!K17,'Clients'!K17,'Viewings'!I17,'Deals'!C17,'Deals'!C17,'Deals'!C17,'Follow-ups'!L17,'Payments'!G17,'Expenses'!F17)),CHOOSE($M$42,'Clients'!K17,'Clients'!K17,'Viewings'!I17,'Deals'!C17,'Deals'!C17,'Deals'!C17,'Follow-ups'!L17,'Payments'!G17,'Expenses'!F17),IF(CHOOSE($M$42,'Clients'!K17,'Clients'!K17,'Viewings'!I17,'Deals'!C17,'Deals'!C17,'Deals'!C17,'Follow-ups'!L17,'Payments'!G17,'Expenses'!F17)="","",CHOOSE($M$42,'Clients'!K17,'Clients'!K17,'Viewings'!I17,'Deals'!C17,'Deals'!C17,'Deals'!C17,'Follow-ups'!L17,'Payments'!G17,'Expenses'!F17))))</x:f>
      </x:c>
      <x:c r="F59" s="432" t="str">
        <x:f>IF(B59="","",IF(ISNUMBER(CHOOSE($M$42,'Clients'!H17,'Clients'!H17,'Viewings'!E17,'Deals'!E17,'Deals'!E17,'Deals'!E17,'Follow-ups'!I17,"Receipt",'Expenses'!C17)),CHOOSE($M$42,'Clients'!H17,'Clients'!H17,'Viewings'!E17,'Deals'!E17,'Deals'!E17,'Deals'!E17,'Follow-ups'!I17,"Receipt",'Expenses'!C17),IF(CHOOSE($M$42,'Clients'!H17,'Clients'!H17,'Viewings'!E17,'Deals'!E17,'Deals'!E17,'Deals'!E17,'Follow-ups'!I17,"Receipt",'Expenses'!C17)="","",CHOOSE($M$42,'Clients'!H17,'Clients'!H17,'Viewings'!E17,'Deals'!E17,'Deals'!E17,'Deals'!E17,'Follow-ups'!I17,"Receipt",'Expenses'!C17))))</x:f>
      </x:c>
      <x:c r="G59" s="473" t="str">
        <x:f>IF(B59="","",IF(ISNUMBER(CHOOSE($M$42,"","","",'Deals'!F17,'Deals'!F17,'Deals'!F17,"",'Payments'!D17,'Expenses'!G17)),CHOOSE($M$42,"","","",'Deals'!F17,'Deals'!F17,'Deals'!F17,"",'Payments'!D17,'Expenses'!G17),IF(CHOOSE($M$42,"","","",'Deals'!F17,'Deals'!F17,'Deals'!F17,"",'Payments'!D17,'Expenses'!G17)="","",CHOOSE($M$42,"","","",'Deals'!F17,'Deals'!F17,'Deals'!F17,"",'Payments'!D17,'Expenses'!G17))))</x:f>
      </x:c>
      <x:c r="H59" s="432" t="n">
        <x:f>IF(AND($M$43=1,B59&lt;&gt;"",ISNUMBER(C59),C59&gt;=$G$6,C59&lt;$K$6+1),1,0)</x:f>
        <x:v>0</x:v>
      </x:c>
      <x:c r="I59" s="432" t="str">
        <x:f>IF(H59=0,"",COUNTIFS($H$48:$H$247,1,$C$48:$C$247,"&lt;"&amp;C59)+COUNTIFS($H$48:H59,1,$C$48:C59,C59))</x:f>
      </x:c>
      <x:c r="J59" s="432"/>
      <x:c r="K59" s="432"/>
      <x:c r="L59" s="432"/>
      <x:c r="M59" s="432"/>
      <x:c r="N59" s="432"/>
      <x:c r="O59" s="432"/>
      <x:c r="P59" s="432"/>
      <x:c r="Q59" s="432"/>
    </x:row>
    <x:row r="60" ht="25" customHeight="1">
      <x:c r="A60" s="432"/>
      <x:c r="B60" s="432" t="str">
        <x:f>IF(CHOOSE($M$42,'Clients'!A18,'Clients'!A18,'Viewings'!A18,'Deals'!A18,'Deals'!A18,'Deals'!A18,'Follow-ups'!A18,'Payments'!A18,'Expenses'!A18)="","",CHOOSE($M$42,'Clients'!A18,'Clients'!A18,'Viewings'!A18,'Deals'!A18,'Deals'!A18,'Deals'!A18,'Follow-ups'!A18,'Payments'!A18,'Expenses'!A18))</x:f>
      </x:c>
      <x:c r="C60" s="472" t="str">
        <x:f>IF(B60="","",IF(CHOOSE($M$42,'Clients'!R18,'Clients'!Q18,'Viewings'!D18,'Deals'!X18,'Deals'!Y18,'Deals'!Z18,'Follow-ups'!H18,'Payments'!C18,'Expenses'!B18)="","",CHOOSE($M$42,'Clients'!R18,'Clients'!Q18,'Viewings'!D18,'Deals'!X18,'Deals'!Y18,'Deals'!Z18,'Follow-ups'!H18,'Payments'!C18,'Expenses'!B18)))</x:f>
      </x:c>
      <x:c r="D60" s="432" t="str">
        <x:f>IF(B60="","",IF(ISNUMBER(CHOOSE($M$42,'Clients'!B18,'Clients'!B18,'Viewings'!H18,IF('Deals'!B18="","",IF(COUNTIFS('Clients'!$A$6:$A$205,'Deals'!B18)&lt;&gt;1,"Check Client ID",INDEX('Clients'!$B$6:$B$205,MATCH('Deals'!B18,'Clients'!$A$6:$A$205,0)))),IF('Deals'!B18="","",IF(COUNTIFS('Clients'!$A$6:$A$205,'Deals'!B18)&lt;&gt;1,"Check Client ID",INDEX('Clients'!$B$6:$B$205,MATCH('Deals'!B18,'Clients'!$A$6:$A$205,0)))),IF('Deals'!B18="","",IF(COUNTIFS('Clients'!$A$6:$A$205,'Deals'!B18)&lt;&gt;1,"Check Client ID",INDEX('Clients'!$B$6:$B$205,MATCH('Deals'!B18,'Clients'!$A$6:$A$205,0)))),'Follow-ups'!K18,'Payments'!B18,'Expenses'!D18)),CHOOSE($M$42,'Clients'!B18,'Clients'!B18,'Viewings'!H18,IF('Deals'!B18="","",IF(COUNTIFS('Clients'!$A$6:$A$205,'Deals'!B18)&lt;&gt;1,"Check Client ID",INDEX('Clients'!$B$6:$B$205,MATCH('Deals'!B18,'Clients'!$A$6:$A$205,0)))),IF('Deals'!B18="","",IF(COUNTIFS('Clients'!$A$6:$A$205,'Deals'!B18)&lt;&gt;1,"Check Client ID",INDEX('Clients'!$B$6:$B$205,MATCH('Deals'!B18,'Clients'!$A$6:$A$205,0)))),IF('Deals'!B18="","",IF(COUNTIFS('Clients'!$A$6:$A$205,'Deals'!B18)&lt;&gt;1,"Check Client ID",INDEX('Clients'!$B$6:$B$205,MATCH('Deals'!B18,'Clients'!$A$6:$A$205,0)))),'Follow-ups'!K18,'Payments'!B18,'Expenses'!D18),IF(CHOOSE($M$42,'Clients'!B18,'Clients'!B18,'Viewings'!H18,IF('Deals'!B18="","",IF(COUNTIFS('Clients'!$A$6:$A$205,'Deals'!B18)&lt;&gt;1,"Check Client ID",INDEX('Clients'!$B$6:$B$205,MATCH('Deals'!B18,'Clients'!$A$6:$A$205,0)))),IF('Deals'!B18="","",IF(COUNTIFS('Clients'!$A$6:$A$205,'Deals'!B18)&lt;&gt;1,"Check Client ID",INDEX('Clients'!$B$6:$B$205,MATCH('Deals'!B18,'Clients'!$A$6:$A$205,0)))),IF('Deals'!B18="","",IF(COUNTIFS('Clients'!$A$6:$A$205,'Deals'!B18)&lt;&gt;1,"Check Client ID",INDEX('Clients'!$B$6:$B$205,MATCH('Deals'!B18,'Clients'!$A$6:$A$205,0)))),'Follow-ups'!K18,'Payments'!B18,'Expenses'!D18)="","",CHOOSE($M$42,'Clients'!B18,'Clients'!B18,'Viewings'!H18,IF('Deals'!B18="","",IF(COUNTIFS('Clients'!$A$6:$A$205,'Deals'!B18)&lt;&gt;1,"Check Client ID",INDEX('Clients'!$B$6:$B$205,MATCH('Deals'!B18,'Clients'!$A$6:$A$205,0)))),IF('Deals'!B18="","",IF(COUNTIFS('Clients'!$A$6:$A$205,'Deals'!B18)&lt;&gt;1,"Check Client ID",INDEX('Clients'!$B$6:$B$205,MATCH('Deals'!B18,'Clients'!$A$6:$A$205,0)))),IF('Deals'!B18="","",IF(COUNTIFS('Clients'!$A$6:$A$205,'Deals'!B18)&lt;&gt;1,"Check Client ID",INDEX('Clients'!$B$6:$B$205,MATCH('Deals'!B18,'Clients'!$A$6:$A$205,0)))),'Follow-ups'!K18,'Payments'!B18,'Expenses'!D18))))</x:f>
      </x:c>
      <x:c r="E60" s="432" t="str">
        <x:f>IF(B60="","",IF(ISNUMBER(CHOOSE($M$42,'Clients'!K18,'Clients'!K18,'Viewings'!I18,'Deals'!C18,'Deals'!C18,'Deals'!C18,'Follow-ups'!L18,'Payments'!G18,'Expenses'!F18)),CHOOSE($M$42,'Clients'!K18,'Clients'!K18,'Viewings'!I18,'Deals'!C18,'Deals'!C18,'Deals'!C18,'Follow-ups'!L18,'Payments'!G18,'Expenses'!F18),IF(CHOOSE($M$42,'Clients'!K18,'Clients'!K18,'Viewings'!I18,'Deals'!C18,'Deals'!C18,'Deals'!C18,'Follow-ups'!L18,'Payments'!G18,'Expenses'!F18)="","",CHOOSE($M$42,'Clients'!K18,'Clients'!K18,'Viewings'!I18,'Deals'!C18,'Deals'!C18,'Deals'!C18,'Follow-ups'!L18,'Payments'!G18,'Expenses'!F18))))</x:f>
      </x:c>
      <x:c r="F60" s="432" t="str">
        <x:f>IF(B60="","",IF(ISNUMBER(CHOOSE($M$42,'Clients'!H18,'Clients'!H18,'Viewings'!E18,'Deals'!E18,'Deals'!E18,'Deals'!E18,'Follow-ups'!I18,"Receipt",'Expenses'!C18)),CHOOSE($M$42,'Clients'!H18,'Clients'!H18,'Viewings'!E18,'Deals'!E18,'Deals'!E18,'Deals'!E18,'Follow-ups'!I18,"Receipt",'Expenses'!C18),IF(CHOOSE($M$42,'Clients'!H18,'Clients'!H18,'Viewings'!E18,'Deals'!E18,'Deals'!E18,'Deals'!E18,'Follow-ups'!I18,"Receipt",'Expenses'!C18)="","",CHOOSE($M$42,'Clients'!H18,'Clients'!H18,'Viewings'!E18,'Deals'!E18,'Deals'!E18,'Deals'!E18,'Follow-ups'!I18,"Receipt",'Expenses'!C18))))</x:f>
      </x:c>
      <x:c r="G60" s="473" t="str">
        <x:f>IF(B60="","",IF(ISNUMBER(CHOOSE($M$42,"","","",'Deals'!F18,'Deals'!F18,'Deals'!F18,"",'Payments'!D18,'Expenses'!G18)),CHOOSE($M$42,"","","",'Deals'!F18,'Deals'!F18,'Deals'!F18,"",'Payments'!D18,'Expenses'!G18),IF(CHOOSE($M$42,"","","",'Deals'!F18,'Deals'!F18,'Deals'!F18,"",'Payments'!D18,'Expenses'!G18)="","",CHOOSE($M$42,"","","",'Deals'!F18,'Deals'!F18,'Deals'!F18,"",'Payments'!D18,'Expenses'!G18))))</x:f>
      </x:c>
      <x:c r="H60" s="432" t="n">
        <x:f>IF(AND($M$43=1,B60&lt;&gt;"",ISNUMBER(C60),C60&gt;=$G$6,C60&lt;$K$6+1),1,0)</x:f>
        <x:v>0</x:v>
      </x:c>
      <x:c r="I60" s="432" t="str">
        <x:f>IF(H60=0,"",COUNTIFS($H$48:$H$247,1,$C$48:$C$247,"&lt;"&amp;C60)+COUNTIFS($H$48:H60,1,$C$48:C60,C60))</x:f>
      </x:c>
      <x:c r="J60" s="432"/>
      <x:c r="K60" s="432"/>
      <x:c r="L60" s="432"/>
      <x:c r="M60" s="432"/>
      <x:c r="N60" s="432"/>
      <x:c r="O60" s="432"/>
      <x:c r="P60" s="432"/>
      <x:c r="Q60" s="432"/>
    </x:row>
    <x:row r="61" ht="25" customHeight="1">
      <x:c r="A61" s="432"/>
      <x:c r="B61" s="432" t="str">
        <x:f>IF(CHOOSE($M$42,'Clients'!A19,'Clients'!A19,'Viewings'!A19,'Deals'!A19,'Deals'!A19,'Deals'!A19,'Follow-ups'!A19,'Payments'!A19,'Expenses'!A19)="","",CHOOSE($M$42,'Clients'!A19,'Clients'!A19,'Viewings'!A19,'Deals'!A19,'Deals'!A19,'Deals'!A19,'Follow-ups'!A19,'Payments'!A19,'Expenses'!A19))</x:f>
      </x:c>
      <x:c r="C61" s="472" t="str">
        <x:f>IF(B61="","",IF(CHOOSE($M$42,'Clients'!R19,'Clients'!Q19,'Viewings'!D19,'Deals'!X19,'Deals'!Y19,'Deals'!Z19,'Follow-ups'!H19,'Payments'!C19,'Expenses'!B19)="","",CHOOSE($M$42,'Clients'!R19,'Clients'!Q19,'Viewings'!D19,'Deals'!X19,'Deals'!Y19,'Deals'!Z19,'Follow-ups'!H19,'Payments'!C19,'Expenses'!B19)))</x:f>
      </x:c>
      <x:c r="D61" s="432" t="str">
        <x:f>IF(B61="","",IF(ISNUMBER(CHOOSE($M$42,'Clients'!B19,'Clients'!B19,'Viewings'!H19,IF('Deals'!B19="","",IF(COUNTIFS('Clients'!$A$6:$A$205,'Deals'!B19)&lt;&gt;1,"Check Client ID",INDEX('Clients'!$B$6:$B$205,MATCH('Deals'!B19,'Clients'!$A$6:$A$205,0)))),IF('Deals'!B19="","",IF(COUNTIFS('Clients'!$A$6:$A$205,'Deals'!B19)&lt;&gt;1,"Check Client ID",INDEX('Clients'!$B$6:$B$205,MATCH('Deals'!B19,'Clients'!$A$6:$A$205,0)))),IF('Deals'!B19="","",IF(COUNTIFS('Clients'!$A$6:$A$205,'Deals'!B19)&lt;&gt;1,"Check Client ID",INDEX('Clients'!$B$6:$B$205,MATCH('Deals'!B19,'Clients'!$A$6:$A$205,0)))),'Follow-ups'!K19,'Payments'!B19,'Expenses'!D19)),CHOOSE($M$42,'Clients'!B19,'Clients'!B19,'Viewings'!H19,IF('Deals'!B19="","",IF(COUNTIFS('Clients'!$A$6:$A$205,'Deals'!B19)&lt;&gt;1,"Check Client ID",INDEX('Clients'!$B$6:$B$205,MATCH('Deals'!B19,'Clients'!$A$6:$A$205,0)))),IF('Deals'!B19="","",IF(COUNTIFS('Clients'!$A$6:$A$205,'Deals'!B19)&lt;&gt;1,"Check Client ID",INDEX('Clients'!$B$6:$B$205,MATCH('Deals'!B19,'Clients'!$A$6:$A$205,0)))),IF('Deals'!B19="","",IF(COUNTIFS('Clients'!$A$6:$A$205,'Deals'!B19)&lt;&gt;1,"Check Client ID",INDEX('Clients'!$B$6:$B$205,MATCH('Deals'!B19,'Clients'!$A$6:$A$205,0)))),'Follow-ups'!K19,'Payments'!B19,'Expenses'!D19),IF(CHOOSE($M$42,'Clients'!B19,'Clients'!B19,'Viewings'!H19,IF('Deals'!B19="","",IF(COUNTIFS('Clients'!$A$6:$A$205,'Deals'!B19)&lt;&gt;1,"Check Client ID",INDEX('Clients'!$B$6:$B$205,MATCH('Deals'!B19,'Clients'!$A$6:$A$205,0)))),IF('Deals'!B19="","",IF(COUNTIFS('Clients'!$A$6:$A$205,'Deals'!B19)&lt;&gt;1,"Check Client ID",INDEX('Clients'!$B$6:$B$205,MATCH('Deals'!B19,'Clients'!$A$6:$A$205,0)))),IF('Deals'!B19="","",IF(COUNTIFS('Clients'!$A$6:$A$205,'Deals'!B19)&lt;&gt;1,"Check Client ID",INDEX('Clients'!$B$6:$B$205,MATCH('Deals'!B19,'Clients'!$A$6:$A$205,0)))),'Follow-ups'!K19,'Payments'!B19,'Expenses'!D19)="","",CHOOSE($M$42,'Clients'!B19,'Clients'!B19,'Viewings'!H19,IF('Deals'!B19="","",IF(COUNTIFS('Clients'!$A$6:$A$205,'Deals'!B19)&lt;&gt;1,"Check Client ID",INDEX('Clients'!$B$6:$B$205,MATCH('Deals'!B19,'Clients'!$A$6:$A$205,0)))),IF('Deals'!B19="","",IF(COUNTIFS('Clients'!$A$6:$A$205,'Deals'!B19)&lt;&gt;1,"Check Client ID",INDEX('Clients'!$B$6:$B$205,MATCH('Deals'!B19,'Clients'!$A$6:$A$205,0)))),IF('Deals'!B19="","",IF(COUNTIFS('Clients'!$A$6:$A$205,'Deals'!B19)&lt;&gt;1,"Check Client ID",INDEX('Clients'!$B$6:$B$205,MATCH('Deals'!B19,'Clients'!$A$6:$A$205,0)))),'Follow-ups'!K19,'Payments'!B19,'Expenses'!D19))))</x:f>
      </x:c>
      <x:c r="E61" s="432" t="str">
        <x:f>IF(B61="","",IF(ISNUMBER(CHOOSE($M$42,'Clients'!K19,'Clients'!K19,'Viewings'!I19,'Deals'!C19,'Deals'!C19,'Deals'!C19,'Follow-ups'!L19,'Payments'!G19,'Expenses'!F19)),CHOOSE($M$42,'Clients'!K19,'Clients'!K19,'Viewings'!I19,'Deals'!C19,'Deals'!C19,'Deals'!C19,'Follow-ups'!L19,'Payments'!G19,'Expenses'!F19),IF(CHOOSE($M$42,'Clients'!K19,'Clients'!K19,'Viewings'!I19,'Deals'!C19,'Deals'!C19,'Deals'!C19,'Follow-ups'!L19,'Payments'!G19,'Expenses'!F19)="","",CHOOSE($M$42,'Clients'!K19,'Clients'!K19,'Viewings'!I19,'Deals'!C19,'Deals'!C19,'Deals'!C19,'Follow-ups'!L19,'Payments'!G19,'Expenses'!F19))))</x:f>
      </x:c>
      <x:c r="F61" s="432" t="str">
        <x:f>IF(B61="","",IF(ISNUMBER(CHOOSE($M$42,'Clients'!H19,'Clients'!H19,'Viewings'!E19,'Deals'!E19,'Deals'!E19,'Deals'!E19,'Follow-ups'!I19,"Receipt",'Expenses'!C19)),CHOOSE($M$42,'Clients'!H19,'Clients'!H19,'Viewings'!E19,'Deals'!E19,'Deals'!E19,'Deals'!E19,'Follow-ups'!I19,"Receipt",'Expenses'!C19),IF(CHOOSE($M$42,'Clients'!H19,'Clients'!H19,'Viewings'!E19,'Deals'!E19,'Deals'!E19,'Deals'!E19,'Follow-ups'!I19,"Receipt",'Expenses'!C19)="","",CHOOSE($M$42,'Clients'!H19,'Clients'!H19,'Viewings'!E19,'Deals'!E19,'Deals'!E19,'Deals'!E19,'Follow-ups'!I19,"Receipt",'Expenses'!C19))))</x:f>
      </x:c>
      <x:c r="G61" s="473" t="str">
        <x:f>IF(B61="","",IF(ISNUMBER(CHOOSE($M$42,"","","",'Deals'!F19,'Deals'!F19,'Deals'!F19,"",'Payments'!D19,'Expenses'!G19)),CHOOSE($M$42,"","","",'Deals'!F19,'Deals'!F19,'Deals'!F19,"",'Payments'!D19,'Expenses'!G19),IF(CHOOSE($M$42,"","","",'Deals'!F19,'Deals'!F19,'Deals'!F19,"",'Payments'!D19,'Expenses'!G19)="","",CHOOSE($M$42,"","","",'Deals'!F19,'Deals'!F19,'Deals'!F19,"",'Payments'!D19,'Expenses'!G19))))</x:f>
      </x:c>
      <x:c r="H61" s="432" t="n">
        <x:f>IF(AND($M$43=1,B61&lt;&gt;"",ISNUMBER(C61),C61&gt;=$G$6,C61&lt;$K$6+1),1,0)</x:f>
        <x:v>0</x:v>
      </x:c>
      <x:c r="I61" s="432" t="str">
        <x:f>IF(H61=0,"",COUNTIFS($H$48:$H$247,1,$C$48:$C$247,"&lt;"&amp;C61)+COUNTIFS($H$48:H61,1,$C$48:C61,C61))</x:f>
      </x:c>
      <x:c r="J61" s="432"/>
      <x:c r="K61" s="432"/>
      <x:c r="L61" s="432"/>
      <x:c r="M61" s="432"/>
      <x:c r="N61" s="432"/>
      <x:c r="O61" s="432"/>
      <x:c r="P61" s="432"/>
      <x:c r="Q61" s="432"/>
    </x:row>
    <x:row r="62" ht="25" customHeight="1">
      <x:c r="A62" s="432"/>
      <x:c r="B62" s="432" t="str">
        <x:f>IF(CHOOSE($M$42,'Clients'!A20,'Clients'!A20,'Viewings'!A20,'Deals'!A20,'Deals'!A20,'Deals'!A20,'Follow-ups'!A20,'Payments'!A20,'Expenses'!A20)="","",CHOOSE($M$42,'Clients'!A20,'Clients'!A20,'Viewings'!A20,'Deals'!A20,'Deals'!A20,'Deals'!A20,'Follow-ups'!A20,'Payments'!A20,'Expenses'!A20))</x:f>
      </x:c>
      <x:c r="C62" s="472" t="str">
        <x:f>IF(B62="","",IF(CHOOSE($M$42,'Clients'!R20,'Clients'!Q20,'Viewings'!D20,'Deals'!X20,'Deals'!Y20,'Deals'!Z20,'Follow-ups'!H20,'Payments'!C20,'Expenses'!B20)="","",CHOOSE($M$42,'Clients'!R20,'Clients'!Q20,'Viewings'!D20,'Deals'!X20,'Deals'!Y20,'Deals'!Z20,'Follow-ups'!H20,'Payments'!C20,'Expenses'!B20)))</x:f>
      </x:c>
      <x:c r="D62" s="432" t="str">
        <x:f>IF(B62="","",IF(ISNUMBER(CHOOSE($M$42,'Clients'!B20,'Clients'!B20,'Viewings'!H20,IF('Deals'!B20="","",IF(COUNTIFS('Clients'!$A$6:$A$205,'Deals'!B20)&lt;&gt;1,"Check Client ID",INDEX('Clients'!$B$6:$B$205,MATCH('Deals'!B20,'Clients'!$A$6:$A$205,0)))),IF('Deals'!B20="","",IF(COUNTIFS('Clients'!$A$6:$A$205,'Deals'!B20)&lt;&gt;1,"Check Client ID",INDEX('Clients'!$B$6:$B$205,MATCH('Deals'!B20,'Clients'!$A$6:$A$205,0)))),IF('Deals'!B20="","",IF(COUNTIFS('Clients'!$A$6:$A$205,'Deals'!B20)&lt;&gt;1,"Check Client ID",INDEX('Clients'!$B$6:$B$205,MATCH('Deals'!B20,'Clients'!$A$6:$A$205,0)))),'Follow-ups'!K20,'Payments'!B20,'Expenses'!D20)),CHOOSE($M$42,'Clients'!B20,'Clients'!B20,'Viewings'!H20,IF('Deals'!B20="","",IF(COUNTIFS('Clients'!$A$6:$A$205,'Deals'!B20)&lt;&gt;1,"Check Client ID",INDEX('Clients'!$B$6:$B$205,MATCH('Deals'!B20,'Clients'!$A$6:$A$205,0)))),IF('Deals'!B20="","",IF(COUNTIFS('Clients'!$A$6:$A$205,'Deals'!B20)&lt;&gt;1,"Check Client ID",INDEX('Clients'!$B$6:$B$205,MATCH('Deals'!B20,'Clients'!$A$6:$A$205,0)))),IF('Deals'!B20="","",IF(COUNTIFS('Clients'!$A$6:$A$205,'Deals'!B20)&lt;&gt;1,"Check Client ID",INDEX('Clients'!$B$6:$B$205,MATCH('Deals'!B20,'Clients'!$A$6:$A$205,0)))),'Follow-ups'!K20,'Payments'!B20,'Expenses'!D20),IF(CHOOSE($M$42,'Clients'!B20,'Clients'!B20,'Viewings'!H20,IF('Deals'!B20="","",IF(COUNTIFS('Clients'!$A$6:$A$205,'Deals'!B20)&lt;&gt;1,"Check Client ID",INDEX('Clients'!$B$6:$B$205,MATCH('Deals'!B20,'Clients'!$A$6:$A$205,0)))),IF('Deals'!B20="","",IF(COUNTIFS('Clients'!$A$6:$A$205,'Deals'!B20)&lt;&gt;1,"Check Client ID",INDEX('Clients'!$B$6:$B$205,MATCH('Deals'!B20,'Clients'!$A$6:$A$205,0)))),IF('Deals'!B20="","",IF(COUNTIFS('Clients'!$A$6:$A$205,'Deals'!B20)&lt;&gt;1,"Check Client ID",INDEX('Clients'!$B$6:$B$205,MATCH('Deals'!B20,'Clients'!$A$6:$A$205,0)))),'Follow-ups'!K20,'Payments'!B20,'Expenses'!D20)="","",CHOOSE($M$42,'Clients'!B20,'Clients'!B20,'Viewings'!H20,IF('Deals'!B20="","",IF(COUNTIFS('Clients'!$A$6:$A$205,'Deals'!B20)&lt;&gt;1,"Check Client ID",INDEX('Clients'!$B$6:$B$205,MATCH('Deals'!B20,'Clients'!$A$6:$A$205,0)))),IF('Deals'!B20="","",IF(COUNTIFS('Clients'!$A$6:$A$205,'Deals'!B20)&lt;&gt;1,"Check Client ID",INDEX('Clients'!$B$6:$B$205,MATCH('Deals'!B20,'Clients'!$A$6:$A$205,0)))),IF('Deals'!B20="","",IF(COUNTIFS('Clients'!$A$6:$A$205,'Deals'!B20)&lt;&gt;1,"Check Client ID",INDEX('Clients'!$B$6:$B$205,MATCH('Deals'!B20,'Clients'!$A$6:$A$205,0)))),'Follow-ups'!K20,'Payments'!B20,'Expenses'!D20))))</x:f>
      </x:c>
      <x:c r="E62" s="432" t="str">
        <x:f>IF(B62="","",IF(ISNUMBER(CHOOSE($M$42,'Clients'!K20,'Clients'!K20,'Viewings'!I20,'Deals'!C20,'Deals'!C20,'Deals'!C20,'Follow-ups'!L20,'Payments'!G20,'Expenses'!F20)),CHOOSE($M$42,'Clients'!K20,'Clients'!K20,'Viewings'!I20,'Deals'!C20,'Deals'!C20,'Deals'!C20,'Follow-ups'!L20,'Payments'!G20,'Expenses'!F20),IF(CHOOSE($M$42,'Clients'!K20,'Clients'!K20,'Viewings'!I20,'Deals'!C20,'Deals'!C20,'Deals'!C20,'Follow-ups'!L20,'Payments'!G20,'Expenses'!F20)="","",CHOOSE($M$42,'Clients'!K20,'Clients'!K20,'Viewings'!I20,'Deals'!C20,'Deals'!C20,'Deals'!C20,'Follow-ups'!L20,'Payments'!G20,'Expenses'!F20))))</x:f>
      </x:c>
      <x:c r="F62" s="432" t="str">
        <x:f>IF(B62="","",IF(ISNUMBER(CHOOSE($M$42,'Clients'!H20,'Clients'!H20,'Viewings'!E20,'Deals'!E20,'Deals'!E20,'Deals'!E20,'Follow-ups'!I20,"Receipt",'Expenses'!C20)),CHOOSE($M$42,'Clients'!H20,'Clients'!H20,'Viewings'!E20,'Deals'!E20,'Deals'!E20,'Deals'!E20,'Follow-ups'!I20,"Receipt",'Expenses'!C20),IF(CHOOSE($M$42,'Clients'!H20,'Clients'!H20,'Viewings'!E20,'Deals'!E20,'Deals'!E20,'Deals'!E20,'Follow-ups'!I20,"Receipt",'Expenses'!C20)="","",CHOOSE($M$42,'Clients'!H20,'Clients'!H20,'Viewings'!E20,'Deals'!E20,'Deals'!E20,'Deals'!E20,'Follow-ups'!I20,"Receipt",'Expenses'!C20))))</x:f>
      </x:c>
      <x:c r="G62" s="473" t="str">
        <x:f>IF(B62="","",IF(ISNUMBER(CHOOSE($M$42,"","","",'Deals'!F20,'Deals'!F20,'Deals'!F20,"",'Payments'!D20,'Expenses'!G20)),CHOOSE($M$42,"","","",'Deals'!F20,'Deals'!F20,'Deals'!F20,"",'Payments'!D20,'Expenses'!G20),IF(CHOOSE($M$42,"","","",'Deals'!F20,'Deals'!F20,'Deals'!F20,"",'Payments'!D20,'Expenses'!G20)="","",CHOOSE($M$42,"","","",'Deals'!F20,'Deals'!F20,'Deals'!F20,"",'Payments'!D20,'Expenses'!G20))))</x:f>
      </x:c>
      <x:c r="H62" s="432" t="n">
        <x:f>IF(AND($M$43=1,B62&lt;&gt;"",ISNUMBER(C62),C62&gt;=$G$6,C62&lt;$K$6+1),1,0)</x:f>
        <x:v>0</x:v>
      </x:c>
      <x:c r="I62" s="432" t="str">
        <x:f>IF(H62=0,"",COUNTIFS($H$48:$H$247,1,$C$48:$C$247,"&lt;"&amp;C62)+COUNTIFS($H$48:H62,1,$C$48:C62,C62))</x:f>
      </x:c>
      <x:c r="J62" s="432"/>
      <x:c r="K62" s="432"/>
      <x:c r="L62" s="432"/>
      <x:c r="M62" s="432"/>
      <x:c r="N62" s="432"/>
      <x:c r="O62" s="432"/>
      <x:c r="P62" s="432"/>
      <x:c r="Q62" s="432"/>
    </x:row>
    <x:row r="63" ht="25" customHeight="1">
      <x:c r="A63" s="432"/>
      <x:c r="B63" s="432" t="str">
        <x:f>IF(CHOOSE($M$42,'Clients'!A21,'Clients'!A21,'Viewings'!A21,'Deals'!A21,'Deals'!A21,'Deals'!A21,'Follow-ups'!A21,'Payments'!A21,'Expenses'!A21)="","",CHOOSE($M$42,'Clients'!A21,'Clients'!A21,'Viewings'!A21,'Deals'!A21,'Deals'!A21,'Deals'!A21,'Follow-ups'!A21,'Payments'!A21,'Expenses'!A21))</x:f>
      </x:c>
      <x:c r="C63" s="472" t="str">
        <x:f>IF(B63="","",IF(CHOOSE($M$42,'Clients'!R21,'Clients'!Q21,'Viewings'!D21,'Deals'!X21,'Deals'!Y21,'Deals'!Z21,'Follow-ups'!H21,'Payments'!C21,'Expenses'!B21)="","",CHOOSE($M$42,'Clients'!R21,'Clients'!Q21,'Viewings'!D21,'Deals'!X21,'Deals'!Y21,'Deals'!Z21,'Follow-ups'!H21,'Payments'!C21,'Expenses'!B21)))</x:f>
      </x:c>
      <x:c r="D63" s="432" t="str">
        <x:f>IF(B63="","",IF(ISNUMBER(CHOOSE($M$42,'Clients'!B21,'Clients'!B21,'Viewings'!H21,IF('Deals'!B21="","",IF(COUNTIFS('Clients'!$A$6:$A$205,'Deals'!B21)&lt;&gt;1,"Check Client ID",INDEX('Clients'!$B$6:$B$205,MATCH('Deals'!B21,'Clients'!$A$6:$A$205,0)))),IF('Deals'!B21="","",IF(COUNTIFS('Clients'!$A$6:$A$205,'Deals'!B21)&lt;&gt;1,"Check Client ID",INDEX('Clients'!$B$6:$B$205,MATCH('Deals'!B21,'Clients'!$A$6:$A$205,0)))),IF('Deals'!B21="","",IF(COUNTIFS('Clients'!$A$6:$A$205,'Deals'!B21)&lt;&gt;1,"Check Client ID",INDEX('Clients'!$B$6:$B$205,MATCH('Deals'!B21,'Clients'!$A$6:$A$205,0)))),'Follow-ups'!K21,'Payments'!B21,'Expenses'!D21)),CHOOSE($M$42,'Clients'!B21,'Clients'!B21,'Viewings'!H21,IF('Deals'!B21="","",IF(COUNTIFS('Clients'!$A$6:$A$205,'Deals'!B21)&lt;&gt;1,"Check Client ID",INDEX('Clients'!$B$6:$B$205,MATCH('Deals'!B21,'Clients'!$A$6:$A$205,0)))),IF('Deals'!B21="","",IF(COUNTIFS('Clients'!$A$6:$A$205,'Deals'!B21)&lt;&gt;1,"Check Client ID",INDEX('Clients'!$B$6:$B$205,MATCH('Deals'!B21,'Clients'!$A$6:$A$205,0)))),IF('Deals'!B21="","",IF(COUNTIFS('Clients'!$A$6:$A$205,'Deals'!B21)&lt;&gt;1,"Check Client ID",INDEX('Clients'!$B$6:$B$205,MATCH('Deals'!B21,'Clients'!$A$6:$A$205,0)))),'Follow-ups'!K21,'Payments'!B21,'Expenses'!D21),IF(CHOOSE($M$42,'Clients'!B21,'Clients'!B21,'Viewings'!H21,IF('Deals'!B21="","",IF(COUNTIFS('Clients'!$A$6:$A$205,'Deals'!B21)&lt;&gt;1,"Check Client ID",INDEX('Clients'!$B$6:$B$205,MATCH('Deals'!B21,'Clients'!$A$6:$A$205,0)))),IF('Deals'!B21="","",IF(COUNTIFS('Clients'!$A$6:$A$205,'Deals'!B21)&lt;&gt;1,"Check Client ID",INDEX('Clients'!$B$6:$B$205,MATCH('Deals'!B21,'Clients'!$A$6:$A$205,0)))),IF('Deals'!B21="","",IF(COUNTIFS('Clients'!$A$6:$A$205,'Deals'!B21)&lt;&gt;1,"Check Client ID",INDEX('Clients'!$B$6:$B$205,MATCH('Deals'!B21,'Clients'!$A$6:$A$205,0)))),'Follow-ups'!K21,'Payments'!B21,'Expenses'!D21)="","",CHOOSE($M$42,'Clients'!B21,'Clients'!B21,'Viewings'!H21,IF('Deals'!B21="","",IF(COUNTIFS('Clients'!$A$6:$A$205,'Deals'!B21)&lt;&gt;1,"Check Client ID",INDEX('Clients'!$B$6:$B$205,MATCH('Deals'!B21,'Clients'!$A$6:$A$205,0)))),IF('Deals'!B21="","",IF(COUNTIFS('Clients'!$A$6:$A$205,'Deals'!B21)&lt;&gt;1,"Check Client ID",INDEX('Clients'!$B$6:$B$205,MATCH('Deals'!B21,'Clients'!$A$6:$A$205,0)))),IF('Deals'!B21="","",IF(COUNTIFS('Clients'!$A$6:$A$205,'Deals'!B21)&lt;&gt;1,"Check Client ID",INDEX('Clients'!$B$6:$B$205,MATCH('Deals'!B21,'Clients'!$A$6:$A$205,0)))),'Follow-ups'!K21,'Payments'!B21,'Expenses'!D21))))</x:f>
      </x:c>
      <x:c r="E63" s="432" t="str">
        <x:f>IF(B63="","",IF(ISNUMBER(CHOOSE($M$42,'Clients'!K21,'Clients'!K21,'Viewings'!I21,'Deals'!C21,'Deals'!C21,'Deals'!C21,'Follow-ups'!L21,'Payments'!G21,'Expenses'!F21)),CHOOSE($M$42,'Clients'!K21,'Clients'!K21,'Viewings'!I21,'Deals'!C21,'Deals'!C21,'Deals'!C21,'Follow-ups'!L21,'Payments'!G21,'Expenses'!F21),IF(CHOOSE($M$42,'Clients'!K21,'Clients'!K21,'Viewings'!I21,'Deals'!C21,'Deals'!C21,'Deals'!C21,'Follow-ups'!L21,'Payments'!G21,'Expenses'!F21)="","",CHOOSE($M$42,'Clients'!K21,'Clients'!K21,'Viewings'!I21,'Deals'!C21,'Deals'!C21,'Deals'!C21,'Follow-ups'!L21,'Payments'!G21,'Expenses'!F21))))</x:f>
      </x:c>
      <x:c r="F63" s="432" t="str">
        <x:f>IF(B63="","",IF(ISNUMBER(CHOOSE($M$42,'Clients'!H21,'Clients'!H21,'Viewings'!E21,'Deals'!E21,'Deals'!E21,'Deals'!E21,'Follow-ups'!I21,"Receipt",'Expenses'!C21)),CHOOSE($M$42,'Clients'!H21,'Clients'!H21,'Viewings'!E21,'Deals'!E21,'Deals'!E21,'Deals'!E21,'Follow-ups'!I21,"Receipt",'Expenses'!C21),IF(CHOOSE($M$42,'Clients'!H21,'Clients'!H21,'Viewings'!E21,'Deals'!E21,'Deals'!E21,'Deals'!E21,'Follow-ups'!I21,"Receipt",'Expenses'!C21)="","",CHOOSE($M$42,'Clients'!H21,'Clients'!H21,'Viewings'!E21,'Deals'!E21,'Deals'!E21,'Deals'!E21,'Follow-ups'!I21,"Receipt",'Expenses'!C21))))</x:f>
      </x:c>
      <x:c r="G63" s="473" t="str">
        <x:f>IF(B63="","",IF(ISNUMBER(CHOOSE($M$42,"","","",'Deals'!F21,'Deals'!F21,'Deals'!F21,"",'Payments'!D21,'Expenses'!G21)),CHOOSE($M$42,"","","",'Deals'!F21,'Deals'!F21,'Deals'!F21,"",'Payments'!D21,'Expenses'!G21),IF(CHOOSE($M$42,"","","",'Deals'!F21,'Deals'!F21,'Deals'!F21,"",'Payments'!D21,'Expenses'!G21)="","",CHOOSE($M$42,"","","",'Deals'!F21,'Deals'!F21,'Deals'!F21,"",'Payments'!D21,'Expenses'!G21))))</x:f>
      </x:c>
      <x:c r="H63" s="432" t="n">
        <x:f>IF(AND($M$43=1,B63&lt;&gt;"",ISNUMBER(C63),C63&gt;=$G$6,C63&lt;$K$6+1),1,0)</x:f>
        <x:v>0</x:v>
      </x:c>
      <x:c r="I63" s="432" t="str">
        <x:f>IF(H63=0,"",COUNTIFS($H$48:$H$247,1,$C$48:$C$247,"&lt;"&amp;C63)+COUNTIFS($H$48:H63,1,$C$48:C63,C63))</x:f>
      </x:c>
      <x:c r="J63" s="432"/>
      <x:c r="K63" s="432"/>
      <x:c r="L63" s="432"/>
      <x:c r="M63" s="432"/>
      <x:c r="N63" s="432"/>
      <x:c r="O63" s="432"/>
      <x:c r="P63" s="432"/>
      <x:c r="Q63" s="432"/>
    </x:row>
    <x:row r="64" ht="25" customHeight="1">
      <x:c r="A64" s="432"/>
      <x:c r="B64" s="432" t="str">
        <x:f>IF(CHOOSE($M$42,'Clients'!A22,'Clients'!A22,'Viewings'!A22,'Deals'!A22,'Deals'!A22,'Deals'!A22,'Follow-ups'!A22,'Payments'!A22,'Expenses'!A22)="","",CHOOSE($M$42,'Clients'!A22,'Clients'!A22,'Viewings'!A22,'Deals'!A22,'Deals'!A22,'Deals'!A22,'Follow-ups'!A22,'Payments'!A22,'Expenses'!A22))</x:f>
      </x:c>
      <x:c r="C64" s="472" t="str">
        <x:f>IF(B64="","",IF(CHOOSE($M$42,'Clients'!R22,'Clients'!Q22,'Viewings'!D22,'Deals'!X22,'Deals'!Y22,'Deals'!Z22,'Follow-ups'!H22,'Payments'!C22,'Expenses'!B22)="","",CHOOSE($M$42,'Clients'!R22,'Clients'!Q22,'Viewings'!D22,'Deals'!X22,'Deals'!Y22,'Deals'!Z22,'Follow-ups'!H22,'Payments'!C22,'Expenses'!B22)))</x:f>
      </x:c>
      <x:c r="D64" s="432" t="str">
        <x:f>IF(B64="","",IF(ISNUMBER(CHOOSE($M$42,'Clients'!B22,'Clients'!B22,'Viewings'!H22,IF('Deals'!B22="","",IF(COUNTIFS('Clients'!$A$6:$A$205,'Deals'!B22)&lt;&gt;1,"Check Client ID",INDEX('Clients'!$B$6:$B$205,MATCH('Deals'!B22,'Clients'!$A$6:$A$205,0)))),IF('Deals'!B22="","",IF(COUNTIFS('Clients'!$A$6:$A$205,'Deals'!B22)&lt;&gt;1,"Check Client ID",INDEX('Clients'!$B$6:$B$205,MATCH('Deals'!B22,'Clients'!$A$6:$A$205,0)))),IF('Deals'!B22="","",IF(COUNTIFS('Clients'!$A$6:$A$205,'Deals'!B22)&lt;&gt;1,"Check Client ID",INDEX('Clients'!$B$6:$B$205,MATCH('Deals'!B22,'Clients'!$A$6:$A$205,0)))),'Follow-ups'!K22,'Payments'!B22,'Expenses'!D22)),CHOOSE($M$42,'Clients'!B22,'Clients'!B22,'Viewings'!H22,IF('Deals'!B22="","",IF(COUNTIFS('Clients'!$A$6:$A$205,'Deals'!B22)&lt;&gt;1,"Check Client ID",INDEX('Clients'!$B$6:$B$205,MATCH('Deals'!B22,'Clients'!$A$6:$A$205,0)))),IF('Deals'!B22="","",IF(COUNTIFS('Clients'!$A$6:$A$205,'Deals'!B22)&lt;&gt;1,"Check Client ID",INDEX('Clients'!$B$6:$B$205,MATCH('Deals'!B22,'Clients'!$A$6:$A$205,0)))),IF('Deals'!B22="","",IF(COUNTIFS('Clients'!$A$6:$A$205,'Deals'!B22)&lt;&gt;1,"Check Client ID",INDEX('Clients'!$B$6:$B$205,MATCH('Deals'!B22,'Clients'!$A$6:$A$205,0)))),'Follow-ups'!K22,'Payments'!B22,'Expenses'!D22),IF(CHOOSE($M$42,'Clients'!B22,'Clients'!B22,'Viewings'!H22,IF('Deals'!B22="","",IF(COUNTIFS('Clients'!$A$6:$A$205,'Deals'!B22)&lt;&gt;1,"Check Client ID",INDEX('Clients'!$B$6:$B$205,MATCH('Deals'!B22,'Clients'!$A$6:$A$205,0)))),IF('Deals'!B22="","",IF(COUNTIFS('Clients'!$A$6:$A$205,'Deals'!B22)&lt;&gt;1,"Check Client ID",INDEX('Clients'!$B$6:$B$205,MATCH('Deals'!B22,'Clients'!$A$6:$A$205,0)))),IF('Deals'!B22="","",IF(COUNTIFS('Clients'!$A$6:$A$205,'Deals'!B22)&lt;&gt;1,"Check Client ID",INDEX('Clients'!$B$6:$B$205,MATCH('Deals'!B22,'Clients'!$A$6:$A$205,0)))),'Follow-ups'!K22,'Payments'!B22,'Expenses'!D22)="","",CHOOSE($M$42,'Clients'!B22,'Clients'!B22,'Viewings'!H22,IF('Deals'!B22="","",IF(COUNTIFS('Clients'!$A$6:$A$205,'Deals'!B22)&lt;&gt;1,"Check Client ID",INDEX('Clients'!$B$6:$B$205,MATCH('Deals'!B22,'Clients'!$A$6:$A$205,0)))),IF('Deals'!B22="","",IF(COUNTIFS('Clients'!$A$6:$A$205,'Deals'!B22)&lt;&gt;1,"Check Client ID",INDEX('Clients'!$B$6:$B$205,MATCH('Deals'!B22,'Clients'!$A$6:$A$205,0)))),IF('Deals'!B22="","",IF(COUNTIFS('Clients'!$A$6:$A$205,'Deals'!B22)&lt;&gt;1,"Check Client ID",INDEX('Clients'!$B$6:$B$205,MATCH('Deals'!B22,'Clients'!$A$6:$A$205,0)))),'Follow-ups'!K22,'Payments'!B22,'Expenses'!D22))))</x:f>
      </x:c>
      <x:c r="E64" s="432" t="str">
        <x:f>IF(B64="","",IF(ISNUMBER(CHOOSE($M$42,'Clients'!K22,'Clients'!K22,'Viewings'!I22,'Deals'!C22,'Deals'!C22,'Deals'!C22,'Follow-ups'!L22,'Payments'!G22,'Expenses'!F22)),CHOOSE($M$42,'Clients'!K22,'Clients'!K22,'Viewings'!I22,'Deals'!C22,'Deals'!C22,'Deals'!C22,'Follow-ups'!L22,'Payments'!G22,'Expenses'!F22),IF(CHOOSE($M$42,'Clients'!K22,'Clients'!K22,'Viewings'!I22,'Deals'!C22,'Deals'!C22,'Deals'!C22,'Follow-ups'!L22,'Payments'!G22,'Expenses'!F22)="","",CHOOSE($M$42,'Clients'!K22,'Clients'!K22,'Viewings'!I22,'Deals'!C22,'Deals'!C22,'Deals'!C22,'Follow-ups'!L22,'Payments'!G22,'Expenses'!F22))))</x:f>
      </x:c>
      <x:c r="F64" s="432" t="str">
        <x:f>IF(B64="","",IF(ISNUMBER(CHOOSE($M$42,'Clients'!H22,'Clients'!H22,'Viewings'!E22,'Deals'!E22,'Deals'!E22,'Deals'!E22,'Follow-ups'!I22,"Receipt",'Expenses'!C22)),CHOOSE($M$42,'Clients'!H22,'Clients'!H22,'Viewings'!E22,'Deals'!E22,'Deals'!E22,'Deals'!E22,'Follow-ups'!I22,"Receipt",'Expenses'!C22),IF(CHOOSE($M$42,'Clients'!H22,'Clients'!H22,'Viewings'!E22,'Deals'!E22,'Deals'!E22,'Deals'!E22,'Follow-ups'!I22,"Receipt",'Expenses'!C22)="","",CHOOSE($M$42,'Clients'!H22,'Clients'!H22,'Viewings'!E22,'Deals'!E22,'Deals'!E22,'Deals'!E22,'Follow-ups'!I22,"Receipt",'Expenses'!C22))))</x:f>
      </x:c>
      <x:c r="G64" s="473" t="str">
        <x:f>IF(B64="","",IF(ISNUMBER(CHOOSE($M$42,"","","",'Deals'!F22,'Deals'!F22,'Deals'!F22,"",'Payments'!D22,'Expenses'!G22)),CHOOSE($M$42,"","","",'Deals'!F22,'Deals'!F22,'Deals'!F22,"",'Payments'!D22,'Expenses'!G22),IF(CHOOSE($M$42,"","","",'Deals'!F22,'Deals'!F22,'Deals'!F22,"",'Payments'!D22,'Expenses'!G22)="","",CHOOSE($M$42,"","","",'Deals'!F22,'Deals'!F22,'Deals'!F22,"",'Payments'!D22,'Expenses'!G22))))</x:f>
      </x:c>
      <x:c r="H64" s="432" t="n">
        <x:f>IF(AND($M$43=1,B64&lt;&gt;"",ISNUMBER(C64),C64&gt;=$G$6,C64&lt;$K$6+1),1,0)</x:f>
        <x:v>0</x:v>
      </x:c>
      <x:c r="I64" s="432" t="str">
        <x:f>IF(H64=0,"",COUNTIFS($H$48:$H$247,1,$C$48:$C$247,"&lt;"&amp;C64)+COUNTIFS($H$48:H64,1,$C$48:C64,C64))</x:f>
      </x:c>
      <x:c r="J64" s="432"/>
      <x:c r="K64" s="432"/>
      <x:c r="L64" s="432"/>
      <x:c r="M64" s="432"/>
      <x:c r="N64" s="432"/>
      <x:c r="O64" s="432"/>
      <x:c r="P64" s="432"/>
      <x:c r="Q64" s="432"/>
    </x:row>
    <x:row r="65" ht="25" customHeight="1">
      <x:c r="A65" s="432"/>
      <x:c r="B65" s="432" t="str">
        <x:f>IF(CHOOSE($M$42,'Clients'!A23,'Clients'!A23,'Viewings'!A23,'Deals'!A23,'Deals'!A23,'Deals'!A23,'Follow-ups'!A23,'Payments'!A23,'Expenses'!A23)="","",CHOOSE($M$42,'Clients'!A23,'Clients'!A23,'Viewings'!A23,'Deals'!A23,'Deals'!A23,'Deals'!A23,'Follow-ups'!A23,'Payments'!A23,'Expenses'!A23))</x:f>
      </x:c>
      <x:c r="C65" s="472" t="str">
        <x:f>IF(B65="","",IF(CHOOSE($M$42,'Clients'!R23,'Clients'!Q23,'Viewings'!D23,'Deals'!X23,'Deals'!Y23,'Deals'!Z23,'Follow-ups'!H23,'Payments'!C23,'Expenses'!B23)="","",CHOOSE($M$42,'Clients'!R23,'Clients'!Q23,'Viewings'!D23,'Deals'!X23,'Deals'!Y23,'Deals'!Z23,'Follow-ups'!H23,'Payments'!C23,'Expenses'!B23)))</x:f>
      </x:c>
      <x:c r="D65" s="432" t="str">
        <x:f>IF(B65="","",IF(ISNUMBER(CHOOSE($M$42,'Clients'!B23,'Clients'!B23,'Viewings'!H23,IF('Deals'!B23="","",IF(COUNTIFS('Clients'!$A$6:$A$205,'Deals'!B23)&lt;&gt;1,"Check Client ID",INDEX('Clients'!$B$6:$B$205,MATCH('Deals'!B23,'Clients'!$A$6:$A$205,0)))),IF('Deals'!B23="","",IF(COUNTIFS('Clients'!$A$6:$A$205,'Deals'!B23)&lt;&gt;1,"Check Client ID",INDEX('Clients'!$B$6:$B$205,MATCH('Deals'!B23,'Clients'!$A$6:$A$205,0)))),IF('Deals'!B23="","",IF(COUNTIFS('Clients'!$A$6:$A$205,'Deals'!B23)&lt;&gt;1,"Check Client ID",INDEX('Clients'!$B$6:$B$205,MATCH('Deals'!B23,'Clients'!$A$6:$A$205,0)))),'Follow-ups'!K23,'Payments'!B23,'Expenses'!D23)),CHOOSE($M$42,'Clients'!B23,'Clients'!B23,'Viewings'!H23,IF('Deals'!B23="","",IF(COUNTIFS('Clients'!$A$6:$A$205,'Deals'!B23)&lt;&gt;1,"Check Client ID",INDEX('Clients'!$B$6:$B$205,MATCH('Deals'!B23,'Clients'!$A$6:$A$205,0)))),IF('Deals'!B23="","",IF(COUNTIFS('Clients'!$A$6:$A$205,'Deals'!B23)&lt;&gt;1,"Check Client ID",INDEX('Clients'!$B$6:$B$205,MATCH('Deals'!B23,'Clients'!$A$6:$A$205,0)))),IF('Deals'!B23="","",IF(COUNTIFS('Clients'!$A$6:$A$205,'Deals'!B23)&lt;&gt;1,"Check Client ID",INDEX('Clients'!$B$6:$B$205,MATCH('Deals'!B23,'Clients'!$A$6:$A$205,0)))),'Follow-ups'!K23,'Payments'!B23,'Expenses'!D23),IF(CHOOSE($M$42,'Clients'!B23,'Clients'!B23,'Viewings'!H23,IF('Deals'!B23="","",IF(COUNTIFS('Clients'!$A$6:$A$205,'Deals'!B23)&lt;&gt;1,"Check Client ID",INDEX('Clients'!$B$6:$B$205,MATCH('Deals'!B23,'Clients'!$A$6:$A$205,0)))),IF('Deals'!B23="","",IF(COUNTIFS('Clients'!$A$6:$A$205,'Deals'!B23)&lt;&gt;1,"Check Client ID",INDEX('Clients'!$B$6:$B$205,MATCH('Deals'!B23,'Clients'!$A$6:$A$205,0)))),IF('Deals'!B23="","",IF(COUNTIFS('Clients'!$A$6:$A$205,'Deals'!B23)&lt;&gt;1,"Check Client ID",INDEX('Clients'!$B$6:$B$205,MATCH('Deals'!B23,'Clients'!$A$6:$A$205,0)))),'Follow-ups'!K23,'Payments'!B23,'Expenses'!D23)="","",CHOOSE($M$42,'Clients'!B23,'Clients'!B23,'Viewings'!H23,IF('Deals'!B23="","",IF(COUNTIFS('Clients'!$A$6:$A$205,'Deals'!B23)&lt;&gt;1,"Check Client ID",INDEX('Clients'!$B$6:$B$205,MATCH('Deals'!B23,'Clients'!$A$6:$A$205,0)))),IF('Deals'!B23="","",IF(COUNTIFS('Clients'!$A$6:$A$205,'Deals'!B23)&lt;&gt;1,"Check Client ID",INDEX('Clients'!$B$6:$B$205,MATCH('Deals'!B23,'Clients'!$A$6:$A$205,0)))),IF('Deals'!B23="","",IF(COUNTIFS('Clients'!$A$6:$A$205,'Deals'!B23)&lt;&gt;1,"Check Client ID",INDEX('Clients'!$B$6:$B$205,MATCH('Deals'!B23,'Clients'!$A$6:$A$205,0)))),'Follow-ups'!K23,'Payments'!B23,'Expenses'!D23))))</x:f>
      </x:c>
      <x:c r="E65" s="432" t="str">
        <x:f>IF(B65="","",IF(ISNUMBER(CHOOSE($M$42,'Clients'!K23,'Clients'!K23,'Viewings'!I23,'Deals'!C23,'Deals'!C23,'Deals'!C23,'Follow-ups'!L23,'Payments'!G23,'Expenses'!F23)),CHOOSE($M$42,'Clients'!K23,'Clients'!K23,'Viewings'!I23,'Deals'!C23,'Deals'!C23,'Deals'!C23,'Follow-ups'!L23,'Payments'!G23,'Expenses'!F23),IF(CHOOSE($M$42,'Clients'!K23,'Clients'!K23,'Viewings'!I23,'Deals'!C23,'Deals'!C23,'Deals'!C23,'Follow-ups'!L23,'Payments'!G23,'Expenses'!F23)="","",CHOOSE($M$42,'Clients'!K23,'Clients'!K23,'Viewings'!I23,'Deals'!C23,'Deals'!C23,'Deals'!C23,'Follow-ups'!L23,'Payments'!G23,'Expenses'!F23))))</x:f>
      </x:c>
      <x:c r="F65" s="432" t="str">
        <x:f>IF(B65="","",IF(ISNUMBER(CHOOSE($M$42,'Clients'!H23,'Clients'!H23,'Viewings'!E23,'Deals'!E23,'Deals'!E23,'Deals'!E23,'Follow-ups'!I23,"Receipt",'Expenses'!C23)),CHOOSE($M$42,'Clients'!H23,'Clients'!H23,'Viewings'!E23,'Deals'!E23,'Deals'!E23,'Deals'!E23,'Follow-ups'!I23,"Receipt",'Expenses'!C23),IF(CHOOSE($M$42,'Clients'!H23,'Clients'!H23,'Viewings'!E23,'Deals'!E23,'Deals'!E23,'Deals'!E23,'Follow-ups'!I23,"Receipt",'Expenses'!C23)="","",CHOOSE($M$42,'Clients'!H23,'Clients'!H23,'Viewings'!E23,'Deals'!E23,'Deals'!E23,'Deals'!E23,'Follow-ups'!I23,"Receipt",'Expenses'!C23))))</x:f>
      </x:c>
      <x:c r="G65" s="473" t="str">
        <x:f>IF(B65="","",IF(ISNUMBER(CHOOSE($M$42,"","","",'Deals'!F23,'Deals'!F23,'Deals'!F23,"",'Payments'!D23,'Expenses'!G23)),CHOOSE($M$42,"","","",'Deals'!F23,'Deals'!F23,'Deals'!F23,"",'Payments'!D23,'Expenses'!G23),IF(CHOOSE($M$42,"","","",'Deals'!F23,'Deals'!F23,'Deals'!F23,"",'Payments'!D23,'Expenses'!G23)="","",CHOOSE($M$42,"","","",'Deals'!F23,'Deals'!F23,'Deals'!F23,"",'Payments'!D23,'Expenses'!G23))))</x:f>
      </x:c>
      <x:c r="H65" s="432" t="n">
        <x:f>IF(AND($M$43=1,B65&lt;&gt;"",ISNUMBER(C65),C65&gt;=$G$6,C65&lt;$K$6+1),1,0)</x:f>
        <x:v>0</x:v>
      </x:c>
      <x:c r="I65" s="432" t="str">
        <x:f>IF(H65=0,"",COUNTIFS($H$48:$H$247,1,$C$48:$C$247,"&lt;"&amp;C65)+COUNTIFS($H$48:H65,1,$C$48:C65,C65))</x:f>
      </x:c>
      <x:c r="J65" s="432"/>
      <x:c r="K65" s="432"/>
      <x:c r="L65" s="432"/>
      <x:c r="M65" s="432"/>
      <x:c r="N65" s="432"/>
      <x:c r="O65" s="432"/>
      <x:c r="P65" s="432"/>
      <x:c r="Q65" s="432"/>
    </x:row>
    <x:row r="66" ht="25" customHeight="1">
      <x:c r="A66" s="432"/>
      <x:c r="B66" s="432" t="str">
        <x:f>IF(CHOOSE($M$42,'Clients'!A24,'Clients'!A24,'Viewings'!A24,'Deals'!A24,'Deals'!A24,'Deals'!A24,'Follow-ups'!A24,'Payments'!A24,'Expenses'!A24)="","",CHOOSE($M$42,'Clients'!A24,'Clients'!A24,'Viewings'!A24,'Deals'!A24,'Deals'!A24,'Deals'!A24,'Follow-ups'!A24,'Payments'!A24,'Expenses'!A24))</x:f>
      </x:c>
      <x:c r="C66" s="472" t="str">
        <x:f>IF(B66="","",IF(CHOOSE($M$42,'Clients'!R24,'Clients'!Q24,'Viewings'!D24,'Deals'!X24,'Deals'!Y24,'Deals'!Z24,'Follow-ups'!H24,'Payments'!C24,'Expenses'!B24)="","",CHOOSE($M$42,'Clients'!R24,'Clients'!Q24,'Viewings'!D24,'Deals'!X24,'Deals'!Y24,'Deals'!Z24,'Follow-ups'!H24,'Payments'!C24,'Expenses'!B24)))</x:f>
      </x:c>
      <x:c r="D66" s="432" t="str">
        <x:f>IF(B66="","",IF(ISNUMBER(CHOOSE($M$42,'Clients'!B24,'Clients'!B24,'Viewings'!H24,IF('Deals'!B24="","",IF(COUNTIFS('Clients'!$A$6:$A$205,'Deals'!B24)&lt;&gt;1,"Check Client ID",INDEX('Clients'!$B$6:$B$205,MATCH('Deals'!B24,'Clients'!$A$6:$A$205,0)))),IF('Deals'!B24="","",IF(COUNTIFS('Clients'!$A$6:$A$205,'Deals'!B24)&lt;&gt;1,"Check Client ID",INDEX('Clients'!$B$6:$B$205,MATCH('Deals'!B24,'Clients'!$A$6:$A$205,0)))),IF('Deals'!B24="","",IF(COUNTIFS('Clients'!$A$6:$A$205,'Deals'!B24)&lt;&gt;1,"Check Client ID",INDEX('Clients'!$B$6:$B$205,MATCH('Deals'!B24,'Clients'!$A$6:$A$205,0)))),'Follow-ups'!K24,'Payments'!B24,'Expenses'!D24)),CHOOSE($M$42,'Clients'!B24,'Clients'!B24,'Viewings'!H24,IF('Deals'!B24="","",IF(COUNTIFS('Clients'!$A$6:$A$205,'Deals'!B24)&lt;&gt;1,"Check Client ID",INDEX('Clients'!$B$6:$B$205,MATCH('Deals'!B24,'Clients'!$A$6:$A$205,0)))),IF('Deals'!B24="","",IF(COUNTIFS('Clients'!$A$6:$A$205,'Deals'!B24)&lt;&gt;1,"Check Client ID",INDEX('Clients'!$B$6:$B$205,MATCH('Deals'!B24,'Clients'!$A$6:$A$205,0)))),IF('Deals'!B24="","",IF(COUNTIFS('Clients'!$A$6:$A$205,'Deals'!B24)&lt;&gt;1,"Check Client ID",INDEX('Clients'!$B$6:$B$205,MATCH('Deals'!B24,'Clients'!$A$6:$A$205,0)))),'Follow-ups'!K24,'Payments'!B24,'Expenses'!D24),IF(CHOOSE($M$42,'Clients'!B24,'Clients'!B24,'Viewings'!H24,IF('Deals'!B24="","",IF(COUNTIFS('Clients'!$A$6:$A$205,'Deals'!B24)&lt;&gt;1,"Check Client ID",INDEX('Clients'!$B$6:$B$205,MATCH('Deals'!B24,'Clients'!$A$6:$A$205,0)))),IF('Deals'!B24="","",IF(COUNTIFS('Clients'!$A$6:$A$205,'Deals'!B24)&lt;&gt;1,"Check Client ID",INDEX('Clients'!$B$6:$B$205,MATCH('Deals'!B24,'Clients'!$A$6:$A$205,0)))),IF('Deals'!B24="","",IF(COUNTIFS('Clients'!$A$6:$A$205,'Deals'!B24)&lt;&gt;1,"Check Client ID",INDEX('Clients'!$B$6:$B$205,MATCH('Deals'!B24,'Clients'!$A$6:$A$205,0)))),'Follow-ups'!K24,'Payments'!B24,'Expenses'!D24)="","",CHOOSE($M$42,'Clients'!B24,'Clients'!B24,'Viewings'!H24,IF('Deals'!B24="","",IF(COUNTIFS('Clients'!$A$6:$A$205,'Deals'!B24)&lt;&gt;1,"Check Client ID",INDEX('Clients'!$B$6:$B$205,MATCH('Deals'!B24,'Clients'!$A$6:$A$205,0)))),IF('Deals'!B24="","",IF(COUNTIFS('Clients'!$A$6:$A$205,'Deals'!B24)&lt;&gt;1,"Check Client ID",INDEX('Clients'!$B$6:$B$205,MATCH('Deals'!B24,'Clients'!$A$6:$A$205,0)))),IF('Deals'!B24="","",IF(COUNTIFS('Clients'!$A$6:$A$205,'Deals'!B24)&lt;&gt;1,"Check Client ID",INDEX('Clients'!$B$6:$B$205,MATCH('Deals'!B24,'Clients'!$A$6:$A$205,0)))),'Follow-ups'!K24,'Payments'!B24,'Expenses'!D24))))</x:f>
      </x:c>
      <x:c r="E66" s="432" t="str">
        <x:f>IF(B66="","",IF(ISNUMBER(CHOOSE($M$42,'Clients'!K24,'Clients'!K24,'Viewings'!I24,'Deals'!C24,'Deals'!C24,'Deals'!C24,'Follow-ups'!L24,'Payments'!G24,'Expenses'!F24)),CHOOSE($M$42,'Clients'!K24,'Clients'!K24,'Viewings'!I24,'Deals'!C24,'Deals'!C24,'Deals'!C24,'Follow-ups'!L24,'Payments'!G24,'Expenses'!F24),IF(CHOOSE($M$42,'Clients'!K24,'Clients'!K24,'Viewings'!I24,'Deals'!C24,'Deals'!C24,'Deals'!C24,'Follow-ups'!L24,'Payments'!G24,'Expenses'!F24)="","",CHOOSE($M$42,'Clients'!K24,'Clients'!K24,'Viewings'!I24,'Deals'!C24,'Deals'!C24,'Deals'!C24,'Follow-ups'!L24,'Payments'!G24,'Expenses'!F24))))</x:f>
      </x:c>
      <x:c r="F66" s="432" t="str">
        <x:f>IF(B66="","",IF(ISNUMBER(CHOOSE($M$42,'Clients'!H24,'Clients'!H24,'Viewings'!E24,'Deals'!E24,'Deals'!E24,'Deals'!E24,'Follow-ups'!I24,"Receipt",'Expenses'!C24)),CHOOSE($M$42,'Clients'!H24,'Clients'!H24,'Viewings'!E24,'Deals'!E24,'Deals'!E24,'Deals'!E24,'Follow-ups'!I24,"Receipt",'Expenses'!C24),IF(CHOOSE($M$42,'Clients'!H24,'Clients'!H24,'Viewings'!E24,'Deals'!E24,'Deals'!E24,'Deals'!E24,'Follow-ups'!I24,"Receipt",'Expenses'!C24)="","",CHOOSE($M$42,'Clients'!H24,'Clients'!H24,'Viewings'!E24,'Deals'!E24,'Deals'!E24,'Deals'!E24,'Follow-ups'!I24,"Receipt",'Expenses'!C24))))</x:f>
      </x:c>
      <x:c r="G66" s="473" t="str">
        <x:f>IF(B66="","",IF(ISNUMBER(CHOOSE($M$42,"","","",'Deals'!F24,'Deals'!F24,'Deals'!F24,"",'Payments'!D24,'Expenses'!G24)),CHOOSE($M$42,"","","",'Deals'!F24,'Deals'!F24,'Deals'!F24,"",'Payments'!D24,'Expenses'!G24),IF(CHOOSE($M$42,"","","",'Deals'!F24,'Deals'!F24,'Deals'!F24,"",'Payments'!D24,'Expenses'!G24)="","",CHOOSE($M$42,"","","",'Deals'!F24,'Deals'!F24,'Deals'!F24,"",'Payments'!D24,'Expenses'!G24))))</x:f>
      </x:c>
      <x:c r="H66" s="432" t="n">
        <x:f>IF(AND($M$43=1,B66&lt;&gt;"",ISNUMBER(C66),C66&gt;=$G$6,C66&lt;$K$6+1),1,0)</x:f>
        <x:v>0</x:v>
      </x:c>
      <x:c r="I66" s="432" t="str">
        <x:f>IF(H66=0,"",COUNTIFS($H$48:$H$247,1,$C$48:$C$247,"&lt;"&amp;C66)+COUNTIFS($H$48:H66,1,$C$48:C66,C66))</x:f>
      </x:c>
      <x:c r="J66" s="432"/>
      <x:c r="K66" s="432"/>
      <x:c r="L66" s="432"/>
      <x:c r="M66" s="432"/>
      <x:c r="N66" s="432"/>
      <x:c r="O66" s="432"/>
      <x:c r="P66" s="432"/>
      <x:c r="Q66" s="432"/>
    </x:row>
    <x:row r="67" ht="25" customHeight="1">
      <x:c r="A67" s="432"/>
      <x:c r="B67" s="432" t="str">
        <x:f>IF(CHOOSE($M$42,'Clients'!A25,'Clients'!A25,'Viewings'!A25,'Deals'!A25,'Deals'!A25,'Deals'!A25,'Follow-ups'!A25,'Payments'!A25,'Expenses'!A25)="","",CHOOSE($M$42,'Clients'!A25,'Clients'!A25,'Viewings'!A25,'Deals'!A25,'Deals'!A25,'Deals'!A25,'Follow-ups'!A25,'Payments'!A25,'Expenses'!A25))</x:f>
      </x:c>
      <x:c r="C67" s="472" t="str">
        <x:f>IF(B67="","",IF(CHOOSE($M$42,'Clients'!R25,'Clients'!Q25,'Viewings'!D25,'Deals'!X25,'Deals'!Y25,'Deals'!Z25,'Follow-ups'!H25,'Payments'!C25,'Expenses'!B25)="","",CHOOSE($M$42,'Clients'!R25,'Clients'!Q25,'Viewings'!D25,'Deals'!X25,'Deals'!Y25,'Deals'!Z25,'Follow-ups'!H25,'Payments'!C25,'Expenses'!B25)))</x:f>
      </x:c>
      <x:c r="D67" s="432" t="str">
        <x:f>IF(B67="","",IF(ISNUMBER(CHOOSE($M$42,'Clients'!B25,'Clients'!B25,'Viewings'!H25,IF('Deals'!B25="","",IF(COUNTIFS('Clients'!$A$6:$A$205,'Deals'!B25)&lt;&gt;1,"Check Client ID",INDEX('Clients'!$B$6:$B$205,MATCH('Deals'!B25,'Clients'!$A$6:$A$205,0)))),IF('Deals'!B25="","",IF(COUNTIFS('Clients'!$A$6:$A$205,'Deals'!B25)&lt;&gt;1,"Check Client ID",INDEX('Clients'!$B$6:$B$205,MATCH('Deals'!B25,'Clients'!$A$6:$A$205,0)))),IF('Deals'!B25="","",IF(COUNTIFS('Clients'!$A$6:$A$205,'Deals'!B25)&lt;&gt;1,"Check Client ID",INDEX('Clients'!$B$6:$B$205,MATCH('Deals'!B25,'Clients'!$A$6:$A$205,0)))),'Follow-ups'!K25,'Payments'!B25,'Expenses'!D25)),CHOOSE($M$42,'Clients'!B25,'Clients'!B25,'Viewings'!H25,IF('Deals'!B25="","",IF(COUNTIFS('Clients'!$A$6:$A$205,'Deals'!B25)&lt;&gt;1,"Check Client ID",INDEX('Clients'!$B$6:$B$205,MATCH('Deals'!B25,'Clients'!$A$6:$A$205,0)))),IF('Deals'!B25="","",IF(COUNTIFS('Clients'!$A$6:$A$205,'Deals'!B25)&lt;&gt;1,"Check Client ID",INDEX('Clients'!$B$6:$B$205,MATCH('Deals'!B25,'Clients'!$A$6:$A$205,0)))),IF('Deals'!B25="","",IF(COUNTIFS('Clients'!$A$6:$A$205,'Deals'!B25)&lt;&gt;1,"Check Client ID",INDEX('Clients'!$B$6:$B$205,MATCH('Deals'!B25,'Clients'!$A$6:$A$205,0)))),'Follow-ups'!K25,'Payments'!B25,'Expenses'!D25),IF(CHOOSE($M$42,'Clients'!B25,'Clients'!B25,'Viewings'!H25,IF('Deals'!B25="","",IF(COUNTIFS('Clients'!$A$6:$A$205,'Deals'!B25)&lt;&gt;1,"Check Client ID",INDEX('Clients'!$B$6:$B$205,MATCH('Deals'!B25,'Clients'!$A$6:$A$205,0)))),IF('Deals'!B25="","",IF(COUNTIFS('Clients'!$A$6:$A$205,'Deals'!B25)&lt;&gt;1,"Check Client ID",INDEX('Clients'!$B$6:$B$205,MATCH('Deals'!B25,'Clients'!$A$6:$A$205,0)))),IF('Deals'!B25="","",IF(COUNTIFS('Clients'!$A$6:$A$205,'Deals'!B25)&lt;&gt;1,"Check Client ID",INDEX('Clients'!$B$6:$B$205,MATCH('Deals'!B25,'Clients'!$A$6:$A$205,0)))),'Follow-ups'!K25,'Payments'!B25,'Expenses'!D25)="","",CHOOSE($M$42,'Clients'!B25,'Clients'!B25,'Viewings'!H25,IF('Deals'!B25="","",IF(COUNTIFS('Clients'!$A$6:$A$205,'Deals'!B25)&lt;&gt;1,"Check Client ID",INDEX('Clients'!$B$6:$B$205,MATCH('Deals'!B25,'Clients'!$A$6:$A$205,0)))),IF('Deals'!B25="","",IF(COUNTIFS('Clients'!$A$6:$A$205,'Deals'!B25)&lt;&gt;1,"Check Client ID",INDEX('Clients'!$B$6:$B$205,MATCH('Deals'!B25,'Clients'!$A$6:$A$205,0)))),IF('Deals'!B25="","",IF(COUNTIFS('Clients'!$A$6:$A$205,'Deals'!B25)&lt;&gt;1,"Check Client ID",INDEX('Clients'!$B$6:$B$205,MATCH('Deals'!B25,'Clients'!$A$6:$A$205,0)))),'Follow-ups'!K25,'Payments'!B25,'Expenses'!D25))))</x:f>
      </x:c>
      <x:c r="E67" s="432" t="str">
        <x:f>IF(B67="","",IF(ISNUMBER(CHOOSE($M$42,'Clients'!K25,'Clients'!K25,'Viewings'!I25,'Deals'!C25,'Deals'!C25,'Deals'!C25,'Follow-ups'!L25,'Payments'!G25,'Expenses'!F25)),CHOOSE($M$42,'Clients'!K25,'Clients'!K25,'Viewings'!I25,'Deals'!C25,'Deals'!C25,'Deals'!C25,'Follow-ups'!L25,'Payments'!G25,'Expenses'!F25),IF(CHOOSE($M$42,'Clients'!K25,'Clients'!K25,'Viewings'!I25,'Deals'!C25,'Deals'!C25,'Deals'!C25,'Follow-ups'!L25,'Payments'!G25,'Expenses'!F25)="","",CHOOSE($M$42,'Clients'!K25,'Clients'!K25,'Viewings'!I25,'Deals'!C25,'Deals'!C25,'Deals'!C25,'Follow-ups'!L25,'Payments'!G25,'Expenses'!F25))))</x:f>
      </x:c>
      <x:c r="F67" s="432" t="str">
        <x:f>IF(B67="","",IF(ISNUMBER(CHOOSE($M$42,'Clients'!H25,'Clients'!H25,'Viewings'!E25,'Deals'!E25,'Deals'!E25,'Deals'!E25,'Follow-ups'!I25,"Receipt",'Expenses'!C25)),CHOOSE($M$42,'Clients'!H25,'Clients'!H25,'Viewings'!E25,'Deals'!E25,'Deals'!E25,'Deals'!E25,'Follow-ups'!I25,"Receipt",'Expenses'!C25),IF(CHOOSE($M$42,'Clients'!H25,'Clients'!H25,'Viewings'!E25,'Deals'!E25,'Deals'!E25,'Deals'!E25,'Follow-ups'!I25,"Receipt",'Expenses'!C25)="","",CHOOSE($M$42,'Clients'!H25,'Clients'!H25,'Viewings'!E25,'Deals'!E25,'Deals'!E25,'Deals'!E25,'Follow-ups'!I25,"Receipt",'Expenses'!C25))))</x:f>
      </x:c>
      <x:c r="G67" s="473" t="str">
        <x:f>IF(B67="","",IF(ISNUMBER(CHOOSE($M$42,"","","",'Deals'!F25,'Deals'!F25,'Deals'!F25,"",'Payments'!D25,'Expenses'!G25)),CHOOSE($M$42,"","","",'Deals'!F25,'Deals'!F25,'Deals'!F25,"",'Payments'!D25,'Expenses'!G25),IF(CHOOSE($M$42,"","","",'Deals'!F25,'Deals'!F25,'Deals'!F25,"",'Payments'!D25,'Expenses'!G25)="","",CHOOSE($M$42,"","","",'Deals'!F25,'Deals'!F25,'Deals'!F25,"",'Payments'!D25,'Expenses'!G25))))</x:f>
      </x:c>
      <x:c r="H67" s="432" t="n">
        <x:f>IF(AND($M$43=1,B67&lt;&gt;"",ISNUMBER(C67),C67&gt;=$G$6,C67&lt;$K$6+1),1,0)</x:f>
        <x:v>0</x:v>
      </x:c>
      <x:c r="I67" s="432" t="str">
        <x:f>IF(H67=0,"",COUNTIFS($H$48:$H$247,1,$C$48:$C$247,"&lt;"&amp;C67)+COUNTIFS($H$48:H67,1,$C$48:C67,C67))</x:f>
      </x:c>
      <x:c r="J67" s="432"/>
      <x:c r="K67" s="432"/>
      <x:c r="L67" s="432"/>
      <x:c r="M67" s="432"/>
      <x:c r="N67" s="432"/>
      <x:c r="O67" s="432"/>
      <x:c r="P67" s="432"/>
      <x:c r="Q67" s="432"/>
    </x:row>
    <x:row r="68" ht="25" customHeight="1">
      <x:c r="A68" s="432"/>
      <x:c r="B68" s="432" t="str">
        <x:f>IF(CHOOSE($M$42,'Clients'!A26,'Clients'!A26,'Viewings'!A26,'Deals'!A26,'Deals'!A26,'Deals'!A26,'Follow-ups'!A26,'Payments'!A26,'Expenses'!A26)="","",CHOOSE($M$42,'Clients'!A26,'Clients'!A26,'Viewings'!A26,'Deals'!A26,'Deals'!A26,'Deals'!A26,'Follow-ups'!A26,'Payments'!A26,'Expenses'!A26))</x:f>
      </x:c>
      <x:c r="C68" s="472" t="str">
        <x:f>IF(B68="","",IF(CHOOSE($M$42,'Clients'!R26,'Clients'!Q26,'Viewings'!D26,'Deals'!X26,'Deals'!Y26,'Deals'!Z26,'Follow-ups'!H26,'Payments'!C26,'Expenses'!B26)="","",CHOOSE($M$42,'Clients'!R26,'Clients'!Q26,'Viewings'!D26,'Deals'!X26,'Deals'!Y26,'Deals'!Z26,'Follow-ups'!H26,'Payments'!C26,'Expenses'!B26)))</x:f>
      </x:c>
      <x:c r="D68" s="432" t="str">
        <x:f>IF(B68="","",IF(ISNUMBER(CHOOSE($M$42,'Clients'!B26,'Clients'!B26,'Viewings'!H26,IF('Deals'!B26="","",IF(COUNTIFS('Clients'!$A$6:$A$205,'Deals'!B26)&lt;&gt;1,"Check Client ID",INDEX('Clients'!$B$6:$B$205,MATCH('Deals'!B26,'Clients'!$A$6:$A$205,0)))),IF('Deals'!B26="","",IF(COUNTIFS('Clients'!$A$6:$A$205,'Deals'!B26)&lt;&gt;1,"Check Client ID",INDEX('Clients'!$B$6:$B$205,MATCH('Deals'!B26,'Clients'!$A$6:$A$205,0)))),IF('Deals'!B26="","",IF(COUNTIFS('Clients'!$A$6:$A$205,'Deals'!B26)&lt;&gt;1,"Check Client ID",INDEX('Clients'!$B$6:$B$205,MATCH('Deals'!B26,'Clients'!$A$6:$A$205,0)))),'Follow-ups'!K26,'Payments'!B26,'Expenses'!D26)),CHOOSE($M$42,'Clients'!B26,'Clients'!B26,'Viewings'!H26,IF('Deals'!B26="","",IF(COUNTIFS('Clients'!$A$6:$A$205,'Deals'!B26)&lt;&gt;1,"Check Client ID",INDEX('Clients'!$B$6:$B$205,MATCH('Deals'!B26,'Clients'!$A$6:$A$205,0)))),IF('Deals'!B26="","",IF(COUNTIFS('Clients'!$A$6:$A$205,'Deals'!B26)&lt;&gt;1,"Check Client ID",INDEX('Clients'!$B$6:$B$205,MATCH('Deals'!B26,'Clients'!$A$6:$A$205,0)))),IF('Deals'!B26="","",IF(COUNTIFS('Clients'!$A$6:$A$205,'Deals'!B26)&lt;&gt;1,"Check Client ID",INDEX('Clients'!$B$6:$B$205,MATCH('Deals'!B26,'Clients'!$A$6:$A$205,0)))),'Follow-ups'!K26,'Payments'!B26,'Expenses'!D26),IF(CHOOSE($M$42,'Clients'!B26,'Clients'!B26,'Viewings'!H26,IF('Deals'!B26="","",IF(COUNTIFS('Clients'!$A$6:$A$205,'Deals'!B26)&lt;&gt;1,"Check Client ID",INDEX('Clients'!$B$6:$B$205,MATCH('Deals'!B26,'Clients'!$A$6:$A$205,0)))),IF('Deals'!B26="","",IF(COUNTIFS('Clients'!$A$6:$A$205,'Deals'!B26)&lt;&gt;1,"Check Client ID",INDEX('Clients'!$B$6:$B$205,MATCH('Deals'!B26,'Clients'!$A$6:$A$205,0)))),IF('Deals'!B26="","",IF(COUNTIFS('Clients'!$A$6:$A$205,'Deals'!B26)&lt;&gt;1,"Check Client ID",INDEX('Clients'!$B$6:$B$205,MATCH('Deals'!B26,'Clients'!$A$6:$A$205,0)))),'Follow-ups'!K26,'Payments'!B26,'Expenses'!D26)="","",CHOOSE($M$42,'Clients'!B26,'Clients'!B26,'Viewings'!H26,IF('Deals'!B26="","",IF(COUNTIFS('Clients'!$A$6:$A$205,'Deals'!B26)&lt;&gt;1,"Check Client ID",INDEX('Clients'!$B$6:$B$205,MATCH('Deals'!B26,'Clients'!$A$6:$A$205,0)))),IF('Deals'!B26="","",IF(COUNTIFS('Clients'!$A$6:$A$205,'Deals'!B26)&lt;&gt;1,"Check Client ID",INDEX('Clients'!$B$6:$B$205,MATCH('Deals'!B26,'Clients'!$A$6:$A$205,0)))),IF('Deals'!B26="","",IF(COUNTIFS('Clients'!$A$6:$A$205,'Deals'!B26)&lt;&gt;1,"Check Client ID",INDEX('Clients'!$B$6:$B$205,MATCH('Deals'!B26,'Clients'!$A$6:$A$205,0)))),'Follow-ups'!K26,'Payments'!B26,'Expenses'!D26))))</x:f>
      </x:c>
      <x:c r="E68" s="432" t="str">
        <x:f>IF(B68="","",IF(ISNUMBER(CHOOSE($M$42,'Clients'!K26,'Clients'!K26,'Viewings'!I26,'Deals'!C26,'Deals'!C26,'Deals'!C26,'Follow-ups'!L26,'Payments'!G26,'Expenses'!F26)),CHOOSE($M$42,'Clients'!K26,'Clients'!K26,'Viewings'!I26,'Deals'!C26,'Deals'!C26,'Deals'!C26,'Follow-ups'!L26,'Payments'!G26,'Expenses'!F26),IF(CHOOSE($M$42,'Clients'!K26,'Clients'!K26,'Viewings'!I26,'Deals'!C26,'Deals'!C26,'Deals'!C26,'Follow-ups'!L26,'Payments'!G26,'Expenses'!F26)="","",CHOOSE($M$42,'Clients'!K26,'Clients'!K26,'Viewings'!I26,'Deals'!C26,'Deals'!C26,'Deals'!C26,'Follow-ups'!L26,'Payments'!G26,'Expenses'!F26))))</x:f>
      </x:c>
      <x:c r="F68" s="432" t="str">
        <x:f>IF(B68="","",IF(ISNUMBER(CHOOSE($M$42,'Clients'!H26,'Clients'!H26,'Viewings'!E26,'Deals'!E26,'Deals'!E26,'Deals'!E26,'Follow-ups'!I26,"Receipt",'Expenses'!C26)),CHOOSE($M$42,'Clients'!H26,'Clients'!H26,'Viewings'!E26,'Deals'!E26,'Deals'!E26,'Deals'!E26,'Follow-ups'!I26,"Receipt",'Expenses'!C26),IF(CHOOSE($M$42,'Clients'!H26,'Clients'!H26,'Viewings'!E26,'Deals'!E26,'Deals'!E26,'Deals'!E26,'Follow-ups'!I26,"Receipt",'Expenses'!C26)="","",CHOOSE($M$42,'Clients'!H26,'Clients'!H26,'Viewings'!E26,'Deals'!E26,'Deals'!E26,'Deals'!E26,'Follow-ups'!I26,"Receipt",'Expenses'!C26))))</x:f>
      </x:c>
      <x:c r="G68" s="473" t="str">
        <x:f>IF(B68="","",IF(ISNUMBER(CHOOSE($M$42,"","","",'Deals'!F26,'Deals'!F26,'Deals'!F26,"",'Payments'!D26,'Expenses'!G26)),CHOOSE($M$42,"","","",'Deals'!F26,'Deals'!F26,'Deals'!F26,"",'Payments'!D26,'Expenses'!G26),IF(CHOOSE($M$42,"","","",'Deals'!F26,'Deals'!F26,'Deals'!F26,"",'Payments'!D26,'Expenses'!G26)="","",CHOOSE($M$42,"","","",'Deals'!F26,'Deals'!F26,'Deals'!F26,"",'Payments'!D26,'Expenses'!G26))))</x:f>
      </x:c>
      <x:c r="H68" s="432" t="n">
        <x:f>IF(AND($M$43=1,B68&lt;&gt;"",ISNUMBER(C68),C68&gt;=$G$6,C68&lt;$K$6+1),1,0)</x:f>
        <x:v>0</x:v>
      </x:c>
      <x:c r="I68" s="432" t="str">
        <x:f>IF(H68=0,"",COUNTIFS($H$48:$H$247,1,$C$48:$C$247,"&lt;"&amp;C68)+COUNTIFS($H$48:H68,1,$C$48:C68,C68))</x:f>
      </x:c>
      <x:c r="J68" s="432"/>
      <x:c r="K68" s="432"/>
      <x:c r="L68" s="432"/>
      <x:c r="M68" s="432"/>
      <x:c r="N68" s="432"/>
      <x:c r="O68" s="432"/>
      <x:c r="P68" s="432"/>
      <x:c r="Q68" s="432"/>
    </x:row>
    <x:row r="69" ht="25" customHeight="1">
      <x:c r="A69" s="432"/>
      <x:c r="B69" s="432" t="str">
        <x:f>IF(CHOOSE($M$42,'Clients'!A27,'Clients'!A27,'Viewings'!A27,'Deals'!A27,'Deals'!A27,'Deals'!A27,'Follow-ups'!A27,'Payments'!A27,'Expenses'!A27)="","",CHOOSE($M$42,'Clients'!A27,'Clients'!A27,'Viewings'!A27,'Deals'!A27,'Deals'!A27,'Deals'!A27,'Follow-ups'!A27,'Payments'!A27,'Expenses'!A27))</x:f>
      </x:c>
      <x:c r="C69" s="472" t="str">
        <x:f>IF(B69="","",IF(CHOOSE($M$42,'Clients'!R27,'Clients'!Q27,'Viewings'!D27,'Deals'!X27,'Deals'!Y27,'Deals'!Z27,'Follow-ups'!H27,'Payments'!C27,'Expenses'!B27)="","",CHOOSE($M$42,'Clients'!R27,'Clients'!Q27,'Viewings'!D27,'Deals'!X27,'Deals'!Y27,'Deals'!Z27,'Follow-ups'!H27,'Payments'!C27,'Expenses'!B27)))</x:f>
      </x:c>
      <x:c r="D69" s="432" t="str">
        <x:f>IF(B69="","",IF(ISNUMBER(CHOOSE($M$42,'Clients'!B27,'Clients'!B27,'Viewings'!H27,IF('Deals'!B27="","",IF(COUNTIFS('Clients'!$A$6:$A$205,'Deals'!B27)&lt;&gt;1,"Check Client ID",INDEX('Clients'!$B$6:$B$205,MATCH('Deals'!B27,'Clients'!$A$6:$A$205,0)))),IF('Deals'!B27="","",IF(COUNTIFS('Clients'!$A$6:$A$205,'Deals'!B27)&lt;&gt;1,"Check Client ID",INDEX('Clients'!$B$6:$B$205,MATCH('Deals'!B27,'Clients'!$A$6:$A$205,0)))),IF('Deals'!B27="","",IF(COUNTIFS('Clients'!$A$6:$A$205,'Deals'!B27)&lt;&gt;1,"Check Client ID",INDEX('Clients'!$B$6:$B$205,MATCH('Deals'!B27,'Clients'!$A$6:$A$205,0)))),'Follow-ups'!K27,'Payments'!B27,'Expenses'!D27)),CHOOSE($M$42,'Clients'!B27,'Clients'!B27,'Viewings'!H27,IF('Deals'!B27="","",IF(COUNTIFS('Clients'!$A$6:$A$205,'Deals'!B27)&lt;&gt;1,"Check Client ID",INDEX('Clients'!$B$6:$B$205,MATCH('Deals'!B27,'Clients'!$A$6:$A$205,0)))),IF('Deals'!B27="","",IF(COUNTIFS('Clients'!$A$6:$A$205,'Deals'!B27)&lt;&gt;1,"Check Client ID",INDEX('Clients'!$B$6:$B$205,MATCH('Deals'!B27,'Clients'!$A$6:$A$205,0)))),IF('Deals'!B27="","",IF(COUNTIFS('Clients'!$A$6:$A$205,'Deals'!B27)&lt;&gt;1,"Check Client ID",INDEX('Clients'!$B$6:$B$205,MATCH('Deals'!B27,'Clients'!$A$6:$A$205,0)))),'Follow-ups'!K27,'Payments'!B27,'Expenses'!D27),IF(CHOOSE($M$42,'Clients'!B27,'Clients'!B27,'Viewings'!H27,IF('Deals'!B27="","",IF(COUNTIFS('Clients'!$A$6:$A$205,'Deals'!B27)&lt;&gt;1,"Check Client ID",INDEX('Clients'!$B$6:$B$205,MATCH('Deals'!B27,'Clients'!$A$6:$A$205,0)))),IF('Deals'!B27="","",IF(COUNTIFS('Clients'!$A$6:$A$205,'Deals'!B27)&lt;&gt;1,"Check Client ID",INDEX('Clients'!$B$6:$B$205,MATCH('Deals'!B27,'Clients'!$A$6:$A$205,0)))),IF('Deals'!B27="","",IF(COUNTIFS('Clients'!$A$6:$A$205,'Deals'!B27)&lt;&gt;1,"Check Client ID",INDEX('Clients'!$B$6:$B$205,MATCH('Deals'!B27,'Clients'!$A$6:$A$205,0)))),'Follow-ups'!K27,'Payments'!B27,'Expenses'!D27)="","",CHOOSE($M$42,'Clients'!B27,'Clients'!B27,'Viewings'!H27,IF('Deals'!B27="","",IF(COUNTIFS('Clients'!$A$6:$A$205,'Deals'!B27)&lt;&gt;1,"Check Client ID",INDEX('Clients'!$B$6:$B$205,MATCH('Deals'!B27,'Clients'!$A$6:$A$205,0)))),IF('Deals'!B27="","",IF(COUNTIFS('Clients'!$A$6:$A$205,'Deals'!B27)&lt;&gt;1,"Check Client ID",INDEX('Clients'!$B$6:$B$205,MATCH('Deals'!B27,'Clients'!$A$6:$A$205,0)))),IF('Deals'!B27="","",IF(COUNTIFS('Clients'!$A$6:$A$205,'Deals'!B27)&lt;&gt;1,"Check Client ID",INDEX('Clients'!$B$6:$B$205,MATCH('Deals'!B27,'Clients'!$A$6:$A$205,0)))),'Follow-ups'!K27,'Payments'!B27,'Expenses'!D27))))</x:f>
      </x:c>
      <x:c r="E69" s="432" t="str">
        <x:f>IF(B69="","",IF(ISNUMBER(CHOOSE($M$42,'Clients'!K27,'Clients'!K27,'Viewings'!I27,'Deals'!C27,'Deals'!C27,'Deals'!C27,'Follow-ups'!L27,'Payments'!G27,'Expenses'!F27)),CHOOSE($M$42,'Clients'!K27,'Clients'!K27,'Viewings'!I27,'Deals'!C27,'Deals'!C27,'Deals'!C27,'Follow-ups'!L27,'Payments'!G27,'Expenses'!F27),IF(CHOOSE($M$42,'Clients'!K27,'Clients'!K27,'Viewings'!I27,'Deals'!C27,'Deals'!C27,'Deals'!C27,'Follow-ups'!L27,'Payments'!G27,'Expenses'!F27)="","",CHOOSE($M$42,'Clients'!K27,'Clients'!K27,'Viewings'!I27,'Deals'!C27,'Deals'!C27,'Deals'!C27,'Follow-ups'!L27,'Payments'!G27,'Expenses'!F27))))</x:f>
      </x:c>
      <x:c r="F69" s="432" t="str">
        <x:f>IF(B69="","",IF(ISNUMBER(CHOOSE($M$42,'Clients'!H27,'Clients'!H27,'Viewings'!E27,'Deals'!E27,'Deals'!E27,'Deals'!E27,'Follow-ups'!I27,"Receipt",'Expenses'!C27)),CHOOSE($M$42,'Clients'!H27,'Clients'!H27,'Viewings'!E27,'Deals'!E27,'Deals'!E27,'Deals'!E27,'Follow-ups'!I27,"Receipt",'Expenses'!C27),IF(CHOOSE($M$42,'Clients'!H27,'Clients'!H27,'Viewings'!E27,'Deals'!E27,'Deals'!E27,'Deals'!E27,'Follow-ups'!I27,"Receipt",'Expenses'!C27)="","",CHOOSE($M$42,'Clients'!H27,'Clients'!H27,'Viewings'!E27,'Deals'!E27,'Deals'!E27,'Deals'!E27,'Follow-ups'!I27,"Receipt",'Expenses'!C27))))</x:f>
      </x:c>
      <x:c r="G69" s="473" t="str">
        <x:f>IF(B69="","",IF(ISNUMBER(CHOOSE($M$42,"","","",'Deals'!F27,'Deals'!F27,'Deals'!F27,"",'Payments'!D27,'Expenses'!G27)),CHOOSE($M$42,"","","",'Deals'!F27,'Deals'!F27,'Deals'!F27,"",'Payments'!D27,'Expenses'!G27),IF(CHOOSE($M$42,"","","",'Deals'!F27,'Deals'!F27,'Deals'!F27,"",'Payments'!D27,'Expenses'!G27)="","",CHOOSE($M$42,"","","",'Deals'!F27,'Deals'!F27,'Deals'!F27,"",'Payments'!D27,'Expenses'!G27))))</x:f>
      </x:c>
      <x:c r="H69" s="432" t="n">
        <x:f>IF(AND($M$43=1,B69&lt;&gt;"",ISNUMBER(C69),C69&gt;=$G$6,C69&lt;$K$6+1),1,0)</x:f>
        <x:v>0</x:v>
      </x:c>
      <x:c r="I69" s="432" t="str">
        <x:f>IF(H69=0,"",COUNTIFS($H$48:$H$247,1,$C$48:$C$247,"&lt;"&amp;C69)+COUNTIFS($H$48:H69,1,$C$48:C69,C69))</x:f>
      </x:c>
      <x:c r="J69" s="432"/>
      <x:c r="K69" s="432"/>
      <x:c r="L69" s="432"/>
      <x:c r="M69" s="432"/>
      <x:c r="N69" s="432"/>
      <x:c r="O69" s="432"/>
      <x:c r="P69" s="432"/>
      <x:c r="Q69" s="432"/>
    </x:row>
    <x:row r="70" ht="25" customHeight="1">
      <x:c r="A70" s="432"/>
      <x:c r="B70" s="432" t="str">
        <x:f>IF(CHOOSE($M$42,'Clients'!A28,'Clients'!A28,'Viewings'!A28,'Deals'!A28,'Deals'!A28,'Deals'!A28,'Follow-ups'!A28,'Payments'!A28,'Expenses'!A28)="","",CHOOSE($M$42,'Clients'!A28,'Clients'!A28,'Viewings'!A28,'Deals'!A28,'Deals'!A28,'Deals'!A28,'Follow-ups'!A28,'Payments'!A28,'Expenses'!A28))</x:f>
      </x:c>
      <x:c r="C70" s="472" t="str">
        <x:f>IF(B70="","",IF(CHOOSE($M$42,'Clients'!R28,'Clients'!Q28,'Viewings'!D28,'Deals'!X28,'Deals'!Y28,'Deals'!Z28,'Follow-ups'!H28,'Payments'!C28,'Expenses'!B28)="","",CHOOSE($M$42,'Clients'!R28,'Clients'!Q28,'Viewings'!D28,'Deals'!X28,'Deals'!Y28,'Deals'!Z28,'Follow-ups'!H28,'Payments'!C28,'Expenses'!B28)))</x:f>
      </x:c>
      <x:c r="D70" s="432" t="str">
        <x:f>IF(B70="","",IF(ISNUMBER(CHOOSE($M$42,'Clients'!B28,'Clients'!B28,'Viewings'!H28,IF('Deals'!B28="","",IF(COUNTIFS('Clients'!$A$6:$A$205,'Deals'!B28)&lt;&gt;1,"Check Client ID",INDEX('Clients'!$B$6:$B$205,MATCH('Deals'!B28,'Clients'!$A$6:$A$205,0)))),IF('Deals'!B28="","",IF(COUNTIFS('Clients'!$A$6:$A$205,'Deals'!B28)&lt;&gt;1,"Check Client ID",INDEX('Clients'!$B$6:$B$205,MATCH('Deals'!B28,'Clients'!$A$6:$A$205,0)))),IF('Deals'!B28="","",IF(COUNTIFS('Clients'!$A$6:$A$205,'Deals'!B28)&lt;&gt;1,"Check Client ID",INDEX('Clients'!$B$6:$B$205,MATCH('Deals'!B28,'Clients'!$A$6:$A$205,0)))),'Follow-ups'!K28,'Payments'!B28,'Expenses'!D28)),CHOOSE($M$42,'Clients'!B28,'Clients'!B28,'Viewings'!H28,IF('Deals'!B28="","",IF(COUNTIFS('Clients'!$A$6:$A$205,'Deals'!B28)&lt;&gt;1,"Check Client ID",INDEX('Clients'!$B$6:$B$205,MATCH('Deals'!B28,'Clients'!$A$6:$A$205,0)))),IF('Deals'!B28="","",IF(COUNTIFS('Clients'!$A$6:$A$205,'Deals'!B28)&lt;&gt;1,"Check Client ID",INDEX('Clients'!$B$6:$B$205,MATCH('Deals'!B28,'Clients'!$A$6:$A$205,0)))),IF('Deals'!B28="","",IF(COUNTIFS('Clients'!$A$6:$A$205,'Deals'!B28)&lt;&gt;1,"Check Client ID",INDEX('Clients'!$B$6:$B$205,MATCH('Deals'!B28,'Clients'!$A$6:$A$205,0)))),'Follow-ups'!K28,'Payments'!B28,'Expenses'!D28),IF(CHOOSE($M$42,'Clients'!B28,'Clients'!B28,'Viewings'!H28,IF('Deals'!B28="","",IF(COUNTIFS('Clients'!$A$6:$A$205,'Deals'!B28)&lt;&gt;1,"Check Client ID",INDEX('Clients'!$B$6:$B$205,MATCH('Deals'!B28,'Clients'!$A$6:$A$205,0)))),IF('Deals'!B28="","",IF(COUNTIFS('Clients'!$A$6:$A$205,'Deals'!B28)&lt;&gt;1,"Check Client ID",INDEX('Clients'!$B$6:$B$205,MATCH('Deals'!B28,'Clients'!$A$6:$A$205,0)))),IF('Deals'!B28="","",IF(COUNTIFS('Clients'!$A$6:$A$205,'Deals'!B28)&lt;&gt;1,"Check Client ID",INDEX('Clients'!$B$6:$B$205,MATCH('Deals'!B28,'Clients'!$A$6:$A$205,0)))),'Follow-ups'!K28,'Payments'!B28,'Expenses'!D28)="","",CHOOSE($M$42,'Clients'!B28,'Clients'!B28,'Viewings'!H28,IF('Deals'!B28="","",IF(COUNTIFS('Clients'!$A$6:$A$205,'Deals'!B28)&lt;&gt;1,"Check Client ID",INDEX('Clients'!$B$6:$B$205,MATCH('Deals'!B28,'Clients'!$A$6:$A$205,0)))),IF('Deals'!B28="","",IF(COUNTIFS('Clients'!$A$6:$A$205,'Deals'!B28)&lt;&gt;1,"Check Client ID",INDEX('Clients'!$B$6:$B$205,MATCH('Deals'!B28,'Clients'!$A$6:$A$205,0)))),IF('Deals'!B28="","",IF(COUNTIFS('Clients'!$A$6:$A$205,'Deals'!B28)&lt;&gt;1,"Check Client ID",INDEX('Clients'!$B$6:$B$205,MATCH('Deals'!B28,'Clients'!$A$6:$A$205,0)))),'Follow-ups'!K28,'Payments'!B28,'Expenses'!D28))))</x:f>
      </x:c>
      <x:c r="E70" s="432" t="str">
        <x:f>IF(B70="","",IF(ISNUMBER(CHOOSE($M$42,'Clients'!K28,'Clients'!K28,'Viewings'!I28,'Deals'!C28,'Deals'!C28,'Deals'!C28,'Follow-ups'!L28,'Payments'!G28,'Expenses'!F28)),CHOOSE($M$42,'Clients'!K28,'Clients'!K28,'Viewings'!I28,'Deals'!C28,'Deals'!C28,'Deals'!C28,'Follow-ups'!L28,'Payments'!G28,'Expenses'!F28),IF(CHOOSE($M$42,'Clients'!K28,'Clients'!K28,'Viewings'!I28,'Deals'!C28,'Deals'!C28,'Deals'!C28,'Follow-ups'!L28,'Payments'!G28,'Expenses'!F28)="","",CHOOSE($M$42,'Clients'!K28,'Clients'!K28,'Viewings'!I28,'Deals'!C28,'Deals'!C28,'Deals'!C28,'Follow-ups'!L28,'Payments'!G28,'Expenses'!F28))))</x:f>
      </x:c>
      <x:c r="F70" s="432" t="str">
        <x:f>IF(B70="","",IF(ISNUMBER(CHOOSE($M$42,'Clients'!H28,'Clients'!H28,'Viewings'!E28,'Deals'!E28,'Deals'!E28,'Deals'!E28,'Follow-ups'!I28,"Receipt",'Expenses'!C28)),CHOOSE($M$42,'Clients'!H28,'Clients'!H28,'Viewings'!E28,'Deals'!E28,'Deals'!E28,'Deals'!E28,'Follow-ups'!I28,"Receipt",'Expenses'!C28),IF(CHOOSE($M$42,'Clients'!H28,'Clients'!H28,'Viewings'!E28,'Deals'!E28,'Deals'!E28,'Deals'!E28,'Follow-ups'!I28,"Receipt",'Expenses'!C28)="","",CHOOSE($M$42,'Clients'!H28,'Clients'!H28,'Viewings'!E28,'Deals'!E28,'Deals'!E28,'Deals'!E28,'Follow-ups'!I28,"Receipt",'Expenses'!C28))))</x:f>
      </x:c>
      <x:c r="G70" s="473" t="str">
        <x:f>IF(B70="","",IF(ISNUMBER(CHOOSE($M$42,"","","",'Deals'!F28,'Deals'!F28,'Deals'!F28,"",'Payments'!D28,'Expenses'!G28)),CHOOSE($M$42,"","","",'Deals'!F28,'Deals'!F28,'Deals'!F28,"",'Payments'!D28,'Expenses'!G28),IF(CHOOSE($M$42,"","","",'Deals'!F28,'Deals'!F28,'Deals'!F28,"",'Payments'!D28,'Expenses'!G28)="","",CHOOSE($M$42,"","","",'Deals'!F28,'Deals'!F28,'Deals'!F28,"",'Payments'!D28,'Expenses'!G28))))</x:f>
      </x:c>
      <x:c r="H70" s="432" t="n">
        <x:f>IF(AND($M$43=1,B70&lt;&gt;"",ISNUMBER(C70),C70&gt;=$G$6,C70&lt;$K$6+1),1,0)</x:f>
        <x:v>0</x:v>
      </x:c>
      <x:c r="I70" s="432" t="str">
        <x:f>IF(H70=0,"",COUNTIFS($H$48:$H$247,1,$C$48:$C$247,"&lt;"&amp;C70)+COUNTIFS($H$48:H70,1,$C$48:C70,C70))</x:f>
      </x:c>
      <x:c r="J70" s="432"/>
      <x:c r="K70" s="432"/>
      <x:c r="L70" s="432"/>
      <x:c r="M70" s="432"/>
      <x:c r="N70" s="432"/>
      <x:c r="O70" s="432"/>
      <x:c r="P70" s="432"/>
      <x:c r="Q70" s="432"/>
    </x:row>
    <x:row r="71" ht="25" customHeight="1">
      <x:c r="A71" s="432"/>
      <x:c r="B71" s="432" t="str">
        <x:f>IF(CHOOSE($M$42,'Clients'!A29,'Clients'!A29,'Viewings'!A29,'Deals'!A29,'Deals'!A29,'Deals'!A29,'Follow-ups'!A29,'Payments'!A29,'Expenses'!A29)="","",CHOOSE($M$42,'Clients'!A29,'Clients'!A29,'Viewings'!A29,'Deals'!A29,'Deals'!A29,'Deals'!A29,'Follow-ups'!A29,'Payments'!A29,'Expenses'!A29))</x:f>
      </x:c>
      <x:c r="C71" s="472" t="str">
        <x:f>IF(B71="","",IF(CHOOSE($M$42,'Clients'!R29,'Clients'!Q29,'Viewings'!D29,'Deals'!X29,'Deals'!Y29,'Deals'!Z29,'Follow-ups'!H29,'Payments'!C29,'Expenses'!B29)="","",CHOOSE($M$42,'Clients'!R29,'Clients'!Q29,'Viewings'!D29,'Deals'!X29,'Deals'!Y29,'Deals'!Z29,'Follow-ups'!H29,'Payments'!C29,'Expenses'!B29)))</x:f>
      </x:c>
      <x:c r="D71" s="432" t="str">
        <x:f>IF(B71="","",IF(ISNUMBER(CHOOSE($M$42,'Clients'!B29,'Clients'!B29,'Viewings'!H29,IF('Deals'!B29="","",IF(COUNTIFS('Clients'!$A$6:$A$205,'Deals'!B29)&lt;&gt;1,"Check Client ID",INDEX('Clients'!$B$6:$B$205,MATCH('Deals'!B29,'Clients'!$A$6:$A$205,0)))),IF('Deals'!B29="","",IF(COUNTIFS('Clients'!$A$6:$A$205,'Deals'!B29)&lt;&gt;1,"Check Client ID",INDEX('Clients'!$B$6:$B$205,MATCH('Deals'!B29,'Clients'!$A$6:$A$205,0)))),IF('Deals'!B29="","",IF(COUNTIFS('Clients'!$A$6:$A$205,'Deals'!B29)&lt;&gt;1,"Check Client ID",INDEX('Clients'!$B$6:$B$205,MATCH('Deals'!B29,'Clients'!$A$6:$A$205,0)))),'Follow-ups'!K29,'Payments'!B29,'Expenses'!D29)),CHOOSE($M$42,'Clients'!B29,'Clients'!B29,'Viewings'!H29,IF('Deals'!B29="","",IF(COUNTIFS('Clients'!$A$6:$A$205,'Deals'!B29)&lt;&gt;1,"Check Client ID",INDEX('Clients'!$B$6:$B$205,MATCH('Deals'!B29,'Clients'!$A$6:$A$205,0)))),IF('Deals'!B29="","",IF(COUNTIFS('Clients'!$A$6:$A$205,'Deals'!B29)&lt;&gt;1,"Check Client ID",INDEX('Clients'!$B$6:$B$205,MATCH('Deals'!B29,'Clients'!$A$6:$A$205,0)))),IF('Deals'!B29="","",IF(COUNTIFS('Clients'!$A$6:$A$205,'Deals'!B29)&lt;&gt;1,"Check Client ID",INDEX('Clients'!$B$6:$B$205,MATCH('Deals'!B29,'Clients'!$A$6:$A$205,0)))),'Follow-ups'!K29,'Payments'!B29,'Expenses'!D29),IF(CHOOSE($M$42,'Clients'!B29,'Clients'!B29,'Viewings'!H29,IF('Deals'!B29="","",IF(COUNTIFS('Clients'!$A$6:$A$205,'Deals'!B29)&lt;&gt;1,"Check Client ID",INDEX('Clients'!$B$6:$B$205,MATCH('Deals'!B29,'Clients'!$A$6:$A$205,0)))),IF('Deals'!B29="","",IF(COUNTIFS('Clients'!$A$6:$A$205,'Deals'!B29)&lt;&gt;1,"Check Client ID",INDEX('Clients'!$B$6:$B$205,MATCH('Deals'!B29,'Clients'!$A$6:$A$205,0)))),IF('Deals'!B29="","",IF(COUNTIFS('Clients'!$A$6:$A$205,'Deals'!B29)&lt;&gt;1,"Check Client ID",INDEX('Clients'!$B$6:$B$205,MATCH('Deals'!B29,'Clients'!$A$6:$A$205,0)))),'Follow-ups'!K29,'Payments'!B29,'Expenses'!D29)="","",CHOOSE($M$42,'Clients'!B29,'Clients'!B29,'Viewings'!H29,IF('Deals'!B29="","",IF(COUNTIFS('Clients'!$A$6:$A$205,'Deals'!B29)&lt;&gt;1,"Check Client ID",INDEX('Clients'!$B$6:$B$205,MATCH('Deals'!B29,'Clients'!$A$6:$A$205,0)))),IF('Deals'!B29="","",IF(COUNTIFS('Clients'!$A$6:$A$205,'Deals'!B29)&lt;&gt;1,"Check Client ID",INDEX('Clients'!$B$6:$B$205,MATCH('Deals'!B29,'Clients'!$A$6:$A$205,0)))),IF('Deals'!B29="","",IF(COUNTIFS('Clients'!$A$6:$A$205,'Deals'!B29)&lt;&gt;1,"Check Client ID",INDEX('Clients'!$B$6:$B$205,MATCH('Deals'!B29,'Clients'!$A$6:$A$205,0)))),'Follow-ups'!K29,'Payments'!B29,'Expenses'!D29))))</x:f>
      </x:c>
      <x:c r="E71" s="432" t="str">
        <x:f>IF(B71="","",IF(ISNUMBER(CHOOSE($M$42,'Clients'!K29,'Clients'!K29,'Viewings'!I29,'Deals'!C29,'Deals'!C29,'Deals'!C29,'Follow-ups'!L29,'Payments'!G29,'Expenses'!F29)),CHOOSE($M$42,'Clients'!K29,'Clients'!K29,'Viewings'!I29,'Deals'!C29,'Deals'!C29,'Deals'!C29,'Follow-ups'!L29,'Payments'!G29,'Expenses'!F29),IF(CHOOSE($M$42,'Clients'!K29,'Clients'!K29,'Viewings'!I29,'Deals'!C29,'Deals'!C29,'Deals'!C29,'Follow-ups'!L29,'Payments'!G29,'Expenses'!F29)="","",CHOOSE($M$42,'Clients'!K29,'Clients'!K29,'Viewings'!I29,'Deals'!C29,'Deals'!C29,'Deals'!C29,'Follow-ups'!L29,'Payments'!G29,'Expenses'!F29))))</x:f>
      </x:c>
      <x:c r="F71" s="432" t="str">
        <x:f>IF(B71="","",IF(ISNUMBER(CHOOSE($M$42,'Clients'!H29,'Clients'!H29,'Viewings'!E29,'Deals'!E29,'Deals'!E29,'Deals'!E29,'Follow-ups'!I29,"Receipt",'Expenses'!C29)),CHOOSE($M$42,'Clients'!H29,'Clients'!H29,'Viewings'!E29,'Deals'!E29,'Deals'!E29,'Deals'!E29,'Follow-ups'!I29,"Receipt",'Expenses'!C29),IF(CHOOSE($M$42,'Clients'!H29,'Clients'!H29,'Viewings'!E29,'Deals'!E29,'Deals'!E29,'Deals'!E29,'Follow-ups'!I29,"Receipt",'Expenses'!C29)="","",CHOOSE($M$42,'Clients'!H29,'Clients'!H29,'Viewings'!E29,'Deals'!E29,'Deals'!E29,'Deals'!E29,'Follow-ups'!I29,"Receipt",'Expenses'!C29))))</x:f>
      </x:c>
      <x:c r="G71" s="473" t="str">
        <x:f>IF(B71="","",IF(ISNUMBER(CHOOSE($M$42,"","","",'Deals'!F29,'Deals'!F29,'Deals'!F29,"",'Payments'!D29,'Expenses'!G29)),CHOOSE($M$42,"","","",'Deals'!F29,'Deals'!F29,'Deals'!F29,"",'Payments'!D29,'Expenses'!G29),IF(CHOOSE($M$42,"","","",'Deals'!F29,'Deals'!F29,'Deals'!F29,"",'Payments'!D29,'Expenses'!G29)="","",CHOOSE($M$42,"","","",'Deals'!F29,'Deals'!F29,'Deals'!F29,"",'Payments'!D29,'Expenses'!G29))))</x:f>
      </x:c>
      <x:c r="H71" s="432" t="n">
        <x:f>IF(AND($M$43=1,B71&lt;&gt;"",ISNUMBER(C71),C71&gt;=$G$6,C71&lt;$K$6+1),1,0)</x:f>
        <x:v>0</x:v>
      </x:c>
      <x:c r="I71" s="432" t="str">
        <x:f>IF(H71=0,"",COUNTIFS($H$48:$H$247,1,$C$48:$C$247,"&lt;"&amp;C71)+COUNTIFS($H$48:H71,1,$C$48:C71,C71))</x:f>
      </x:c>
      <x:c r="J71" s="432"/>
      <x:c r="K71" s="432"/>
      <x:c r="L71" s="432"/>
      <x:c r="M71" s="432"/>
      <x:c r="N71" s="432"/>
      <x:c r="O71" s="432"/>
      <x:c r="P71" s="432"/>
      <x:c r="Q71" s="432"/>
    </x:row>
    <x:row r="72" ht="25" customHeight="1">
      <x:c r="A72" s="432"/>
      <x:c r="B72" s="432" t="str">
        <x:f>IF(CHOOSE($M$42,'Clients'!A30,'Clients'!A30,'Viewings'!A30,'Deals'!A30,'Deals'!A30,'Deals'!A30,'Follow-ups'!A30,'Payments'!A30,'Expenses'!A30)="","",CHOOSE($M$42,'Clients'!A30,'Clients'!A30,'Viewings'!A30,'Deals'!A30,'Deals'!A30,'Deals'!A30,'Follow-ups'!A30,'Payments'!A30,'Expenses'!A30))</x:f>
      </x:c>
      <x:c r="C72" s="472" t="str">
        <x:f>IF(B72="","",IF(CHOOSE($M$42,'Clients'!R30,'Clients'!Q30,'Viewings'!D30,'Deals'!X30,'Deals'!Y30,'Deals'!Z30,'Follow-ups'!H30,'Payments'!C30,'Expenses'!B30)="","",CHOOSE($M$42,'Clients'!R30,'Clients'!Q30,'Viewings'!D30,'Deals'!X30,'Deals'!Y30,'Deals'!Z30,'Follow-ups'!H30,'Payments'!C30,'Expenses'!B30)))</x:f>
      </x:c>
      <x:c r="D72" s="432" t="str">
        <x:f>IF(B72="","",IF(ISNUMBER(CHOOSE($M$42,'Clients'!B30,'Clients'!B30,'Viewings'!H30,IF('Deals'!B30="","",IF(COUNTIFS('Clients'!$A$6:$A$205,'Deals'!B30)&lt;&gt;1,"Check Client ID",INDEX('Clients'!$B$6:$B$205,MATCH('Deals'!B30,'Clients'!$A$6:$A$205,0)))),IF('Deals'!B30="","",IF(COUNTIFS('Clients'!$A$6:$A$205,'Deals'!B30)&lt;&gt;1,"Check Client ID",INDEX('Clients'!$B$6:$B$205,MATCH('Deals'!B30,'Clients'!$A$6:$A$205,0)))),IF('Deals'!B30="","",IF(COUNTIFS('Clients'!$A$6:$A$205,'Deals'!B30)&lt;&gt;1,"Check Client ID",INDEX('Clients'!$B$6:$B$205,MATCH('Deals'!B30,'Clients'!$A$6:$A$205,0)))),'Follow-ups'!K30,'Payments'!B30,'Expenses'!D30)),CHOOSE($M$42,'Clients'!B30,'Clients'!B30,'Viewings'!H30,IF('Deals'!B30="","",IF(COUNTIFS('Clients'!$A$6:$A$205,'Deals'!B30)&lt;&gt;1,"Check Client ID",INDEX('Clients'!$B$6:$B$205,MATCH('Deals'!B30,'Clients'!$A$6:$A$205,0)))),IF('Deals'!B30="","",IF(COUNTIFS('Clients'!$A$6:$A$205,'Deals'!B30)&lt;&gt;1,"Check Client ID",INDEX('Clients'!$B$6:$B$205,MATCH('Deals'!B30,'Clients'!$A$6:$A$205,0)))),IF('Deals'!B30="","",IF(COUNTIFS('Clients'!$A$6:$A$205,'Deals'!B30)&lt;&gt;1,"Check Client ID",INDEX('Clients'!$B$6:$B$205,MATCH('Deals'!B30,'Clients'!$A$6:$A$205,0)))),'Follow-ups'!K30,'Payments'!B30,'Expenses'!D30),IF(CHOOSE($M$42,'Clients'!B30,'Clients'!B30,'Viewings'!H30,IF('Deals'!B30="","",IF(COUNTIFS('Clients'!$A$6:$A$205,'Deals'!B30)&lt;&gt;1,"Check Client ID",INDEX('Clients'!$B$6:$B$205,MATCH('Deals'!B30,'Clients'!$A$6:$A$205,0)))),IF('Deals'!B30="","",IF(COUNTIFS('Clients'!$A$6:$A$205,'Deals'!B30)&lt;&gt;1,"Check Client ID",INDEX('Clients'!$B$6:$B$205,MATCH('Deals'!B30,'Clients'!$A$6:$A$205,0)))),IF('Deals'!B30="","",IF(COUNTIFS('Clients'!$A$6:$A$205,'Deals'!B30)&lt;&gt;1,"Check Client ID",INDEX('Clients'!$B$6:$B$205,MATCH('Deals'!B30,'Clients'!$A$6:$A$205,0)))),'Follow-ups'!K30,'Payments'!B30,'Expenses'!D30)="","",CHOOSE($M$42,'Clients'!B30,'Clients'!B30,'Viewings'!H30,IF('Deals'!B30="","",IF(COUNTIFS('Clients'!$A$6:$A$205,'Deals'!B30)&lt;&gt;1,"Check Client ID",INDEX('Clients'!$B$6:$B$205,MATCH('Deals'!B30,'Clients'!$A$6:$A$205,0)))),IF('Deals'!B30="","",IF(COUNTIFS('Clients'!$A$6:$A$205,'Deals'!B30)&lt;&gt;1,"Check Client ID",INDEX('Clients'!$B$6:$B$205,MATCH('Deals'!B30,'Clients'!$A$6:$A$205,0)))),IF('Deals'!B30="","",IF(COUNTIFS('Clients'!$A$6:$A$205,'Deals'!B30)&lt;&gt;1,"Check Client ID",INDEX('Clients'!$B$6:$B$205,MATCH('Deals'!B30,'Clients'!$A$6:$A$205,0)))),'Follow-ups'!K30,'Payments'!B30,'Expenses'!D30))))</x:f>
      </x:c>
      <x:c r="E72" s="432" t="str">
        <x:f>IF(B72="","",IF(ISNUMBER(CHOOSE($M$42,'Clients'!K30,'Clients'!K30,'Viewings'!I30,'Deals'!C30,'Deals'!C30,'Deals'!C30,'Follow-ups'!L30,'Payments'!G30,'Expenses'!F30)),CHOOSE($M$42,'Clients'!K30,'Clients'!K30,'Viewings'!I30,'Deals'!C30,'Deals'!C30,'Deals'!C30,'Follow-ups'!L30,'Payments'!G30,'Expenses'!F30),IF(CHOOSE($M$42,'Clients'!K30,'Clients'!K30,'Viewings'!I30,'Deals'!C30,'Deals'!C30,'Deals'!C30,'Follow-ups'!L30,'Payments'!G30,'Expenses'!F30)="","",CHOOSE($M$42,'Clients'!K30,'Clients'!K30,'Viewings'!I30,'Deals'!C30,'Deals'!C30,'Deals'!C30,'Follow-ups'!L30,'Payments'!G30,'Expenses'!F30))))</x:f>
      </x:c>
      <x:c r="F72" s="432" t="str">
        <x:f>IF(B72="","",IF(ISNUMBER(CHOOSE($M$42,'Clients'!H30,'Clients'!H30,'Viewings'!E30,'Deals'!E30,'Deals'!E30,'Deals'!E30,'Follow-ups'!I30,"Receipt",'Expenses'!C30)),CHOOSE($M$42,'Clients'!H30,'Clients'!H30,'Viewings'!E30,'Deals'!E30,'Deals'!E30,'Deals'!E30,'Follow-ups'!I30,"Receipt",'Expenses'!C30),IF(CHOOSE($M$42,'Clients'!H30,'Clients'!H30,'Viewings'!E30,'Deals'!E30,'Deals'!E30,'Deals'!E30,'Follow-ups'!I30,"Receipt",'Expenses'!C30)="","",CHOOSE($M$42,'Clients'!H30,'Clients'!H30,'Viewings'!E30,'Deals'!E30,'Deals'!E30,'Deals'!E30,'Follow-ups'!I30,"Receipt",'Expenses'!C30))))</x:f>
      </x:c>
      <x:c r="G72" s="473" t="str">
        <x:f>IF(B72="","",IF(ISNUMBER(CHOOSE($M$42,"","","",'Deals'!F30,'Deals'!F30,'Deals'!F30,"",'Payments'!D30,'Expenses'!G30)),CHOOSE($M$42,"","","",'Deals'!F30,'Deals'!F30,'Deals'!F30,"",'Payments'!D30,'Expenses'!G30),IF(CHOOSE($M$42,"","","",'Deals'!F30,'Deals'!F30,'Deals'!F30,"",'Payments'!D30,'Expenses'!G30)="","",CHOOSE($M$42,"","","",'Deals'!F30,'Deals'!F30,'Deals'!F30,"",'Payments'!D30,'Expenses'!G30))))</x:f>
      </x:c>
      <x:c r="H72" s="432" t="n">
        <x:f>IF(AND($M$43=1,B72&lt;&gt;"",ISNUMBER(C72),C72&gt;=$G$6,C72&lt;$K$6+1),1,0)</x:f>
        <x:v>0</x:v>
      </x:c>
      <x:c r="I72" s="432" t="str">
        <x:f>IF(H72=0,"",COUNTIFS($H$48:$H$247,1,$C$48:$C$247,"&lt;"&amp;C72)+COUNTIFS($H$48:H72,1,$C$48:C72,C72))</x:f>
      </x:c>
      <x:c r="J72" s="432"/>
      <x:c r="K72" s="432"/>
      <x:c r="L72" s="432"/>
      <x:c r="M72" s="432"/>
      <x:c r="N72" s="432"/>
      <x:c r="O72" s="432"/>
      <x:c r="P72" s="432"/>
      <x:c r="Q72" s="432"/>
    </x:row>
    <x:row r="73" ht="25" customHeight="1">
      <x:c r="A73" s="432"/>
      <x:c r="B73" s="432" t="str">
        <x:f>IF(CHOOSE($M$42,'Clients'!A31,'Clients'!A31,'Viewings'!A31,'Deals'!A31,'Deals'!A31,'Deals'!A31,'Follow-ups'!A31,'Payments'!A31,'Expenses'!A31)="","",CHOOSE($M$42,'Clients'!A31,'Clients'!A31,'Viewings'!A31,'Deals'!A31,'Deals'!A31,'Deals'!A31,'Follow-ups'!A31,'Payments'!A31,'Expenses'!A31))</x:f>
      </x:c>
      <x:c r="C73" s="472" t="str">
        <x:f>IF(B73="","",IF(CHOOSE($M$42,'Clients'!R31,'Clients'!Q31,'Viewings'!D31,'Deals'!X31,'Deals'!Y31,'Deals'!Z31,'Follow-ups'!H31,'Payments'!C31,'Expenses'!B31)="","",CHOOSE($M$42,'Clients'!R31,'Clients'!Q31,'Viewings'!D31,'Deals'!X31,'Deals'!Y31,'Deals'!Z31,'Follow-ups'!H31,'Payments'!C31,'Expenses'!B31)))</x:f>
      </x:c>
      <x:c r="D73" s="432" t="str">
        <x:f>IF(B73="","",IF(ISNUMBER(CHOOSE($M$42,'Clients'!B31,'Clients'!B31,'Viewings'!H31,IF('Deals'!B31="","",IF(COUNTIFS('Clients'!$A$6:$A$205,'Deals'!B31)&lt;&gt;1,"Check Client ID",INDEX('Clients'!$B$6:$B$205,MATCH('Deals'!B31,'Clients'!$A$6:$A$205,0)))),IF('Deals'!B31="","",IF(COUNTIFS('Clients'!$A$6:$A$205,'Deals'!B31)&lt;&gt;1,"Check Client ID",INDEX('Clients'!$B$6:$B$205,MATCH('Deals'!B31,'Clients'!$A$6:$A$205,0)))),IF('Deals'!B31="","",IF(COUNTIFS('Clients'!$A$6:$A$205,'Deals'!B31)&lt;&gt;1,"Check Client ID",INDEX('Clients'!$B$6:$B$205,MATCH('Deals'!B31,'Clients'!$A$6:$A$205,0)))),'Follow-ups'!K31,'Payments'!B31,'Expenses'!D31)),CHOOSE($M$42,'Clients'!B31,'Clients'!B31,'Viewings'!H31,IF('Deals'!B31="","",IF(COUNTIFS('Clients'!$A$6:$A$205,'Deals'!B31)&lt;&gt;1,"Check Client ID",INDEX('Clients'!$B$6:$B$205,MATCH('Deals'!B31,'Clients'!$A$6:$A$205,0)))),IF('Deals'!B31="","",IF(COUNTIFS('Clients'!$A$6:$A$205,'Deals'!B31)&lt;&gt;1,"Check Client ID",INDEX('Clients'!$B$6:$B$205,MATCH('Deals'!B31,'Clients'!$A$6:$A$205,0)))),IF('Deals'!B31="","",IF(COUNTIFS('Clients'!$A$6:$A$205,'Deals'!B31)&lt;&gt;1,"Check Client ID",INDEX('Clients'!$B$6:$B$205,MATCH('Deals'!B31,'Clients'!$A$6:$A$205,0)))),'Follow-ups'!K31,'Payments'!B31,'Expenses'!D31),IF(CHOOSE($M$42,'Clients'!B31,'Clients'!B31,'Viewings'!H31,IF('Deals'!B31="","",IF(COUNTIFS('Clients'!$A$6:$A$205,'Deals'!B31)&lt;&gt;1,"Check Client ID",INDEX('Clients'!$B$6:$B$205,MATCH('Deals'!B31,'Clients'!$A$6:$A$205,0)))),IF('Deals'!B31="","",IF(COUNTIFS('Clients'!$A$6:$A$205,'Deals'!B31)&lt;&gt;1,"Check Client ID",INDEX('Clients'!$B$6:$B$205,MATCH('Deals'!B31,'Clients'!$A$6:$A$205,0)))),IF('Deals'!B31="","",IF(COUNTIFS('Clients'!$A$6:$A$205,'Deals'!B31)&lt;&gt;1,"Check Client ID",INDEX('Clients'!$B$6:$B$205,MATCH('Deals'!B31,'Clients'!$A$6:$A$205,0)))),'Follow-ups'!K31,'Payments'!B31,'Expenses'!D31)="","",CHOOSE($M$42,'Clients'!B31,'Clients'!B31,'Viewings'!H31,IF('Deals'!B31="","",IF(COUNTIFS('Clients'!$A$6:$A$205,'Deals'!B31)&lt;&gt;1,"Check Client ID",INDEX('Clients'!$B$6:$B$205,MATCH('Deals'!B31,'Clients'!$A$6:$A$205,0)))),IF('Deals'!B31="","",IF(COUNTIFS('Clients'!$A$6:$A$205,'Deals'!B31)&lt;&gt;1,"Check Client ID",INDEX('Clients'!$B$6:$B$205,MATCH('Deals'!B31,'Clients'!$A$6:$A$205,0)))),IF('Deals'!B31="","",IF(COUNTIFS('Clients'!$A$6:$A$205,'Deals'!B31)&lt;&gt;1,"Check Client ID",INDEX('Clients'!$B$6:$B$205,MATCH('Deals'!B31,'Clients'!$A$6:$A$205,0)))),'Follow-ups'!K31,'Payments'!B31,'Expenses'!D31))))</x:f>
      </x:c>
      <x:c r="E73" s="432" t="str">
        <x:f>IF(B73="","",IF(ISNUMBER(CHOOSE($M$42,'Clients'!K31,'Clients'!K31,'Viewings'!I31,'Deals'!C31,'Deals'!C31,'Deals'!C31,'Follow-ups'!L31,'Payments'!G31,'Expenses'!F31)),CHOOSE($M$42,'Clients'!K31,'Clients'!K31,'Viewings'!I31,'Deals'!C31,'Deals'!C31,'Deals'!C31,'Follow-ups'!L31,'Payments'!G31,'Expenses'!F31),IF(CHOOSE($M$42,'Clients'!K31,'Clients'!K31,'Viewings'!I31,'Deals'!C31,'Deals'!C31,'Deals'!C31,'Follow-ups'!L31,'Payments'!G31,'Expenses'!F31)="","",CHOOSE($M$42,'Clients'!K31,'Clients'!K31,'Viewings'!I31,'Deals'!C31,'Deals'!C31,'Deals'!C31,'Follow-ups'!L31,'Payments'!G31,'Expenses'!F31))))</x:f>
      </x:c>
      <x:c r="F73" s="432" t="str">
        <x:f>IF(B73="","",IF(ISNUMBER(CHOOSE($M$42,'Clients'!H31,'Clients'!H31,'Viewings'!E31,'Deals'!E31,'Deals'!E31,'Deals'!E31,'Follow-ups'!I31,"Receipt",'Expenses'!C31)),CHOOSE($M$42,'Clients'!H31,'Clients'!H31,'Viewings'!E31,'Deals'!E31,'Deals'!E31,'Deals'!E31,'Follow-ups'!I31,"Receipt",'Expenses'!C31),IF(CHOOSE($M$42,'Clients'!H31,'Clients'!H31,'Viewings'!E31,'Deals'!E31,'Deals'!E31,'Deals'!E31,'Follow-ups'!I31,"Receipt",'Expenses'!C31)="","",CHOOSE($M$42,'Clients'!H31,'Clients'!H31,'Viewings'!E31,'Deals'!E31,'Deals'!E31,'Deals'!E31,'Follow-ups'!I31,"Receipt",'Expenses'!C31))))</x:f>
      </x:c>
      <x:c r="G73" s="473" t="str">
        <x:f>IF(B73="","",IF(ISNUMBER(CHOOSE($M$42,"","","",'Deals'!F31,'Deals'!F31,'Deals'!F31,"",'Payments'!D31,'Expenses'!G31)),CHOOSE($M$42,"","","",'Deals'!F31,'Deals'!F31,'Deals'!F31,"",'Payments'!D31,'Expenses'!G31),IF(CHOOSE($M$42,"","","",'Deals'!F31,'Deals'!F31,'Deals'!F31,"",'Payments'!D31,'Expenses'!G31)="","",CHOOSE($M$42,"","","",'Deals'!F31,'Deals'!F31,'Deals'!F31,"",'Payments'!D31,'Expenses'!G31))))</x:f>
      </x:c>
      <x:c r="H73" s="432" t="n">
        <x:f>IF(AND($M$43=1,B73&lt;&gt;"",ISNUMBER(C73),C73&gt;=$G$6,C73&lt;$K$6+1),1,0)</x:f>
        <x:v>0</x:v>
      </x:c>
      <x:c r="I73" s="432" t="str">
        <x:f>IF(H73=0,"",COUNTIFS($H$48:$H$247,1,$C$48:$C$247,"&lt;"&amp;C73)+COUNTIFS($H$48:H73,1,$C$48:C73,C73))</x:f>
      </x:c>
      <x:c r="J73" s="432"/>
      <x:c r="K73" s="432"/>
      <x:c r="L73" s="432"/>
      <x:c r="M73" s="432"/>
      <x:c r="N73" s="432"/>
      <x:c r="O73" s="432"/>
      <x:c r="P73" s="432"/>
      <x:c r="Q73" s="432"/>
    </x:row>
    <x:row r="74" ht="25" customHeight="1">
      <x:c r="A74" s="432"/>
      <x:c r="B74" s="432" t="str">
        <x:f>IF(CHOOSE($M$42,'Clients'!A32,'Clients'!A32,'Viewings'!A32,'Deals'!A32,'Deals'!A32,'Deals'!A32,'Follow-ups'!A32,'Payments'!A32,'Expenses'!A32)="","",CHOOSE($M$42,'Clients'!A32,'Clients'!A32,'Viewings'!A32,'Deals'!A32,'Deals'!A32,'Deals'!A32,'Follow-ups'!A32,'Payments'!A32,'Expenses'!A32))</x:f>
      </x:c>
      <x:c r="C74" s="472" t="str">
        <x:f>IF(B74="","",IF(CHOOSE($M$42,'Clients'!R32,'Clients'!Q32,'Viewings'!D32,'Deals'!X32,'Deals'!Y32,'Deals'!Z32,'Follow-ups'!H32,'Payments'!C32,'Expenses'!B32)="","",CHOOSE($M$42,'Clients'!R32,'Clients'!Q32,'Viewings'!D32,'Deals'!X32,'Deals'!Y32,'Deals'!Z32,'Follow-ups'!H32,'Payments'!C32,'Expenses'!B32)))</x:f>
      </x:c>
      <x:c r="D74" s="432" t="str">
        <x:f>IF(B74="","",IF(ISNUMBER(CHOOSE($M$42,'Clients'!B32,'Clients'!B32,'Viewings'!H32,IF('Deals'!B32="","",IF(COUNTIFS('Clients'!$A$6:$A$205,'Deals'!B32)&lt;&gt;1,"Check Client ID",INDEX('Clients'!$B$6:$B$205,MATCH('Deals'!B32,'Clients'!$A$6:$A$205,0)))),IF('Deals'!B32="","",IF(COUNTIFS('Clients'!$A$6:$A$205,'Deals'!B32)&lt;&gt;1,"Check Client ID",INDEX('Clients'!$B$6:$B$205,MATCH('Deals'!B32,'Clients'!$A$6:$A$205,0)))),IF('Deals'!B32="","",IF(COUNTIFS('Clients'!$A$6:$A$205,'Deals'!B32)&lt;&gt;1,"Check Client ID",INDEX('Clients'!$B$6:$B$205,MATCH('Deals'!B32,'Clients'!$A$6:$A$205,0)))),'Follow-ups'!K32,'Payments'!B32,'Expenses'!D32)),CHOOSE($M$42,'Clients'!B32,'Clients'!B32,'Viewings'!H32,IF('Deals'!B32="","",IF(COUNTIFS('Clients'!$A$6:$A$205,'Deals'!B32)&lt;&gt;1,"Check Client ID",INDEX('Clients'!$B$6:$B$205,MATCH('Deals'!B32,'Clients'!$A$6:$A$205,0)))),IF('Deals'!B32="","",IF(COUNTIFS('Clients'!$A$6:$A$205,'Deals'!B32)&lt;&gt;1,"Check Client ID",INDEX('Clients'!$B$6:$B$205,MATCH('Deals'!B32,'Clients'!$A$6:$A$205,0)))),IF('Deals'!B32="","",IF(COUNTIFS('Clients'!$A$6:$A$205,'Deals'!B32)&lt;&gt;1,"Check Client ID",INDEX('Clients'!$B$6:$B$205,MATCH('Deals'!B32,'Clients'!$A$6:$A$205,0)))),'Follow-ups'!K32,'Payments'!B32,'Expenses'!D32),IF(CHOOSE($M$42,'Clients'!B32,'Clients'!B32,'Viewings'!H32,IF('Deals'!B32="","",IF(COUNTIFS('Clients'!$A$6:$A$205,'Deals'!B32)&lt;&gt;1,"Check Client ID",INDEX('Clients'!$B$6:$B$205,MATCH('Deals'!B32,'Clients'!$A$6:$A$205,0)))),IF('Deals'!B32="","",IF(COUNTIFS('Clients'!$A$6:$A$205,'Deals'!B32)&lt;&gt;1,"Check Client ID",INDEX('Clients'!$B$6:$B$205,MATCH('Deals'!B32,'Clients'!$A$6:$A$205,0)))),IF('Deals'!B32="","",IF(COUNTIFS('Clients'!$A$6:$A$205,'Deals'!B32)&lt;&gt;1,"Check Client ID",INDEX('Clients'!$B$6:$B$205,MATCH('Deals'!B32,'Clients'!$A$6:$A$205,0)))),'Follow-ups'!K32,'Payments'!B32,'Expenses'!D32)="","",CHOOSE($M$42,'Clients'!B32,'Clients'!B32,'Viewings'!H32,IF('Deals'!B32="","",IF(COUNTIFS('Clients'!$A$6:$A$205,'Deals'!B32)&lt;&gt;1,"Check Client ID",INDEX('Clients'!$B$6:$B$205,MATCH('Deals'!B32,'Clients'!$A$6:$A$205,0)))),IF('Deals'!B32="","",IF(COUNTIFS('Clients'!$A$6:$A$205,'Deals'!B32)&lt;&gt;1,"Check Client ID",INDEX('Clients'!$B$6:$B$205,MATCH('Deals'!B32,'Clients'!$A$6:$A$205,0)))),IF('Deals'!B32="","",IF(COUNTIFS('Clients'!$A$6:$A$205,'Deals'!B32)&lt;&gt;1,"Check Client ID",INDEX('Clients'!$B$6:$B$205,MATCH('Deals'!B32,'Clients'!$A$6:$A$205,0)))),'Follow-ups'!K32,'Payments'!B32,'Expenses'!D32))))</x:f>
      </x:c>
      <x:c r="E74" s="432" t="str">
        <x:f>IF(B74="","",IF(ISNUMBER(CHOOSE($M$42,'Clients'!K32,'Clients'!K32,'Viewings'!I32,'Deals'!C32,'Deals'!C32,'Deals'!C32,'Follow-ups'!L32,'Payments'!G32,'Expenses'!F32)),CHOOSE($M$42,'Clients'!K32,'Clients'!K32,'Viewings'!I32,'Deals'!C32,'Deals'!C32,'Deals'!C32,'Follow-ups'!L32,'Payments'!G32,'Expenses'!F32),IF(CHOOSE($M$42,'Clients'!K32,'Clients'!K32,'Viewings'!I32,'Deals'!C32,'Deals'!C32,'Deals'!C32,'Follow-ups'!L32,'Payments'!G32,'Expenses'!F32)="","",CHOOSE($M$42,'Clients'!K32,'Clients'!K32,'Viewings'!I32,'Deals'!C32,'Deals'!C32,'Deals'!C32,'Follow-ups'!L32,'Payments'!G32,'Expenses'!F32))))</x:f>
      </x:c>
      <x:c r="F74" s="432" t="str">
        <x:f>IF(B74="","",IF(ISNUMBER(CHOOSE($M$42,'Clients'!H32,'Clients'!H32,'Viewings'!E32,'Deals'!E32,'Deals'!E32,'Deals'!E32,'Follow-ups'!I32,"Receipt",'Expenses'!C32)),CHOOSE($M$42,'Clients'!H32,'Clients'!H32,'Viewings'!E32,'Deals'!E32,'Deals'!E32,'Deals'!E32,'Follow-ups'!I32,"Receipt",'Expenses'!C32),IF(CHOOSE($M$42,'Clients'!H32,'Clients'!H32,'Viewings'!E32,'Deals'!E32,'Deals'!E32,'Deals'!E32,'Follow-ups'!I32,"Receipt",'Expenses'!C32)="","",CHOOSE($M$42,'Clients'!H32,'Clients'!H32,'Viewings'!E32,'Deals'!E32,'Deals'!E32,'Deals'!E32,'Follow-ups'!I32,"Receipt",'Expenses'!C32))))</x:f>
      </x:c>
      <x:c r="G74" s="473" t="str">
        <x:f>IF(B74="","",IF(ISNUMBER(CHOOSE($M$42,"","","",'Deals'!F32,'Deals'!F32,'Deals'!F32,"",'Payments'!D32,'Expenses'!G32)),CHOOSE($M$42,"","","",'Deals'!F32,'Deals'!F32,'Deals'!F32,"",'Payments'!D32,'Expenses'!G32),IF(CHOOSE($M$42,"","","",'Deals'!F32,'Deals'!F32,'Deals'!F32,"",'Payments'!D32,'Expenses'!G32)="","",CHOOSE($M$42,"","","",'Deals'!F32,'Deals'!F32,'Deals'!F32,"",'Payments'!D32,'Expenses'!G32))))</x:f>
      </x:c>
      <x:c r="H74" s="432" t="n">
        <x:f>IF(AND($M$43=1,B74&lt;&gt;"",ISNUMBER(C74),C74&gt;=$G$6,C74&lt;$K$6+1),1,0)</x:f>
        <x:v>0</x:v>
      </x:c>
      <x:c r="I74" s="432" t="str">
        <x:f>IF(H74=0,"",COUNTIFS($H$48:$H$247,1,$C$48:$C$247,"&lt;"&amp;C74)+COUNTIFS($H$48:H74,1,$C$48:C74,C74))</x:f>
      </x:c>
      <x:c r="J74" s="432"/>
      <x:c r="K74" s="432"/>
      <x:c r="L74" s="432"/>
      <x:c r="M74" s="432"/>
      <x:c r="N74" s="432"/>
      <x:c r="O74" s="432"/>
      <x:c r="P74" s="432"/>
      <x:c r="Q74" s="432"/>
    </x:row>
    <x:row r="75" ht="25" customHeight="1">
      <x:c r="A75" s="432"/>
      <x:c r="B75" s="432" t="str">
        <x:f>IF(CHOOSE($M$42,'Clients'!A33,'Clients'!A33,'Viewings'!A33,'Deals'!A33,'Deals'!A33,'Deals'!A33,'Follow-ups'!A33,'Payments'!A33,'Expenses'!A33)="","",CHOOSE($M$42,'Clients'!A33,'Clients'!A33,'Viewings'!A33,'Deals'!A33,'Deals'!A33,'Deals'!A33,'Follow-ups'!A33,'Payments'!A33,'Expenses'!A33))</x:f>
      </x:c>
      <x:c r="C75" s="472" t="str">
        <x:f>IF(B75="","",IF(CHOOSE($M$42,'Clients'!R33,'Clients'!Q33,'Viewings'!D33,'Deals'!X33,'Deals'!Y33,'Deals'!Z33,'Follow-ups'!H33,'Payments'!C33,'Expenses'!B33)="","",CHOOSE($M$42,'Clients'!R33,'Clients'!Q33,'Viewings'!D33,'Deals'!X33,'Deals'!Y33,'Deals'!Z33,'Follow-ups'!H33,'Payments'!C33,'Expenses'!B33)))</x:f>
      </x:c>
      <x:c r="D75" s="432" t="str">
        <x:f>IF(B75="","",IF(ISNUMBER(CHOOSE($M$42,'Clients'!B33,'Clients'!B33,'Viewings'!H33,IF('Deals'!B33="","",IF(COUNTIFS('Clients'!$A$6:$A$205,'Deals'!B33)&lt;&gt;1,"Check Client ID",INDEX('Clients'!$B$6:$B$205,MATCH('Deals'!B33,'Clients'!$A$6:$A$205,0)))),IF('Deals'!B33="","",IF(COUNTIFS('Clients'!$A$6:$A$205,'Deals'!B33)&lt;&gt;1,"Check Client ID",INDEX('Clients'!$B$6:$B$205,MATCH('Deals'!B33,'Clients'!$A$6:$A$205,0)))),IF('Deals'!B33="","",IF(COUNTIFS('Clients'!$A$6:$A$205,'Deals'!B33)&lt;&gt;1,"Check Client ID",INDEX('Clients'!$B$6:$B$205,MATCH('Deals'!B33,'Clients'!$A$6:$A$205,0)))),'Follow-ups'!K33,'Payments'!B33,'Expenses'!D33)),CHOOSE($M$42,'Clients'!B33,'Clients'!B33,'Viewings'!H33,IF('Deals'!B33="","",IF(COUNTIFS('Clients'!$A$6:$A$205,'Deals'!B33)&lt;&gt;1,"Check Client ID",INDEX('Clients'!$B$6:$B$205,MATCH('Deals'!B33,'Clients'!$A$6:$A$205,0)))),IF('Deals'!B33="","",IF(COUNTIFS('Clients'!$A$6:$A$205,'Deals'!B33)&lt;&gt;1,"Check Client ID",INDEX('Clients'!$B$6:$B$205,MATCH('Deals'!B33,'Clients'!$A$6:$A$205,0)))),IF('Deals'!B33="","",IF(COUNTIFS('Clients'!$A$6:$A$205,'Deals'!B33)&lt;&gt;1,"Check Client ID",INDEX('Clients'!$B$6:$B$205,MATCH('Deals'!B33,'Clients'!$A$6:$A$205,0)))),'Follow-ups'!K33,'Payments'!B33,'Expenses'!D33),IF(CHOOSE($M$42,'Clients'!B33,'Clients'!B33,'Viewings'!H33,IF('Deals'!B33="","",IF(COUNTIFS('Clients'!$A$6:$A$205,'Deals'!B33)&lt;&gt;1,"Check Client ID",INDEX('Clients'!$B$6:$B$205,MATCH('Deals'!B33,'Clients'!$A$6:$A$205,0)))),IF('Deals'!B33="","",IF(COUNTIFS('Clients'!$A$6:$A$205,'Deals'!B33)&lt;&gt;1,"Check Client ID",INDEX('Clients'!$B$6:$B$205,MATCH('Deals'!B33,'Clients'!$A$6:$A$205,0)))),IF('Deals'!B33="","",IF(COUNTIFS('Clients'!$A$6:$A$205,'Deals'!B33)&lt;&gt;1,"Check Client ID",INDEX('Clients'!$B$6:$B$205,MATCH('Deals'!B33,'Clients'!$A$6:$A$205,0)))),'Follow-ups'!K33,'Payments'!B33,'Expenses'!D33)="","",CHOOSE($M$42,'Clients'!B33,'Clients'!B33,'Viewings'!H33,IF('Deals'!B33="","",IF(COUNTIFS('Clients'!$A$6:$A$205,'Deals'!B33)&lt;&gt;1,"Check Client ID",INDEX('Clients'!$B$6:$B$205,MATCH('Deals'!B33,'Clients'!$A$6:$A$205,0)))),IF('Deals'!B33="","",IF(COUNTIFS('Clients'!$A$6:$A$205,'Deals'!B33)&lt;&gt;1,"Check Client ID",INDEX('Clients'!$B$6:$B$205,MATCH('Deals'!B33,'Clients'!$A$6:$A$205,0)))),IF('Deals'!B33="","",IF(COUNTIFS('Clients'!$A$6:$A$205,'Deals'!B33)&lt;&gt;1,"Check Client ID",INDEX('Clients'!$B$6:$B$205,MATCH('Deals'!B33,'Clients'!$A$6:$A$205,0)))),'Follow-ups'!K33,'Payments'!B33,'Expenses'!D33))))</x:f>
      </x:c>
      <x:c r="E75" s="432" t="str">
        <x:f>IF(B75="","",IF(ISNUMBER(CHOOSE($M$42,'Clients'!K33,'Clients'!K33,'Viewings'!I33,'Deals'!C33,'Deals'!C33,'Deals'!C33,'Follow-ups'!L33,'Payments'!G33,'Expenses'!F33)),CHOOSE($M$42,'Clients'!K33,'Clients'!K33,'Viewings'!I33,'Deals'!C33,'Deals'!C33,'Deals'!C33,'Follow-ups'!L33,'Payments'!G33,'Expenses'!F33),IF(CHOOSE($M$42,'Clients'!K33,'Clients'!K33,'Viewings'!I33,'Deals'!C33,'Deals'!C33,'Deals'!C33,'Follow-ups'!L33,'Payments'!G33,'Expenses'!F33)="","",CHOOSE($M$42,'Clients'!K33,'Clients'!K33,'Viewings'!I33,'Deals'!C33,'Deals'!C33,'Deals'!C33,'Follow-ups'!L33,'Payments'!G33,'Expenses'!F33))))</x:f>
      </x:c>
      <x:c r="F75" s="432" t="str">
        <x:f>IF(B75="","",IF(ISNUMBER(CHOOSE($M$42,'Clients'!H33,'Clients'!H33,'Viewings'!E33,'Deals'!E33,'Deals'!E33,'Deals'!E33,'Follow-ups'!I33,"Receipt",'Expenses'!C33)),CHOOSE($M$42,'Clients'!H33,'Clients'!H33,'Viewings'!E33,'Deals'!E33,'Deals'!E33,'Deals'!E33,'Follow-ups'!I33,"Receipt",'Expenses'!C33),IF(CHOOSE($M$42,'Clients'!H33,'Clients'!H33,'Viewings'!E33,'Deals'!E33,'Deals'!E33,'Deals'!E33,'Follow-ups'!I33,"Receipt",'Expenses'!C33)="","",CHOOSE($M$42,'Clients'!H33,'Clients'!H33,'Viewings'!E33,'Deals'!E33,'Deals'!E33,'Deals'!E33,'Follow-ups'!I33,"Receipt",'Expenses'!C33))))</x:f>
      </x:c>
      <x:c r="G75" s="473" t="str">
        <x:f>IF(B75="","",IF(ISNUMBER(CHOOSE($M$42,"","","",'Deals'!F33,'Deals'!F33,'Deals'!F33,"",'Payments'!D33,'Expenses'!G33)),CHOOSE($M$42,"","","",'Deals'!F33,'Deals'!F33,'Deals'!F33,"",'Payments'!D33,'Expenses'!G33),IF(CHOOSE($M$42,"","","",'Deals'!F33,'Deals'!F33,'Deals'!F33,"",'Payments'!D33,'Expenses'!G33)="","",CHOOSE($M$42,"","","",'Deals'!F33,'Deals'!F33,'Deals'!F33,"",'Payments'!D33,'Expenses'!G33))))</x:f>
      </x:c>
      <x:c r="H75" s="432" t="n">
        <x:f>IF(AND($M$43=1,B75&lt;&gt;"",ISNUMBER(C75),C75&gt;=$G$6,C75&lt;$K$6+1),1,0)</x:f>
        <x:v>0</x:v>
      </x:c>
      <x:c r="I75" s="432" t="str">
        <x:f>IF(H75=0,"",COUNTIFS($H$48:$H$247,1,$C$48:$C$247,"&lt;"&amp;C75)+COUNTIFS($H$48:H75,1,$C$48:C75,C75))</x:f>
      </x:c>
      <x:c r="J75" s="432"/>
      <x:c r="K75" s="432"/>
      <x:c r="L75" s="432"/>
      <x:c r="M75" s="432"/>
      <x:c r="N75" s="432"/>
      <x:c r="O75" s="432"/>
      <x:c r="P75" s="432"/>
      <x:c r="Q75" s="432"/>
    </x:row>
    <x:row r="76" ht="25" customHeight="1">
      <x:c r="A76" s="432"/>
      <x:c r="B76" s="432" t="str">
        <x:f>IF(CHOOSE($M$42,'Clients'!A34,'Clients'!A34,'Viewings'!A34,'Deals'!A34,'Deals'!A34,'Deals'!A34,'Follow-ups'!A34,'Payments'!A34,'Expenses'!A34)="","",CHOOSE($M$42,'Clients'!A34,'Clients'!A34,'Viewings'!A34,'Deals'!A34,'Deals'!A34,'Deals'!A34,'Follow-ups'!A34,'Payments'!A34,'Expenses'!A34))</x:f>
      </x:c>
      <x:c r="C76" s="472" t="str">
        <x:f>IF(B76="","",IF(CHOOSE($M$42,'Clients'!R34,'Clients'!Q34,'Viewings'!D34,'Deals'!X34,'Deals'!Y34,'Deals'!Z34,'Follow-ups'!H34,'Payments'!C34,'Expenses'!B34)="","",CHOOSE($M$42,'Clients'!R34,'Clients'!Q34,'Viewings'!D34,'Deals'!X34,'Deals'!Y34,'Deals'!Z34,'Follow-ups'!H34,'Payments'!C34,'Expenses'!B34)))</x:f>
      </x:c>
      <x:c r="D76" s="432" t="str">
        <x:f>IF(B76="","",IF(ISNUMBER(CHOOSE($M$42,'Clients'!B34,'Clients'!B34,'Viewings'!H34,IF('Deals'!B34="","",IF(COUNTIFS('Clients'!$A$6:$A$205,'Deals'!B34)&lt;&gt;1,"Check Client ID",INDEX('Clients'!$B$6:$B$205,MATCH('Deals'!B34,'Clients'!$A$6:$A$205,0)))),IF('Deals'!B34="","",IF(COUNTIFS('Clients'!$A$6:$A$205,'Deals'!B34)&lt;&gt;1,"Check Client ID",INDEX('Clients'!$B$6:$B$205,MATCH('Deals'!B34,'Clients'!$A$6:$A$205,0)))),IF('Deals'!B34="","",IF(COUNTIFS('Clients'!$A$6:$A$205,'Deals'!B34)&lt;&gt;1,"Check Client ID",INDEX('Clients'!$B$6:$B$205,MATCH('Deals'!B34,'Clients'!$A$6:$A$205,0)))),'Follow-ups'!K34,'Payments'!B34,'Expenses'!D34)),CHOOSE($M$42,'Clients'!B34,'Clients'!B34,'Viewings'!H34,IF('Deals'!B34="","",IF(COUNTIFS('Clients'!$A$6:$A$205,'Deals'!B34)&lt;&gt;1,"Check Client ID",INDEX('Clients'!$B$6:$B$205,MATCH('Deals'!B34,'Clients'!$A$6:$A$205,0)))),IF('Deals'!B34="","",IF(COUNTIFS('Clients'!$A$6:$A$205,'Deals'!B34)&lt;&gt;1,"Check Client ID",INDEX('Clients'!$B$6:$B$205,MATCH('Deals'!B34,'Clients'!$A$6:$A$205,0)))),IF('Deals'!B34="","",IF(COUNTIFS('Clients'!$A$6:$A$205,'Deals'!B34)&lt;&gt;1,"Check Client ID",INDEX('Clients'!$B$6:$B$205,MATCH('Deals'!B34,'Clients'!$A$6:$A$205,0)))),'Follow-ups'!K34,'Payments'!B34,'Expenses'!D34),IF(CHOOSE($M$42,'Clients'!B34,'Clients'!B34,'Viewings'!H34,IF('Deals'!B34="","",IF(COUNTIFS('Clients'!$A$6:$A$205,'Deals'!B34)&lt;&gt;1,"Check Client ID",INDEX('Clients'!$B$6:$B$205,MATCH('Deals'!B34,'Clients'!$A$6:$A$205,0)))),IF('Deals'!B34="","",IF(COUNTIFS('Clients'!$A$6:$A$205,'Deals'!B34)&lt;&gt;1,"Check Client ID",INDEX('Clients'!$B$6:$B$205,MATCH('Deals'!B34,'Clients'!$A$6:$A$205,0)))),IF('Deals'!B34="","",IF(COUNTIFS('Clients'!$A$6:$A$205,'Deals'!B34)&lt;&gt;1,"Check Client ID",INDEX('Clients'!$B$6:$B$205,MATCH('Deals'!B34,'Clients'!$A$6:$A$205,0)))),'Follow-ups'!K34,'Payments'!B34,'Expenses'!D34)="","",CHOOSE($M$42,'Clients'!B34,'Clients'!B34,'Viewings'!H34,IF('Deals'!B34="","",IF(COUNTIFS('Clients'!$A$6:$A$205,'Deals'!B34)&lt;&gt;1,"Check Client ID",INDEX('Clients'!$B$6:$B$205,MATCH('Deals'!B34,'Clients'!$A$6:$A$205,0)))),IF('Deals'!B34="","",IF(COUNTIFS('Clients'!$A$6:$A$205,'Deals'!B34)&lt;&gt;1,"Check Client ID",INDEX('Clients'!$B$6:$B$205,MATCH('Deals'!B34,'Clients'!$A$6:$A$205,0)))),IF('Deals'!B34="","",IF(COUNTIFS('Clients'!$A$6:$A$205,'Deals'!B34)&lt;&gt;1,"Check Client ID",INDEX('Clients'!$B$6:$B$205,MATCH('Deals'!B34,'Clients'!$A$6:$A$205,0)))),'Follow-ups'!K34,'Payments'!B34,'Expenses'!D34))))</x:f>
      </x:c>
      <x:c r="E76" s="432" t="str">
        <x:f>IF(B76="","",IF(ISNUMBER(CHOOSE($M$42,'Clients'!K34,'Clients'!K34,'Viewings'!I34,'Deals'!C34,'Deals'!C34,'Deals'!C34,'Follow-ups'!L34,'Payments'!G34,'Expenses'!F34)),CHOOSE($M$42,'Clients'!K34,'Clients'!K34,'Viewings'!I34,'Deals'!C34,'Deals'!C34,'Deals'!C34,'Follow-ups'!L34,'Payments'!G34,'Expenses'!F34),IF(CHOOSE($M$42,'Clients'!K34,'Clients'!K34,'Viewings'!I34,'Deals'!C34,'Deals'!C34,'Deals'!C34,'Follow-ups'!L34,'Payments'!G34,'Expenses'!F34)="","",CHOOSE($M$42,'Clients'!K34,'Clients'!K34,'Viewings'!I34,'Deals'!C34,'Deals'!C34,'Deals'!C34,'Follow-ups'!L34,'Payments'!G34,'Expenses'!F34))))</x:f>
      </x:c>
      <x:c r="F76" s="432" t="str">
        <x:f>IF(B76="","",IF(ISNUMBER(CHOOSE($M$42,'Clients'!H34,'Clients'!H34,'Viewings'!E34,'Deals'!E34,'Deals'!E34,'Deals'!E34,'Follow-ups'!I34,"Receipt",'Expenses'!C34)),CHOOSE($M$42,'Clients'!H34,'Clients'!H34,'Viewings'!E34,'Deals'!E34,'Deals'!E34,'Deals'!E34,'Follow-ups'!I34,"Receipt",'Expenses'!C34),IF(CHOOSE($M$42,'Clients'!H34,'Clients'!H34,'Viewings'!E34,'Deals'!E34,'Deals'!E34,'Deals'!E34,'Follow-ups'!I34,"Receipt",'Expenses'!C34)="","",CHOOSE($M$42,'Clients'!H34,'Clients'!H34,'Viewings'!E34,'Deals'!E34,'Deals'!E34,'Deals'!E34,'Follow-ups'!I34,"Receipt",'Expenses'!C34))))</x:f>
      </x:c>
      <x:c r="G76" s="473" t="str">
        <x:f>IF(B76="","",IF(ISNUMBER(CHOOSE($M$42,"","","",'Deals'!F34,'Deals'!F34,'Deals'!F34,"",'Payments'!D34,'Expenses'!G34)),CHOOSE($M$42,"","","",'Deals'!F34,'Deals'!F34,'Deals'!F34,"",'Payments'!D34,'Expenses'!G34),IF(CHOOSE($M$42,"","","",'Deals'!F34,'Deals'!F34,'Deals'!F34,"",'Payments'!D34,'Expenses'!G34)="","",CHOOSE($M$42,"","","",'Deals'!F34,'Deals'!F34,'Deals'!F34,"",'Payments'!D34,'Expenses'!G34))))</x:f>
      </x:c>
      <x:c r="H76" s="432" t="n">
        <x:f>IF(AND($M$43=1,B76&lt;&gt;"",ISNUMBER(C76),C76&gt;=$G$6,C76&lt;$K$6+1),1,0)</x:f>
        <x:v>0</x:v>
      </x:c>
      <x:c r="I76" s="432" t="str">
        <x:f>IF(H76=0,"",COUNTIFS($H$48:$H$247,1,$C$48:$C$247,"&lt;"&amp;C76)+COUNTIFS($H$48:H76,1,$C$48:C76,C76))</x:f>
      </x:c>
      <x:c r="J76" s="432"/>
      <x:c r="K76" s="432"/>
      <x:c r="L76" s="432"/>
      <x:c r="M76" s="432"/>
      <x:c r="N76" s="432"/>
      <x:c r="O76" s="432"/>
      <x:c r="P76" s="432"/>
      <x:c r="Q76" s="432"/>
    </x:row>
    <x:row r="77" ht="25" customHeight="1">
      <x:c r="A77" s="432"/>
      <x:c r="B77" s="432" t="str">
        <x:f>IF(CHOOSE($M$42,'Clients'!A35,'Clients'!A35,'Viewings'!A35,'Deals'!A35,'Deals'!A35,'Deals'!A35,'Follow-ups'!A35,'Payments'!A35,'Expenses'!A35)="","",CHOOSE($M$42,'Clients'!A35,'Clients'!A35,'Viewings'!A35,'Deals'!A35,'Deals'!A35,'Deals'!A35,'Follow-ups'!A35,'Payments'!A35,'Expenses'!A35))</x:f>
      </x:c>
      <x:c r="C77" s="472" t="str">
        <x:f>IF(B77="","",IF(CHOOSE($M$42,'Clients'!R35,'Clients'!Q35,'Viewings'!D35,'Deals'!X35,'Deals'!Y35,'Deals'!Z35,'Follow-ups'!H35,'Payments'!C35,'Expenses'!B35)="","",CHOOSE($M$42,'Clients'!R35,'Clients'!Q35,'Viewings'!D35,'Deals'!X35,'Deals'!Y35,'Deals'!Z35,'Follow-ups'!H35,'Payments'!C35,'Expenses'!B35)))</x:f>
      </x:c>
      <x:c r="D77" s="432" t="str">
        <x:f>IF(B77="","",IF(ISNUMBER(CHOOSE($M$42,'Clients'!B35,'Clients'!B35,'Viewings'!H35,IF('Deals'!B35="","",IF(COUNTIFS('Clients'!$A$6:$A$205,'Deals'!B35)&lt;&gt;1,"Check Client ID",INDEX('Clients'!$B$6:$B$205,MATCH('Deals'!B35,'Clients'!$A$6:$A$205,0)))),IF('Deals'!B35="","",IF(COUNTIFS('Clients'!$A$6:$A$205,'Deals'!B35)&lt;&gt;1,"Check Client ID",INDEX('Clients'!$B$6:$B$205,MATCH('Deals'!B35,'Clients'!$A$6:$A$205,0)))),IF('Deals'!B35="","",IF(COUNTIFS('Clients'!$A$6:$A$205,'Deals'!B35)&lt;&gt;1,"Check Client ID",INDEX('Clients'!$B$6:$B$205,MATCH('Deals'!B35,'Clients'!$A$6:$A$205,0)))),'Follow-ups'!K35,'Payments'!B35,'Expenses'!D35)),CHOOSE($M$42,'Clients'!B35,'Clients'!B35,'Viewings'!H35,IF('Deals'!B35="","",IF(COUNTIFS('Clients'!$A$6:$A$205,'Deals'!B35)&lt;&gt;1,"Check Client ID",INDEX('Clients'!$B$6:$B$205,MATCH('Deals'!B35,'Clients'!$A$6:$A$205,0)))),IF('Deals'!B35="","",IF(COUNTIFS('Clients'!$A$6:$A$205,'Deals'!B35)&lt;&gt;1,"Check Client ID",INDEX('Clients'!$B$6:$B$205,MATCH('Deals'!B35,'Clients'!$A$6:$A$205,0)))),IF('Deals'!B35="","",IF(COUNTIFS('Clients'!$A$6:$A$205,'Deals'!B35)&lt;&gt;1,"Check Client ID",INDEX('Clients'!$B$6:$B$205,MATCH('Deals'!B35,'Clients'!$A$6:$A$205,0)))),'Follow-ups'!K35,'Payments'!B35,'Expenses'!D35),IF(CHOOSE($M$42,'Clients'!B35,'Clients'!B35,'Viewings'!H35,IF('Deals'!B35="","",IF(COUNTIFS('Clients'!$A$6:$A$205,'Deals'!B35)&lt;&gt;1,"Check Client ID",INDEX('Clients'!$B$6:$B$205,MATCH('Deals'!B35,'Clients'!$A$6:$A$205,0)))),IF('Deals'!B35="","",IF(COUNTIFS('Clients'!$A$6:$A$205,'Deals'!B35)&lt;&gt;1,"Check Client ID",INDEX('Clients'!$B$6:$B$205,MATCH('Deals'!B35,'Clients'!$A$6:$A$205,0)))),IF('Deals'!B35="","",IF(COUNTIFS('Clients'!$A$6:$A$205,'Deals'!B35)&lt;&gt;1,"Check Client ID",INDEX('Clients'!$B$6:$B$205,MATCH('Deals'!B35,'Clients'!$A$6:$A$205,0)))),'Follow-ups'!K35,'Payments'!B35,'Expenses'!D35)="","",CHOOSE($M$42,'Clients'!B35,'Clients'!B35,'Viewings'!H35,IF('Deals'!B35="","",IF(COUNTIFS('Clients'!$A$6:$A$205,'Deals'!B35)&lt;&gt;1,"Check Client ID",INDEX('Clients'!$B$6:$B$205,MATCH('Deals'!B35,'Clients'!$A$6:$A$205,0)))),IF('Deals'!B35="","",IF(COUNTIFS('Clients'!$A$6:$A$205,'Deals'!B35)&lt;&gt;1,"Check Client ID",INDEX('Clients'!$B$6:$B$205,MATCH('Deals'!B35,'Clients'!$A$6:$A$205,0)))),IF('Deals'!B35="","",IF(COUNTIFS('Clients'!$A$6:$A$205,'Deals'!B35)&lt;&gt;1,"Check Client ID",INDEX('Clients'!$B$6:$B$205,MATCH('Deals'!B35,'Clients'!$A$6:$A$205,0)))),'Follow-ups'!K35,'Payments'!B35,'Expenses'!D35))))</x:f>
      </x:c>
      <x:c r="E77" s="432" t="str">
        <x:f>IF(B77="","",IF(ISNUMBER(CHOOSE($M$42,'Clients'!K35,'Clients'!K35,'Viewings'!I35,'Deals'!C35,'Deals'!C35,'Deals'!C35,'Follow-ups'!L35,'Payments'!G35,'Expenses'!F35)),CHOOSE($M$42,'Clients'!K35,'Clients'!K35,'Viewings'!I35,'Deals'!C35,'Deals'!C35,'Deals'!C35,'Follow-ups'!L35,'Payments'!G35,'Expenses'!F35),IF(CHOOSE($M$42,'Clients'!K35,'Clients'!K35,'Viewings'!I35,'Deals'!C35,'Deals'!C35,'Deals'!C35,'Follow-ups'!L35,'Payments'!G35,'Expenses'!F35)="","",CHOOSE($M$42,'Clients'!K35,'Clients'!K35,'Viewings'!I35,'Deals'!C35,'Deals'!C35,'Deals'!C35,'Follow-ups'!L35,'Payments'!G35,'Expenses'!F35))))</x:f>
      </x:c>
      <x:c r="F77" s="432" t="str">
        <x:f>IF(B77="","",IF(ISNUMBER(CHOOSE($M$42,'Clients'!H35,'Clients'!H35,'Viewings'!E35,'Deals'!E35,'Deals'!E35,'Deals'!E35,'Follow-ups'!I35,"Receipt",'Expenses'!C35)),CHOOSE($M$42,'Clients'!H35,'Clients'!H35,'Viewings'!E35,'Deals'!E35,'Deals'!E35,'Deals'!E35,'Follow-ups'!I35,"Receipt",'Expenses'!C35),IF(CHOOSE($M$42,'Clients'!H35,'Clients'!H35,'Viewings'!E35,'Deals'!E35,'Deals'!E35,'Deals'!E35,'Follow-ups'!I35,"Receipt",'Expenses'!C35)="","",CHOOSE($M$42,'Clients'!H35,'Clients'!H35,'Viewings'!E35,'Deals'!E35,'Deals'!E35,'Deals'!E35,'Follow-ups'!I35,"Receipt",'Expenses'!C35))))</x:f>
      </x:c>
      <x:c r="G77" s="473" t="str">
        <x:f>IF(B77="","",IF(ISNUMBER(CHOOSE($M$42,"","","",'Deals'!F35,'Deals'!F35,'Deals'!F35,"",'Payments'!D35,'Expenses'!G35)),CHOOSE($M$42,"","","",'Deals'!F35,'Deals'!F35,'Deals'!F35,"",'Payments'!D35,'Expenses'!G35),IF(CHOOSE($M$42,"","","",'Deals'!F35,'Deals'!F35,'Deals'!F35,"",'Payments'!D35,'Expenses'!G35)="","",CHOOSE($M$42,"","","",'Deals'!F35,'Deals'!F35,'Deals'!F35,"",'Payments'!D35,'Expenses'!G35))))</x:f>
      </x:c>
      <x:c r="H77" s="432" t="n">
        <x:f>IF(AND($M$43=1,B77&lt;&gt;"",ISNUMBER(C77),C77&gt;=$G$6,C77&lt;$K$6+1),1,0)</x:f>
        <x:v>0</x:v>
      </x:c>
      <x:c r="I77" s="432" t="str">
        <x:f>IF(H77=0,"",COUNTIFS($H$48:$H$247,1,$C$48:$C$247,"&lt;"&amp;C77)+COUNTIFS($H$48:H77,1,$C$48:C77,C77))</x:f>
      </x:c>
      <x:c r="J77" s="432"/>
      <x:c r="K77" s="432"/>
      <x:c r="L77" s="432"/>
      <x:c r="M77" s="432"/>
      <x:c r="N77" s="432"/>
      <x:c r="O77" s="432"/>
      <x:c r="P77" s="432"/>
      <x:c r="Q77" s="432"/>
    </x:row>
    <x:row r="78" ht="25" customHeight="1">
      <x:c r="A78" s="432"/>
      <x:c r="B78" s="432" t="str">
        <x:f>IF(CHOOSE($M$42,'Clients'!A36,'Clients'!A36,'Viewings'!A36,'Deals'!A36,'Deals'!A36,'Deals'!A36,'Follow-ups'!A36,'Payments'!A36,'Expenses'!A36)="","",CHOOSE($M$42,'Clients'!A36,'Clients'!A36,'Viewings'!A36,'Deals'!A36,'Deals'!A36,'Deals'!A36,'Follow-ups'!A36,'Payments'!A36,'Expenses'!A36))</x:f>
      </x:c>
      <x:c r="C78" s="472" t="str">
        <x:f>IF(B78="","",IF(CHOOSE($M$42,'Clients'!R36,'Clients'!Q36,'Viewings'!D36,'Deals'!X36,'Deals'!Y36,'Deals'!Z36,'Follow-ups'!H36,'Payments'!C36,'Expenses'!B36)="","",CHOOSE($M$42,'Clients'!R36,'Clients'!Q36,'Viewings'!D36,'Deals'!X36,'Deals'!Y36,'Deals'!Z36,'Follow-ups'!H36,'Payments'!C36,'Expenses'!B36)))</x:f>
      </x:c>
      <x:c r="D78" s="432" t="str">
        <x:f>IF(B78="","",IF(ISNUMBER(CHOOSE($M$42,'Clients'!B36,'Clients'!B36,'Viewings'!H36,IF('Deals'!B36="","",IF(COUNTIFS('Clients'!$A$6:$A$205,'Deals'!B36)&lt;&gt;1,"Check Client ID",INDEX('Clients'!$B$6:$B$205,MATCH('Deals'!B36,'Clients'!$A$6:$A$205,0)))),IF('Deals'!B36="","",IF(COUNTIFS('Clients'!$A$6:$A$205,'Deals'!B36)&lt;&gt;1,"Check Client ID",INDEX('Clients'!$B$6:$B$205,MATCH('Deals'!B36,'Clients'!$A$6:$A$205,0)))),IF('Deals'!B36="","",IF(COUNTIFS('Clients'!$A$6:$A$205,'Deals'!B36)&lt;&gt;1,"Check Client ID",INDEX('Clients'!$B$6:$B$205,MATCH('Deals'!B36,'Clients'!$A$6:$A$205,0)))),'Follow-ups'!K36,'Payments'!B36,'Expenses'!D36)),CHOOSE($M$42,'Clients'!B36,'Clients'!B36,'Viewings'!H36,IF('Deals'!B36="","",IF(COUNTIFS('Clients'!$A$6:$A$205,'Deals'!B36)&lt;&gt;1,"Check Client ID",INDEX('Clients'!$B$6:$B$205,MATCH('Deals'!B36,'Clients'!$A$6:$A$205,0)))),IF('Deals'!B36="","",IF(COUNTIFS('Clients'!$A$6:$A$205,'Deals'!B36)&lt;&gt;1,"Check Client ID",INDEX('Clients'!$B$6:$B$205,MATCH('Deals'!B36,'Clients'!$A$6:$A$205,0)))),IF('Deals'!B36="","",IF(COUNTIFS('Clients'!$A$6:$A$205,'Deals'!B36)&lt;&gt;1,"Check Client ID",INDEX('Clients'!$B$6:$B$205,MATCH('Deals'!B36,'Clients'!$A$6:$A$205,0)))),'Follow-ups'!K36,'Payments'!B36,'Expenses'!D36),IF(CHOOSE($M$42,'Clients'!B36,'Clients'!B36,'Viewings'!H36,IF('Deals'!B36="","",IF(COUNTIFS('Clients'!$A$6:$A$205,'Deals'!B36)&lt;&gt;1,"Check Client ID",INDEX('Clients'!$B$6:$B$205,MATCH('Deals'!B36,'Clients'!$A$6:$A$205,0)))),IF('Deals'!B36="","",IF(COUNTIFS('Clients'!$A$6:$A$205,'Deals'!B36)&lt;&gt;1,"Check Client ID",INDEX('Clients'!$B$6:$B$205,MATCH('Deals'!B36,'Clients'!$A$6:$A$205,0)))),IF('Deals'!B36="","",IF(COUNTIFS('Clients'!$A$6:$A$205,'Deals'!B36)&lt;&gt;1,"Check Client ID",INDEX('Clients'!$B$6:$B$205,MATCH('Deals'!B36,'Clients'!$A$6:$A$205,0)))),'Follow-ups'!K36,'Payments'!B36,'Expenses'!D36)="","",CHOOSE($M$42,'Clients'!B36,'Clients'!B36,'Viewings'!H36,IF('Deals'!B36="","",IF(COUNTIFS('Clients'!$A$6:$A$205,'Deals'!B36)&lt;&gt;1,"Check Client ID",INDEX('Clients'!$B$6:$B$205,MATCH('Deals'!B36,'Clients'!$A$6:$A$205,0)))),IF('Deals'!B36="","",IF(COUNTIFS('Clients'!$A$6:$A$205,'Deals'!B36)&lt;&gt;1,"Check Client ID",INDEX('Clients'!$B$6:$B$205,MATCH('Deals'!B36,'Clients'!$A$6:$A$205,0)))),IF('Deals'!B36="","",IF(COUNTIFS('Clients'!$A$6:$A$205,'Deals'!B36)&lt;&gt;1,"Check Client ID",INDEX('Clients'!$B$6:$B$205,MATCH('Deals'!B36,'Clients'!$A$6:$A$205,0)))),'Follow-ups'!K36,'Payments'!B36,'Expenses'!D36))))</x:f>
      </x:c>
      <x:c r="E78" s="432" t="str">
        <x:f>IF(B78="","",IF(ISNUMBER(CHOOSE($M$42,'Clients'!K36,'Clients'!K36,'Viewings'!I36,'Deals'!C36,'Deals'!C36,'Deals'!C36,'Follow-ups'!L36,'Payments'!G36,'Expenses'!F36)),CHOOSE($M$42,'Clients'!K36,'Clients'!K36,'Viewings'!I36,'Deals'!C36,'Deals'!C36,'Deals'!C36,'Follow-ups'!L36,'Payments'!G36,'Expenses'!F36),IF(CHOOSE($M$42,'Clients'!K36,'Clients'!K36,'Viewings'!I36,'Deals'!C36,'Deals'!C36,'Deals'!C36,'Follow-ups'!L36,'Payments'!G36,'Expenses'!F36)="","",CHOOSE($M$42,'Clients'!K36,'Clients'!K36,'Viewings'!I36,'Deals'!C36,'Deals'!C36,'Deals'!C36,'Follow-ups'!L36,'Payments'!G36,'Expenses'!F36))))</x:f>
      </x:c>
      <x:c r="F78" s="432" t="str">
        <x:f>IF(B78="","",IF(ISNUMBER(CHOOSE($M$42,'Clients'!H36,'Clients'!H36,'Viewings'!E36,'Deals'!E36,'Deals'!E36,'Deals'!E36,'Follow-ups'!I36,"Receipt",'Expenses'!C36)),CHOOSE($M$42,'Clients'!H36,'Clients'!H36,'Viewings'!E36,'Deals'!E36,'Deals'!E36,'Deals'!E36,'Follow-ups'!I36,"Receipt",'Expenses'!C36),IF(CHOOSE($M$42,'Clients'!H36,'Clients'!H36,'Viewings'!E36,'Deals'!E36,'Deals'!E36,'Deals'!E36,'Follow-ups'!I36,"Receipt",'Expenses'!C36)="","",CHOOSE($M$42,'Clients'!H36,'Clients'!H36,'Viewings'!E36,'Deals'!E36,'Deals'!E36,'Deals'!E36,'Follow-ups'!I36,"Receipt",'Expenses'!C36))))</x:f>
      </x:c>
      <x:c r="G78" s="473" t="str">
        <x:f>IF(B78="","",IF(ISNUMBER(CHOOSE($M$42,"","","",'Deals'!F36,'Deals'!F36,'Deals'!F36,"",'Payments'!D36,'Expenses'!G36)),CHOOSE($M$42,"","","",'Deals'!F36,'Deals'!F36,'Deals'!F36,"",'Payments'!D36,'Expenses'!G36),IF(CHOOSE($M$42,"","","",'Deals'!F36,'Deals'!F36,'Deals'!F36,"",'Payments'!D36,'Expenses'!G36)="","",CHOOSE($M$42,"","","",'Deals'!F36,'Deals'!F36,'Deals'!F36,"",'Payments'!D36,'Expenses'!G36))))</x:f>
      </x:c>
      <x:c r="H78" s="432" t="n">
        <x:f>IF(AND($M$43=1,B78&lt;&gt;"",ISNUMBER(C78),C78&gt;=$G$6,C78&lt;$K$6+1),1,0)</x:f>
        <x:v>0</x:v>
      </x:c>
      <x:c r="I78" s="432" t="str">
        <x:f>IF(H78=0,"",COUNTIFS($H$48:$H$247,1,$C$48:$C$247,"&lt;"&amp;C78)+COUNTIFS($H$48:H78,1,$C$48:C78,C78))</x:f>
      </x:c>
      <x:c r="J78" s="432"/>
      <x:c r="K78" s="432"/>
      <x:c r="L78" s="432"/>
      <x:c r="M78" s="432"/>
      <x:c r="N78" s="432"/>
      <x:c r="O78" s="432"/>
      <x:c r="P78" s="432"/>
      <x:c r="Q78" s="432"/>
    </x:row>
    <x:row r="79" ht="25" customHeight="1">
      <x:c r="A79" s="432"/>
      <x:c r="B79" s="432" t="str">
        <x:f>IF(CHOOSE($M$42,'Clients'!A37,'Clients'!A37,'Viewings'!A37,'Deals'!A37,'Deals'!A37,'Deals'!A37,'Follow-ups'!A37,'Payments'!A37,'Expenses'!A37)="","",CHOOSE($M$42,'Clients'!A37,'Clients'!A37,'Viewings'!A37,'Deals'!A37,'Deals'!A37,'Deals'!A37,'Follow-ups'!A37,'Payments'!A37,'Expenses'!A37))</x:f>
      </x:c>
      <x:c r="C79" s="472" t="str">
        <x:f>IF(B79="","",IF(CHOOSE($M$42,'Clients'!R37,'Clients'!Q37,'Viewings'!D37,'Deals'!X37,'Deals'!Y37,'Deals'!Z37,'Follow-ups'!H37,'Payments'!C37,'Expenses'!B37)="","",CHOOSE($M$42,'Clients'!R37,'Clients'!Q37,'Viewings'!D37,'Deals'!X37,'Deals'!Y37,'Deals'!Z37,'Follow-ups'!H37,'Payments'!C37,'Expenses'!B37)))</x:f>
      </x:c>
      <x:c r="D79" s="432" t="str">
        <x:f>IF(B79="","",IF(ISNUMBER(CHOOSE($M$42,'Clients'!B37,'Clients'!B37,'Viewings'!H37,IF('Deals'!B37="","",IF(COUNTIFS('Clients'!$A$6:$A$205,'Deals'!B37)&lt;&gt;1,"Check Client ID",INDEX('Clients'!$B$6:$B$205,MATCH('Deals'!B37,'Clients'!$A$6:$A$205,0)))),IF('Deals'!B37="","",IF(COUNTIFS('Clients'!$A$6:$A$205,'Deals'!B37)&lt;&gt;1,"Check Client ID",INDEX('Clients'!$B$6:$B$205,MATCH('Deals'!B37,'Clients'!$A$6:$A$205,0)))),IF('Deals'!B37="","",IF(COUNTIFS('Clients'!$A$6:$A$205,'Deals'!B37)&lt;&gt;1,"Check Client ID",INDEX('Clients'!$B$6:$B$205,MATCH('Deals'!B37,'Clients'!$A$6:$A$205,0)))),'Follow-ups'!K37,'Payments'!B37,'Expenses'!D37)),CHOOSE($M$42,'Clients'!B37,'Clients'!B37,'Viewings'!H37,IF('Deals'!B37="","",IF(COUNTIFS('Clients'!$A$6:$A$205,'Deals'!B37)&lt;&gt;1,"Check Client ID",INDEX('Clients'!$B$6:$B$205,MATCH('Deals'!B37,'Clients'!$A$6:$A$205,0)))),IF('Deals'!B37="","",IF(COUNTIFS('Clients'!$A$6:$A$205,'Deals'!B37)&lt;&gt;1,"Check Client ID",INDEX('Clients'!$B$6:$B$205,MATCH('Deals'!B37,'Clients'!$A$6:$A$205,0)))),IF('Deals'!B37="","",IF(COUNTIFS('Clients'!$A$6:$A$205,'Deals'!B37)&lt;&gt;1,"Check Client ID",INDEX('Clients'!$B$6:$B$205,MATCH('Deals'!B37,'Clients'!$A$6:$A$205,0)))),'Follow-ups'!K37,'Payments'!B37,'Expenses'!D37),IF(CHOOSE($M$42,'Clients'!B37,'Clients'!B37,'Viewings'!H37,IF('Deals'!B37="","",IF(COUNTIFS('Clients'!$A$6:$A$205,'Deals'!B37)&lt;&gt;1,"Check Client ID",INDEX('Clients'!$B$6:$B$205,MATCH('Deals'!B37,'Clients'!$A$6:$A$205,0)))),IF('Deals'!B37="","",IF(COUNTIFS('Clients'!$A$6:$A$205,'Deals'!B37)&lt;&gt;1,"Check Client ID",INDEX('Clients'!$B$6:$B$205,MATCH('Deals'!B37,'Clients'!$A$6:$A$205,0)))),IF('Deals'!B37="","",IF(COUNTIFS('Clients'!$A$6:$A$205,'Deals'!B37)&lt;&gt;1,"Check Client ID",INDEX('Clients'!$B$6:$B$205,MATCH('Deals'!B37,'Clients'!$A$6:$A$205,0)))),'Follow-ups'!K37,'Payments'!B37,'Expenses'!D37)="","",CHOOSE($M$42,'Clients'!B37,'Clients'!B37,'Viewings'!H37,IF('Deals'!B37="","",IF(COUNTIFS('Clients'!$A$6:$A$205,'Deals'!B37)&lt;&gt;1,"Check Client ID",INDEX('Clients'!$B$6:$B$205,MATCH('Deals'!B37,'Clients'!$A$6:$A$205,0)))),IF('Deals'!B37="","",IF(COUNTIFS('Clients'!$A$6:$A$205,'Deals'!B37)&lt;&gt;1,"Check Client ID",INDEX('Clients'!$B$6:$B$205,MATCH('Deals'!B37,'Clients'!$A$6:$A$205,0)))),IF('Deals'!B37="","",IF(COUNTIFS('Clients'!$A$6:$A$205,'Deals'!B37)&lt;&gt;1,"Check Client ID",INDEX('Clients'!$B$6:$B$205,MATCH('Deals'!B37,'Clients'!$A$6:$A$205,0)))),'Follow-ups'!K37,'Payments'!B37,'Expenses'!D37))))</x:f>
      </x:c>
      <x:c r="E79" s="432" t="str">
        <x:f>IF(B79="","",IF(ISNUMBER(CHOOSE($M$42,'Clients'!K37,'Clients'!K37,'Viewings'!I37,'Deals'!C37,'Deals'!C37,'Deals'!C37,'Follow-ups'!L37,'Payments'!G37,'Expenses'!F37)),CHOOSE($M$42,'Clients'!K37,'Clients'!K37,'Viewings'!I37,'Deals'!C37,'Deals'!C37,'Deals'!C37,'Follow-ups'!L37,'Payments'!G37,'Expenses'!F37),IF(CHOOSE($M$42,'Clients'!K37,'Clients'!K37,'Viewings'!I37,'Deals'!C37,'Deals'!C37,'Deals'!C37,'Follow-ups'!L37,'Payments'!G37,'Expenses'!F37)="","",CHOOSE($M$42,'Clients'!K37,'Clients'!K37,'Viewings'!I37,'Deals'!C37,'Deals'!C37,'Deals'!C37,'Follow-ups'!L37,'Payments'!G37,'Expenses'!F37))))</x:f>
      </x:c>
      <x:c r="F79" s="432" t="str">
        <x:f>IF(B79="","",IF(ISNUMBER(CHOOSE($M$42,'Clients'!H37,'Clients'!H37,'Viewings'!E37,'Deals'!E37,'Deals'!E37,'Deals'!E37,'Follow-ups'!I37,"Receipt",'Expenses'!C37)),CHOOSE($M$42,'Clients'!H37,'Clients'!H37,'Viewings'!E37,'Deals'!E37,'Deals'!E37,'Deals'!E37,'Follow-ups'!I37,"Receipt",'Expenses'!C37),IF(CHOOSE($M$42,'Clients'!H37,'Clients'!H37,'Viewings'!E37,'Deals'!E37,'Deals'!E37,'Deals'!E37,'Follow-ups'!I37,"Receipt",'Expenses'!C37)="","",CHOOSE($M$42,'Clients'!H37,'Clients'!H37,'Viewings'!E37,'Deals'!E37,'Deals'!E37,'Deals'!E37,'Follow-ups'!I37,"Receipt",'Expenses'!C37))))</x:f>
      </x:c>
      <x:c r="G79" s="473" t="str">
        <x:f>IF(B79="","",IF(ISNUMBER(CHOOSE($M$42,"","","",'Deals'!F37,'Deals'!F37,'Deals'!F37,"",'Payments'!D37,'Expenses'!G37)),CHOOSE($M$42,"","","",'Deals'!F37,'Deals'!F37,'Deals'!F37,"",'Payments'!D37,'Expenses'!G37),IF(CHOOSE($M$42,"","","",'Deals'!F37,'Deals'!F37,'Deals'!F37,"",'Payments'!D37,'Expenses'!G37)="","",CHOOSE($M$42,"","","",'Deals'!F37,'Deals'!F37,'Deals'!F37,"",'Payments'!D37,'Expenses'!G37))))</x:f>
      </x:c>
      <x:c r="H79" s="432" t="n">
        <x:f>IF(AND($M$43=1,B79&lt;&gt;"",ISNUMBER(C79),C79&gt;=$G$6,C79&lt;$K$6+1),1,0)</x:f>
        <x:v>0</x:v>
      </x:c>
      <x:c r="I79" s="432" t="str">
        <x:f>IF(H79=0,"",COUNTIFS($H$48:$H$247,1,$C$48:$C$247,"&lt;"&amp;C79)+COUNTIFS($H$48:H79,1,$C$48:C79,C79))</x:f>
      </x:c>
      <x:c r="J79" s="432"/>
      <x:c r="K79" s="432"/>
      <x:c r="L79" s="432"/>
      <x:c r="M79" s="432"/>
      <x:c r="N79" s="432"/>
      <x:c r="O79" s="432"/>
      <x:c r="P79" s="432"/>
      <x:c r="Q79" s="432"/>
    </x:row>
    <x:row r="80" ht="25" customHeight="1">
      <x:c r="A80" s="432"/>
      <x:c r="B80" s="432" t="str">
        <x:f>IF(CHOOSE($M$42,'Clients'!A38,'Clients'!A38,'Viewings'!A38,'Deals'!A38,'Deals'!A38,'Deals'!A38,'Follow-ups'!A38,'Payments'!A38,'Expenses'!A38)="","",CHOOSE($M$42,'Clients'!A38,'Clients'!A38,'Viewings'!A38,'Deals'!A38,'Deals'!A38,'Deals'!A38,'Follow-ups'!A38,'Payments'!A38,'Expenses'!A38))</x:f>
      </x:c>
      <x:c r="C80" s="472" t="str">
        <x:f>IF(B80="","",IF(CHOOSE($M$42,'Clients'!R38,'Clients'!Q38,'Viewings'!D38,'Deals'!X38,'Deals'!Y38,'Deals'!Z38,'Follow-ups'!H38,'Payments'!C38,'Expenses'!B38)="","",CHOOSE($M$42,'Clients'!R38,'Clients'!Q38,'Viewings'!D38,'Deals'!X38,'Deals'!Y38,'Deals'!Z38,'Follow-ups'!H38,'Payments'!C38,'Expenses'!B38)))</x:f>
      </x:c>
      <x:c r="D80" s="432" t="str">
        <x:f>IF(B80="","",IF(ISNUMBER(CHOOSE($M$42,'Clients'!B38,'Clients'!B38,'Viewings'!H38,IF('Deals'!B38="","",IF(COUNTIFS('Clients'!$A$6:$A$205,'Deals'!B38)&lt;&gt;1,"Check Client ID",INDEX('Clients'!$B$6:$B$205,MATCH('Deals'!B38,'Clients'!$A$6:$A$205,0)))),IF('Deals'!B38="","",IF(COUNTIFS('Clients'!$A$6:$A$205,'Deals'!B38)&lt;&gt;1,"Check Client ID",INDEX('Clients'!$B$6:$B$205,MATCH('Deals'!B38,'Clients'!$A$6:$A$205,0)))),IF('Deals'!B38="","",IF(COUNTIFS('Clients'!$A$6:$A$205,'Deals'!B38)&lt;&gt;1,"Check Client ID",INDEX('Clients'!$B$6:$B$205,MATCH('Deals'!B38,'Clients'!$A$6:$A$205,0)))),'Follow-ups'!K38,'Payments'!B38,'Expenses'!D38)),CHOOSE($M$42,'Clients'!B38,'Clients'!B38,'Viewings'!H38,IF('Deals'!B38="","",IF(COUNTIFS('Clients'!$A$6:$A$205,'Deals'!B38)&lt;&gt;1,"Check Client ID",INDEX('Clients'!$B$6:$B$205,MATCH('Deals'!B38,'Clients'!$A$6:$A$205,0)))),IF('Deals'!B38="","",IF(COUNTIFS('Clients'!$A$6:$A$205,'Deals'!B38)&lt;&gt;1,"Check Client ID",INDEX('Clients'!$B$6:$B$205,MATCH('Deals'!B38,'Clients'!$A$6:$A$205,0)))),IF('Deals'!B38="","",IF(COUNTIFS('Clients'!$A$6:$A$205,'Deals'!B38)&lt;&gt;1,"Check Client ID",INDEX('Clients'!$B$6:$B$205,MATCH('Deals'!B38,'Clients'!$A$6:$A$205,0)))),'Follow-ups'!K38,'Payments'!B38,'Expenses'!D38),IF(CHOOSE($M$42,'Clients'!B38,'Clients'!B38,'Viewings'!H38,IF('Deals'!B38="","",IF(COUNTIFS('Clients'!$A$6:$A$205,'Deals'!B38)&lt;&gt;1,"Check Client ID",INDEX('Clients'!$B$6:$B$205,MATCH('Deals'!B38,'Clients'!$A$6:$A$205,0)))),IF('Deals'!B38="","",IF(COUNTIFS('Clients'!$A$6:$A$205,'Deals'!B38)&lt;&gt;1,"Check Client ID",INDEX('Clients'!$B$6:$B$205,MATCH('Deals'!B38,'Clients'!$A$6:$A$205,0)))),IF('Deals'!B38="","",IF(COUNTIFS('Clients'!$A$6:$A$205,'Deals'!B38)&lt;&gt;1,"Check Client ID",INDEX('Clients'!$B$6:$B$205,MATCH('Deals'!B38,'Clients'!$A$6:$A$205,0)))),'Follow-ups'!K38,'Payments'!B38,'Expenses'!D38)="","",CHOOSE($M$42,'Clients'!B38,'Clients'!B38,'Viewings'!H38,IF('Deals'!B38="","",IF(COUNTIFS('Clients'!$A$6:$A$205,'Deals'!B38)&lt;&gt;1,"Check Client ID",INDEX('Clients'!$B$6:$B$205,MATCH('Deals'!B38,'Clients'!$A$6:$A$205,0)))),IF('Deals'!B38="","",IF(COUNTIFS('Clients'!$A$6:$A$205,'Deals'!B38)&lt;&gt;1,"Check Client ID",INDEX('Clients'!$B$6:$B$205,MATCH('Deals'!B38,'Clients'!$A$6:$A$205,0)))),IF('Deals'!B38="","",IF(COUNTIFS('Clients'!$A$6:$A$205,'Deals'!B38)&lt;&gt;1,"Check Client ID",INDEX('Clients'!$B$6:$B$205,MATCH('Deals'!B38,'Clients'!$A$6:$A$205,0)))),'Follow-ups'!K38,'Payments'!B38,'Expenses'!D38))))</x:f>
      </x:c>
      <x:c r="E80" s="432" t="str">
        <x:f>IF(B80="","",IF(ISNUMBER(CHOOSE($M$42,'Clients'!K38,'Clients'!K38,'Viewings'!I38,'Deals'!C38,'Deals'!C38,'Deals'!C38,'Follow-ups'!L38,'Payments'!G38,'Expenses'!F38)),CHOOSE($M$42,'Clients'!K38,'Clients'!K38,'Viewings'!I38,'Deals'!C38,'Deals'!C38,'Deals'!C38,'Follow-ups'!L38,'Payments'!G38,'Expenses'!F38),IF(CHOOSE($M$42,'Clients'!K38,'Clients'!K38,'Viewings'!I38,'Deals'!C38,'Deals'!C38,'Deals'!C38,'Follow-ups'!L38,'Payments'!G38,'Expenses'!F38)="","",CHOOSE($M$42,'Clients'!K38,'Clients'!K38,'Viewings'!I38,'Deals'!C38,'Deals'!C38,'Deals'!C38,'Follow-ups'!L38,'Payments'!G38,'Expenses'!F38))))</x:f>
      </x:c>
      <x:c r="F80" s="432" t="str">
        <x:f>IF(B80="","",IF(ISNUMBER(CHOOSE($M$42,'Clients'!H38,'Clients'!H38,'Viewings'!E38,'Deals'!E38,'Deals'!E38,'Deals'!E38,'Follow-ups'!I38,"Receipt",'Expenses'!C38)),CHOOSE($M$42,'Clients'!H38,'Clients'!H38,'Viewings'!E38,'Deals'!E38,'Deals'!E38,'Deals'!E38,'Follow-ups'!I38,"Receipt",'Expenses'!C38),IF(CHOOSE($M$42,'Clients'!H38,'Clients'!H38,'Viewings'!E38,'Deals'!E38,'Deals'!E38,'Deals'!E38,'Follow-ups'!I38,"Receipt",'Expenses'!C38)="","",CHOOSE($M$42,'Clients'!H38,'Clients'!H38,'Viewings'!E38,'Deals'!E38,'Deals'!E38,'Deals'!E38,'Follow-ups'!I38,"Receipt",'Expenses'!C38))))</x:f>
      </x:c>
      <x:c r="G80" s="473" t="str">
        <x:f>IF(B80="","",IF(ISNUMBER(CHOOSE($M$42,"","","",'Deals'!F38,'Deals'!F38,'Deals'!F38,"",'Payments'!D38,'Expenses'!G38)),CHOOSE($M$42,"","","",'Deals'!F38,'Deals'!F38,'Deals'!F38,"",'Payments'!D38,'Expenses'!G38),IF(CHOOSE($M$42,"","","",'Deals'!F38,'Deals'!F38,'Deals'!F38,"",'Payments'!D38,'Expenses'!G38)="","",CHOOSE($M$42,"","","",'Deals'!F38,'Deals'!F38,'Deals'!F38,"",'Payments'!D38,'Expenses'!G38))))</x:f>
      </x:c>
      <x:c r="H80" s="432" t="n">
        <x:f>IF(AND($M$43=1,B80&lt;&gt;"",ISNUMBER(C80),C80&gt;=$G$6,C80&lt;$K$6+1),1,0)</x:f>
        <x:v>0</x:v>
      </x:c>
      <x:c r="I80" s="432" t="str">
        <x:f>IF(H80=0,"",COUNTIFS($H$48:$H$247,1,$C$48:$C$247,"&lt;"&amp;C80)+COUNTIFS($H$48:H80,1,$C$48:C80,C80))</x:f>
      </x:c>
      <x:c r="J80" s="432"/>
      <x:c r="K80" s="432"/>
      <x:c r="L80" s="432"/>
      <x:c r="M80" s="432"/>
      <x:c r="N80" s="432"/>
      <x:c r="O80" s="432"/>
      <x:c r="P80" s="432"/>
      <x:c r="Q80" s="432"/>
    </x:row>
    <x:row r="81" ht="25" customHeight="1">
      <x:c r="A81" s="432"/>
      <x:c r="B81" s="432" t="str">
        <x:f>IF(CHOOSE($M$42,'Clients'!A39,'Clients'!A39,'Viewings'!A39,'Deals'!A39,'Deals'!A39,'Deals'!A39,'Follow-ups'!A39,'Payments'!A39,'Expenses'!A39)="","",CHOOSE($M$42,'Clients'!A39,'Clients'!A39,'Viewings'!A39,'Deals'!A39,'Deals'!A39,'Deals'!A39,'Follow-ups'!A39,'Payments'!A39,'Expenses'!A39))</x:f>
      </x:c>
      <x:c r="C81" s="472" t="str">
        <x:f>IF(B81="","",IF(CHOOSE($M$42,'Clients'!R39,'Clients'!Q39,'Viewings'!D39,'Deals'!X39,'Deals'!Y39,'Deals'!Z39,'Follow-ups'!H39,'Payments'!C39,'Expenses'!B39)="","",CHOOSE($M$42,'Clients'!R39,'Clients'!Q39,'Viewings'!D39,'Deals'!X39,'Deals'!Y39,'Deals'!Z39,'Follow-ups'!H39,'Payments'!C39,'Expenses'!B39)))</x:f>
      </x:c>
      <x:c r="D81" s="432" t="str">
        <x:f>IF(B81="","",IF(ISNUMBER(CHOOSE($M$42,'Clients'!B39,'Clients'!B39,'Viewings'!H39,IF('Deals'!B39="","",IF(COUNTIFS('Clients'!$A$6:$A$205,'Deals'!B39)&lt;&gt;1,"Check Client ID",INDEX('Clients'!$B$6:$B$205,MATCH('Deals'!B39,'Clients'!$A$6:$A$205,0)))),IF('Deals'!B39="","",IF(COUNTIFS('Clients'!$A$6:$A$205,'Deals'!B39)&lt;&gt;1,"Check Client ID",INDEX('Clients'!$B$6:$B$205,MATCH('Deals'!B39,'Clients'!$A$6:$A$205,0)))),IF('Deals'!B39="","",IF(COUNTIFS('Clients'!$A$6:$A$205,'Deals'!B39)&lt;&gt;1,"Check Client ID",INDEX('Clients'!$B$6:$B$205,MATCH('Deals'!B39,'Clients'!$A$6:$A$205,0)))),'Follow-ups'!K39,'Payments'!B39,'Expenses'!D39)),CHOOSE($M$42,'Clients'!B39,'Clients'!B39,'Viewings'!H39,IF('Deals'!B39="","",IF(COUNTIFS('Clients'!$A$6:$A$205,'Deals'!B39)&lt;&gt;1,"Check Client ID",INDEX('Clients'!$B$6:$B$205,MATCH('Deals'!B39,'Clients'!$A$6:$A$205,0)))),IF('Deals'!B39="","",IF(COUNTIFS('Clients'!$A$6:$A$205,'Deals'!B39)&lt;&gt;1,"Check Client ID",INDEX('Clients'!$B$6:$B$205,MATCH('Deals'!B39,'Clients'!$A$6:$A$205,0)))),IF('Deals'!B39="","",IF(COUNTIFS('Clients'!$A$6:$A$205,'Deals'!B39)&lt;&gt;1,"Check Client ID",INDEX('Clients'!$B$6:$B$205,MATCH('Deals'!B39,'Clients'!$A$6:$A$205,0)))),'Follow-ups'!K39,'Payments'!B39,'Expenses'!D39),IF(CHOOSE($M$42,'Clients'!B39,'Clients'!B39,'Viewings'!H39,IF('Deals'!B39="","",IF(COUNTIFS('Clients'!$A$6:$A$205,'Deals'!B39)&lt;&gt;1,"Check Client ID",INDEX('Clients'!$B$6:$B$205,MATCH('Deals'!B39,'Clients'!$A$6:$A$205,0)))),IF('Deals'!B39="","",IF(COUNTIFS('Clients'!$A$6:$A$205,'Deals'!B39)&lt;&gt;1,"Check Client ID",INDEX('Clients'!$B$6:$B$205,MATCH('Deals'!B39,'Clients'!$A$6:$A$205,0)))),IF('Deals'!B39="","",IF(COUNTIFS('Clients'!$A$6:$A$205,'Deals'!B39)&lt;&gt;1,"Check Client ID",INDEX('Clients'!$B$6:$B$205,MATCH('Deals'!B39,'Clients'!$A$6:$A$205,0)))),'Follow-ups'!K39,'Payments'!B39,'Expenses'!D39)="","",CHOOSE($M$42,'Clients'!B39,'Clients'!B39,'Viewings'!H39,IF('Deals'!B39="","",IF(COUNTIFS('Clients'!$A$6:$A$205,'Deals'!B39)&lt;&gt;1,"Check Client ID",INDEX('Clients'!$B$6:$B$205,MATCH('Deals'!B39,'Clients'!$A$6:$A$205,0)))),IF('Deals'!B39="","",IF(COUNTIFS('Clients'!$A$6:$A$205,'Deals'!B39)&lt;&gt;1,"Check Client ID",INDEX('Clients'!$B$6:$B$205,MATCH('Deals'!B39,'Clients'!$A$6:$A$205,0)))),IF('Deals'!B39="","",IF(COUNTIFS('Clients'!$A$6:$A$205,'Deals'!B39)&lt;&gt;1,"Check Client ID",INDEX('Clients'!$B$6:$B$205,MATCH('Deals'!B39,'Clients'!$A$6:$A$205,0)))),'Follow-ups'!K39,'Payments'!B39,'Expenses'!D39))))</x:f>
      </x:c>
      <x:c r="E81" s="432" t="str">
        <x:f>IF(B81="","",IF(ISNUMBER(CHOOSE($M$42,'Clients'!K39,'Clients'!K39,'Viewings'!I39,'Deals'!C39,'Deals'!C39,'Deals'!C39,'Follow-ups'!L39,'Payments'!G39,'Expenses'!F39)),CHOOSE($M$42,'Clients'!K39,'Clients'!K39,'Viewings'!I39,'Deals'!C39,'Deals'!C39,'Deals'!C39,'Follow-ups'!L39,'Payments'!G39,'Expenses'!F39),IF(CHOOSE($M$42,'Clients'!K39,'Clients'!K39,'Viewings'!I39,'Deals'!C39,'Deals'!C39,'Deals'!C39,'Follow-ups'!L39,'Payments'!G39,'Expenses'!F39)="","",CHOOSE($M$42,'Clients'!K39,'Clients'!K39,'Viewings'!I39,'Deals'!C39,'Deals'!C39,'Deals'!C39,'Follow-ups'!L39,'Payments'!G39,'Expenses'!F39))))</x:f>
      </x:c>
      <x:c r="F81" s="432" t="str">
        <x:f>IF(B81="","",IF(ISNUMBER(CHOOSE($M$42,'Clients'!H39,'Clients'!H39,'Viewings'!E39,'Deals'!E39,'Deals'!E39,'Deals'!E39,'Follow-ups'!I39,"Receipt",'Expenses'!C39)),CHOOSE($M$42,'Clients'!H39,'Clients'!H39,'Viewings'!E39,'Deals'!E39,'Deals'!E39,'Deals'!E39,'Follow-ups'!I39,"Receipt",'Expenses'!C39),IF(CHOOSE($M$42,'Clients'!H39,'Clients'!H39,'Viewings'!E39,'Deals'!E39,'Deals'!E39,'Deals'!E39,'Follow-ups'!I39,"Receipt",'Expenses'!C39)="","",CHOOSE($M$42,'Clients'!H39,'Clients'!H39,'Viewings'!E39,'Deals'!E39,'Deals'!E39,'Deals'!E39,'Follow-ups'!I39,"Receipt",'Expenses'!C39))))</x:f>
      </x:c>
      <x:c r="G81" s="473" t="str">
        <x:f>IF(B81="","",IF(ISNUMBER(CHOOSE($M$42,"","","",'Deals'!F39,'Deals'!F39,'Deals'!F39,"",'Payments'!D39,'Expenses'!G39)),CHOOSE($M$42,"","","",'Deals'!F39,'Deals'!F39,'Deals'!F39,"",'Payments'!D39,'Expenses'!G39),IF(CHOOSE($M$42,"","","",'Deals'!F39,'Deals'!F39,'Deals'!F39,"",'Payments'!D39,'Expenses'!G39)="","",CHOOSE($M$42,"","","",'Deals'!F39,'Deals'!F39,'Deals'!F39,"",'Payments'!D39,'Expenses'!G39))))</x:f>
      </x:c>
      <x:c r="H81" s="432" t="n">
        <x:f>IF(AND($M$43=1,B81&lt;&gt;"",ISNUMBER(C81),C81&gt;=$G$6,C81&lt;$K$6+1),1,0)</x:f>
        <x:v>0</x:v>
      </x:c>
      <x:c r="I81" s="432" t="str">
        <x:f>IF(H81=0,"",COUNTIFS($H$48:$H$247,1,$C$48:$C$247,"&lt;"&amp;C81)+COUNTIFS($H$48:H81,1,$C$48:C81,C81))</x:f>
      </x:c>
      <x:c r="J81" s="432"/>
      <x:c r="K81" s="432"/>
      <x:c r="L81" s="432"/>
      <x:c r="M81" s="432"/>
      <x:c r="N81" s="432"/>
      <x:c r="O81" s="432"/>
      <x:c r="P81" s="432"/>
      <x:c r="Q81" s="432"/>
    </x:row>
    <x:row r="82" ht="25" customHeight="1">
      <x:c r="A82" s="432"/>
      <x:c r="B82" s="432" t="str">
        <x:f>IF(CHOOSE($M$42,'Clients'!A40,'Clients'!A40,'Viewings'!A40,'Deals'!A40,'Deals'!A40,'Deals'!A40,'Follow-ups'!A40,'Payments'!A40,'Expenses'!A40)="","",CHOOSE($M$42,'Clients'!A40,'Clients'!A40,'Viewings'!A40,'Deals'!A40,'Deals'!A40,'Deals'!A40,'Follow-ups'!A40,'Payments'!A40,'Expenses'!A40))</x:f>
      </x:c>
      <x:c r="C82" s="472" t="str">
        <x:f>IF(B82="","",IF(CHOOSE($M$42,'Clients'!R40,'Clients'!Q40,'Viewings'!D40,'Deals'!X40,'Deals'!Y40,'Deals'!Z40,'Follow-ups'!H40,'Payments'!C40,'Expenses'!B40)="","",CHOOSE($M$42,'Clients'!R40,'Clients'!Q40,'Viewings'!D40,'Deals'!X40,'Deals'!Y40,'Deals'!Z40,'Follow-ups'!H40,'Payments'!C40,'Expenses'!B40)))</x:f>
      </x:c>
      <x:c r="D82" s="432" t="str">
        <x:f>IF(B82="","",IF(ISNUMBER(CHOOSE($M$42,'Clients'!B40,'Clients'!B40,'Viewings'!H40,IF('Deals'!B40="","",IF(COUNTIFS('Clients'!$A$6:$A$205,'Deals'!B40)&lt;&gt;1,"Check Client ID",INDEX('Clients'!$B$6:$B$205,MATCH('Deals'!B40,'Clients'!$A$6:$A$205,0)))),IF('Deals'!B40="","",IF(COUNTIFS('Clients'!$A$6:$A$205,'Deals'!B40)&lt;&gt;1,"Check Client ID",INDEX('Clients'!$B$6:$B$205,MATCH('Deals'!B40,'Clients'!$A$6:$A$205,0)))),IF('Deals'!B40="","",IF(COUNTIFS('Clients'!$A$6:$A$205,'Deals'!B40)&lt;&gt;1,"Check Client ID",INDEX('Clients'!$B$6:$B$205,MATCH('Deals'!B40,'Clients'!$A$6:$A$205,0)))),'Follow-ups'!K40,'Payments'!B40,'Expenses'!D40)),CHOOSE($M$42,'Clients'!B40,'Clients'!B40,'Viewings'!H40,IF('Deals'!B40="","",IF(COUNTIFS('Clients'!$A$6:$A$205,'Deals'!B40)&lt;&gt;1,"Check Client ID",INDEX('Clients'!$B$6:$B$205,MATCH('Deals'!B40,'Clients'!$A$6:$A$205,0)))),IF('Deals'!B40="","",IF(COUNTIFS('Clients'!$A$6:$A$205,'Deals'!B40)&lt;&gt;1,"Check Client ID",INDEX('Clients'!$B$6:$B$205,MATCH('Deals'!B40,'Clients'!$A$6:$A$205,0)))),IF('Deals'!B40="","",IF(COUNTIFS('Clients'!$A$6:$A$205,'Deals'!B40)&lt;&gt;1,"Check Client ID",INDEX('Clients'!$B$6:$B$205,MATCH('Deals'!B40,'Clients'!$A$6:$A$205,0)))),'Follow-ups'!K40,'Payments'!B40,'Expenses'!D40),IF(CHOOSE($M$42,'Clients'!B40,'Clients'!B40,'Viewings'!H40,IF('Deals'!B40="","",IF(COUNTIFS('Clients'!$A$6:$A$205,'Deals'!B40)&lt;&gt;1,"Check Client ID",INDEX('Clients'!$B$6:$B$205,MATCH('Deals'!B40,'Clients'!$A$6:$A$205,0)))),IF('Deals'!B40="","",IF(COUNTIFS('Clients'!$A$6:$A$205,'Deals'!B40)&lt;&gt;1,"Check Client ID",INDEX('Clients'!$B$6:$B$205,MATCH('Deals'!B40,'Clients'!$A$6:$A$205,0)))),IF('Deals'!B40="","",IF(COUNTIFS('Clients'!$A$6:$A$205,'Deals'!B40)&lt;&gt;1,"Check Client ID",INDEX('Clients'!$B$6:$B$205,MATCH('Deals'!B40,'Clients'!$A$6:$A$205,0)))),'Follow-ups'!K40,'Payments'!B40,'Expenses'!D40)="","",CHOOSE($M$42,'Clients'!B40,'Clients'!B40,'Viewings'!H40,IF('Deals'!B40="","",IF(COUNTIFS('Clients'!$A$6:$A$205,'Deals'!B40)&lt;&gt;1,"Check Client ID",INDEX('Clients'!$B$6:$B$205,MATCH('Deals'!B40,'Clients'!$A$6:$A$205,0)))),IF('Deals'!B40="","",IF(COUNTIFS('Clients'!$A$6:$A$205,'Deals'!B40)&lt;&gt;1,"Check Client ID",INDEX('Clients'!$B$6:$B$205,MATCH('Deals'!B40,'Clients'!$A$6:$A$205,0)))),IF('Deals'!B40="","",IF(COUNTIFS('Clients'!$A$6:$A$205,'Deals'!B40)&lt;&gt;1,"Check Client ID",INDEX('Clients'!$B$6:$B$205,MATCH('Deals'!B40,'Clients'!$A$6:$A$205,0)))),'Follow-ups'!K40,'Payments'!B40,'Expenses'!D40))))</x:f>
      </x:c>
      <x:c r="E82" s="432" t="str">
        <x:f>IF(B82="","",IF(ISNUMBER(CHOOSE($M$42,'Clients'!K40,'Clients'!K40,'Viewings'!I40,'Deals'!C40,'Deals'!C40,'Deals'!C40,'Follow-ups'!L40,'Payments'!G40,'Expenses'!F40)),CHOOSE($M$42,'Clients'!K40,'Clients'!K40,'Viewings'!I40,'Deals'!C40,'Deals'!C40,'Deals'!C40,'Follow-ups'!L40,'Payments'!G40,'Expenses'!F40),IF(CHOOSE($M$42,'Clients'!K40,'Clients'!K40,'Viewings'!I40,'Deals'!C40,'Deals'!C40,'Deals'!C40,'Follow-ups'!L40,'Payments'!G40,'Expenses'!F40)="","",CHOOSE($M$42,'Clients'!K40,'Clients'!K40,'Viewings'!I40,'Deals'!C40,'Deals'!C40,'Deals'!C40,'Follow-ups'!L40,'Payments'!G40,'Expenses'!F40))))</x:f>
      </x:c>
      <x:c r="F82" s="432" t="str">
        <x:f>IF(B82="","",IF(ISNUMBER(CHOOSE($M$42,'Clients'!H40,'Clients'!H40,'Viewings'!E40,'Deals'!E40,'Deals'!E40,'Deals'!E40,'Follow-ups'!I40,"Receipt",'Expenses'!C40)),CHOOSE($M$42,'Clients'!H40,'Clients'!H40,'Viewings'!E40,'Deals'!E40,'Deals'!E40,'Deals'!E40,'Follow-ups'!I40,"Receipt",'Expenses'!C40),IF(CHOOSE($M$42,'Clients'!H40,'Clients'!H40,'Viewings'!E40,'Deals'!E40,'Deals'!E40,'Deals'!E40,'Follow-ups'!I40,"Receipt",'Expenses'!C40)="","",CHOOSE($M$42,'Clients'!H40,'Clients'!H40,'Viewings'!E40,'Deals'!E40,'Deals'!E40,'Deals'!E40,'Follow-ups'!I40,"Receipt",'Expenses'!C40))))</x:f>
      </x:c>
      <x:c r="G82" s="473" t="str">
        <x:f>IF(B82="","",IF(ISNUMBER(CHOOSE($M$42,"","","",'Deals'!F40,'Deals'!F40,'Deals'!F40,"",'Payments'!D40,'Expenses'!G40)),CHOOSE($M$42,"","","",'Deals'!F40,'Deals'!F40,'Deals'!F40,"",'Payments'!D40,'Expenses'!G40),IF(CHOOSE($M$42,"","","",'Deals'!F40,'Deals'!F40,'Deals'!F40,"",'Payments'!D40,'Expenses'!G40)="","",CHOOSE($M$42,"","","",'Deals'!F40,'Deals'!F40,'Deals'!F40,"",'Payments'!D40,'Expenses'!G40))))</x:f>
      </x:c>
      <x:c r="H82" s="432" t="n">
        <x:f>IF(AND($M$43=1,B82&lt;&gt;"",ISNUMBER(C82),C82&gt;=$G$6,C82&lt;$K$6+1),1,0)</x:f>
        <x:v>0</x:v>
      </x:c>
      <x:c r="I82" s="432" t="str">
        <x:f>IF(H82=0,"",COUNTIFS($H$48:$H$247,1,$C$48:$C$247,"&lt;"&amp;C82)+COUNTIFS($H$48:H82,1,$C$48:C82,C82))</x:f>
      </x:c>
      <x:c r="J82" s="432"/>
      <x:c r="K82" s="432"/>
      <x:c r="L82" s="432"/>
      <x:c r="M82" s="432"/>
      <x:c r="N82" s="432"/>
      <x:c r="O82" s="432"/>
      <x:c r="P82" s="432"/>
      <x:c r="Q82" s="432"/>
    </x:row>
    <x:row r="83" ht="25" customHeight="1">
      <x:c r="A83" s="432"/>
      <x:c r="B83" s="432" t="str">
        <x:f>IF(CHOOSE($M$42,'Clients'!A41,'Clients'!A41,'Viewings'!A41,'Deals'!A41,'Deals'!A41,'Deals'!A41,'Follow-ups'!A41,'Payments'!A41,'Expenses'!A41)="","",CHOOSE($M$42,'Clients'!A41,'Clients'!A41,'Viewings'!A41,'Deals'!A41,'Deals'!A41,'Deals'!A41,'Follow-ups'!A41,'Payments'!A41,'Expenses'!A41))</x:f>
      </x:c>
      <x:c r="C83" s="472" t="str">
        <x:f>IF(B83="","",IF(CHOOSE($M$42,'Clients'!R41,'Clients'!Q41,'Viewings'!D41,'Deals'!X41,'Deals'!Y41,'Deals'!Z41,'Follow-ups'!H41,'Payments'!C41,'Expenses'!B41)="","",CHOOSE($M$42,'Clients'!R41,'Clients'!Q41,'Viewings'!D41,'Deals'!X41,'Deals'!Y41,'Deals'!Z41,'Follow-ups'!H41,'Payments'!C41,'Expenses'!B41)))</x:f>
      </x:c>
      <x:c r="D83" s="432" t="str">
        <x:f>IF(B83="","",IF(ISNUMBER(CHOOSE($M$42,'Clients'!B41,'Clients'!B41,'Viewings'!H41,IF('Deals'!B41="","",IF(COUNTIFS('Clients'!$A$6:$A$205,'Deals'!B41)&lt;&gt;1,"Check Client ID",INDEX('Clients'!$B$6:$B$205,MATCH('Deals'!B41,'Clients'!$A$6:$A$205,0)))),IF('Deals'!B41="","",IF(COUNTIFS('Clients'!$A$6:$A$205,'Deals'!B41)&lt;&gt;1,"Check Client ID",INDEX('Clients'!$B$6:$B$205,MATCH('Deals'!B41,'Clients'!$A$6:$A$205,0)))),IF('Deals'!B41="","",IF(COUNTIFS('Clients'!$A$6:$A$205,'Deals'!B41)&lt;&gt;1,"Check Client ID",INDEX('Clients'!$B$6:$B$205,MATCH('Deals'!B41,'Clients'!$A$6:$A$205,0)))),'Follow-ups'!K41,'Payments'!B41,'Expenses'!D41)),CHOOSE($M$42,'Clients'!B41,'Clients'!B41,'Viewings'!H41,IF('Deals'!B41="","",IF(COUNTIFS('Clients'!$A$6:$A$205,'Deals'!B41)&lt;&gt;1,"Check Client ID",INDEX('Clients'!$B$6:$B$205,MATCH('Deals'!B41,'Clients'!$A$6:$A$205,0)))),IF('Deals'!B41="","",IF(COUNTIFS('Clients'!$A$6:$A$205,'Deals'!B41)&lt;&gt;1,"Check Client ID",INDEX('Clients'!$B$6:$B$205,MATCH('Deals'!B41,'Clients'!$A$6:$A$205,0)))),IF('Deals'!B41="","",IF(COUNTIFS('Clients'!$A$6:$A$205,'Deals'!B41)&lt;&gt;1,"Check Client ID",INDEX('Clients'!$B$6:$B$205,MATCH('Deals'!B41,'Clients'!$A$6:$A$205,0)))),'Follow-ups'!K41,'Payments'!B41,'Expenses'!D41),IF(CHOOSE($M$42,'Clients'!B41,'Clients'!B41,'Viewings'!H41,IF('Deals'!B41="","",IF(COUNTIFS('Clients'!$A$6:$A$205,'Deals'!B41)&lt;&gt;1,"Check Client ID",INDEX('Clients'!$B$6:$B$205,MATCH('Deals'!B41,'Clients'!$A$6:$A$205,0)))),IF('Deals'!B41="","",IF(COUNTIFS('Clients'!$A$6:$A$205,'Deals'!B41)&lt;&gt;1,"Check Client ID",INDEX('Clients'!$B$6:$B$205,MATCH('Deals'!B41,'Clients'!$A$6:$A$205,0)))),IF('Deals'!B41="","",IF(COUNTIFS('Clients'!$A$6:$A$205,'Deals'!B41)&lt;&gt;1,"Check Client ID",INDEX('Clients'!$B$6:$B$205,MATCH('Deals'!B41,'Clients'!$A$6:$A$205,0)))),'Follow-ups'!K41,'Payments'!B41,'Expenses'!D41)="","",CHOOSE($M$42,'Clients'!B41,'Clients'!B41,'Viewings'!H41,IF('Deals'!B41="","",IF(COUNTIFS('Clients'!$A$6:$A$205,'Deals'!B41)&lt;&gt;1,"Check Client ID",INDEX('Clients'!$B$6:$B$205,MATCH('Deals'!B41,'Clients'!$A$6:$A$205,0)))),IF('Deals'!B41="","",IF(COUNTIFS('Clients'!$A$6:$A$205,'Deals'!B41)&lt;&gt;1,"Check Client ID",INDEX('Clients'!$B$6:$B$205,MATCH('Deals'!B41,'Clients'!$A$6:$A$205,0)))),IF('Deals'!B41="","",IF(COUNTIFS('Clients'!$A$6:$A$205,'Deals'!B41)&lt;&gt;1,"Check Client ID",INDEX('Clients'!$B$6:$B$205,MATCH('Deals'!B41,'Clients'!$A$6:$A$205,0)))),'Follow-ups'!K41,'Payments'!B41,'Expenses'!D41))))</x:f>
      </x:c>
      <x:c r="E83" s="432" t="str">
        <x:f>IF(B83="","",IF(ISNUMBER(CHOOSE($M$42,'Clients'!K41,'Clients'!K41,'Viewings'!I41,'Deals'!C41,'Deals'!C41,'Deals'!C41,'Follow-ups'!L41,'Payments'!G41,'Expenses'!F41)),CHOOSE($M$42,'Clients'!K41,'Clients'!K41,'Viewings'!I41,'Deals'!C41,'Deals'!C41,'Deals'!C41,'Follow-ups'!L41,'Payments'!G41,'Expenses'!F41),IF(CHOOSE($M$42,'Clients'!K41,'Clients'!K41,'Viewings'!I41,'Deals'!C41,'Deals'!C41,'Deals'!C41,'Follow-ups'!L41,'Payments'!G41,'Expenses'!F41)="","",CHOOSE($M$42,'Clients'!K41,'Clients'!K41,'Viewings'!I41,'Deals'!C41,'Deals'!C41,'Deals'!C41,'Follow-ups'!L41,'Payments'!G41,'Expenses'!F41))))</x:f>
      </x:c>
      <x:c r="F83" s="432" t="str">
        <x:f>IF(B83="","",IF(ISNUMBER(CHOOSE($M$42,'Clients'!H41,'Clients'!H41,'Viewings'!E41,'Deals'!E41,'Deals'!E41,'Deals'!E41,'Follow-ups'!I41,"Receipt",'Expenses'!C41)),CHOOSE($M$42,'Clients'!H41,'Clients'!H41,'Viewings'!E41,'Deals'!E41,'Deals'!E41,'Deals'!E41,'Follow-ups'!I41,"Receipt",'Expenses'!C41),IF(CHOOSE($M$42,'Clients'!H41,'Clients'!H41,'Viewings'!E41,'Deals'!E41,'Deals'!E41,'Deals'!E41,'Follow-ups'!I41,"Receipt",'Expenses'!C41)="","",CHOOSE($M$42,'Clients'!H41,'Clients'!H41,'Viewings'!E41,'Deals'!E41,'Deals'!E41,'Deals'!E41,'Follow-ups'!I41,"Receipt",'Expenses'!C41))))</x:f>
      </x:c>
      <x:c r="G83" s="473" t="str">
        <x:f>IF(B83="","",IF(ISNUMBER(CHOOSE($M$42,"","","",'Deals'!F41,'Deals'!F41,'Deals'!F41,"",'Payments'!D41,'Expenses'!G41)),CHOOSE($M$42,"","","",'Deals'!F41,'Deals'!F41,'Deals'!F41,"",'Payments'!D41,'Expenses'!G41),IF(CHOOSE($M$42,"","","",'Deals'!F41,'Deals'!F41,'Deals'!F41,"",'Payments'!D41,'Expenses'!G41)="","",CHOOSE($M$42,"","","",'Deals'!F41,'Deals'!F41,'Deals'!F41,"",'Payments'!D41,'Expenses'!G41))))</x:f>
      </x:c>
      <x:c r="H83" s="432" t="n">
        <x:f>IF(AND($M$43=1,B83&lt;&gt;"",ISNUMBER(C83),C83&gt;=$G$6,C83&lt;$K$6+1),1,0)</x:f>
        <x:v>0</x:v>
      </x:c>
      <x:c r="I83" s="432" t="str">
        <x:f>IF(H83=0,"",COUNTIFS($H$48:$H$247,1,$C$48:$C$247,"&lt;"&amp;C83)+COUNTIFS($H$48:H83,1,$C$48:C83,C83))</x:f>
      </x:c>
      <x:c r="J83" s="432"/>
      <x:c r="K83" s="432"/>
      <x:c r="L83" s="432"/>
      <x:c r="M83" s="432"/>
      <x:c r="N83" s="432"/>
      <x:c r="O83" s="432"/>
      <x:c r="P83" s="432"/>
      <x:c r="Q83" s="432"/>
    </x:row>
    <x:row r="84" ht="25" customHeight="1">
      <x:c r="A84" s="432"/>
      <x:c r="B84" s="432" t="str">
        <x:f>IF(CHOOSE($M$42,'Clients'!A42,'Clients'!A42,'Viewings'!A42,'Deals'!A42,'Deals'!A42,'Deals'!A42,'Follow-ups'!A42,'Payments'!A42,'Expenses'!A42)="","",CHOOSE($M$42,'Clients'!A42,'Clients'!A42,'Viewings'!A42,'Deals'!A42,'Deals'!A42,'Deals'!A42,'Follow-ups'!A42,'Payments'!A42,'Expenses'!A42))</x:f>
      </x:c>
      <x:c r="C84" s="472" t="str">
        <x:f>IF(B84="","",IF(CHOOSE($M$42,'Clients'!R42,'Clients'!Q42,'Viewings'!D42,'Deals'!X42,'Deals'!Y42,'Deals'!Z42,'Follow-ups'!H42,'Payments'!C42,'Expenses'!B42)="","",CHOOSE($M$42,'Clients'!R42,'Clients'!Q42,'Viewings'!D42,'Deals'!X42,'Deals'!Y42,'Deals'!Z42,'Follow-ups'!H42,'Payments'!C42,'Expenses'!B42)))</x:f>
      </x:c>
      <x:c r="D84" s="432" t="str">
        <x:f>IF(B84="","",IF(ISNUMBER(CHOOSE($M$42,'Clients'!B42,'Clients'!B42,'Viewings'!H42,IF('Deals'!B42="","",IF(COUNTIFS('Clients'!$A$6:$A$205,'Deals'!B42)&lt;&gt;1,"Check Client ID",INDEX('Clients'!$B$6:$B$205,MATCH('Deals'!B42,'Clients'!$A$6:$A$205,0)))),IF('Deals'!B42="","",IF(COUNTIFS('Clients'!$A$6:$A$205,'Deals'!B42)&lt;&gt;1,"Check Client ID",INDEX('Clients'!$B$6:$B$205,MATCH('Deals'!B42,'Clients'!$A$6:$A$205,0)))),IF('Deals'!B42="","",IF(COUNTIFS('Clients'!$A$6:$A$205,'Deals'!B42)&lt;&gt;1,"Check Client ID",INDEX('Clients'!$B$6:$B$205,MATCH('Deals'!B42,'Clients'!$A$6:$A$205,0)))),'Follow-ups'!K42,'Payments'!B42,'Expenses'!D42)),CHOOSE($M$42,'Clients'!B42,'Clients'!B42,'Viewings'!H42,IF('Deals'!B42="","",IF(COUNTIFS('Clients'!$A$6:$A$205,'Deals'!B42)&lt;&gt;1,"Check Client ID",INDEX('Clients'!$B$6:$B$205,MATCH('Deals'!B42,'Clients'!$A$6:$A$205,0)))),IF('Deals'!B42="","",IF(COUNTIFS('Clients'!$A$6:$A$205,'Deals'!B42)&lt;&gt;1,"Check Client ID",INDEX('Clients'!$B$6:$B$205,MATCH('Deals'!B42,'Clients'!$A$6:$A$205,0)))),IF('Deals'!B42="","",IF(COUNTIFS('Clients'!$A$6:$A$205,'Deals'!B42)&lt;&gt;1,"Check Client ID",INDEX('Clients'!$B$6:$B$205,MATCH('Deals'!B42,'Clients'!$A$6:$A$205,0)))),'Follow-ups'!K42,'Payments'!B42,'Expenses'!D42),IF(CHOOSE($M$42,'Clients'!B42,'Clients'!B42,'Viewings'!H42,IF('Deals'!B42="","",IF(COUNTIFS('Clients'!$A$6:$A$205,'Deals'!B42)&lt;&gt;1,"Check Client ID",INDEX('Clients'!$B$6:$B$205,MATCH('Deals'!B42,'Clients'!$A$6:$A$205,0)))),IF('Deals'!B42="","",IF(COUNTIFS('Clients'!$A$6:$A$205,'Deals'!B42)&lt;&gt;1,"Check Client ID",INDEX('Clients'!$B$6:$B$205,MATCH('Deals'!B42,'Clients'!$A$6:$A$205,0)))),IF('Deals'!B42="","",IF(COUNTIFS('Clients'!$A$6:$A$205,'Deals'!B42)&lt;&gt;1,"Check Client ID",INDEX('Clients'!$B$6:$B$205,MATCH('Deals'!B42,'Clients'!$A$6:$A$205,0)))),'Follow-ups'!K42,'Payments'!B42,'Expenses'!D42)="","",CHOOSE($M$42,'Clients'!B42,'Clients'!B42,'Viewings'!H42,IF('Deals'!B42="","",IF(COUNTIFS('Clients'!$A$6:$A$205,'Deals'!B42)&lt;&gt;1,"Check Client ID",INDEX('Clients'!$B$6:$B$205,MATCH('Deals'!B42,'Clients'!$A$6:$A$205,0)))),IF('Deals'!B42="","",IF(COUNTIFS('Clients'!$A$6:$A$205,'Deals'!B42)&lt;&gt;1,"Check Client ID",INDEX('Clients'!$B$6:$B$205,MATCH('Deals'!B42,'Clients'!$A$6:$A$205,0)))),IF('Deals'!B42="","",IF(COUNTIFS('Clients'!$A$6:$A$205,'Deals'!B42)&lt;&gt;1,"Check Client ID",INDEX('Clients'!$B$6:$B$205,MATCH('Deals'!B42,'Clients'!$A$6:$A$205,0)))),'Follow-ups'!K42,'Payments'!B42,'Expenses'!D42))))</x:f>
      </x:c>
      <x:c r="E84" s="432" t="str">
        <x:f>IF(B84="","",IF(ISNUMBER(CHOOSE($M$42,'Clients'!K42,'Clients'!K42,'Viewings'!I42,'Deals'!C42,'Deals'!C42,'Deals'!C42,'Follow-ups'!L42,'Payments'!G42,'Expenses'!F42)),CHOOSE($M$42,'Clients'!K42,'Clients'!K42,'Viewings'!I42,'Deals'!C42,'Deals'!C42,'Deals'!C42,'Follow-ups'!L42,'Payments'!G42,'Expenses'!F42),IF(CHOOSE($M$42,'Clients'!K42,'Clients'!K42,'Viewings'!I42,'Deals'!C42,'Deals'!C42,'Deals'!C42,'Follow-ups'!L42,'Payments'!G42,'Expenses'!F42)="","",CHOOSE($M$42,'Clients'!K42,'Clients'!K42,'Viewings'!I42,'Deals'!C42,'Deals'!C42,'Deals'!C42,'Follow-ups'!L42,'Payments'!G42,'Expenses'!F42))))</x:f>
      </x:c>
      <x:c r="F84" s="432" t="str">
        <x:f>IF(B84="","",IF(ISNUMBER(CHOOSE($M$42,'Clients'!H42,'Clients'!H42,'Viewings'!E42,'Deals'!E42,'Deals'!E42,'Deals'!E42,'Follow-ups'!I42,"Receipt",'Expenses'!C42)),CHOOSE($M$42,'Clients'!H42,'Clients'!H42,'Viewings'!E42,'Deals'!E42,'Deals'!E42,'Deals'!E42,'Follow-ups'!I42,"Receipt",'Expenses'!C42),IF(CHOOSE($M$42,'Clients'!H42,'Clients'!H42,'Viewings'!E42,'Deals'!E42,'Deals'!E42,'Deals'!E42,'Follow-ups'!I42,"Receipt",'Expenses'!C42)="","",CHOOSE($M$42,'Clients'!H42,'Clients'!H42,'Viewings'!E42,'Deals'!E42,'Deals'!E42,'Deals'!E42,'Follow-ups'!I42,"Receipt",'Expenses'!C42))))</x:f>
      </x:c>
      <x:c r="G84" s="473" t="str">
        <x:f>IF(B84="","",IF(ISNUMBER(CHOOSE($M$42,"","","",'Deals'!F42,'Deals'!F42,'Deals'!F42,"",'Payments'!D42,'Expenses'!G42)),CHOOSE($M$42,"","","",'Deals'!F42,'Deals'!F42,'Deals'!F42,"",'Payments'!D42,'Expenses'!G42),IF(CHOOSE($M$42,"","","",'Deals'!F42,'Deals'!F42,'Deals'!F42,"",'Payments'!D42,'Expenses'!G42)="","",CHOOSE($M$42,"","","",'Deals'!F42,'Deals'!F42,'Deals'!F42,"",'Payments'!D42,'Expenses'!G42))))</x:f>
      </x:c>
      <x:c r="H84" s="432" t="n">
        <x:f>IF(AND($M$43=1,B84&lt;&gt;"",ISNUMBER(C84),C84&gt;=$G$6,C84&lt;$K$6+1),1,0)</x:f>
        <x:v>0</x:v>
      </x:c>
      <x:c r="I84" s="432" t="str">
        <x:f>IF(H84=0,"",COUNTIFS($H$48:$H$247,1,$C$48:$C$247,"&lt;"&amp;C84)+COUNTIFS($H$48:H84,1,$C$48:C84,C84))</x:f>
      </x:c>
      <x:c r="J84" s="432"/>
      <x:c r="K84" s="432"/>
      <x:c r="L84" s="432"/>
      <x:c r="M84" s="432"/>
      <x:c r="N84" s="432"/>
      <x:c r="O84" s="432"/>
      <x:c r="P84" s="432"/>
      <x:c r="Q84" s="432"/>
    </x:row>
    <x:row r="85" ht="25" customHeight="1">
      <x:c r="A85" s="432"/>
      <x:c r="B85" s="432" t="str">
        <x:f>IF(CHOOSE($M$42,'Clients'!A43,'Clients'!A43,'Viewings'!A43,'Deals'!A43,'Deals'!A43,'Deals'!A43,'Follow-ups'!A43,'Payments'!A43,'Expenses'!A43)="","",CHOOSE($M$42,'Clients'!A43,'Clients'!A43,'Viewings'!A43,'Deals'!A43,'Deals'!A43,'Deals'!A43,'Follow-ups'!A43,'Payments'!A43,'Expenses'!A43))</x:f>
      </x:c>
      <x:c r="C85" s="472" t="str">
        <x:f>IF(B85="","",IF(CHOOSE($M$42,'Clients'!R43,'Clients'!Q43,'Viewings'!D43,'Deals'!X43,'Deals'!Y43,'Deals'!Z43,'Follow-ups'!H43,'Payments'!C43,'Expenses'!B43)="","",CHOOSE($M$42,'Clients'!R43,'Clients'!Q43,'Viewings'!D43,'Deals'!X43,'Deals'!Y43,'Deals'!Z43,'Follow-ups'!H43,'Payments'!C43,'Expenses'!B43)))</x:f>
      </x:c>
      <x:c r="D85" s="432" t="str">
        <x:f>IF(B85="","",IF(ISNUMBER(CHOOSE($M$42,'Clients'!B43,'Clients'!B43,'Viewings'!H43,IF('Deals'!B43="","",IF(COUNTIFS('Clients'!$A$6:$A$205,'Deals'!B43)&lt;&gt;1,"Check Client ID",INDEX('Clients'!$B$6:$B$205,MATCH('Deals'!B43,'Clients'!$A$6:$A$205,0)))),IF('Deals'!B43="","",IF(COUNTIFS('Clients'!$A$6:$A$205,'Deals'!B43)&lt;&gt;1,"Check Client ID",INDEX('Clients'!$B$6:$B$205,MATCH('Deals'!B43,'Clients'!$A$6:$A$205,0)))),IF('Deals'!B43="","",IF(COUNTIFS('Clients'!$A$6:$A$205,'Deals'!B43)&lt;&gt;1,"Check Client ID",INDEX('Clients'!$B$6:$B$205,MATCH('Deals'!B43,'Clients'!$A$6:$A$205,0)))),'Follow-ups'!K43,'Payments'!B43,'Expenses'!D43)),CHOOSE($M$42,'Clients'!B43,'Clients'!B43,'Viewings'!H43,IF('Deals'!B43="","",IF(COUNTIFS('Clients'!$A$6:$A$205,'Deals'!B43)&lt;&gt;1,"Check Client ID",INDEX('Clients'!$B$6:$B$205,MATCH('Deals'!B43,'Clients'!$A$6:$A$205,0)))),IF('Deals'!B43="","",IF(COUNTIFS('Clients'!$A$6:$A$205,'Deals'!B43)&lt;&gt;1,"Check Client ID",INDEX('Clients'!$B$6:$B$205,MATCH('Deals'!B43,'Clients'!$A$6:$A$205,0)))),IF('Deals'!B43="","",IF(COUNTIFS('Clients'!$A$6:$A$205,'Deals'!B43)&lt;&gt;1,"Check Client ID",INDEX('Clients'!$B$6:$B$205,MATCH('Deals'!B43,'Clients'!$A$6:$A$205,0)))),'Follow-ups'!K43,'Payments'!B43,'Expenses'!D43),IF(CHOOSE($M$42,'Clients'!B43,'Clients'!B43,'Viewings'!H43,IF('Deals'!B43="","",IF(COUNTIFS('Clients'!$A$6:$A$205,'Deals'!B43)&lt;&gt;1,"Check Client ID",INDEX('Clients'!$B$6:$B$205,MATCH('Deals'!B43,'Clients'!$A$6:$A$205,0)))),IF('Deals'!B43="","",IF(COUNTIFS('Clients'!$A$6:$A$205,'Deals'!B43)&lt;&gt;1,"Check Client ID",INDEX('Clients'!$B$6:$B$205,MATCH('Deals'!B43,'Clients'!$A$6:$A$205,0)))),IF('Deals'!B43="","",IF(COUNTIFS('Clients'!$A$6:$A$205,'Deals'!B43)&lt;&gt;1,"Check Client ID",INDEX('Clients'!$B$6:$B$205,MATCH('Deals'!B43,'Clients'!$A$6:$A$205,0)))),'Follow-ups'!K43,'Payments'!B43,'Expenses'!D43)="","",CHOOSE($M$42,'Clients'!B43,'Clients'!B43,'Viewings'!H43,IF('Deals'!B43="","",IF(COUNTIFS('Clients'!$A$6:$A$205,'Deals'!B43)&lt;&gt;1,"Check Client ID",INDEX('Clients'!$B$6:$B$205,MATCH('Deals'!B43,'Clients'!$A$6:$A$205,0)))),IF('Deals'!B43="","",IF(COUNTIFS('Clients'!$A$6:$A$205,'Deals'!B43)&lt;&gt;1,"Check Client ID",INDEX('Clients'!$B$6:$B$205,MATCH('Deals'!B43,'Clients'!$A$6:$A$205,0)))),IF('Deals'!B43="","",IF(COUNTIFS('Clients'!$A$6:$A$205,'Deals'!B43)&lt;&gt;1,"Check Client ID",INDEX('Clients'!$B$6:$B$205,MATCH('Deals'!B43,'Clients'!$A$6:$A$205,0)))),'Follow-ups'!K43,'Payments'!B43,'Expenses'!D43))))</x:f>
      </x:c>
      <x:c r="E85" s="432" t="str">
        <x:f>IF(B85="","",IF(ISNUMBER(CHOOSE($M$42,'Clients'!K43,'Clients'!K43,'Viewings'!I43,'Deals'!C43,'Deals'!C43,'Deals'!C43,'Follow-ups'!L43,'Payments'!G43,'Expenses'!F43)),CHOOSE($M$42,'Clients'!K43,'Clients'!K43,'Viewings'!I43,'Deals'!C43,'Deals'!C43,'Deals'!C43,'Follow-ups'!L43,'Payments'!G43,'Expenses'!F43),IF(CHOOSE($M$42,'Clients'!K43,'Clients'!K43,'Viewings'!I43,'Deals'!C43,'Deals'!C43,'Deals'!C43,'Follow-ups'!L43,'Payments'!G43,'Expenses'!F43)="","",CHOOSE($M$42,'Clients'!K43,'Clients'!K43,'Viewings'!I43,'Deals'!C43,'Deals'!C43,'Deals'!C43,'Follow-ups'!L43,'Payments'!G43,'Expenses'!F43))))</x:f>
      </x:c>
      <x:c r="F85" s="432" t="str">
        <x:f>IF(B85="","",IF(ISNUMBER(CHOOSE($M$42,'Clients'!H43,'Clients'!H43,'Viewings'!E43,'Deals'!E43,'Deals'!E43,'Deals'!E43,'Follow-ups'!I43,"Receipt",'Expenses'!C43)),CHOOSE($M$42,'Clients'!H43,'Clients'!H43,'Viewings'!E43,'Deals'!E43,'Deals'!E43,'Deals'!E43,'Follow-ups'!I43,"Receipt",'Expenses'!C43),IF(CHOOSE($M$42,'Clients'!H43,'Clients'!H43,'Viewings'!E43,'Deals'!E43,'Deals'!E43,'Deals'!E43,'Follow-ups'!I43,"Receipt",'Expenses'!C43)="","",CHOOSE($M$42,'Clients'!H43,'Clients'!H43,'Viewings'!E43,'Deals'!E43,'Deals'!E43,'Deals'!E43,'Follow-ups'!I43,"Receipt",'Expenses'!C43))))</x:f>
      </x:c>
      <x:c r="G85" s="473" t="str">
        <x:f>IF(B85="","",IF(ISNUMBER(CHOOSE($M$42,"","","",'Deals'!F43,'Deals'!F43,'Deals'!F43,"",'Payments'!D43,'Expenses'!G43)),CHOOSE($M$42,"","","",'Deals'!F43,'Deals'!F43,'Deals'!F43,"",'Payments'!D43,'Expenses'!G43),IF(CHOOSE($M$42,"","","",'Deals'!F43,'Deals'!F43,'Deals'!F43,"",'Payments'!D43,'Expenses'!G43)="","",CHOOSE($M$42,"","","",'Deals'!F43,'Deals'!F43,'Deals'!F43,"",'Payments'!D43,'Expenses'!G43))))</x:f>
      </x:c>
      <x:c r="H85" s="432" t="n">
        <x:f>IF(AND($M$43=1,B85&lt;&gt;"",ISNUMBER(C85),C85&gt;=$G$6,C85&lt;$K$6+1),1,0)</x:f>
        <x:v>0</x:v>
      </x:c>
      <x:c r="I85" s="432" t="str">
        <x:f>IF(H85=0,"",COUNTIFS($H$48:$H$247,1,$C$48:$C$247,"&lt;"&amp;C85)+COUNTIFS($H$48:H85,1,$C$48:C85,C85))</x:f>
      </x:c>
      <x:c r="J85" s="432"/>
      <x:c r="K85" s="432"/>
      <x:c r="L85" s="432"/>
      <x:c r="M85" s="432"/>
      <x:c r="N85" s="432"/>
      <x:c r="O85" s="432"/>
      <x:c r="P85" s="432"/>
      <x:c r="Q85" s="432"/>
    </x:row>
    <x:row r="86" ht="25" customHeight="1">
      <x:c r="A86" s="432"/>
      <x:c r="B86" s="432" t="str">
        <x:f>IF(CHOOSE($M$42,'Clients'!A44,'Clients'!A44,'Viewings'!A44,'Deals'!A44,'Deals'!A44,'Deals'!A44,'Follow-ups'!A44,'Payments'!A44,'Expenses'!A44)="","",CHOOSE($M$42,'Clients'!A44,'Clients'!A44,'Viewings'!A44,'Deals'!A44,'Deals'!A44,'Deals'!A44,'Follow-ups'!A44,'Payments'!A44,'Expenses'!A44))</x:f>
      </x:c>
      <x:c r="C86" s="472" t="str">
        <x:f>IF(B86="","",IF(CHOOSE($M$42,'Clients'!R44,'Clients'!Q44,'Viewings'!D44,'Deals'!X44,'Deals'!Y44,'Deals'!Z44,'Follow-ups'!H44,'Payments'!C44,'Expenses'!B44)="","",CHOOSE($M$42,'Clients'!R44,'Clients'!Q44,'Viewings'!D44,'Deals'!X44,'Deals'!Y44,'Deals'!Z44,'Follow-ups'!H44,'Payments'!C44,'Expenses'!B44)))</x:f>
      </x:c>
      <x:c r="D86" s="432" t="str">
        <x:f>IF(B86="","",IF(ISNUMBER(CHOOSE($M$42,'Clients'!B44,'Clients'!B44,'Viewings'!H44,IF('Deals'!B44="","",IF(COUNTIFS('Clients'!$A$6:$A$205,'Deals'!B44)&lt;&gt;1,"Check Client ID",INDEX('Clients'!$B$6:$B$205,MATCH('Deals'!B44,'Clients'!$A$6:$A$205,0)))),IF('Deals'!B44="","",IF(COUNTIFS('Clients'!$A$6:$A$205,'Deals'!B44)&lt;&gt;1,"Check Client ID",INDEX('Clients'!$B$6:$B$205,MATCH('Deals'!B44,'Clients'!$A$6:$A$205,0)))),IF('Deals'!B44="","",IF(COUNTIFS('Clients'!$A$6:$A$205,'Deals'!B44)&lt;&gt;1,"Check Client ID",INDEX('Clients'!$B$6:$B$205,MATCH('Deals'!B44,'Clients'!$A$6:$A$205,0)))),'Follow-ups'!K44,'Payments'!B44,'Expenses'!D44)),CHOOSE($M$42,'Clients'!B44,'Clients'!B44,'Viewings'!H44,IF('Deals'!B44="","",IF(COUNTIFS('Clients'!$A$6:$A$205,'Deals'!B44)&lt;&gt;1,"Check Client ID",INDEX('Clients'!$B$6:$B$205,MATCH('Deals'!B44,'Clients'!$A$6:$A$205,0)))),IF('Deals'!B44="","",IF(COUNTIFS('Clients'!$A$6:$A$205,'Deals'!B44)&lt;&gt;1,"Check Client ID",INDEX('Clients'!$B$6:$B$205,MATCH('Deals'!B44,'Clients'!$A$6:$A$205,0)))),IF('Deals'!B44="","",IF(COUNTIFS('Clients'!$A$6:$A$205,'Deals'!B44)&lt;&gt;1,"Check Client ID",INDEX('Clients'!$B$6:$B$205,MATCH('Deals'!B44,'Clients'!$A$6:$A$205,0)))),'Follow-ups'!K44,'Payments'!B44,'Expenses'!D44),IF(CHOOSE($M$42,'Clients'!B44,'Clients'!B44,'Viewings'!H44,IF('Deals'!B44="","",IF(COUNTIFS('Clients'!$A$6:$A$205,'Deals'!B44)&lt;&gt;1,"Check Client ID",INDEX('Clients'!$B$6:$B$205,MATCH('Deals'!B44,'Clients'!$A$6:$A$205,0)))),IF('Deals'!B44="","",IF(COUNTIFS('Clients'!$A$6:$A$205,'Deals'!B44)&lt;&gt;1,"Check Client ID",INDEX('Clients'!$B$6:$B$205,MATCH('Deals'!B44,'Clients'!$A$6:$A$205,0)))),IF('Deals'!B44="","",IF(COUNTIFS('Clients'!$A$6:$A$205,'Deals'!B44)&lt;&gt;1,"Check Client ID",INDEX('Clients'!$B$6:$B$205,MATCH('Deals'!B44,'Clients'!$A$6:$A$205,0)))),'Follow-ups'!K44,'Payments'!B44,'Expenses'!D44)="","",CHOOSE($M$42,'Clients'!B44,'Clients'!B44,'Viewings'!H44,IF('Deals'!B44="","",IF(COUNTIFS('Clients'!$A$6:$A$205,'Deals'!B44)&lt;&gt;1,"Check Client ID",INDEX('Clients'!$B$6:$B$205,MATCH('Deals'!B44,'Clients'!$A$6:$A$205,0)))),IF('Deals'!B44="","",IF(COUNTIFS('Clients'!$A$6:$A$205,'Deals'!B44)&lt;&gt;1,"Check Client ID",INDEX('Clients'!$B$6:$B$205,MATCH('Deals'!B44,'Clients'!$A$6:$A$205,0)))),IF('Deals'!B44="","",IF(COUNTIFS('Clients'!$A$6:$A$205,'Deals'!B44)&lt;&gt;1,"Check Client ID",INDEX('Clients'!$B$6:$B$205,MATCH('Deals'!B44,'Clients'!$A$6:$A$205,0)))),'Follow-ups'!K44,'Payments'!B44,'Expenses'!D44))))</x:f>
      </x:c>
      <x:c r="E86" s="432" t="str">
        <x:f>IF(B86="","",IF(ISNUMBER(CHOOSE($M$42,'Clients'!K44,'Clients'!K44,'Viewings'!I44,'Deals'!C44,'Deals'!C44,'Deals'!C44,'Follow-ups'!L44,'Payments'!G44,'Expenses'!F44)),CHOOSE($M$42,'Clients'!K44,'Clients'!K44,'Viewings'!I44,'Deals'!C44,'Deals'!C44,'Deals'!C44,'Follow-ups'!L44,'Payments'!G44,'Expenses'!F44),IF(CHOOSE($M$42,'Clients'!K44,'Clients'!K44,'Viewings'!I44,'Deals'!C44,'Deals'!C44,'Deals'!C44,'Follow-ups'!L44,'Payments'!G44,'Expenses'!F44)="","",CHOOSE($M$42,'Clients'!K44,'Clients'!K44,'Viewings'!I44,'Deals'!C44,'Deals'!C44,'Deals'!C44,'Follow-ups'!L44,'Payments'!G44,'Expenses'!F44))))</x:f>
      </x:c>
      <x:c r="F86" s="432" t="str">
        <x:f>IF(B86="","",IF(ISNUMBER(CHOOSE($M$42,'Clients'!H44,'Clients'!H44,'Viewings'!E44,'Deals'!E44,'Deals'!E44,'Deals'!E44,'Follow-ups'!I44,"Receipt",'Expenses'!C44)),CHOOSE($M$42,'Clients'!H44,'Clients'!H44,'Viewings'!E44,'Deals'!E44,'Deals'!E44,'Deals'!E44,'Follow-ups'!I44,"Receipt",'Expenses'!C44),IF(CHOOSE($M$42,'Clients'!H44,'Clients'!H44,'Viewings'!E44,'Deals'!E44,'Deals'!E44,'Deals'!E44,'Follow-ups'!I44,"Receipt",'Expenses'!C44)="","",CHOOSE($M$42,'Clients'!H44,'Clients'!H44,'Viewings'!E44,'Deals'!E44,'Deals'!E44,'Deals'!E44,'Follow-ups'!I44,"Receipt",'Expenses'!C44))))</x:f>
      </x:c>
      <x:c r="G86" s="473" t="str">
        <x:f>IF(B86="","",IF(ISNUMBER(CHOOSE($M$42,"","","",'Deals'!F44,'Deals'!F44,'Deals'!F44,"",'Payments'!D44,'Expenses'!G44)),CHOOSE($M$42,"","","",'Deals'!F44,'Deals'!F44,'Deals'!F44,"",'Payments'!D44,'Expenses'!G44),IF(CHOOSE($M$42,"","","",'Deals'!F44,'Deals'!F44,'Deals'!F44,"",'Payments'!D44,'Expenses'!G44)="","",CHOOSE($M$42,"","","",'Deals'!F44,'Deals'!F44,'Deals'!F44,"",'Payments'!D44,'Expenses'!G44))))</x:f>
      </x:c>
      <x:c r="H86" s="432" t="n">
        <x:f>IF(AND($M$43=1,B86&lt;&gt;"",ISNUMBER(C86),C86&gt;=$G$6,C86&lt;$K$6+1),1,0)</x:f>
        <x:v>0</x:v>
      </x:c>
      <x:c r="I86" s="432" t="str">
        <x:f>IF(H86=0,"",COUNTIFS($H$48:$H$247,1,$C$48:$C$247,"&lt;"&amp;C86)+COUNTIFS($H$48:H86,1,$C$48:C86,C86))</x:f>
      </x:c>
      <x:c r="J86" s="432"/>
      <x:c r="K86" s="432"/>
      <x:c r="L86" s="432"/>
      <x:c r="M86" s="432"/>
      <x:c r="N86" s="432"/>
      <x:c r="O86" s="432"/>
      <x:c r="P86" s="432"/>
      <x:c r="Q86" s="432"/>
    </x:row>
    <x:row r="87" ht="25" customHeight="1">
      <x:c r="A87" s="432"/>
      <x:c r="B87" s="432" t="str">
        <x:f>IF(CHOOSE($M$42,'Clients'!A45,'Clients'!A45,'Viewings'!A45,'Deals'!A45,'Deals'!A45,'Deals'!A45,'Follow-ups'!A45,'Payments'!A45,'Expenses'!A45)="","",CHOOSE($M$42,'Clients'!A45,'Clients'!A45,'Viewings'!A45,'Deals'!A45,'Deals'!A45,'Deals'!A45,'Follow-ups'!A45,'Payments'!A45,'Expenses'!A45))</x:f>
      </x:c>
      <x:c r="C87" s="472" t="str">
        <x:f>IF(B87="","",IF(CHOOSE($M$42,'Clients'!R45,'Clients'!Q45,'Viewings'!D45,'Deals'!X45,'Deals'!Y45,'Deals'!Z45,'Follow-ups'!H45,'Payments'!C45,'Expenses'!B45)="","",CHOOSE($M$42,'Clients'!R45,'Clients'!Q45,'Viewings'!D45,'Deals'!X45,'Deals'!Y45,'Deals'!Z45,'Follow-ups'!H45,'Payments'!C45,'Expenses'!B45)))</x:f>
      </x:c>
      <x:c r="D87" s="432" t="str">
        <x:f>IF(B87="","",IF(ISNUMBER(CHOOSE($M$42,'Clients'!B45,'Clients'!B45,'Viewings'!H45,IF('Deals'!B45="","",IF(COUNTIFS('Clients'!$A$6:$A$205,'Deals'!B45)&lt;&gt;1,"Check Client ID",INDEX('Clients'!$B$6:$B$205,MATCH('Deals'!B45,'Clients'!$A$6:$A$205,0)))),IF('Deals'!B45="","",IF(COUNTIFS('Clients'!$A$6:$A$205,'Deals'!B45)&lt;&gt;1,"Check Client ID",INDEX('Clients'!$B$6:$B$205,MATCH('Deals'!B45,'Clients'!$A$6:$A$205,0)))),IF('Deals'!B45="","",IF(COUNTIFS('Clients'!$A$6:$A$205,'Deals'!B45)&lt;&gt;1,"Check Client ID",INDEX('Clients'!$B$6:$B$205,MATCH('Deals'!B45,'Clients'!$A$6:$A$205,0)))),'Follow-ups'!K45,'Payments'!B45,'Expenses'!D45)),CHOOSE($M$42,'Clients'!B45,'Clients'!B45,'Viewings'!H45,IF('Deals'!B45="","",IF(COUNTIFS('Clients'!$A$6:$A$205,'Deals'!B45)&lt;&gt;1,"Check Client ID",INDEX('Clients'!$B$6:$B$205,MATCH('Deals'!B45,'Clients'!$A$6:$A$205,0)))),IF('Deals'!B45="","",IF(COUNTIFS('Clients'!$A$6:$A$205,'Deals'!B45)&lt;&gt;1,"Check Client ID",INDEX('Clients'!$B$6:$B$205,MATCH('Deals'!B45,'Clients'!$A$6:$A$205,0)))),IF('Deals'!B45="","",IF(COUNTIFS('Clients'!$A$6:$A$205,'Deals'!B45)&lt;&gt;1,"Check Client ID",INDEX('Clients'!$B$6:$B$205,MATCH('Deals'!B45,'Clients'!$A$6:$A$205,0)))),'Follow-ups'!K45,'Payments'!B45,'Expenses'!D45),IF(CHOOSE($M$42,'Clients'!B45,'Clients'!B45,'Viewings'!H45,IF('Deals'!B45="","",IF(COUNTIFS('Clients'!$A$6:$A$205,'Deals'!B45)&lt;&gt;1,"Check Client ID",INDEX('Clients'!$B$6:$B$205,MATCH('Deals'!B45,'Clients'!$A$6:$A$205,0)))),IF('Deals'!B45="","",IF(COUNTIFS('Clients'!$A$6:$A$205,'Deals'!B45)&lt;&gt;1,"Check Client ID",INDEX('Clients'!$B$6:$B$205,MATCH('Deals'!B45,'Clients'!$A$6:$A$205,0)))),IF('Deals'!B45="","",IF(COUNTIFS('Clients'!$A$6:$A$205,'Deals'!B45)&lt;&gt;1,"Check Client ID",INDEX('Clients'!$B$6:$B$205,MATCH('Deals'!B45,'Clients'!$A$6:$A$205,0)))),'Follow-ups'!K45,'Payments'!B45,'Expenses'!D45)="","",CHOOSE($M$42,'Clients'!B45,'Clients'!B45,'Viewings'!H45,IF('Deals'!B45="","",IF(COUNTIFS('Clients'!$A$6:$A$205,'Deals'!B45)&lt;&gt;1,"Check Client ID",INDEX('Clients'!$B$6:$B$205,MATCH('Deals'!B45,'Clients'!$A$6:$A$205,0)))),IF('Deals'!B45="","",IF(COUNTIFS('Clients'!$A$6:$A$205,'Deals'!B45)&lt;&gt;1,"Check Client ID",INDEX('Clients'!$B$6:$B$205,MATCH('Deals'!B45,'Clients'!$A$6:$A$205,0)))),IF('Deals'!B45="","",IF(COUNTIFS('Clients'!$A$6:$A$205,'Deals'!B45)&lt;&gt;1,"Check Client ID",INDEX('Clients'!$B$6:$B$205,MATCH('Deals'!B45,'Clients'!$A$6:$A$205,0)))),'Follow-ups'!K45,'Payments'!B45,'Expenses'!D45))))</x:f>
      </x:c>
      <x:c r="E87" s="432" t="str">
        <x:f>IF(B87="","",IF(ISNUMBER(CHOOSE($M$42,'Clients'!K45,'Clients'!K45,'Viewings'!I45,'Deals'!C45,'Deals'!C45,'Deals'!C45,'Follow-ups'!L45,'Payments'!G45,'Expenses'!F45)),CHOOSE($M$42,'Clients'!K45,'Clients'!K45,'Viewings'!I45,'Deals'!C45,'Deals'!C45,'Deals'!C45,'Follow-ups'!L45,'Payments'!G45,'Expenses'!F45),IF(CHOOSE($M$42,'Clients'!K45,'Clients'!K45,'Viewings'!I45,'Deals'!C45,'Deals'!C45,'Deals'!C45,'Follow-ups'!L45,'Payments'!G45,'Expenses'!F45)="","",CHOOSE($M$42,'Clients'!K45,'Clients'!K45,'Viewings'!I45,'Deals'!C45,'Deals'!C45,'Deals'!C45,'Follow-ups'!L45,'Payments'!G45,'Expenses'!F45))))</x:f>
      </x:c>
      <x:c r="F87" s="432" t="str">
        <x:f>IF(B87="","",IF(ISNUMBER(CHOOSE($M$42,'Clients'!H45,'Clients'!H45,'Viewings'!E45,'Deals'!E45,'Deals'!E45,'Deals'!E45,'Follow-ups'!I45,"Receipt",'Expenses'!C45)),CHOOSE($M$42,'Clients'!H45,'Clients'!H45,'Viewings'!E45,'Deals'!E45,'Deals'!E45,'Deals'!E45,'Follow-ups'!I45,"Receipt",'Expenses'!C45),IF(CHOOSE($M$42,'Clients'!H45,'Clients'!H45,'Viewings'!E45,'Deals'!E45,'Deals'!E45,'Deals'!E45,'Follow-ups'!I45,"Receipt",'Expenses'!C45)="","",CHOOSE($M$42,'Clients'!H45,'Clients'!H45,'Viewings'!E45,'Deals'!E45,'Deals'!E45,'Deals'!E45,'Follow-ups'!I45,"Receipt",'Expenses'!C45))))</x:f>
      </x:c>
      <x:c r="G87" s="473" t="str">
        <x:f>IF(B87="","",IF(ISNUMBER(CHOOSE($M$42,"","","",'Deals'!F45,'Deals'!F45,'Deals'!F45,"",'Payments'!D45,'Expenses'!G45)),CHOOSE($M$42,"","","",'Deals'!F45,'Deals'!F45,'Deals'!F45,"",'Payments'!D45,'Expenses'!G45),IF(CHOOSE($M$42,"","","",'Deals'!F45,'Deals'!F45,'Deals'!F45,"",'Payments'!D45,'Expenses'!G45)="","",CHOOSE($M$42,"","","",'Deals'!F45,'Deals'!F45,'Deals'!F45,"",'Payments'!D45,'Expenses'!G45))))</x:f>
      </x:c>
      <x:c r="H87" s="432" t="n">
        <x:f>IF(AND($M$43=1,B87&lt;&gt;"",ISNUMBER(C87),C87&gt;=$G$6,C87&lt;$K$6+1),1,0)</x:f>
        <x:v>0</x:v>
      </x:c>
      <x:c r="I87" s="432" t="str">
        <x:f>IF(H87=0,"",COUNTIFS($H$48:$H$247,1,$C$48:$C$247,"&lt;"&amp;C87)+COUNTIFS($H$48:H87,1,$C$48:C87,C87))</x:f>
      </x:c>
      <x:c r="J87" s="432"/>
      <x:c r="K87" s="432"/>
      <x:c r="L87" s="432"/>
      <x:c r="M87" s="432"/>
      <x:c r="N87" s="432"/>
      <x:c r="O87" s="432"/>
      <x:c r="P87" s="432"/>
      <x:c r="Q87" s="432"/>
    </x:row>
    <x:row r="88" ht="25" customHeight="1">
      <x:c r="A88" s="432"/>
      <x:c r="B88" s="432" t="str">
        <x:f>IF(CHOOSE($M$42,'Clients'!A46,'Clients'!A46,'Viewings'!A46,'Deals'!A46,'Deals'!A46,'Deals'!A46,'Follow-ups'!A46,'Payments'!A46,'Expenses'!A46)="","",CHOOSE($M$42,'Clients'!A46,'Clients'!A46,'Viewings'!A46,'Deals'!A46,'Deals'!A46,'Deals'!A46,'Follow-ups'!A46,'Payments'!A46,'Expenses'!A46))</x:f>
      </x:c>
      <x:c r="C88" s="472" t="str">
        <x:f>IF(B88="","",IF(CHOOSE($M$42,'Clients'!R46,'Clients'!Q46,'Viewings'!D46,'Deals'!X46,'Deals'!Y46,'Deals'!Z46,'Follow-ups'!H46,'Payments'!C46,'Expenses'!B46)="","",CHOOSE($M$42,'Clients'!R46,'Clients'!Q46,'Viewings'!D46,'Deals'!X46,'Deals'!Y46,'Deals'!Z46,'Follow-ups'!H46,'Payments'!C46,'Expenses'!B46)))</x:f>
      </x:c>
      <x:c r="D88" s="432" t="str">
        <x:f>IF(B88="","",IF(ISNUMBER(CHOOSE($M$42,'Clients'!B46,'Clients'!B46,'Viewings'!H46,IF('Deals'!B46="","",IF(COUNTIFS('Clients'!$A$6:$A$205,'Deals'!B46)&lt;&gt;1,"Check Client ID",INDEX('Clients'!$B$6:$B$205,MATCH('Deals'!B46,'Clients'!$A$6:$A$205,0)))),IF('Deals'!B46="","",IF(COUNTIFS('Clients'!$A$6:$A$205,'Deals'!B46)&lt;&gt;1,"Check Client ID",INDEX('Clients'!$B$6:$B$205,MATCH('Deals'!B46,'Clients'!$A$6:$A$205,0)))),IF('Deals'!B46="","",IF(COUNTIFS('Clients'!$A$6:$A$205,'Deals'!B46)&lt;&gt;1,"Check Client ID",INDEX('Clients'!$B$6:$B$205,MATCH('Deals'!B46,'Clients'!$A$6:$A$205,0)))),'Follow-ups'!K46,'Payments'!B46,'Expenses'!D46)),CHOOSE($M$42,'Clients'!B46,'Clients'!B46,'Viewings'!H46,IF('Deals'!B46="","",IF(COUNTIFS('Clients'!$A$6:$A$205,'Deals'!B46)&lt;&gt;1,"Check Client ID",INDEX('Clients'!$B$6:$B$205,MATCH('Deals'!B46,'Clients'!$A$6:$A$205,0)))),IF('Deals'!B46="","",IF(COUNTIFS('Clients'!$A$6:$A$205,'Deals'!B46)&lt;&gt;1,"Check Client ID",INDEX('Clients'!$B$6:$B$205,MATCH('Deals'!B46,'Clients'!$A$6:$A$205,0)))),IF('Deals'!B46="","",IF(COUNTIFS('Clients'!$A$6:$A$205,'Deals'!B46)&lt;&gt;1,"Check Client ID",INDEX('Clients'!$B$6:$B$205,MATCH('Deals'!B46,'Clients'!$A$6:$A$205,0)))),'Follow-ups'!K46,'Payments'!B46,'Expenses'!D46),IF(CHOOSE($M$42,'Clients'!B46,'Clients'!B46,'Viewings'!H46,IF('Deals'!B46="","",IF(COUNTIFS('Clients'!$A$6:$A$205,'Deals'!B46)&lt;&gt;1,"Check Client ID",INDEX('Clients'!$B$6:$B$205,MATCH('Deals'!B46,'Clients'!$A$6:$A$205,0)))),IF('Deals'!B46="","",IF(COUNTIFS('Clients'!$A$6:$A$205,'Deals'!B46)&lt;&gt;1,"Check Client ID",INDEX('Clients'!$B$6:$B$205,MATCH('Deals'!B46,'Clients'!$A$6:$A$205,0)))),IF('Deals'!B46="","",IF(COUNTIFS('Clients'!$A$6:$A$205,'Deals'!B46)&lt;&gt;1,"Check Client ID",INDEX('Clients'!$B$6:$B$205,MATCH('Deals'!B46,'Clients'!$A$6:$A$205,0)))),'Follow-ups'!K46,'Payments'!B46,'Expenses'!D46)="","",CHOOSE($M$42,'Clients'!B46,'Clients'!B46,'Viewings'!H46,IF('Deals'!B46="","",IF(COUNTIFS('Clients'!$A$6:$A$205,'Deals'!B46)&lt;&gt;1,"Check Client ID",INDEX('Clients'!$B$6:$B$205,MATCH('Deals'!B46,'Clients'!$A$6:$A$205,0)))),IF('Deals'!B46="","",IF(COUNTIFS('Clients'!$A$6:$A$205,'Deals'!B46)&lt;&gt;1,"Check Client ID",INDEX('Clients'!$B$6:$B$205,MATCH('Deals'!B46,'Clients'!$A$6:$A$205,0)))),IF('Deals'!B46="","",IF(COUNTIFS('Clients'!$A$6:$A$205,'Deals'!B46)&lt;&gt;1,"Check Client ID",INDEX('Clients'!$B$6:$B$205,MATCH('Deals'!B46,'Clients'!$A$6:$A$205,0)))),'Follow-ups'!K46,'Payments'!B46,'Expenses'!D46))))</x:f>
      </x:c>
      <x:c r="E88" s="432" t="str">
        <x:f>IF(B88="","",IF(ISNUMBER(CHOOSE($M$42,'Clients'!K46,'Clients'!K46,'Viewings'!I46,'Deals'!C46,'Deals'!C46,'Deals'!C46,'Follow-ups'!L46,'Payments'!G46,'Expenses'!F46)),CHOOSE($M$42,'Clients'!K46,'Clients'!K46,'Viewings'!I46,'Deals'!C46,'Deals'!C46,'Deals'!C46,'Follow-ups'!L46,'Payments'!G46,'Expenses'!F46),IF(CHOOSE($M$42,'Clients'!K46,'Clients'!K46,'Viewings'!I46,'Deals'!C46,'Deals'!C46,'Deals'!C46,'Follow-ups'!L46,'Payments'!G46,'Expenses'!F46)="","",CHOOSE($M$42,'Clients'!K46,'Clients'!K46,'Viewings'!I46,'Deals'!C46,'Deals'!C46,'Deals'!C46,'Follow-ups'!L46,'Payments'!G46,'Expenses'!F46))))</x:f>
      </x:c>
      <x:c r="F88" s="432" t="str">
        <x:f>IF(B88="","",IF(ISNUMBER(CHOOSE($M$42,'Clients'!H46,'Clients'!H46,'Viewings'!E46,'Deals'!E46,'Deals'!E46,'Deals'!E46,'Follow-ups'!I46,"Receipt",'Expenses'!C46)),CHOOSE($M$42,'Clients'!H46,'Clients'!H46,'Viewings'!E46,'Deals'!E46,'Deals'!E46,'Deals'!E46,'Follow-ups'!I46,"Receipt",'Expenses'!C46),IF(CHOOSE($M$42,'Clients'!H46,'Clients'!H46,'Viewings'!E46,'Deals'!E46,'Deals'!E46,'Deals'!E46,'Follow-ups'!I46,"Receipt",'Expenses'!C46)="","",CHOOSE($M$42,'Clients'!H46,'Clients'!H46,'Viewings'!E46,'Deals'!E46,'Deals'!E46,'Deals'!E46,'Follow-ups'!I46,"Receipt",'Expenses'!C46))))</x:f>
      </x:c>
      <x:c r="G88" s="473" t="str">
        <x:f>IF(B88="","",IF(ISNUMBER(CHOOSE($M$42,"","","",'Deals'!F46,'Deals'!F46,'Deals'!F46,"",'Payments'!D46,'Expenses'!G46)),CHOOSE($M$42,"","","",'Deals'!F46,'Deals'!F46,'Deals'!F46,"",'Payments'!D46,'Expenses'!G46),IF(CHOOSE($M$42,"","","",'Deals'!F46,'Deals'!F46,'Deals'!F46,"",'Payments'!D46,'Expenses'!G46)="","",CHOOSE($M$42,"","","",'Deals'!F46,'Deals'!F46,'Deals'!F46,"",'Payments'!D46,'Expenses'!G46))))</x:f>
      </x:c>
      <x:c r="H88" s="432" t="n">
        <x:f>IF(AND($M$43=1,B88&lt;&gt;"",ISNUMBER(C88),C88&gt;=$G$6,C88&lt;$K$6+1),1,0)</x:f>
        <x:v>0</x:v>
      </x:c>
      <x:c r="I88" s="432" t="str">
        <x:f>IF(H88=0,"",COUNTIFS($H$48:$H$247,1,$C$48:$C$247,"&lt;"&amp;C88)+COUNTIFS($H$48:H88,1,$C$48:C88,C88))</x:f>
      </x:c>
      <x:c r="J88" s="432"/>
      <x:c r="K88" s="432"/>
      <x:c r="L88" s="432"/>
      <x:c r="M88" s="432"/>
      <x:c r="N88" s="432"/>
      <x:c r="O88" s="432"/>
      <x:c r="P88" s="432"/>
      <x:c r="Q88" s="432"/>
    </x:row>
    <x:row r="89" ht="25" customHeight="1">
      <x:c r="A89" s="432"/>
      <x:c r="B89" s="432" t="str">
        <x:f>IF(CHOOSE($M$42,'Clients'!A47,'Clients'!A47,'Viewings'!A47,'Deals'!A47,'Deals'!A47,'Deals'!A47,'Follow-ups'!A47,'Payments'!A47,'Expenses'!A47)="","",CHOOSE($M$42,'Clients'!A47,'Clients'!A47,'Viewings'!A47,'Deals'!A47,'Deals'!A47,'Deals'!A47,'Follow-ups'!A47,'Payments'!A47,'Expenses'!A47))</x:f>
      </x:c>
      <x:c r="C89" s="472" t="str">
        <x:f>IF(B89="","",IF(CHOOSE($M$42,'Clients'!R47,'Clients'!Q47,'Viewings'!D47,'Deals'!X47,'Deals'!Y47,'Deals'!Z47,'Follow-ups'!H47,'Payments'!C47,'Expenses'!B47)="","",CHOOSE($M$42,'Clients'!R47,'Clients'!Q47,'Viewings'!D47,'Deals'!X47,'Deals'!Y47,'Deals'!Z47,'Follow-ups'!H47,'Payments'!C47,'Expenses'!B47)))</x:f>
      </x:c>
      <x:c r="D89" s="432" t="str">
        <x:f>IF(B89="","",IF(ISNUMBER(CHOOSE($M$42,'Clients'!B47,'Clients'!B47,'Viewings'!H47,IF('Deals'!B47="","",IF(COUNTIFS('Clients'!$A$6:$A$205,'Deals'!B47)&lt;&gt;1,"Check Client ID",INDEX('Clients'!$B$6:$B$205,MATCH('Deals'!B47,'Clients'!$A$6:$A$205,0)))),IF('Deals'!B47="","",IF(COUNTIFS('Clients'!$A$6:$A$205,'Deals'!B47)&lt;&gt;1,"Check Client ID",INDEX('Clients'!$B$6:$B$205,MATCH('Deals'!B47,'Clients'!$A$6:$A$205,0)))),IF('Deals'!B47="","",IF(COUNTIFS('Clients'!$A$6:$A$205,'Deals'!B47)&lt;&gt;1,"Check Client ID",INDEX('Clients'!$B$6:$B$205,MATCH('Deals'!B47,'Clients'!$A$6:$A$205,0)))),'Follow-ups'!K47,'Payments'!B47,'Expenses'!D47)),CHOOSE($M$42,'Clients'!B47,'Clients'!B47,'Viewings'!H47,IF('Deals'!B47="","",IF(COUNTIFS('Clients'!$A$6:$A$205,'Deals'!B47)&lt;&gt;1,"Check Client ID",INDEX('Clients'!$B$6:$B$205,MATCH('Deals'!B47,'Clients'!$A$6:$A$205,0)))),IF('Deals'!B47="","",IF(COUNTIFS('Clients'!$A$6:$A$205,'Deals'!B47)&lt;&gt;1,"Check Client ID",INDEX('Clients'!$B$6:$B$205,MATCH('Deals'!B47,'Clients'!$A$6:$A$205,0)))),IF('Deals'!B47="","",IF(COUNTIFS('Clients'!$A$6:$A$205,'Deals'!B47)&lt;&gt;1,"Check Client ID",INDEX('Clients'!$B$6:$B$205,MATCH('Deals'!B47,'Clients'!$A$6:$A$205,0)))),'Follow-ups'!K47,'Payments'!B47,'Expenses'!D47),IF(CHOOSE($M$42,'Clients'!B47,'Clients'!B47,'Viewings'!H47,IF('Deals'!B47="","",IF(COUNTIFS('Clients'!$A$6:$A$205,'Deals'!B47)&lt;&gt;1,"Check Client ID",INDEX('Clients'!$B$6:$B$205,MATCH('Deals'!B47,'Clients'!$A$6:$A$205,0)))),IF('Deals'!B47="","",IF(COUNTIFS('Clients'!$A$6:$A$205,'Deals'!B47)&lt;&gt;1,"Check Client ID",INDEX('Clients'!$B$6:$B$205,MATCH('Deals'!B47,'Clients'!$A$6:$A$205,0)))),IF('Deals'!B47="","",IF(COUNTIFS('Clients'!$A$6:$A$205,'Deals'!B47)&lt;&gt;1,"Check Client ID",INDEX('Clients'!$B$6:$B$205,MATCH('Deals'!B47,'Clients'!$A$6:$A$205,0)))),'Follow-ups'!K47,'Payments'!B47,'Expenses'!D47)="","",CHOOSE($M$42,'Clients'!B47,'Clients'!B47,'Viewings'!H47,IF('Deals'!B47="","",IF(COUNTIFS('Clients'!$A$6:$A$205,'Deals'!B47)&lt;&gt;1,"Check Client ID",INDEX('Clients'!$B$6:$B$205,MATCH('Deals'!B47,'Clients'!$A$6:$A$205,0)))),IF('Deals'!B47="","",IF(COUNTIFS('Clients'!$A$6:$A$205,'Deals'!B47)&lt;&gt;1,"Check Client ID",INDEX('Clients'!$B$6:$B$205,MATCH('Deals'!B47,'Clients'!$A$6:$A$205,0)))),IF('Deals'!B47="","",IF(COUNTIFS('Clients'!$A$6:$A$205,'Deals'!B47)&lt;&gt;1,"Check Client ID",INDEX('Clients'!$B$6:$B$205,MATCH('Deals'!B47,'Clients'!$A$6:$A$205,0)))),'Follow-ups'!K47,'Payments'!B47,'Expenses'!D47))))</x:f>
      </x:c>
      <x:c r="E89" s="432" t="str">
        <x:f>IF(B89="","",IF(ISNUMBER(CHOOSE($M$42,'Clients'!K47,'Clients'!K47,'Viewings'!I47,'Deals'!C47,'Deals'!C47,'Deals'!C47,'Follow-ups'!L47,'Payments'!G47,'Expenses'!F47)),CHOOSE($M$42,'Clients'!K47,'Clients'!K47,'Viewings'!I47,'Deals'!C47,'Deals'!C47,'Deals'!C47,'Follow-ups'!L47,'Payments'!G47,'Expenses'!F47),IF(CHOOSE($M$42,'Clients'!K47,'Clients'!K47,'Viewings'!I47,'Deals'!C47,'Deals'!C47,'Deals'!C47,'Follow-ups'!L47,'Payments'!G47,'Expenses'!F47)="","",CHOOSE($M$42,'Clients'!K47,'Clients'!K47,'Viewings'!I47,'Deals'!C47,'Deals'!C47,'Deals'!C47,'Follow-ups'!L47,'Payments'!G47,'Expenses'!F47))))</x:f>
      </x:c>
      <x:c r="F89" s="432" t="str">
        <x:f>IF(B89="","",IF(ISNUMBER(CHOOSE($M$42,'Clients'!H47,'Clients'!H47,'Viewings'!E47,'Deals'!E47,'Deals'!E47,'Deals'!E47,'Follow-ups'!I47,"Receipt",'Expenses'!C47)),CHOOSE($M$42,'Clients'!H47,'Clients'!H47,'Viewings'!E47,'Deals'!E47,'Deals'!E47,'Deals'!E47,'Follow-ups'!I47,"Receipt",'Expenses'!C47),IF(CHOOSE($M$42,'Clients'!H47,'Clients'!H47,'Viewings'!E47,'Deals'!E47,'Deals'!E47,'Deals'!E47,'Follow-ups'!I47,"Receipt",'Expenses'!C47)="","",CHOOSE($M$42,'Clients'!H47,'Clients'!H47,'Viewings'!E47,'Deals'!E47,'Deals'!E47,'Deals'!E47,'Follow-ups'!I47,"Receipt",'Expenses'!C47))))</x:f>
      </x:c>
      <x:c r="G89" s="473" t="str">
        <x:f>IF(B89="","",IF(ISNUMBER(CHOOSE($M$42,"","","",'Deals'!F47,'Deals'!F47,'Deals'!F47,"",'Payments'!D47,'Expenses'!G47)),CHOOSE($M$42,"","","",'Deals'!F47,'Deals'!F47,'Deals'!F47,"",'Payments'!D47,'Expenses'!G47),IF(CHOOSE($M$42,"","","",'Deals'!F47,'Deals'!F47,'Deals'!F47,"",'Payments'!D47,'Expenses'!G47)="","",CHOOSE($M$42,"","","",'Deals'!F47,'Deals'!F47,'Deals'!F47,"",'Payments'!D47,'Expenses'!G47))))</x:f>
      </x:c>
      <x:c r="H89" s="432" t="n">
        <x:f>IF(AND($M$43=1,B89&lt;&gt;"",ISNUMBER(C89),C89&gt;=$G$6,C89&lt;$K$6+1),1,0)</x:f>
        <x:v>0</x:v>
      </x:c>
      <x:c r="I89" s="432" t="str">
        <x:f>IF(H89=0,"",COUNTIFS($H$48:$H$247,1,$C$48:$C$247,"&lt;"&amp;C89)+COUNTIFS($H$48:H89,1,$C$48:C89,C89))</x:f>
      </x:c>
      <x:c r="J89" s="432"/>
      <x:c r="K89" s="432"/>
      <x:c r="L89" s="432"/>
      <x:c r="M89" s="432"/>
      <x:c r="N89" s="432"/>
      <x:c r="O89" s="432"/>
      <x:c r="P89" s="432"/>
      <x:c r="Q89" s="432"/>
    </x:row>
    <x:row r="90" ht="25" customHeight="1">
      <x:c r="A90" s="432"/>
      <x:c r="B90" s="432" t="str">
        <x:f>IF(CHOOSE($M$42,'Clients'!A48,'Clients'!A48,'Viewings'!A48,'Deals'!A48,'Deals'!A48,'Deals'!A48,'Follow-ups'!A48,'Payments'!A48,'Expenses'!A48)="","",CHOOSE($M$42,'Clients'!A48,'Clients'!A48,'Viewings'!A48,'Deals'!A48,'Deals'!A48,'Deals'!A48,'Follow-ups'!A48,'Payments'!A48,'Expenses'!A48))</x:f>
      </x:c>
      <x:c r="C90" s="472" t="str">
        <x:f>IF(B90="","",IF(CHOOSE($M$42,'Clients'!R48,'Clients'!Q48,'Viewings'!D48,'Deals'!X48,'Deals'!Y48,'Deals'!Z48,'Follow-ups'!H48,'Payments'!C48,'Expenses'!B48)="","",CHOOSE($M$42,'Clients'!R48,'Clients'!Q48,'Viewings'!D48,'Deals'!X48,'Deals'!Y48,'Deals'!Z48,'Follow-ups'!H48,'Payments'!C48,'Expenses'!B48)))</x:f>
      </x:c>
      <x:c r="D90" s="432" t="str">
        <x:f>IF(B90="","",IF(ISNUMBER(CHOOSE($M$42,'Clients'!B48,'Clients'!B48,'Viewings'!H48,IF('Deals'!B48="","",IF(COUNTIFS('Clients'!$A$6:$A$205,'Deals'!B48)&lt;&gt;1,"Check Client ID",INDEX('Clients'!$B$6:$B$205,MATCH('Deals'!B48,'Clients'!$A$6:$A$205,0)))),IF('Deals'!B48="","",IF(COUNTIFS('Clients'!$A$6:$A$205,'Deals'!B48)&lt;&gt;1,"Check Client ID",INDEX('Clients'!$B$6:$B$205,MATCH('Deals'!B48,'Clients'!$A$6:$A$205,0)))),IF('Deals'!B48="","",IF(COUNTIFS('Clients'!$A$6:$A$205,'Deals'!B48)&lt;&gt;1,"Check Client ID",INDEX('Clients'!$B$6:$B$205,MATCH('Deals'!B48,'Clients'!$A$6:$A$205,0)))),'Follow-ups'!K48,'Payments'!B48,'Expenses'!D48)),CHOOSE($M$42,'Clients'!B48,'Clients'!B48,'Viewings'!H48,IF('Deals'!B48="","",IF(COUNTIFS('Clients'!$A$6:$A$205,'Deals'!B48)&lt;&gt;1,"Check Client ID",INDEX('Clients'!$B$6:$B$205,MATCH('Deals'!B48,'Clients'!$A$6:$A$205,0)))),IF('Deals'!B48="","",IF(COUNTIFS('Clients'!$A$6:$A$205,'Deals'!B48)&lt;&gt;1,"Check Client ID",INDEX('Clients'!$B$6:$B$205,MATCH('Deals'!B48,'Clients'!$A$6:$A$205,0)))),IF('Deals'!B48="","",IF(COUNTIFS('Clients'!$A$6:$A$205,'Deals'!B48)&lt;&gt;1,"Check Client ID",INDEX('Clients'!$B$6:$B$205,MATCH('Deals'!B48,'Clients'!$A$6:$A$205,0)))),'Follow-ups'!K48,'Payments'!B48,'Expenses'!D48),IF(CHOOSE($M$42,'Clients'!B48,'Clients'!B48,'Viewings'!H48,IF('Deals'!B48="","",IF(COUNTIFS('Clients'!$A$6:$A$205,'Deals'!B48)&lt;&gt;1,"Check Client ID",INDEX('Clients'!$B$6:$B$205,MATCH('Deals'!B48,'Clients'!$A$6:$A$205,0)))),IF('Deals'!B48="","",IF(COUNTIFS('Clients'!$A$6:$A$205,'Deals'!B48)&lt;&gt;1,"Check Client ID",INDEX('Clients'!$B$6:$B$205,MATCH('Deals'!B48,'Clients'!$A$6:$A$205,0)))),IF('Deals'!B48="","",IF(COUNTIFS('Clients'!$A$6:$A$205,'Deals'!B48)&lt;&gt;1,"Check Client ID",INDEX('Clients'!$B$6:$B$205,MATCH('Deals'!B48,'Clients'!$A$6:$A$205,0)))),'Follow-ups'!K48,'Payments'!B48,'Expenses'!D48)="","",CHOOSE($M$42,'Clients'!B48,'Clients'!B48,'Viewings'!H48,IF('Deals'!B48="","",IF(COUNTIFS('Clients'!$A$6:$A$205,'Deals'!B48)&lt;&gt;1,"Check Client ID",INDEX('Clients'!$B$6:$B$205,MATCH('Deals'!B48,'Clients'!$A$6:$A$205,0)))),IF('Deals'!B48="","",IF(COUNTIFS('Clients'!$A$6:$A$205,'Deals'!B48)&lt;&gt;1,"Check Client ID",INDEX('Clients'!$B$6:$B$205,MATCH('Deals'!B48,'Clients'!$A$6:$A$205,0)))),IF('Deals'!B48="","",IF(COUNTIFS('Clients'!$A$6:$A$205,'Deals'!B48)&lt;&gt;1,"Check Client ID",INDEX('Clients'!$B$6:$B$205,MATCH('Deals'!B48,'Clients'!$A$6:$A$205,0)))),'Follow-ups'!K48,'Payments'!B48,'Expenses'!D48))))</x:f>
      </x:c>
      <x:c r="E90" s="432" t="str">
        <x:f>IF(B90="","",IF(ISNUMBER(CHOOSE($M$42,'Clients'!K48,'Clients'!K48,'Viewings'!I48,'Deals'!C48,'Deals'!C48,'Deals'!C48,'Follow-ups'!L48,'Payments'!G48,'Expenses'!F48)),CHOOSE($M$42,'Clients'!K48,'Clients'!K48,'Viewings'!I48,'Deals'!C48,'Deals'!C48,'Deals'!C48,'Follow-ups'!L48,'Payments'!G48,'Expenses'!F48),IF(CHOOSE($M$42,'Clients'!K48,'Clients'!K48,'Viewings'!I48,'Deals'!C48,'Deals'!C48,'Deals'!C48,'Follow-ups'!L48,'Payments'!G48,'Expenses'!F48)="","",CHOOSE($M$42,'Clients'!K48,'Clients'!K48,'Viewings'!I48,'Deals'!C48,'Deals'!C48,'Deals'!C48,'Follow-ups'!L48,'Payments'!G48,'Expenses'!F48))))</x:f>
      </x:c>
      <x:c r="F90" s="432" t="str">
        <x:f>IF(B90="","",IF(ISNUMBER(CHOOSE($M$42,'Clients'!H48,'Clients'!H48,'Viewings'!E48,'Deals'!E48,'Deals'!E48,'Deals'!E48,'Follow-ups'!I48,"Receipt",'Expenses'!C48)),CHOOSE($M$42,'Clients'!H48,'Clients'!H48,'Viewings'!E48,'Deals'!E48,'Deals'!E48,'Deals'!E48,'Follow-ups'!I48,"Receipt",'Expenses'!C48),IF(CHOOSE($M$42,'Clients'!H48,'Clients'!H48,'Viewings'!E48,'Deals'!E48,'Deals'!E48,'Deals'!E48,'Follow-ups'!I48,"Receipt",'Expenses'!C48)="","",CHOOSE($M$42,'Clients'!H48,'Clients'!H48,'Viewings'!E48,'Deals'!E48,'Deals'!E48,'Deals'!E48,'Follow-ups'!I48,"Receipt",'Expenses'!C48))))</x:f>
      </x:c>
      <x:c r="G90" s="473" t="str">
        <x:f>IF(B90="","",IF(ISNUMBER(CHOOSE($M$42,"","","",'Deals'!F48,'Deals'!F48,'Deals'!F48,"",'Payments'!D48,'Expenses'!G48)),CHOOSE($M$42,"","","",'Deals'!F48,'Deals'!F48,'Deals'!F48,"",'Payments'!D48,'Expenses'!G48),IF(CHOOSE($M$42,"","","",'Deals'!F48,'Deals'!F48,'Deals'!F48,"",'Payments'!D48,'Expenses'!G48)="","",CHOOSE($M$42,"","","",'Deals'!F48,'Deals'!F48,'Deals'!F48,"",'Payments'!D48,'Expenses'!G48))))</x:f>
      </x:c>
      <x:c r="H90" s="432" t="n">
        <x:f>IF(AND($M$43=1,B90&lt;&gt;"",ISNUMBER(C90),C90&gt;=$G$6,C90&lt;$K$6+1),1,0)</x:f>
        <x:v>0</x:v>
      </x:c>
      <x:c r="I90" s="432" t="str">
        <x:f>IF(H90=0,"",COUNTIFS($H$48:$H$247,1,$C$48:$C$247,"&lt;"&amp;C90)+COUNTIFS($H$48:H90,1,$C$48:C90,C90))</x:f>
      </x:c>
      <x:c r="J90" s="432"/>
      <x:c r="K90" s="432"/>
      <x:c r="L90" s="432"/>
      <x:c r="M90" s="432"/>
      <x:c r="N90" s="432"/>
      <x:c r="O90" s="432"/>
      <x:c r="P90" s="432"/>
      <x:c r="Q90" s="432"/>
    </x:row>
    <x:row r="91" ht="25" customHeight="1">
      <x:c r="A91" s="432"/>
      <x:c r="B91" s="432" t="str">
        <x:f>IF(CHOOSE($M$42,'Clients'!A49,'Clients'!A49,'Viewings'!A49,'Deals'!A49,'Deals'!A49,'Deals'!A49,'Follow-ups'!A49,'Payments'!A49,'Expenses'!A49)="","",CHOOSE($M$42,'Clients'!A49,'Clients'!A49,'Viewings'!A49,'Deals'!A49,'Deals'!A49,'Deals'!A49,'Follow-ups'!A49,'Payments'!A49,'Expenses'!A49))</x:f>
      </x:c>
      <x:c r="C91" s="472" t="str">
        <x:f>IF(B91="","",IF(CHOOSE($M$42,'Clients'!R49,'Clients'!Q49,'Viewings'!D49,'Deals'!X49,'Deals'!Y49,'Deals'!Z49,'Follow-ups'!H49,'Payments'!C49,'Expenses'!B49)="","",CHOOSE($M$42,'Clients'!R49,'Clients'!Q49,'Viewings'!D49,'Deals'!X49,'Deals'!Y49,'Deals'!Z49,'Follow-ups'!H49,'Payments'!C49,'Expenses'!B49)))</x:f>
      </x:c>
      <x:c r="D91" s="432" t="str">
        <x:f>IF(B91="","",IF(ISNUMBER(CHOOSE($M$42,'Clients'!B49,'Clients'!B49,'Viewings'!H49,IF('Deals'!B49="","",IF(COUNTIFS('Clients'!$A$6:$A$205,'Deals'!B49)&lt;&gt;1,"Check Client ID",INDEX('Clients'!$B$6:$B$205,MATCH('Deals'!B49,'Clients'!$A$6:$A$205,0)))),IF('Deals'!B49="","",IF(COUNTIFS('Clients'!$A$6:$A$205,'Deals'!B49)&lt;&gt;1,"Check Client ID",INDEX('Clients'!$B$6:$B$205,MATCH('Deals'!B49,'Clients'!$A$6:$A$205,0)))),IF('Deals'!B49="","",IF(COUNTIFS('Clients'!$A$6:$A$205,'Deals'!B49)&lt;&gt;1,"Check Client ID",INDEX('Clients'!$B$6:$B$205,MATCH('Deals'!B49,'Clients'!$A$6:$A$205,0)))),'Follow-ups'!K49,'Payments'!B49,'Expenses'!D49)),CHOOSE($M$42,'Clients'!B49,'Clients'!B49,'Viewings'!H49,IF('Deals'!B49="","",IF(COUNTIFS('Clients'!$A$6:$A$205,'Deals'!B49)&lt;&gt;1,"Check Client ID",INDEX('Clients'!$B$6:$B$205,MATCH('Deals'!B49,'Clients'!$A$6:$A$205,0)))),IF('Deals'!B49="","",IF(COUNTIFS('Clients'!$A$6:$A$205,'Deals'!B49)&lt;&gt;1,"Check Client ID",INDEX('Clients'!$B$6:$B$205,MATCH('Deals'!B49,'Clients'!$A$6:$A$205,0)))),IF('Deals'!B49="","",IF(COUNTIFS('Clients'!$A$6:$A$205,'Deals'!B49)&lt;&gt;1,"Check Client ID",INDEX('Clients'!$B$6:$B$205,MATCH('Deals'!B49,'Clients'!$A$6:$A$205,0)))),'Follow-ups'!K49,'Payments'!B49,'Expenses'!D49),IF(CHOOSE($M$42,'Clients'!B49,'Clients'!B49,'Viewings'!H49,IF('Deals'!B49="","",IF(COUNTIFS('Clients'!$A$6:$A$205,'Deals'!B49)&lt;&gt;1,"Check Client ID",INDEX('Clients'!$B$6:$B$205,MATCH('Deals'!B49,'Clients'!$A$6:$A$205,0)))),IF('Deals'!B49="","",IF(COUNTIFS('Clients'!$A$6:$A$205,'Deals'!B49)&lt;&gt;1,"Check Client ID",INDEX('Clients'!$B$6:$B$205,MATCH('Deals'!B49,'Clients'!$A$6:$A$205,0)))),IF('Deals'!B49="","",IF(COUNTIFS('Clients'!$A$6:$A$205,'Deals'!B49)&lt;&gt;1,"Check Client ID",INDEX('Clients'!$B$6:$B$205,MATCH('Deals'!B49,'Clients'!$A$6:$A$205,0)))),'Follow-ups'!K49,'Payments'!B49,'Expenses'!D49)="","",CHOOSE($M$42,'Clients'!B49,'Clients'!B49,'Viewings'!H49,IF('Deals'!B49="","",IF(COUNTIFS('Clients'!$A$6:$A$205,'Deals'!B49)&lt;&gt;1,"Check Client ID",INDEX('Clients'!$B$6:$B$205,MATCH('Deals'!B49,'Clients'!$A$6:$A$205,0)))),IF('Deals'!B49="","",IF(COUNTIFS('Clients'!$A$6:$A$205,'Deals'!B49)&lt;&gt;1,"Check Client ID",INDEX('Clients'!$B$6:$B$205,MATCH('Deals'!B49,'Clients'!$A$6:$A$205,0)))),IF('Deals'!B49="","",IF(COUNTIFS('Clients'!$A$6:$A$205,'Deals'!B49)&lt;&gt;1,"Check Client ID",INDEX('Clients'!$B$6:$B$205,MATCH('Deals'!B49,'Clients'!$A$6:$A$205,0)))),'Follow-ups'!K49,'Payments'!B49,'Expenses'!D49))))</x:f>
      </x:c>
      <x:c r="E91" s="432" t="str">
        <x:f>IF(B91="","",IF(ISNUMBER(CHOOSE($M$42,'Clients'!K49,'Clients'!K49,'Viewings'!I49,'Deals'!C49,'Deals'!C49,'Deals'!C49,'Follow-ups'!L49,'Payments'!G49,'Expenses'!F49)),CHOOSE($M$42,'Clients'!K49,'Clients'!K49,'Viewings'!I49,'Deals'!C49,'Deals'!C49,'Deals'!C49,'Follow-ups'!L49,'Payments'!G49,'Expenses'!F49),IF(CHOOSE($M$42,'Clients'!K49,'Clients'!K49,'Viewings'!I49,'Deals'!C49,'Deals'!C49,'Deals'!C49,'Follow-ups'!L49,'Payments'!G49,'Expenses'!F49)="","",CHOOSE($M$42,'Clients'!K49,'Clients'!K49,'Viewings'!I49,'Deals'!C49,'Deals'!C49,'Deals'!C49,'Follow-ups'!L49,'Payments'!G49,'Expenses'!F49))))</x:f>
      </x:c>
      <x:c r="F91" s="432" t="str">
        <x:f>IF(B91="","",IF(ISNUMBER(CHOOSE($M$42,'Clients'!H49,'Clients'!H49,'Viewings'!E49,'Deals'!E49,'Deals'!E49,'Deals'!E49,'Follow-ups'!I49,"Receipt",'Expenses'!C49)),CHOOSE($M$42,'Clients'!H49,'Clients'!H49,'Viewings'!E49,'Deals'!E49,'Deals'!E49,'Deals'!E49,'Follow-ups'!I49,"Receipt",'Expenses'!C49),IF(CHOOSE($M$42,'Clients'!H49,'Clients'!H49,'Viewings'!E49,'Deals'!E49,'Deals'!E49,'Deals'!E49,'Follow-ups'!I49,"Receipt",'Expenses'!C49)="","",CHOOSE($M$42,'Clients'!H49,'Clients'!H49,'Viewings'!E49,'Deals'!E49,'Deals'!E49,'Deals'!E49,'Follow-ups'!I49,"Receipt",'Expenses'!C49))))</x:f>
      </x:c>
      <x:c r="G91" s="473" t="str">
        <x:f>IF(B91="","",IF(ISNUMBER(CHOOSE($M$42,"","","",'Deals'!F49,'Deals'!F49,'Deals'!F49,"",'Payments'!D49,'Expenses'!G49)),CHOOSE($M$42,"","","",'Deals'!F49,'Deals'!F49,'Deals'!F49,"",'Payments'!D49,'Expenses'!G49),IF(CHOOSE($M$42,"","","",'Deals'!F49,'Deals'!F49,'Deals'!F49,"",'Payments'!D49,'Expenses'!G49)="","",CHOOSE($M$42,"","","",'Deals'!F49,'Deals'!F49,'Deals'!F49,"",'Payments'!D49,'Expenses'!G49))))</x:f>
      </x:c>
      <x:c r="H91" s="432" t="n">
        <x:f>IF(AND($M$43=1,B91&lt;&gt;"",ISNUMBER(C91),C91&gt;=$G$6,C91&lt;$K$6+1),1,0)</x:f>
        <x:v>0</x:v>
      </x:c>
      <x:c r="I91" s="432" t="str">
        <x:f>IF(H91=0,"",COUNTIFS($H$48:$H$247,1,$C$48:$C$247,"&lt;"&amp;C91)+COUNTIFS($H$48:H91,1,$C$48:C91,C91))</x:f>
      </x:c>
      <x:c r="J91" s="432"/>
      <x:c r="K91" s="432"/>
      <x:c r="L91" s="432"/>
      <x:c r="M91" s="432"/>
      <x:c r="N91" s="432"/>
      <x:c r="O91" s="432"/>
      <x:c r="P91" s="432"/>
      <x:c r="Q91" s="432"/>
    </x:row>
    <x:row r="92" ht="25" customHeight="1">
      <x:c r="A92" s="432"/>
      <x:c r="B92" s="432" t="str">
        <x:f>IF(CHOOSE($M$42,'Clients'!A50,'Clients'!A50,'Viewings'!A50,'Deals'!A50,'Deals'!A50,'Deals'!A50,'Follow-ups'!A50,'Payments'!A50,'Expenses'!A50)="","",CHOOSE($M$42,'Clients'!A50,'Clients'!A50,'Viewings'!A50,'Deals'!A50,'Deals'!A50,'Deals'!A50,'Follow-ups'!A50,'Payments'!A50,'Expenses'!A50))</x:f>
      </x:c>
      <x:c r="C92" s="472" t="str">
        <x:f>IF(B92="","",IF(CHOOSE($M$42,'Clients'!R50,'Clients'!Q50,'Viewings'!D50,'Deals'!X50,'Deals'!Y50,'Deals'!Z50,'Follow-ups'!H50,'Payments'!C50,'Expenses'!B50)="","",CHOOSE($M$42,'Clients'!R50,'Clients'!Q50,'Viewings'!D50,'Deals'!X50,'Deals'!Y50,'Deals'!Z50,'Follow-ups'!H50,'Payments'!C50,'Expenses'!B50)))</x:f>
      </x:c>
      <x:c r="D92" s="432" t="str">
        <x:f>IF(B92="","",IF(ISNUMBER(CHOOSE($M$42,'Clients'!B50,'Clients'!B50,'Viewings'!H50,IF('Deals'!B50="","",IF(COUNTIFS('Clients'!$A$6:$A$205,'Deals'!B50)&lt;&gt;1,"Check Client ID",INDEX('Clients'!$B$6:$B$205,MATCH('Deals'!B50,'Clients'!$A$6:$A$205,0)))),IF('Deals'!B50="","",IF(COUNTIFS('Clients'!$A$6:$A$205,'Deals'!B50)&lt;&gt;1,"Check Client ID",INDEX('Clients'!$B$6:$B$205,MATCH('Deals'!B50,'Clients'!$A$6:$A$205,0)))),IF('Deals'!B50="","",IF(COUNTIFS('Clients'!$A$6:$A$205,'Deals'!B50)&lt;&gt;1,"Check Client ID",INDEX('Clients'!$B$6:$B$205,MATCH('Deals'!B50,'Clients'!$A$6:$A$205,0)))),'Follow-ups'!K50,'Payments'!B50,'Expenses'!D50)),CHOOSE($M$42,'Clients'!B50,'Clients'!B50,'Viewings'!H50,IF('Deals'!B50="","",IF(COUNTIFS('Clients'!$A$6:$A$205,'Deals'!B50)&lt;&gt;1,"Check Client ID",INDEX('Clients'!$B$6:$B$205,MATCH('Deals'!B50,'Clients'!$A$6:$A$205,0)))),IF('Deals'!B50="","",IF(COUNTIFS('Clients'!$A$6:$A$205,'Deals'!B50)&lt;&gt;1,"Check Client ID",INDEX('Clients'!$B$6:$B$205,MATCH('Deals'!B50,'Clients'!$A$6:$A$205,0)))),IF('Deals'!B50="","",IF(COUNTIFS('Clients'!$A$6:$A$205,'Deals'!B50)&lt;&gt;1,"Check Client ID",INDEX('Clients'!$B$6:$B$205,MATCH('Deals'!B50,'Clients'!$A$6:$A$205,0)))),'Follow-ups'!K50,'Payments'!B50,'Expenses'!D50),IF(CHOOSE($M$42,'Clients'!B50,'Clients'!B50,'Viewings'!H50,IF('Deals'!B50="","",IF(COUNTIFS('Clients'!$A$6:$A$205,'Deals'!B50)&lt;&gt;1,"Check Client ID",INDEX('Clients'!$B$6:$B$205,MATCH('Deals'!B50,'Clients'!$A$6:$A$205,0)))),IF('Deals'!B50="","",IF(COUNTIFS('Clients'!$A$6:$A$205,'Deals'!B50)&lt;&gt;1,"Check Client ID",INDEX('Clients'!$B$6:$B$205,MATCH('Deals'!B50,'Clients'!$A$6:$A$205,0)))),IF('Deals'!B50="","",IF(COUNTIFS('Clients'!$A$6:$A$205,'Deals'!B50)&lt;&gt;1,"Check Client ID",INDEX('Clients'!$B$6:$B$205,MATCH('Deals'!B50,'Clients'!$A$6:$A$205,0)))),'Follow-ups'!K50,'Payments'!B50,'Expenses'!D50)="","",CHOOSE($M$42,'Clients'!B50,'Clients'!B50,'Viewings'!H50,IF('Deals'!B50="","",IF(COUNTIFS('Clients'!$A$6:$A$205,'Deals'!B50)&lt;&gt;1,"Check Client ID",INDEX('Clients'!$B$6:$B$205,MATCH('Deals'!B50,'Clients'!$A$6:$A$205,0)))),IF('Deals'!B50="","",IF(COUNTIFS('Clients'!$A$6:$A$205,'Deals'!B50)&lt;&gt;1,"Check Client ID",INDEX('Clients'!$B$6:$B$205,MATCH('Deals'!B50,'Clients'!$A$6:$A$205,0)))),IF('Deals'!B50="","",IF(COUNTIFS('Clients'!$A$6:$A$205,'Deals'!B50)&lt;&gt;1,"Check Client ID",INDEX('Clients'!$B$6:$B$205,MATCH('Deals'!B50,'Clients'!$A$6:$A$205,0)))),'Follow-ups'!K50,'Payments'!B50,'Expenses'!D50))))</x:f>
      </x:c>
      <x:c r="E92" s="432" t="str">
        <x:f>IF(B92="","",IF(ISNUMBER(CHOOSE($M$42,'Clients'!K50,'Clients'!K50,'Viewings'!I50,'Deals'!C50,'Deals'!C50,'Deals'!C50,'Follow-ups'!L50,'Payments'!G50,'Expenses'!F50)),CHOOSE($M$42,'Clients'!K50,'Clients'!K50,'Viewings'!I50,'Deals'!C50,'Deals'!C50,'Deals'!C50,'Follow-ups'!L50,'Payments'!G50,'Expenses'!F50),IF(CHOOSE($M$42,'Clients'!K50,'Clients'!K50,'Viewings'!I50,'Deals'!C50,'Deals'!C50,'Deals'!C50,'Follow-ups'!L50,'Payments'!G50,'Expenses'!F50)="","",CHOOSE($M$42,'Clients'!K50,'Clients'!K50,'Viewings'!I50,'Deals'!C50,'Deals'!C50,'Deals'!C50,'Follow-ups'!L50,'Payments'!G50,'Expenses'!F50))))</x:f>
      </x:c>
      <x:c r="F92" s="432" t="str">
        <x:f>IF(B92="","",IF(ISNUMBER(CHOOSE($M$42,'Clients'!H50,'Clients'!H50,'Viewings'!E50,'Deals'!E50,'Deals'!E50,'Deals'!E50,'Follow-ups'!I50,"Receipt",'Expenses'!C50)),CHOOSE($M$42,'Clients'!H50,'Clients'!H50,'Viewings'!E50,'Deals'!E50,'Deals'!E50,'Deals'!E50,'Follow-ups'!I50,"Receipt",'Expenses'!C50),IF(CHOOSE($M$42,'Clients'!H50,'Clients'!H50,'Viewings'!E50,'Deals'!E50,'Deals'!E50,'Deals'!E50,'Follow-ups'!I50,"Receipt",'Expenses'!C50)="","",CHOOSE($M$42,'Clients'!H50,'Clients'!H50,'Viewings'!E50,'Deals'!E50,'Deals'!E50,'Deals'!E50,'Follow-ups'!I50,"Receipt",'Expenses'!C50))))</x:f>
      </x:c>
      <x:c r="G92" s="473" t="str">
        <x:f>IF(B92="","",IF(ISNUMBER(CHOOSE($M$42,"","","",'Deals'!F50,'Deals'!F50,'Deals'!F50,"",'Payments'!D50,'Expenses'!G50)),CHOOSE($M$42,"","","",'Deals'!F50,'Deals'!F50,'Deals'!F50,"",'Payments'!D50,'Expenses'!G50),IF(CHOOSE($M$42,"","","",'Deals'!F50,'Deals'!F50,'Deals'!F50,"",'Payments'!D50,'Expenses'!G50)="","",CHOOSE($M$42,"","","",'Deals'!F50,'Deals'!F50,'Deals'!F50,"",'Payments'!D50,'Expenses'!G50))))</x:f>
      </x:c>
      <x:c r="H92" s="432" t="n">
        <x:f>IF(AND($M$43=1,B92&lt;&gt;"",ISNUMBER(C92),C92&gt;=$G$6,C92&lt;$K$6+1),1,0)</x:f>
        <x:v>0</x:v>
      </x:c>
      <x:c r="I92" s="432" t="str">
        <x:f>IF(H92=0,"",COUNTIFS($H$48:$H$247,1,$C$48:$C$247,"&lt;"&amp;C92)+COUNTIFS($H$48:H92,1,$C$48:C92,C92))</x:f>
      </x:c>
      <x:c r="J92" s="432"/>
      <x:c r="K92" s="432"/>
      <x:c r="L92" s="432"/>
      <x:c r="M92" s="432"/>
      <x:c r="N92" s="432"/>
      <x:c r="O92" s="432"/>
      <x:c r="P92" s="432"/>
      <x:c r="Q92" s="432"/>
    </x:row>
    <x:row r="93" ht="25" customHeight="1">
      <x:c r="A93" s="432"/>
      <x:c r="B93" s="432" t="str">
        <x:f>IF(CHOOSE($M$42,'Clients'!A51,'Clients'!A51,'Viewings'!A51,'Deals'!A51,'Deals'!A51,'Deals'!A51,'Follow-ups'!A51,'Payments'!A51,'Expenses'!A51)="","",CHOOSE($M$42,'Clients'!A51,'Clients'!A51,'Viewings'!A51,'Deals'!A51,'Deals'!A51,'Deals'!A51,'Follow-ups'!A51,'Payments'!A51,'Expenses'!A51))</x:f>
      </x:c>
      <x:c r="C93" s="472" t="str">
        <x:f>IF(B93="","",IF(CHOOSE($M$42,'Clients'!R51,'Clients'!Q51,'Viewings'!D51,'Deals'!X51,'Deals'!Y51,'Deals'!Z51,'Follow-ups'!H51,'Payments'!C51,'Expenses'!B51)="","",CHOOSE($M$42,'Clients'!R51,'Clients'!Q51,'Viewings'!D51,'Deals'!X51,'Deals'!Y51,'Deals'!Z51,'Follow-ups'!H51,'Payments'!C51,'Expenses'!B51)))</x:f>
      </x:c>
      <x:c r="D93" s="432" t="str">
        <x:f>IF(B93="","",IF(ISNUMBER(CHOOSE($M$42,'Clients'!B51,'Clients'!B51,'Viewings'!H51,IF('Deals'!B51="","",IF(COUNTIFS('Clients'!$A$6:$A$205,'Deals'!B51)&lt;&gt;1,"Check Client ID",INDEX('Clients'!$B$6:$B$205,MATCH('Deals'!B51,'Clients'!$A$6:$A$205,0)))),IF('Deals'!B51="","",IF(COUNTIFS('Clients'!$A$6:$A$205,'Deals'!B51)&lt;&gt;1,"Check Client ID",INDEX('Clients'!$B$6:$B$205,MATCH('Deals'!B51,'Clients'!$A$6:$A$205,0)))),IF('Deals'!B51="","",IF(COUNTIFS('Clients'!$A$6:$A$205,'Deals'!B51)&lt;&gt;1,"Check Client ID",INDEX('Clients'!$B$6:$B$205,MATCH('Deals'!B51,'Clients'!$A$6:$A$205,0)))),'Follow-ups'!K51,'Payments'!B51,'Expenses'!D51)),CHOOSE($M$42,'Clients'!B51,'Clients'!B51,'Viewings'!H51,IF('Deals'!B51="","",IF(COUNTIFS('Clients'!$A$6:$A$205,'Deals'!B51)&lt;&gt;1,"Check Client ID",INDEX('Clients'!$B$6:$B$205,MATCH('Deals'!B51,'Clients'!$A$6:$A$205,0)))),IF('Deals'!B51="","",IF(COUNTIFS('Clients'!$A$6:$A$205,'Deals'!B51)&lt;&gt;1,"Check Client ID",INDEX('Clients'!$B$6:$B$205,MATCH('Deals'!B51,'Clients'!$A$6:$A$205,0)))),IF('Deals'!B51="","",IF(COUNTIFS('Clients'!$A$6:$A$205,'Deals'!B51)&lt;&gt;1,"Check Client ID",INDEX('Clients'!$B$6:$B$205,MATCH('Deals'!B51,'Clients'!$A$6:$A$205,0)))),'Follow-ups'!K51,'Payments'!B51,'Expenses'!D51),IF(CHOOSE($M$42,'Clients'!B51,'Clients'!B51,'Viewings'!H51,IF('Deals'!B51="","",IF(COUNTIFS('Clients'!$A$6:$A$205,'Deals'!B51)&lt;&gt;1,"Check Client ID",INDEX('Clients'!$B$6:$B$205,MATCH('Deals'!B51,'Clients'!$A$6:$A$205,0)))),IF('Deals'!B51="","",IF(COUNTIFS('Clients'!$A$6:$A$205,'Deals'!B51)&lt;&gt;1,"Check Client ID",INDEX('Clients'!$B$6:$B$205,MATCH('Deals'!B51,'Clients'!$A$6:$A$205,0)))),IF('Deals'!B51="","",IF(COUNTIFS('Clients'!$A$6:$A$205,'Deals'!B51)&lt;&gt;1,"Check Client ID",INDEX('Clients'!$B$6:$B$205,MATCH('Deals'!B51,'Clients'!$A$6:$A$205,0)))),'Follow-ups'!K51,'Payments'!B51,'Expenses'!D51)="","",CHOOSE($M$42,'Clients'!B51,'Clients'!B51,'Viewings'!H51,IF('Deals'!B51="","",IF(COUNTIFS('Clients'!$A$6:$A$205,'Deals'!B51)&lt;&gt;1,"Check Client ID",INDEX('Clients'!$B$6:$B$205,MATCH('Deals'!B51,'Clients'!$A$6:$A$205,0)))),IF('Deals'!B51="","",IF(COUNTIFS('Clients'!$A$6:$A$205,'Deals'!B51)&lt;&gt;1,"Check Client ID",INDEX('Clients'!$B$6:$B$205,MATCH('Deals'!B51,'Clients'!$A$6:$A$205,0)))),IF('Deals'!B51="","",IF(COUNTIFS('Clients'!$A$6:$A$205,'Deals'!B51)&lt;&gt;1,"Check Client ID",INDEX('Clients'!$B$6:$B$205,MATCH('Deals'!B51,'Clients'!$A$6:$A$205,0)))),'Follow-ups'!K51,'Payments'!B51,'Expenses'!D51))))</x:f>
      </x:c>
      <x:c r="E93" s="432" t="str">
        <x:f>IF(B93="","",IF(ISNUMBER(CHOOSE($M$42,'Clients'!K51,'Clients'!K51,'Viewings'!I51,'Deals'!C51,'Deals'!C51,'Deals'!C51,'Follow-ups'!L51,'Payments'!G51,'Expenses'!F51)),CHOOSE($M$42,'Clients'!K51,'Clients'!K51,'Viewings'!I51,'Deals'!C51,'Deals'!C51,'Deals'!C51,'Follow-ups'!L51,'Payments'!G51,'Expenses'!F51),IF(CHOOSE($M$42,'Clients'!K51,'Clients'!K51,'Viewings'!I51,'Deals'!C51,'Deals'!C51,'Deals'!C51,'Follow-ups'!L51,'Payments'!G51,'Expenses'!F51)="","",CHOOSE($M$42,'Clients'!K51,'Clients'!K51,'Viewings'!I51,'Deals'!C51,'Deals'!C51,'Deals'!C51,'Follow-ups'!L51,'Payments'!G51,'Expenses'!F51))))</x:f>
      </x:c>
      <x:c r="F93" s="432" t="str">
        <x:f>IF(B93="","",IF(ISNUMBER(CHOOSE($M$42,'Clients'!H51,'Clients'!H51,'Viewings'!E51,'Deals'!E51,'Deals'!E51,'Deals'!E51,'Follow-ups'!I51,"Receipt",'Expenses'!C51)),CHOOSE($M$42,'Clients'!H51,'Clients'!H51,'Viewings'!E51,'Deals'!E51,'Deals'!E51,'Deals'!E51,'Follow-ups'!I51,"Receipt",'Expenses'!C51),IF(CHOOSE($M$42,'Clients'!H51,'Clients'!H51,'Viewings'!E51,'Deals'!E51,'Deals'!E51,'Deals'!E51,'Follow-ups'!I51,"Receipt",'Expenses'!C51)="","",CHOOSE($M$42,'Clients'!H51,'Clients'!H51,'Viewings'!E51,'Deals'!E51,'Deals'!E51,'Deals'!E51,'Follow-ups'!I51,"Receipt",'Expenses'!C51))))</x:f>
      </x:c>
      <x:c r="G93" s="473" t="str">
        <x:f>IF(B93="","",IF(ISNUMBER(CHOOSE($M$42,"","","",'Deals'!F51,'Deals'!F51,'Deals'!F51,"",'Payments'!D51,'Expenses'!G51)),CHOOSE($M$42,"","","",'Deals'!F51,'Deals'!F51,'Deals'!F51,"",'Payments'!D51,'Expenses'!G51),IF(CHOOSE($M$42,"","","",'Deals'!F51,'Deals'!F51,'Deals'!F51,"",'Payments'!D51,'Expenses'!G51)="","",CHOOSE($M$42,"","","",'Deals'!F51,'Deals'!F51,'Deals'!F51,"",'Payments'!D51,'Expenses'!G51))))</x:f>
      </x:c>
      <x:c r="H93" s="432" t="n">
        <x:f>IF(AND($M$43=1,B93&lt;&gt;"",ISNUMBER(C93),C93&gt;=$G$6,C93&lt;$K$6+1),1,0)</x:f>
        <x:v>0</x:v>
      </x:c>
      <x:c r="I93" s="432" t="str">
        <x:f>IF(H93=0,"",COUNTIFS($H$48:$H$247,1,$C$48:$C$247,"&lt;"&amp;C93)+COUNTIFS($H$48:H93,1,$C$48:C93,C93))</x:f>
      </x:c>
      <x:c r="J93" s="432"/>
      <x:c r="K93" s="432"/>
      <x:c r="L93" s="432"/>
      <x:c r="M93" s="432"/>
      <x:c r="N93" s="432"/>
      <x:c r="O93" s="432"/>
      <x:c r="P93" s="432"/>
      <x:c r="Q93" s="432"/>
    </x:row>
    <x:row r="94" ht="25" customHeight="1">
      <x:c r="A94" s="432"/>
      <x:c r="B94" s="432" t="str">
        <x:f>IF(CHOOSE($M$42,'Clients'!A52,'Clients'!A52,'Viewings'!A52,'Deals'!A52,'Deals'!A52,'Deals'!A52,'Follow-ups'!A52,'Payments'!A52,'Expenses'!A52)="","",CHOOSE($M$42,'Clients'!A52,'Clients'!A52,'Viewings'!A52,'Deals'!A52,'Deals'!A52,'Deals'!A52,'Follow-ups'!A52,'Payments'!A52,'Expenses'!A52))</x:f>
      </x:c>
      <x:c r="C94" s="472" t="str">
        <x:f>IF(B94="","",IF(CHOOSE($M$42,'Clients'!R52,'Clients'!Q52,'Viewings'!D52,'Deals'!X52,'Deals'!Y52,'Deals'!Z52,'Follow-ups'!H52,'Payments'!C52,'Expenses'!B52)="","",CHOOSE($M$42,'Clients'!R52,'Clients'!Q52,'Viewings'!D52,'Deals'!X52,'Deals'!Y52,'Deals'!Z52,'Follow-ups'!H52,'Payments'!C52,'Expenses'!B52)))</x:f>
      </x:c>
      <x:c r="D94" s="432" t="str">
        <x:f>IF(B94="","",IF(ISNUMBER(CHOOSE($M$42,'Clients'!B52,'Clients'!B52,'Viewings'!H52,IF('Deals'!B52="","",IF(COUNTIFS('Clients'!$A$6:$A$205,'Deals'!B52)&lt;&gt;1,"Check Client ID",INDEX('Clients'!$B$6:$B$205,MATCH('Deals'!B52,'Clients'!$A$6:$A$205,0)))),IF('Deals'!B52="","",IF(COUNTIFS('Clients'!$A$6:$A$205,'Deals'!B52)&lt;&gt;1,"Check Client ID",INDEX('Clients'!$B$6:$B$205,MATCH('Deals'!B52,'Clients'!$A$6:$A$205,0)))),IF('Deals'!B52="","",IF(COUNTIFS('Clients'!$A$6:$A$205,'Deals'!B52)&lt;&gt;1,"Check Client ID",INDEX('Clients'!$B$6:$B$205,MATCH('Deals'!B52,'Clients'!$A$6:$A$205,0)))),'Follow-ups'!K52,'Payments'!B52,'Expenses'!D52)),CHOOSE($M$42,'Clients'!B52,'Clients'!B52,'Viewings'!H52,IF('Deals'!B52="","",IF(COUNTIFS('Clients'!$A$6:$A$205,'Deals'!B52)&lt;&gt;1,"Check Client ID",INDEX('Clients'!$B$6:$B$205,MATCH('Deals'!B52,'Clients'!$A$6:$A$205,0)))),IF('Deals'!B52="","",IF(COUNTIFS('Clients'!$A$6:$A$205,'Deals'!B52)&lt;&gt;1,"Check Client ID",INDEX('Clients'!$B$6:$B$205,MATCH('Deals'!B52,'Clients'!$A$6:$A$205,0)))),IF('Deals'!B52="","",IF(COUNTIFS('Clients'!$A$6:$A$205,'Deals'!B52)&lt;&gt;1,"Check Client ID",INDEX('Clients'!$B$6:$B$205,MATCH('Deals'!B52,'Clients'!$A$6:$A$205,0)))),'Follow-ups'!K52,'Payments'!B52,'Expenses'!D52),IF(CHOOSE($M$42,'Clients'!B52,'Clients'!B52,'Viewings'!H52,IF('Deals'!B52="","",IF(COUNTIFS('Clients'!$A$6:$A$205,'Deals'!B52)&lt;&gt;1,"Check Client ID",INDEX('Clients'!$B$6:$B$205,MATCH('Deals'!B52,'Clients'!$A$6:$A$205,0)))),IF('Deals'!B52="","",IF(COUNTIFS('Clients'!$A$6:$A$205,'Deals'!B52)&lt;&gt;1,"Check Client ID",INDEX('Clients'!$B$6:$B$205,MATCH('Deals'!B52,'Clients'!$A$6:$A$205,0)))),IF('Deals'!B52="","",IF(COUNTIFS('Clients'!$A$6:$A$205,'Deals'!B52)&lt;&gt;1,"Check Client ID",INDEX('Clients'!$B$6:$B$205,MATCH('Deals'!B52,'Clients'!$A$6:$A$205,0)))),'Follow-ups'!K52,'Payments'!B52,'Expenses'!D52)="","",CHOOSE($M$42,'Clients'!B52,'Clients'!B52,'Viewings'!H52,IF('Deals'!B52="","",IF(COUNTIFS('Clients'!$A$6:$A$205,'Deals'!B52)&lt;&gt;1,"Check Client ID",INDEX('Clients'!$B$6:$B$205,MATCH('Deals'!B52,'Clients'!$A$6:$A$205,0)))),IF('Deals'!B52="","",IF(COUNTIFS('Clients'!$A$6:$A$205,'Deals'!B52)&lt;&gt;1,"Check Client ID",INDEX('Clients'!$B$6:$B$205,MATCH('Deals'!B52,'Clients'!$A$6:$A$205,0)))),IF('Deals'!B52="","",IF(COUNTIFS('Clients'!$A$6:$A$205,'Deals'!B52)&lt;&gt;1,"Check Client ID",INDEX('Clients'!$B$6:$B$205,MATCH('Deals'!B52,'Clients'!$A$6:$A$205,0)))),'Follow-ups'!K52,'Payments'!B52,'Expenses'!D52))))</x:f>
      </x:c>
      <x:c r="E94" s="432" t="str">
        <x:f>IF(B94="","",IF(ISNUMBER(CHOOSE($M$42,'Clients'!K52,'Clients'!K52,'Viewings'!I52,'Deals'!C52,'Deals'!C52,'Deals'!C52,'Follow-ups'!L52,'Payments'!G52,'Expenses'!F52)),CHOOSE($M$42,'Clients'!K52,'Clients'!K52,'Viewings'!I52,'Deals'!C52,'Deals'!C52,'Deals'!C52,'Follow-ups'!L52,'Payments'!G52,'Expenses'!F52),IF(CHOOSE($M$42,'Clients'!K52,'Clients'!K52,'Viewings'!I52,'Deals'!C52,'Deals'!C52,'Deals'!C52,'Follow-ups'!L52,'Payments'!G52,'Expenses'!F52)="","",CHOOSE($M$42,'Clients'!K52,'Clients'!K52,'Viewings'!I52,'Deals'!C52,'Deals'!C52,'Deals'!C52,'Follow-ups'!L52,'Payments'!G52,'Expenses'!F52))))</x:f>
      </x:c>
      <x:c r="F94" s="432" t="str">
        <x:f>IF(B94="","",IF(ISNUMBER(CHOOSE($M$42,'Clients'!H52,'Clients'!H52,'Viewings'!E52,'Deals'!E52,'Deals'!E52,'Deals'!E52,'Follow-ups'!I52,"Receipt",'Expenses'!C52)),CHOOSE($M$42,'Clients'!H52,'Clients'!H52,'Viewings'!E52,'Deals'!E52,'Deals'!E52,'Deals'!E52,'Follow-ups'!I52,"Receipt",'Expenses'!C52),IF(CHOOSE($M$42,'Clients'!H52,'Clients'!H52,'Viewings'!E52,'Deals'!E52,'Deals'!E52,'Deals'!E52,'Follow-ups'!I52,"Receipt",'Expenses'!C52)="","",CHOOSE($M$42,'Clients'!H52,'Clients'!H52,'Viewings'!E52,'Deals'!E52,'Deals'!E52,'Deals'!E52,'Follow-ups'!I52,"Receipt",'Expenses'!C52))))</x:f>
      </x:c>
      <x:c r="G94" s="473" t="str">
        <x:f>IF(B94="","",IF(ISNUMBER(CHOOSE($M$42,"","","",'Deals'!F52,'Deals'!F52,'Deals'!F52,"",'Payments'!D52,'Expenses'!G52)),CHOOSE($M$42,"","","",'Deals'!F52,'Deals'!F52,'Deals'!F52,"",'Payments'!D52,'Expenses'!G52),IF(CHOOSE($M$42,"","","",'Deals'!F52,'Deals'!F52,'Deals'!F52,"",'Payments'!D52,'Expenses'!G52)="","",CHOOSE($M$42,"","","",'Deals'!F52,'Deals'!F52,'Deals'!F52,"",'Payments'!D52,'Expenses'!G52))))</x:f>
      </x:c>
      <x:c r="H94" s="432" t="n">
        <x:f>IF(AND($M$43=1,B94&lt;&gt;"",ISNUMBER(C94),C94&gt;=$G$6,C94&lt;$K$6+1),1,0)</x:f>
        <x:v>0</x:v>
      </x:c>
      <x:c r="I94" s="432" t="str">
        <x:f>IF(H94=0,"",COUNTIFS($H$48:$H$247,1,$C$48:$C$247,"&lt;"&amp;C94)+COUNTIFS($H$48:H94,1,$C$48:C94,C94))</x:f>
      </x:c>
      <x:c r="J94" s="432"/>
      <x:c r="K94" s="432"/>
      <x:c r="L94" s="432"/>
      <x:c r="M94" s="432"/>
      <x:c r="N94" s="432"/>
      <x:c r="O94" s="432"/>
      <x:c r="P94" s="432"/>
      <x:c r="Q94" s="432"/>
    </x:row>
    <x:row r="95" ht="25" customHeight="1">
      <x:c r="A95" s="432"/>
      <x:c r="B95" s="432" t="str">
        <x:f>IF(CHOOSE($M$42,'Clients'!A53,'Clients'!A53,'Viewings'!A53,'Deals'!A53,'Deals'!A53,'Deals'!A53,'Follow-ups'!A53,'Payments'!A53,'Expenses'!A53)="","",CHOOSE($M$42,'Clients'!A53,'Clients'!A53,'Viewings'!A53,'Deals'!A53,'Deals'!A53,'Deals'!A53,'Follow-ups'!A53,'Payments'!A53,'Expenses'!A53))</x:f>
      </x:c>
      <x:c r="C95" s="472" t="str">
        <x:f>IF(B95="","",IF(CHOOSE($M$42,'Clients'!R53,'Clients'!Q53,'Viewings'!D53,'Deals'!X53,'Deals'!Y53,'Deals'!Z53,'Follow-ups'!H53,'Payments'!C53,'Expenses'!B53)="","",CHOOSE($M$42,'Clients'!R53,'Clients'!Q53,'Viewings'!D53,'Deals'!X53,'Deals'!Y53,'Deals'!Z53,'Follow-ups'!H53,'Payments'!C53,'Expenses'!B53)))</x:f>
      </x:c>
      <x:c r="D95" s="432" t="str">
        <x:f>IF(B95="","",IF(ISNUMBER(CHOOSE($M$42,'Clients'!B53,'Clients'!B53,'Viewings'!H53,IF('Deals'!B53="","",IF(COUNTIFS('Clients'!$A$6:$A$205,'Deals'!B53)&lt;&gt;1,"Check Client ID",INDEX('Clients'!$B$6:$B$205,MATCH('Deals'!B53,'Clients'!$A$6:$A$205,0)))),IF('Deals'!B53="","",IF(COUNTIFS('Clients'!$A$6:$A$205,'Deals'!B53)&lt;&gt;1,"Check Client ID",INDEX('Clients'!$B$6:$B$205,MATCH('Deals'!B53,'Clients'!$A$6:$A$205,0)))),IF('Deals'!B53="","",IF(COUNTIFS('Clients'!$A$6:$A$205,'Deals'!B53)&lt;&gt;1,"Check Client ID",INDEX('Clients'!$B$6:$B$205,MATCH('Deals'!B53,'Clients'!$A$6:$A$205,0)))),'Follow-ups'!K53,'Payments'!B53,'Expenses'!D53)),CHOOSE($M$42,'Clients'!B53,'Clients'!B53,'Viewings'!H53,IF('Deals'!B53="","",IF(COUNTIFS('Clients'!$A$6:$A$205,'Deals'!B53)&lt;&gt;1,"Check Client ID",INDEX('Clients'!$B$6:$B$205,MATCH('Deals'!B53,'Clients'!$A$6:$A$205,0)))),IF('Deals'!B53="","",IF(COUNTIFS('Clients'!$A$6:$A$205,'Deals'!B53)&lt;&gt;1,"Check Client ID",INDEX('Clients'!$B$6:$B$205,MATCH('Deals'!B53,'Clients'!$A$6:$A$205,0)))),IF('Deals'!B53="","",IF(COUNTIFS('Clients'!$A$6:$A$205,'Deals'!B53)&lt;&gt;1,"Check Client ID",INDEX('Clients'!$B$6:$B$205,MATCH('Deals'!B53,'Clients'!$A$6:$A$205,0)))),'Follow-ups'!K53,'Payments'!B53,'Expenses'!D53),IF(CHOOSE($M$42,'Clients'!B53,'Clients'!B53,'Viewings'!H53,IF('Deals'!B53="","",IF(COUNTIFS('Clients'!$A$6:$A$205,'Deals'!B53)&lt;&gt;1,"Check Client ID",INDEX('Clients'!$B$6:$B$205,MATCH('Deals'!B53,'Clients'!$A$6:$A$205,0)))),IF('Deals'!B53="","",IF(COUNTIFS('Clients'!$A$6:$A$205,'Deals'!B53)&lt;&gt;1,"Check Client ID",INDEX('Clients'!$B$6:$B$205,MATCH('Deals'!B53,'Clients'!$A$6:$A$205,0)))),IF('Deals'!B53="","",IF(COUNTIFS('Clients'!$A$6:$A$205,'Deals'!B53)&lt;&gt;1,"Check Client ID",INDEX('Clients'!$B$6:$B$205,MATCH('Deals'!B53,'Clients'!$A$6:$A$205,0)))),'Follow-ups'!K53,'Payments'!B53,'Expenses'!D53)="","",CHOOSE($M$42,'Clients'!B53,'Clients'!B53,'Viewings'!H53,IF('Deals'!B53="","",IF(COUNTIFS('Clients'!$A$6:$A$205,'Deals'!B53)&lt;&gt;1,"Check Client ID",INDEX('Clients'!$B$6:$B$205,MATCH('Deals'!B53,'Clients'!$A$6:$A$205,0)))),IF('Deals'!B53="","",IF(COUNTIFS('Clients'!$A$6:$A$205,'Deals'!B53)&lt;&gt;1,"Check Client ID",INDEX('Clients'!$B$6:$B$205,MATCH('Deals'!B53,'Clients'!$A$6:$A$205,0)))),IF('Deals'!B53="","",IF(COUNTIFS('Clients'!$A$6:$A$205,'Deals'!B53)&lt;&gt;1,"Check Client ID",INDEX('Clients'!$B$6:$B$205,MATCH('Deals'!B53,'Clients'!$A$6:$A$205,0)))),'Follow-ups'!K53,'Payments'!B53,'Expenses'!D53))))</x:f>
      </x:c>
      <x:c r="E95" s="432" t="str">
        <x:f>IF(B95="","",IF(ISNUMBER(CHOOSE($M$42,'Clients'!K53,'Clients'!K53,'Viewings'!I53,'Deals'!C53,'Deals'!C53,'Deals'!C53,'Follow-ups'!L53,'Payments'!G53,'Expenses'!F53)),CHOOSE($M$42,'Clients'!K53,'Clients'!K53,'Viewings'!I53,'Deals'!C53,'Deals'!C53,'Deals'!C53,'Follow-ups'!L53,'Payments'!G53,'Expenses'!F53),IF(CHOOSE($M$42,'Clients'!K53,'Clients'!K53,'Viewings'!I53,'Deals'!C53,'Deals'!C53,'Deals'!C53,'Follow-ups'!L53,'Payments'!G53,'Expenses'!F53)="","",CHOOSE($M$42,'Clients'!K53,'Clients'!K53,'Viewings'!I53,'Deals'!C53,'Deals'!C53,'Deals'!C53,'Follow-ups'!L53,'Payments'!G53,'Expenses'!F53))))</x:f>
      </x:c>
      <x:c r="F95" s="432" t="str">
        <x:f>IF(B95="","",IF(ISNUMBER(CHOOSE($M$42,'Clients'!H53,'Clients'!H53,'Viewings'!E53,'Deals'!E53,'Deals'!E53,'Deals'!E53,'Follow-ups'!I53,"Receipt",'Expenses'!C53)),CHOOSE($M$42,'Clients'!H53,'Clients'!H53,'Viewings'!E53,'Deals'!E53,'Deals'!E53,'Deals'!E53,'Follow-ups'!I53,"Receipt",'Expenses'!C53),IF(CHOOSE($M$42,'Clients'!H53,'Clients'!H53,'Viewings'!E53,'Deals'!E53,'Deals'!E53,'Deals'!E53,'Follow-ups'!I53,"Receipt",'Expenses'!C53)="","",CHOOSE($M$42,'Clients'!H53,'Clients'!H53,'Viewings'!E53,'Deals'!E53,'Deals'!E53,'Deals'!E53,'Follow-ups'!I53,"Receipt",'Expenses'!C53))))</x:f>
      </x:c>
      <x:c r="G95" s="473" t="str">
        <x:f>IF(B95="","",IF(ISNUMBER(CHOOSE($M$42,"","","",'Deals'!F53,'Deals'!F53,'Deals'!F53,"",'Payments'!D53,'Expenses'!G53)),CHOOSE($M$42,"","","",'Deals'!F53,'Deals'!F53,'Deals'!F53,"",'Payments'!D53,'Expenses'!G53),IF(CHOOSE($M$42,"","","",'Deals'!F53,'Deals'!F53,'Deals'!F53,"",'Payments'!D53,'Expenses'!G53)="","",CHOOSE($M$42,"","","",'Deals'!F53,'Deals'!F53,'Deals'!F53,"",'Payments'!D53,'Expenses'!G53))))</x:f>
      </x:c>
      <x:c r="H95" s="432" t="n">
        <x:f>IF(AND($M$43=1,B95&lt;&gt;"",ISNUMBER(C95),C95&gt;=$G$6,C95&lt;$K$6+1),1,0)</x:f>
        <x:v>0</x:v>
      </x:c>
      <x:c r="I95" s="432" t="str">
        <x:f>IF(H95=0,"",COUNTIFS($H$48:$H$247,1,$C$48:$C$247,"&lt;"&amp;C95)+COUNTIFS($H$48:H95,1,$C$48:C95,C95))</x:f>
      </x:c>
      <x:c r="J95" s="432"/>
      <x:c r="K95" s="432"/>
      <x:c r="L95" s="432"/>
      <x:c r="M95" s="432"/>
      <x:c r="N95" s="432"/>
      <x:c r="O95" s="432"/>
      <x:c r="P95" s="432"/>
      <x:c r="Q95" s="432"/>
    </x:row>
    <x:row r="96" ht="25" customHeight="1">
      <x:c r="A96" s="432"/>
      <x:c r="B96" s="432" t="str">
        <x:f>IF(CHOOSE($M$42,'Clients'!A54,'Clients'!A54,'Viewings'!A54,'Deals'!A54,'Deals'!A54,'Deals'!A54,'Follow-ups'!A54,'Payments'!A54,'Expenses'!A54)="","",CHOOSE($M$42,'Clients'!A54,'Clients'!A54,'Viewings'!A54,'Deals'!A54,'Deals'!A54,'Deals'!A54,'Follow-ups'!A54,'Payments'!A54,'Expenses'!A54))</x:f>
      </x:c>
      <x:c r="C96" s="472" t="str">
        <x:f>IF(B96="","",IF(CHOOSE($M$42,'Clients'!R54,'Clients'!Q54,'Viewings'!D54,'Deals'!X54,'Deals'!Y54,'Deals'!Z54,'Follow-ups'!H54,'Payments'!C54,'Expenses'!B54)="","",CHOOSE($M$42,'Clients'!R54,'Clients'!Q54,'Viewings'!D54,'Deals'!X54,'Deals'!Y54,'Deals'!Z54,'Follow-ups'!H54,'Payments'!C54,'Expenses'!B54)))</x:f>
      </x:c>
      <x:c r="D96" s="432" t="str">
        <x:f>IF(B96="","",IF(ISNUMBER(CHOOSE($M$42,'Clients'!B54,'Clients'!B54,'Viewings'!H54,IF('Deals'!B54="","",IF(COUNTIFS('Clients'!$A$6:$A$205,'Deals'!B54)&lt;&gt;1,"Check Client ID",INDEX('Clients'!$B$6:$B$205,MATCH('Deals'!B54,'Clients'!$A$6:$A$205,0)))),IF('Deals'!B54="","",IF(COUNTIFS('Clients'!$A$6:$A$205,'Deals'!B54)&lt;&gt;1,"Check Client ID",INDEX('Clients'!$B$6:$B$205,MATCH('Deals'!B54,'Clients'!$A$6:$A$205,0)))),IF('Deals'!B54="","",IF(COUNTIFS('Clients'!$A$6:$A$205,'Deals'!B54)&lt;&gt;1,"Check Client ID",INDEX('Clients'!$B$6:$B$205,MATCH('Deals'!B54,'Clients'!$A$6:$A$205,0)))),'Follow-ups'!K54,'Payments'!B54,'Expenses'!D54)),CHOOSE($M$42,'Clients'!B54,'Clients'!B54,'Viewings'!H54,IF('Deals'!B54="","",IF(COUNTIFS('Clients'!$A$6:$A$205,'Deals'!B54)&lt;&gt;1,"Check Client ID",INDEX('Clients'!$B$6:$B$205,MATCH('Deals'!B54,'Clients'!$A$6:$A$205,0)))),IF('Deals'!B54="","",IF(COUNTIFS('Clients'!$A$6:$A$205,'Deals'!B54)&lt;&gt;1,"Check Client ID",INDEX('Clients'!$B$6:$B$205,MATCH('Deals'!B54,'Clients'!$A$6:$A$205,0)))),IF('Deals'!B54="","",IF(COUNTIFS('Clients'!$A$6:$A$205,'Deals'!B54)&lt;&gt;1,"Check Client ID",INDEX('Clients'!$B$6:$B$205,MATCH('Deals'!B54,'Clients'!$A$6:$A$205,0)))),'Follow-ups'!K54,'Payments'!B54,'Expenses'!D54),IF(CHOOSE($M$42,'Clients'!B54,'Clients'!B54,'Viewings'!H54,IF('Deals'!B54="","",IF(COUNTIFS('Clients'!$A$6:$A$205,'Deals'!B54)&lt;&gt;1,"Check Client ID",INDEX('Clients'!$B$6:$B$205,MATCH('Deals'!B54,'Clients'!$A$6:$A$205,0)))),IF('Deals'!B54="","",IF(COUNTIFS('Clients'!$A$6:$A$205,'Deals'!B54)&lt;&gt;1,"Check Client ID",INDEX('Clients'!$B$6:$B$205,MATCH('Deals'!B54,'Clients'!$A$6:$A$205,0)))),IF('Deals'!B54="","",IF(COUNTIFS('Clients'!$A$6:$A$205,'Deals'!B54)&lt;&gt;1,"Check Client ID",INDEX('Clients'!$B$6:$B$205,MATCH('Deals'!B54,'Clients'!$A$6:$A$205,0)))),'Follow-ups'!K54,'Payments'!B54,'Expenses'!D54)="","",CHOOSE($M$42,'Clients'!B54,'Clients'!B54,'Viewings'!H54,IF('Deals'!B54="","",IF(COUNTIFS('Clients'!$A$6:$A$205,'Deals'!B54)&lt;&gt;1,"Check Client ID",INDEX('Clients'!$B$6:$B$205,MATCH('Deals'!B54,'Clients'!$A$6:$A$205,0)))),IF('Deals'!B54="","",IF(COUNTIFS('Clients'!$A$6:$A$205,'Deals'!B54)&lt;&gt;1,"Check Client ID",INDEX('Clients'!$B$6:$B$205,MATCH('Deals'!B54,'Clients'!$A$6:$A$205,0)))),IF('Deals'!B54="","",IF(COUNTIFS('Clients'!$A$6:$A$205,'Deals'!B54)&lt;&gt;1,"Check Client ID",INDEX('Clients'!$B$6:$B$205,MATCH('Deals'!B54,'Clients'!$A$6:$A$205,0)))),'Follow-ups'!K54,'Payments'!B54,'Expenses'!D54))))</x:f>
      </x:c>
      <x:c r="E96" s="432" t="str">
        <x:f>IF(B96="","",IF(ISNUMBER(CHOOSE($M$42,'Clients'!K54,'Clients'!K54,'Viewings'!I54,'Deals'!C54,'Deals'!C54,'Deals'!C54,'Follow-ups'!L54,'Payments'!G54,'Expenses'!F54)),CHOOSE($M$42,'Clients'!K54,'Clients'!K54,'Viewings'!I54,'Deals'!C54,'Deals'!C54,'Deals'!C54,'Follow-ups'!L54,'Payments'!G54,'Expenses'!F54),IF(CHOOSE($M$42,'Clients'!K54,'Clients'!K54,'Viewings'!I54,'Deals'!C54,'Deals'!C54,'Deals'!C54,'Follow-ups'!L54,'Payments'!G54,'Expenses'!F54)="","",CHOOSE($M$42,'Clients'!K54,'Clients'!K54,'Viewings'!I54,'Deals'!C54,'Deals'!C54,'Deals'!C54,'Follow-ups'!L54,'Payments'!G54,'Expenses'!F54))))</x:f>
      </x:c>
      <x:c r="F96" s="432" t="str">
        <x:f>IF(B96="","",IF(ISNUMBER(CHOOSE($M$42,'Clients'!H54,'Clients'!H54,'Viewings'!E54,'Deals'!E54,'Deals'!E54,'Deals'!E54,'Follow-ups'!I54,"Receipt",'Expenses'!C54)),CHOOSE($M$42,'Clients'!H54,'Clients'!H54,'Viewings'!E54,'Deals'!E54,'Deals'!E54,'Deals'!E54,'Follow-ups'!I54,"Receipt",'Expenses'!C54),IF(CHOOSE($M$42,'Clients'!H54,'Clients'!H54,'Viewings'!E54,'Deals'!E54,'Deals'!E54,'Deals'!E54,'Follow-ups'!I54,"Receipt",'Expenses'!C54)="","",CHOOSE($M$42,'Clients'!H54,'Clients'!H54,'Viewings'!E54,'Deals'!E54,'Deals'!E54,'Deals'!E54,'Follow-ups'!I54,"Receipt",'Expenses'!C54))))</x:f>
      </x:c>
      <x:c r="G96" s="473" t="str">
        <x:f>IF(B96="","",IF(ISNUMBER(CHOOSE($M$42,"","","",'Deals'!F54,'Deals'!F54,'Deals'!F54,"",'Payments'!D54,'Expenses'!G54)),CHOOSE($M$42,"","","",'Deals'!F54,'Deals'!F54,'Deals'!F54,"",'Payments'!D54,'Expenses'!G54),IF(CHOOSE($M$42,"","","",'Deals'!F54,'Deals'!F54,'Deals'!F54,"",'Payments'!D54,'Expenses'!G54)="","",CHOOSE($M$42,"","","",'Deals'!F54,'Deals'!F54,'Deals'!F54,"",'Payments'!D54,'Expenses'!G54))))</x:f>
      </x:c>
      <x:c r="H96" s="432" t="n">
        <x:f>IF(AND($M$43=1,B96&lt;&gt;"",ISNUMBER(C96),C96&gt;=$G$6,C96&lt;$K$6+1),1,0)</x:f>
        <x:v>0</x:v>
      </x:c>
      <x:c r="I96" s="432" t="str">
        <x:f>IF(H96=0,"",COUNTIFS($H$48:$H$247,1,$C$48:$C$247,"&lt;"&amp;C96)+COUNTIFS($H$48:H96,1,$C$48:C96,C96))</x:f>
      </x:c>
      <x:c r="J96" s="432"/>
      <x:c r="K96" s="432"/>
      <x:c r="L96" s="432"/>
      <x:c r="M96" s="432"/>
      <x:c r="N96" s="432"/>
      <x:c r="O96" s="432"/>
      <x:c r="P96" s="432"/>
      <x:c r="Q96" s="432"/>
    </x:row>
    <x:row r="97" ht="25" customHeight="1">
      <x:c r="A97" s="432"/>
      <x:c r="B97" s="432" t="str">
        <x:f>IF(CHOOSE($M$42,'Clients'!A55,'Clients'!A55,'Viewings'!A55,'Deals'!A55,'Deals'!A55,'Deals'!A55,'Follow-ups'!A55,'Payments'!A55,'Expenses'!A55)="","",CHOOSE($M$42,'Clients'!A55,'Clients'!A55,'Viewings'!A55,'Deals'!A55,'Deals'!A55,'Deals'!A55,'Follow-ups'!A55,'Payments'!A55,'Expenses'!A55))</x:f>
      </x:c>
      <x:c r="C97" s="472" t="str">
        <x:f>IF(B97="","",IF(CHOOSE($M$42,'Clients'!R55,'Clients'!Q55,'Viewings'!D55,'Deals'!X55,'Deals'!Y55,'Deals'!Z55,'Follow-ups'!H55,'Payments'!C55,'Expenses'!B55)="","",CHOOSE($M$42,'Clients'!R55,'Clients'!Q55,'Viewings'!D55,'Deals'!X55,'Deals'!Y55,'Deals'!Z55,'Follow-ups'!H55,'Payments'!C55,'Expenses'!B55)))</x:f>
      </x:c>
      <x:c r="D97" s="432" t="str">
        <x:f>IF(B97="","",IF(ISNUMBER(CHOOSE($M$42,'Clients'!B55,'Clients'!B55,'Viewings'!H55,IF('Deals'!B55="","",IF(COUNTIFS('Clients'!$A$6:$A$205,'Deals'!B55)&lt;&gt;1,"Check Client ID",INDEX('Clients'!$B$6:$B$205,MATCH('Deals'!B55,'Clients'!$A$6:$A$205,0)))),IF('Deals'!B55="","",IF(COUNTIFS('Clients'!$A$6:$A$205,'Deals'!B55)&lt;&gt;1,"Check Client ID",INDEX('Clients'!$B$6:$B$205,MATCH('Deals'!B55,'Clients'!$A$6:$A$205,0)))),IF('Deals'!B55="","",IF(COUNTIFS('Clients'!$A$6:$A$205,'Deals'!B55)&lt;&gt;1,"Check Client ID",INDEX('Clients'!$B$6:$B$205,MATCH('Deals'!B55,'Clients'!$A$6:$A$205,0)))),'Follow-ups'!K55,'Payments'!B55,'Expenses'!D55)),CHOOSE($M$42,'Clients'!B55,'Clients'!B55,'Viewings'!H55,IF('Deals'!B55="","",IF(COUNTIFS('Clients'!$A$6:$A$205,'Deals'!B55)&lt;&gt;1,"Check Client ID",INDEX('Clients'!$B$6:$B$205,MATCH('Deals'!B55,'Clients'!$A$6:$A$205,0)))),IF('Deals'!B55="","",IF(COUNTIFS('Clients'!$A$6:$A$205,'Deals'!B55)&lt;&gt;1,"Check Client ID",INDEX('Clients'!$B$6:$B$205,MATCH('Deals'!B55,'Clients'!$A$6:$A$205,0)))),IF('Deals'!B55="","",IF(COUNTIFS('Clients'!$A$6:$A$205,'Deals'!B55)&lt;&gt;1,"Check Client ID",INDEX('Clients'!$B$6:$B$205,MATCH('Deals'!B55,'Clients'!$A$6:$A$205,0)))),'Follow-ups'!K55,'Payments'!B55,'Expenses'!D55),IF(CHOOSE($M$42,'Clients'!B55,'Clients'!B55,'Viewings'!H55,IF('Deals'!B55="","",IF(COUNTIFS('Clients'!$A$6:$A$205,'Deals'!B55)&lt;&gt;1,"Check Client ID",INDEX('Clients'!$B$6:$B$205,MATCH('Deals'!B55,'Clients'!$A$6:$A$205,0)))),IF('Deals'!B55="","",IF(COUNTIFS('Clients'!$A$6:$A$205,'Deals'!B55)&lt;&gt;1,"Check Client ID",INDEX('Clients'!$B$6:$B$205,MATCH('Deals'!B55,'Clients'!$A$6:$A$205,0)))),IF('Deals'!B55="","",IF(COUNTIFS('Clients'!$A$6:$A$205,'Deals'!B55)&lt;&gt;1,"Check Client ID",INDEX('Clients'!$B$6:$B$205,MATCH('Deals'!B55,'Clients'!$A$6:$A$205,0)))),'Follow-ups'!K55,'Payments'!B55,'Expenses'!D55)="","",CHOOSE($M$42,'Clients'!B55,'Clients'!B55,'Viewings'!H55,IF('Deals'!B55="","",IF(COUNTIFS('Clients'!$A$6:$A$205,'Deals'!B55)&lt;&gt;1,"Check Client ID",INDEX('Clients'!$B$6:$B$205,MATCH('Deals'!B55,'Clients'!$A$6:$A$205,0)))),IF('Deals'!B55="","",IF(COUNTIFS('Clients'!$A$6:$A$205,'Deals'!B55)&lt;&gt;1,"Check Client ID",INDEX('Clients'!$B$6:$B$205,MATCH('Deals'!B55,'Clients'!$A$6:$A$205,0)))),IF('Deals'!B55="","",IF(COUNTIFS('Clients'!$A$6:$A$205,'Deals'!B55)&lt;&gt;1,"Check Client ID",INDEX('Clients'!$B$6:$B$205,MATCH('Deals'!B55,'Clients'!$A$6:$A$205,0)))),'Follow-ups'!K55,'Payments'!B55,'Expenses'!D55))))</x:f>
      </x:c>
      <x:c r="E97" s="432" t="str">
        <x:f>IF(B97="","",IF(ISNUMBER(CHOOSE($M$42,'Clients'!K55,'Clients'!K55,'Viewings'!I55,'Deals'!C55,'Deals'!C55,'Deals'!C55,'Follow-ups'!L55,'Payments'!G55,'Expenses'!F55)),CHOOSE($M$42,'Clients'!K55,'Clients'!K55,'Viewings'!I55,'Deals'!C55,'Deals'!C55,'Deals'!C55,'Follow-ups'!L55,'Payments'!G55,'Expenses'!F55),IF(CHOOSE($M$42,'Clients'!K55,'Clients'!K55,'Viewings'!I55,'Deals'!C55,'Deals'!C55,'Deals'!C55,'Follow-ups'!L55,'Payments'!G55,'Expenses'!F55)="","",CHOOSE($M$42,'Clients'!K55,'Clients'!K55,'Viewings'!I55,'Deals'!C55,'Deals'!C55,'Deals'!C55,'Follow-ups'!L55,'Payments'!G55,'Expenses'!F55))))</x:f>
      </x:c>
      <x:c r="F97" s="432" t="str">
        <x:f>IF(B97="","",IF(ISNUMBER(CHOOSE($M$42,'Clients'!H55,'Clients'!H55,'Viewings'!E55,'Deals'!E55,'Deals'!E55,'Deals'!E55,'Follow-ups'!I55,"Receipt",'Expenses'!C55)),CHOOSE($M$42,'Clients'!H55,'Clients'!H55,'Viewings'!E55,'Deals'!E55,'Deals'!E55,'Deals'!E55,'Follow-ups'!I55,"Receipt",'Expenses'!C55),IF(CHOOSE($M$42,'Clients'!H55,'Clients'!H55,'Viewings'!E55,'Deals'!E55,'Deals'!E55,'Deals'!E55,'Follow-ups'!I55,"Receipt",'Expenses'!C55)="","",CHOOSE($M$42,'Clients'!H55,'Clients'!H55,'Viewings'!E55,'Deals'!E55,'Deals'!E55,'Deals'!E55,'Follow-ups'!I55,"Receipt",'Expenses'!C55))))</x:f>
      </x:c>
      <x:c r="G97" s="473" t="str">
        <x:f>IF(B97="","",IF(ISNUMBER(CHOOSE($M$42,"","","",'Deals'!F55,'Deals'!F55,'Deals'!F55,"",'Payments'!D55,'Expenses'!G55)),CHOOSE($M$42,"","","",'Deals'!F55,'Deals'!F55,'Deals'!F55,"",'Payments'!D55,'Expenses'!G55),IF(CHOOSE($M$42,"","","",'Deals'!F55,'Deals'!F55,'Deals'!F55,"",'Payments'!D55,'Expenses'!G55)="","",CHOOSE($M$42,"","","",'Deals'!F55,'Deals'!F55,'Deals'!F55,"",'Payments'!D55,'Expenses'!G55))))</x:f>
      </x:c>
      <x:c r="H97" s="432" t="n">
        <x:f>IF(AND($M$43=1,B97&lt;&gt;"",ISNUMBER(C97),C97&gt;=$G$6,C97&lt;$K$6+1),1,0)</x:f>
        <x:v>0</x:v>
      </x:c>
      <x:c r="I97" s="432" t="str">
        <x:f>IF(H97=0,"",COUNTIFS($H$48:$H$247,1,$C$48:$C$247,"&lt;"&amp;C97)+COUNTIFS($H$48:H97,1,$C$48:C97,C97))</x:f>
      </x:c>
      <x:c r="J97" s="432"/>
      <x:c r="K97" s="432"/>
      <x:c r="L97" s="432"/>
      <x:c r="M97" s="432"/>
      <x:c r="N97" s="432"/>
      <x:c r="O97" s="432"/>
      <x:c r="P97" s="432"/>
      <x:c r="Q97" s="432"/>
    </x:row>
    <x:row r="98" ht="25" customHeight="1">
      <x:c r="A98" s="432"/>
      <x:c r="B98" s="432" t="str">
        <x:f>IF(CHOOSE($M$42,'Clients'!A56,'Clients'!A56,'Viewings'!A56,'Deals'!A56,'Deals'!A56,'Deals'!A56,'Follow-ups'!A56,'Payments'!A56,'Expenses'!A56)="","",CHOOSE($M$42,'Clients'!A56,'Clients'!A56,'Viewings'!A56,'Deals'!A56,'Deals'!A56,'Deals'!A56,'Follow-ups'!A56,'Payments'!A56,'Expenses'!A56))</x:f>
      </x:c>
      <x:c r="C98" s="472" t="str">
        <x:f>IF(B98="","",IF(CHOOSE($M$42,'Clients'!R56,'Clients'!Q56,'Viewings'!D56,'Deals'!X56,'Deals'!Y56,'Deals'!Z56,'Follow-ups'!H56,'Payments'!C56,'Expenses'!B56)="","",CHOOSE($M$42,'Clients'!R56,'Clients'!Q56,'Viewings'!D56,'Deals'!X56,'Deals'!Y56,'Deals'!Z56,'Follow-ups'!H56,'Payments'!C56,'Expenses'!B56)))</x:f>
      </x:c>
      <x:c r="D98" s="432" t="str">
        <x:f>IF(B98="","",IF(ISNUMBER(CHOOSE($M$42,'Clients'!B56,'Clients'!B56,'Viewings'!H56,IF('Deals'!B56="","",IF(COUNTIFS('Clients'!$A$6:$A$205,'Deals'!B56)&lt;&gt;1,"Check Client ID",INDEX('Clients'!$B$6:$B$205,MATCH('Deals'!B56,'Clients'!$A$6:$A$205,0)))),IF('Deals'!B56="","",IF(COUNTIFS('Clients'!$A$6:$A$205,'Deals'!B56)&lt;&gt;1,"Check Client ID",INDEX('Clients'!$B$6:$B$205,MATCH('Deals'!B56,'Clients'!$A$6:$A$205,0)))),IF('Deals'!B56="","",IF(COUNTIFS('Clients'!$A$6:$A$205,'Deals'!B56)&lt;&gt;1,"Check Client ID",INDEX('Clients'!$B$6:$B$205,MATCH('Deals'!B56,'Clients'!$A$6:$A$205,0)))),'Follow-ups'!K56,'Payments'!B56,'Expenses'!D56)),CHOOSE($M$42,'Clients'!B56,'Clients'!B56,'Viewings'!H56,IF('Deals'!B56="","",IF(COUNTIFS('Clients'!$A$6:$A$205,'Deals'!B56)&lt;&gt;1,"Check Client ID",INDEX('Clients'!$B$6:$B$205,MATCH('Deals'!B56,'Clients'!$A$6:$A$205,0)))),IF('Deals'!B56="","",IF(COUNTIFS('Clients'!$A$6:$A$205,'Deals'!B56)&lt;&gt;1,"Check Client ID",INDEX('Clients'!$B$6:$B$205,MATCH('Deals'!B56,'Clients'!$A$6:$A$205,0)))),IF('Deals'!B56="","",IF(COUNTIFS('Clients'!$A$6:$A$205,'Deals'!B56)&lt;&gt;1,"Check Client ID",INDEX('Clients'!$B$6:$B$205,MATCH('Deals'!B56,'Clients'!$A$6:$A$205,0)))),'Follow-ups'!K56,'Payments'!B56,'Expenses'!D56),IF(CHOOSE($M$42,'Clients'!B56,'Clients'!B56,'Viewings'!H56,IF('Deals'!B56="","",IF(COUNTIFS('Clients'!$A$6:$A$205,'Deals'!B56)&lt;&gt;1,"Check Client ID",INDEX('Clients'!$B$6:$B$205,MATCH('Deals'!B56,'Clients'!$A$6:$A$205,0)))),IF('Deals'!B56="","",IF(COUNTIFS('Clients'!$A$6:$A$205,'Deals'!B56)&lt;&gt;1,"Check Client ID",INDEX('Clients'!$B$6:$B$205,MATCH('Deals'!B56,'Clients'!$A$6:$A$205,0)))),IF('Deals'!B56="","",IF(COUNTIFS('Clients'!$A$6:$A$205,'Deals'!B56)&lt;&gt;1,"Check Client ID",INDEX('Clients'!$B$6:$B$205,MATCH('Deals'!B56,'Clients'!$A$6:$A$205,0)))),'Follow-ups'!K56,'Payments'!B56,'Expenses'!D56)="","",CHOOSE($M$42,'Clients'!B56,'Clients'!B56,'Viewings'!H56,IF('Deals'!B56="","",IF(COUNTIFS('Clients'!$A$6:$A$205,'Deals'!B56)&lt;&gt;1,"Check Client ID",INDEX('Clients'!$B$6:$B$205,MATCH('Deals'!B56,'Clients'!$A$6:$A$205,0)))),IF('Deals'!B56="","",IF(COUNTIFS('Clients'!$A$6:$A$205,'Deals'!B56)&lt;&gt;1,"Check Client ID",INDEX('Clients'!$B$6:$B$205,MATCH('Deals'!B56,'Clients'!$A$6:$A$205,0)))),IF('Deals'!B56="","",IF(COUNTIFS('Clients'!$A$6:$A$205,'Deals'!B56)&lt;&gt;1,"Check Client ID",INDEX('Clients'!$B$6:$B$205,MATCH('Deals'!B56,'Clients'!$A$6:$A$205,0)))),'Follow-ups'!K56,'Payments'!B56,'Expenses'!D56))))</x:f>
      </x:c>
      <x:c r="E98" s="432" t="str">
        <x:f>IF(B98="","",IF(ISNUMBER(CHOOSE($M$42,'Clients'!K56,'Clients'!K56,'Viewings'!I56,'Deals'!C56,'Deals'!C56,'Deals'!C56,'Follow-ups'!L56,'Payments'!G56,'Expenses'!F56)),CHOOSE($M$42,'Clients'!K56,'Clients'!K56,'Viewings'!I56,'Deals'!C56,'Deals'!C56,'Deals'!C56,'Follow-ups'!L56,'Payments'!G56,'Expenses'!F56),IF(CHOOSE($M$42,'Clients'!K56,'Clients'!K56,'Viewings'!I56,'Deals'!C56,'Deals'!C56,'Deals'!C56,'Follow-ups'!L56,'Payments'!G56,'Expenses'!F56)="","",CHOOSE($M$42,'Clients'!K56,'Clients'!K56,'Viewings'!I56,'Deals'!C56,'Deals'!C56,'Deals'!C56,'Follow-ups'!L56,'Payments'!G56,'Expenses'!F56))))</x:f>
      </x:c>
      <x:c r="F98" s="432" t="str">
        <x:f>IF(B98="","",IF(ISNUMBER(CHOOSE($M$42,'Clients'!H56,'Clients'!H56,'Viewings'!E56,'Deals'!E56,'Deals'!E56,'Deals'!E56,'Follow-ups'!I56,"Receipt",'Expenses'!C56)),CHOOSE($M$42,'Clients'!H56,'Clients'!H56,'Viewings'!E56,'Deals'!E56,'Deals'!E56,'Deals'!E56,'Follow-ups'!I56,"Receipt",'Expenses'!C56),IF(CHOOSE($M$42,'Clients'!H56,'Clients'!H56,'Viewings'!E56,'Deals'!E56,'Deals'!E56,'Deals'!E56,'Follow-ups'!I56,"Receipt",'Expenses'!C56)="","",CHOOSE($M$42,'Clients'!H56,'Clients'!H56,'Viewings'!E56,'Deals'!E56,'Deals'!E56,'Deals'!E56,'Follow-ups'!I56,"Receipt",'Expenses'!C56))))</x:f>
      </x:c>
      <x:c r="G98" s="473" t="str">
        <x:f>IF(B98="","",IF(ISNUMBER(CHOOSE($M$42,"","","",'Deals'!F56,'Deals'!F56,'Deals'!F56,"",'Payments'!D56,'Expenses'!G56)),CHOOSE($M$42,"","","",'Deals'!F56,'Deals'!F56,'Deals'!F56,"",'Payments'!D56,'Expenses'!G56),IF(CHOOSE($M$42,"","","",'Deals'!F56,'Deals'!F56,'Deals'!F56,"",'Payments'!D56,'Expenses'!G56)="","",CHOOSE($M$42,"","","",'Deals'!F56,'Deals'!F56,'Deals'!F56,"",'Payments'!D56,'Expenses'!G56))))</x:f>
      </x:c>
      <x:c r="H98" s="432" t="n">
        <x:f>IF(AND($M$43=1,B98&lt;&gt;"",ISNUMBER(C98),C98&gt;=$G$6,C98&lt;$K$6+1),1,0)</x:f>
        <x:v>0</x:v>
      </x:c>
      <x:c r="I98" s="432" t="str">
        <x:f>IF(H98=0,"",COUNTIFS($H$48:$H$247,1,$C$48:$C$247,"&lt;"&amp;C98)+COUNTIFS($H$48:H98,1,$C$48:C98,C98))</x:f>
      </x:c>
      <x:c r="J98" s="432"/>
      <x:c r="K98" s="432"/>
      <x:c r="L98" s="432"/>
      <x:c r="M98" s="432"/>
      <x:c r="N98" s="432"/>
      <x:c r="O98" s="432"/>
      <x:c r="P98" s="432"/>
      <x:c r="Q98" s="432"/>
    </x:row>
    <x:row r="99" ht="25" customHeight="1">
      <x:c r="A99" s="432"/>
      <x:c r="B99" s="432" t="str">
        <x:f>IF(CHOOSE($M$42,'Clients'!A57,'Clients'!A57,'Viewings'!A57,'Deals'!A57,'Deals'!A57,'Deals'!A57,'Follow-ups'!A57,'Payments'!A57,'Expenses'!A57)="","",CHOOSE($M$42,'Clients'!A57,'Clients'!A57,'Viewings'!A57,'Deals'!A57,'Deals'!A57,'Deals'!A57,'Follow-ups'!A57,'Payments'!A57,'Expenses'!A57))</x:f>
      </x:c>
      <x:c r="C99" s="472" t="str">
        <x:f>IF(B99="","",IF(CHOOSE($M$42,'Clients'!R57,'Clients'!Q57,'Viewings'!D57,'Deals'!X57,'Deals'!Y57,'Deals'!Z57,'Follow-ups'!H57,'Payments'!C57,'Expenses'!B57)="","",CHOOSE($M$42,'Clients'!R57,'Clients'!Q57,'Viewings'!D57,'Deals'!X57,'Deals'!Y57,'Deals'!Z57,'Follow-ups'!H57,'Payments'!C57,'Expenses'!B57)))</x:f>
      </x:c>
      <x:c r="D99" s="432" t="str">
        <x:f>IF(B99="","",IF(ISNUMBER(CHOOSE($M$42,'Clients'!B57,'Clients'!B57,'Viewings'!H57,IF('Deals'!B57="","",IF(COUNTIFS('Clients'!$A$6:$A$205,'Deals'!B57)&lt;&gt;1,"Check Client ID",INDEX('Clients'!$B$6:$B$205,MATCH('Deals'!B57,'Clients'!$A$6:$A$205,0)))),IF('Deals'!B57="","",IF(COUNTIFS('Clients'!$A$6:$A$205,'Deals'!B57)&lt;&gt;1,"Check Client ID",INDEX('Clients'!$B$6:$B$205,MATCH('Deals'!B57,'Clients'!$A$6:$A$205,0)))),IF('Deals'!B57="","",IF(COUNTIFS('Clients'!$A$6:$A$205,'Deals'!B57)&lt;&gt;1,"Check Client ID",INDEX('Clients'!$B$6:$B$205,MATCH('Deals'!B57,'Clients'!$A$6:$A$205,0)))),'Follow-ups'!K57,'Payments'!B57,'Expenses'!D57)),CHOOSE($M$42,'Clients'!B57,'Clients'!B57,'Viewings'!H57,IF('Deals'!B57="","",IF(COUNTIFS('Clients'!$A$6:$A$205,'Deals'!B57)&lt;&gt;1,"Check Client ID",INDEX('Clients'!$B$6:$B$205,MATCH('Deals'!B57,'Clients'!$A$6:$A$205,0)))),IF('Deals'!B57="","",IF(COUNTIFS('Clients'!$A$6:$A$205,'Deals'!B57)&lt;&gt;1,"Check Client ID",INDEX('Clients'!$B$6:$B$205,MATCH('Deals'!B57,'Clients'!$A$6:$A$205,0)))),IF('Deals'!B57="","",IF(COUNTIFS('Clients'!$A$6:$A$205,'Deals'!B57)&lt;&gt;1,"Check Client ID",INDEX('Clients'!$B$6:$B$205,MATCH('Deals'!B57,'Clients'!$A$6:$A$205,0)))),'Follow-ups'!K57,'Payments'!B57,'Expenses'!D57),IF(CHOOSE($M$42,'Clients'!B57,'Clients'!B57,'Viewings'!H57,IF('Deals'!B57="","",IF(COUNTIFS('Clients'!$A$6:$A$205,'Deals'!B57)&lt;&gt;1,"Check Client ID",INDEX('Clients'!$B$6:$B$205,MATCH('Deals'!B57,'Clients'!$A$6:$A$205,0)))),IF('Deals'!B57="","",IF(COUNTIFS('Clients'!$A$6:$A$205,'Deals'!B57)&lt;&gt;1,"Check Client ID",INDEX('Clients'!$B$6:$B$205,MATCH('Deals'!B57,'Clients'!$A$6:$A$205,0)))),IF('Deals'!B57="","",IF(COUNTIFS('Clients'!$A$6:$A$205,'Deals'!B57)&lt;&gt;1,"Check Client ID",INDEX('Clients'!$B$6:$B$205,MATCH('Deals'!B57,'Clients'!$A$6:$A$205,0)))),'Follow-ups'!K57,'Payments'!B57,'Expenses'!D57)="","",CHOOSE($M$42,'Clients'!B57,'Clients'!B57,'Viewings'!H57,IF('Deals'!B57="","",IF(COUNTIFS('Clients'!$A$6:$A$205,'Deals'!B57)&lt;&gt;1,"Check Client ID",INDEX('Clients'!$B$6:$B$205,MATCH('Deals'!B57,'Clients'!$A$6:$A$205,0)))),IF('Deals'!B57="","",IF(COUNTIFS('Clients'!$A$6:$A$205,'Deals'!B57)&lt;&gt;1,"Check Client ID",INDEX('Clients'!$B$6:$B$205,MATCH('Deals'!B57,'Clients'!$A$6:$A$205,0)))),IF('Deals'!B57="","",IF(COUNTIFS('Clients'!$A$6:$A$205,'Deals'!B57)&lt;&gt;1,"Check Client ID",INDEX('Clients'!$B$6:$B$205,MATCH('Deals'!B57,'Clients'!$A$6:$A$205,0)))),'Follow-ups'!K57,'Payments'!B57,'Expenses'!D57))))</x:f>
      </x:c>
      <x:c r="E99" s="432" t="str">
        <x:f>IF(B99="","",IF(ISNUMBER(CHOOSE($M$42,'Clients'!K57,'Clients'!K57,'Viewings'!I57,'Deals'!C57,'Deals'!C57,'Deals'!C57,'Follow-ups'!L57,'Payments'!G57,'Expenses'!F57)),CHOOSE($M$42,'Clients'!K57,'Clients'!K57,'Viewings'!I57,'Deals'!C57,'Deals'!C57,'Deals'!C57,'Follow-ups'!L57,'Payments'!G57,'Expenses'!F57),IF(CHOOSE($M$42,'Clients'!K57,'Clients'!K57,'Viewings'!I57,'Deals'!C57,'Deals'!C57,'Deals'!C57,'Follow-ups'!L57,'Payments'!G57,'Expenses'!F57)="","",CHOOSE($M$42,'Clients'!K57,'Clients'!K57,'Viewings'!I57,'Deals'!C57,'Deals'!C57,'Deals'!C57,'Follow-ups'!L57,'Payments'!G57,'Expenses'!F57))))</x:f>
      </x:c>
      <x:c r="F99" s="432" t="str">
        <x:f>IF(B99="","",IF(ISNUMBER(CHOOSE($M$42,'Clients'!H57,'Clients'!H57,'Viewings'!E57,'Deals'!E57,'Deals'!E57,'Deals'!E57,'Follow-ups'!I57,"Receipt",'Expenses'!C57)),CHOOSE($M$42,'Clients'!H57,'Clients'!H57,'Viewings'!E57,'Deals'!E57,'Deals'!E57,'Deals'!E57,'Follow-ups'!I57,"Receipt",'Expenses'!C57),IF(CHOOSE($M$42,'Clients'!H57,'Clients'!H57,'Viewings'!E57,'Deals'!E57,'Deals'!E57,'Deals'!E57,'Follow-ups'!I57,"Receipt",'Expenses'!C57)="","",CHOOSE($M$42,'Clients'!H57,'Clients'!H57,'Viewings'!E57,'Deals'!E57,'Deals'!E57,'Deals'!E57,'Follow-ups'!I57,"Receipt",'Expenses'!C57))))</x:f>
      </x:c>
      <x:c r="G99" s="473" t="str">
        <x:f>IF(B99="","",IF(ISNUMBER(CHOOSE($M$42,"","","",'Deals'!F57,'Deals'!F57,'Deals'!F57,"",'Payments'!D57,'Expenses'!G57)),CHOOSE($M$42,"","","",'Deals'!F57,'Deals'!F57,'Deals'!F57,"",'Payments'!D57,'Expenses'!G57),IF(CHOOSE($M$42,"","","",'Deals'!F57,'Deals'!F57,'Deals'!F57,"",'Payments'!D57,'Expenses'!G57)="","",CHOOSE($M$42,"","","",'Deals'!F57,'Deals'!F57,'Deals'!F57,"",'Payments'!D57,'Expenses'!G57))))</x:f>
      </x:c>
      <x:c r="H99" s="432" t="n">
        <x:f>IF(AND($M$43=1,B99&lt;&gt;"",ISNUMBER(C99),C99&gt;=$G$6,C99&lt;$K$6+1),1,0)</x:f>
        <x:v>0</x:v>
      </x:c>
      <x:c r="I99" s="432" t="str">
        <x:f>IF(H99=0,"",COUNTIFS($H$48:$H$247,1,$C$48:$C$247,"&lt;"&amp;C99)+COUNTIFS($H$48:H99,1,$C$48:C99,C99))</x:f>
      </x:c>
      <x:c r="J99" s="432"/>
      <x:c r="K99" s="432"/>
      <x:c r="L99" s="432"/>
      <x:c r="M99" s="432"/>
      <x:c r="N99" s="432"/>
      <x:c r="O99" s="432"/>
      <x:c r="P99" s="432"/>
      <x:c r="Q99" s="432"/>
    </x:row>
    <x:row r="100" ht="25" customHeight="1">
      <x:c r="A100" s="432"/>
      <x:c r="B100" s="432" t="str">
        <x:f>IF(CHOOSE($M$42,'Clients'!A58,'Clients'!A58,'Viewings'!A58,'Deals'!A58,'Deals'!A58,'Deals'!A58,'Follow-ups'!A58,'Payments'!A58,'Expenses'!A58)="","",CHOOSE($M$42,'Clients'!A58,'Clients'!A58,'Viewings'!A58,'Deals'!A58,'Deals'!A58,'Deals'!A58,'Follow-ups'!A58,'Payments'!A58,'Expenses'!A58))</x:f>
      </x:c>
      <x:c r="C100" s="472" t="str">
        <x:f>IF(B100="","",IF(CHOOSE($M$42,'Clients'!R58,'Clients'!Q58,'Viewings'!D58,'Deals'!X58,'Deals'!Y58,'Deals'!Z58,'Follow-ups'!H58,'Payments'!C58,'Expenses'!B58)="","",CHOOSE($M$42,'Clients'!R58,'Clients'!Q58,'Viewings'!D58,'Deals'!X58,'Deals'!Y58,'Deals'!Z58,'Follow-ups'!H58,'Payments'!C58,'Expenses'!B58)))</x:f>
      </x:c>
      <x:c r="D100" s="432" t="str">
        <x:f>IF(B100="","",IF(ISNUMBER(CHOOSE($M$42,'Clients'!B58,'Clients'!B58,'Viewings'!H58,IF('Deals'!B58="","",IF(COUNTIFS('Clients'!$A$6:$A$205,'Deals'!B58)&lt;&gt;1,"Check Client ID",INDEX('Clients'!$B$6:$B$205,MATCH('Deals'!B58,'Clients'!$A$6:$A$205,0)))),IF('Deals'!B58="","",IF(COUNTIFS('Clients'!$A$6:$A$205,'Deals'!B58)&lt;&gt;1,"Check Client ID",INDEX('Clients'!$B$6:$B$205,MATCH('Deals'!B58,'Clients'!$A$6:$A$205,0)))),IF('Deals'!B58="","",IF(COUNTIFS('Clients'!$A$6:$A$205,'Deals'!B58)&lt;&gt;1,"Check Client ID",INDEX('Clients'!$B$6:$B$205,MATCH('Deals'!B58,'Clients'!$A$6:$A$205,0)))),'Follow-ups'!K58,'Payments'!B58,'Expenses'!D58)),CHOOSE($M$42,'Clients'!B58,'Clients'!B58,'Viewings'!H58,IF('Deals'!B58="","",IF(COUNTIFS('Clients'!$A$6:$A$205,'Deals'!B58)&lt;&gt;1,"Check Client ID",INDEX('Clients'!$B$6:$B$205,MATCH('Deals'!B58,'Clients'!$A$6:$A$205,0)))),IF('Deals'!B58="","",IF(COUNTIFS('Clients'!$A$6:$A$205,'Deals'!B58)&lt;&gt;1,"Check Client ID",INDEX('Clients'!$B$6:$B$205,MATCH('Deals'!B58,'Clients'!$A$6:$A$205,0)))),IF('Deals'!B58="","",IF(COUNTIFS('Clients'!$A$6:$A$205,'Deals'!B58)&lt;&gt;1,"Check Client ID",INDEX('Clients'!$B$6:$B$205,MATCH('Deals'!B58,'Clients'!$A$6:$A$205,0)))),'Follow-ups'!K58,'Payments'!B58,'Expenses'!D58),IF(CHOOSE($M$42,'Clients'!B58,'Clients'!B58,'Viewings'!H58,IF('Deals'!B58="","",IF(COUNTIFS('Clients'!$A$6:$A$205,'Deals'!B58)&lt;&gt;1,"Check Client ID",INDEX('Clients'!$B$6:$B$205,MATCH('Deals'!B58,'Clients'!$A$6:$A$205,0)))),IF('Deals'!B58="","",IF(COUNTIFS('Clients'!$A$6:$A$205,'Deals'!B58)&lt;&gt;1,"Check Client ID",INDEX('Clients'!$B$6:$B$205,MATCH('Deals'!B58,'Clients'!$A$6:$A$205,0)))),IF('Deals'!B58="","",IF(COUNTIFS('Clients'!$A$6:$A$205,'Deals'!B58)&lt;&gt;1,"Check Client ID",INDEX('Clients'!$B$6:$B$205,MATCH('Deals'!B58,'Clients'!$A$6:$A$205,0)))),'Follow-ups'!K58,'Payments'!B58,'Expenses'!D58)="","",CHOOSE($M$42,'Clients'!B58,'Clients'!B58,'Viewings'!H58,IF('Deals'!B58="","",IF(COUNTIFS('Clients'!$A$6:$A$205,'Deals'!B58)&lt;&gt;1,"Check Client ID",INDEX('Clients'!$B$6:$B$205,MATCH('Deals'!B58,'Clients'!$A$6:$A$205,0)))),IF('Deals'!B58="","",IF(COUNTIFS('Clients'!$A$6:$A$205,'Deals'!B58)&lt;&gt;1,"Check Client ID",INDEX('Clients'!$B$6:$B$205,MATCH('Deals'!B58,'Clients'!$A$6:$A$205,0)))),IF('Deals'!B58="","",IF(COUNTIFS('Clients'!$A$6:$A$205,'Deals'!B58)&lt;&gt;1,"Check Client ID",INDEX('Clients'!$B$6:$B$205,MATCH('Deals'!B58,'Clients'!$A$6:$A$205,0)))),'Follow-ups'!K58,'Payments'!B58,'Expenses'!D58))))</x:f>
      </x:c>
      <x:c r="E100" s="432" t="str">
        <x:f>IF(B100="","",IF(ISNUMBER(CHOOSE($M$42,'Clients'!K58,'Clients'!K58,'Viewings'!I58,'Deals'!C58,'Deals'!C58,'Deals'!C58,'Follow-ups'!L58,'Payments'!G58,'Expenses'!F58)),CHOOSE($M$42,'Clients'!K58,'Clients'!K58,'Viewings'!I58,'Deals'!C58,'Deals'!C58,'Deals'!C58,'Follow-ups'!L58,'Payments'!G58,'Expenses'!F58),IF(CHOOSE($M$42,'Clients'!K58,'Clients'!K58,'Viewings'!I58,'Deals'!C58,'Deals'!C58,'Deals'!C58,'Follow-ups'!L58,'Payments'!G58,'Expenses'!F58)="","",CHOOSE($M$42,'Clients'!K58,'Clients'!K58,'Viewings'!I58,'Deals'!C58,'Deals'!C58,'Deals'!C58,'Follow-ups'!L58,'Payments'!G58,'Expenses'!F58))))</x:f>
      </x:c>
      <x:c r="F100" s="432" t="str">
        <x:f>IF(B100="","",IF(ISNUMBER(CHOOSE($M$42,'Clients'!H58,'Clients'!H58,'Viewings'!E58,'Deals'!E58,'Deals'!E58,'Deals'!E58,'Follow-ups'!I58,"Receipt",'Expenses'!C58)),CHOOSE($M$42,'Clients'!H58,'Clients'!H58,'Viewings'!E58,'Deals'!E58,'Deals'!E58,'Deals'!E58,'Follow-ups'!I58,"Receipt",'Expenses'!C58),IF(CHOOSE($M$42,'Clients'!H58,'Clients'!H58,'Viewings'!E58,'Deals'!E58,'Deals'!E58,'Deals'!E58,'Follow-ups'!I58,"Receipt",'Expenses'!C58)="","",CHOOSE($M$42,'Clients'!H58,'Clients'!H58,'Viewings'!E58,'Deals'!E58,'Deals'!E58,'Deals'!E58,'Follow-ups'!I58,"Receipt",'Expenses'!C58))))</x:f>
      </x:c>
      <x:c r="G100" s="473" t="str">
        <x:f>IF(B100="","",IF(ISNUMBER(CHOOSE($M$42,"","","",'Deals'!F58,'Deals'!F58,'Deals'!F58,"",'Payments'!D58,'Expenses'!G58)),CHOOSE($M$42,"","","",'Deals'!F58,'Deals'!F58,'Deals'!F58,"",'Payments'!D58,'Expenses'!G58),IF(CHOOSE($M$42,"","","",'Deals'!F58,'Deals'!F58,'Deals'!F58,"",'Payments'!D58,'Expenses'!G58)="","",CHOOSE($M$42,"","","",'Deals'!F58,'Deals'!F58,'Deals'!F58,"",'Payments'!D58,'Expenses'!G58))))</x:f>
      </x:c>
      <x:c r="H100" s="432" t="n">
        <x:f>IF(AND($M$43=1,B100&lt;&gt;"",ISNUMBER(C100),C100&gt;=$G$6,C100&lt;$K$6+1),1,0)</x:f>
        <x:v>0</x:v>
      </x:c>
      <x:c r="I100" s="432" t="str">
        <x:f>IF(H100=0,"",COUNTIFS($H$48:$H$247,1,$C$48:$C$247,"&lt;"&amp;C100)+COUNTIFS($H$48:H100,1,$C$48:C100,C100))</x:f>
      </x:c>
      <x:c r="J100" s="432"/>
      <x:c r="K100" s="432"/>
      <x:c r="L100" s="432"/>
      <x:c r="M100" s="432"/>
      <x:c r="N100" s="432"/>
      <x:c r="O100" s="432"/>
      <x:c r="P100" s="432"/>
      <x:c r="Q100" s="432"/>
    </x:row>
    <x:row r="101" ht="25" customHeight="1">
      <x:c r="A101" s="432"/>
      <x:c r="B101" s="432" t="str">
        <x:f>IF(CHOOSE($M$42,'Clients'!A59,'Clients'!A59,'Viewings'!A59,'Deals'!A59,'Deals'!A59,'Deals'!A59,'Follow-ups'!A59,'Payments'!A59,'Expenses'!A59)="","",CHOOSE($M$42,'Clients'!A59,'Clients'!A59,'Viewings'!A59,'Deals'!A59,'Deals'!A59,'Deals'!A59,'Follow-ups'!A59,'Payments'!A59,'Expenses'!A59))</x:f>
      </x:c>
      <x:c r="C101" s="472" t="str">
        <x:f>IF(B101="","",IF(CHOOSE($M$42,'Clients'!R59,'Clients'!Q59,'Viewings'!D59,'Deals'!X59,'Deals'!Y59,'Deals'!Z59,'Follow-ups'!H59,'Payments'!C59,'Expenses'!B59)="","",CHOOSE($M$42,'Clients'!R59,'Clients'!Q59,'Viewings'!D59,'Deals'!X59,'Deals'!Y59,'Deals'!Z59,'Follow-ups'!H59,'Payments'!C59,'Expenses'!B59)))</x:f>
      </x:c>
      <x:c r="D101" s="432" t="str">
        <x:f>IF(B101="","",IF(ISNUMBER(CHOOSE($M$42,'Clients'!B59,'Clients'!B59,'Viewings'!H59,IF('Deals'!B59="","",IF(COUNTIFS('Clients'!$A$6:$A$205,'Deals'!B59)&lt;&gt;1,"Check Client ID",INDEX('Clients'!$B$6:$B$205,MATCH('Deals'!B59,'Clients'!$A$6:$A$205,0)))),IF('Deals'!B59="","",IF(COUNTIFS('Clients'!$A$6:$A$205,'Deals'!B59)&lt;&gt;1,"Check Client ID",INDEX('Clients'!$B$6:$B$205,MATCH('Deals'!B59,'Clients'!$A$6:$A$205,0)))),IF('Deals'!B59="","",IF(COUNTIFS('Clients'!$A$6:$A$205,'Deals'!B59)&lt;&gt;1,"Check Client ID",INDEX('Clients'!$B$6:$B$205,MATCH('Deals'!B59,'Clients'!$A$6:$A$205,0)))),'Follow-ups'!K59,'Payments'!B59,'Expenses'!D59)),CHOOSE($M$42,'Clients'!B59,'Clients'!B59,'Viewings'!H59,IF('Deals'!B59="","",IF(COUNTIFS('Clients'!$A$6:$A$205,'Deals'!B59)&lt;&gt;1,"Check Client ID",INDEX('Clients'!$B$6:$B$205,MATCH('Deals'!B59,'Clients'!$A$6:$A$205,0)))),IF('Deals'!B59="","",IF(COUNTIFS('Clients'!$A$6:$A$205,'Deals'!B59)&lt;&gt;1,"Check Client ID",INDEX('Clients'!$B$6:$B$205,MATCH('Deals'!B59,'Clients'!$A$6:$A$205,0)))),IF('Deals'!B59="","",IF(COUNTIFS('Clients'!$A$6:$A$205,'Deals'!B59)&lt;&gt;1,"Check Client ID",INDEX('Clients'!$B$6:$B$205,MATCH('Deals'!B59,'Clients'!$A$6:$A$205,0)))),'Follow-ups'!K59,'Payments'!B59,'Expenses'!D59),IF(CHOOSE($M$42,'Clients'!B59,'Clients'!B59,'Viewings'!H59,IF('Deals'!B59="","",IF(COUNTIFS('Clients'!$A$6:$A$205,'Deals'!B59)&lt;&gt;1,"Check Client ID",INDEX('Clients'!$B$6:$B$205,MATCH('Deals'!B59,'Clients'!$A$6:$A$205,0)))),IF('Deals'!B59="","",IF(COUNTIFS('Clients'!$A$6:$A$205,'Deals'!B59)&lt;&gt;1,"Check Client ID",INDEX('Clients'!$B$6:$B$205,MATCH('Deals'!B59,'Clients'!$A$6:$A$205,0)))),IF('Deals'!B59="","",IF(COUNTIFS('Clients'!$A$6:$A$205,'Deals'!B59)&lt;&gt;1,"Check Client ID",INDEX('Clients'!$B$6:$B$205,MATCH('Deals'!B59,'Clients'!$A$6:$A$205,0)))),'Follow-ups'!K59,'Payments'!B59,'Expenses'!D59)="","",CHOOSE($M$42,'Clients'!B59,'Clients'!B59,'Viewings'!H59,IF('Deals'!B59="","",IF(COUNTIFS('Clients'!$A$6:$A$205,'Deals'!B59)&lt;&gt;1,"Check Client ID",INDEX('Clients'!$B$6:$B$205,MATCH('Deals'!B59,'Clients'!$A$6:$A$205,0)))),IF('Deals'!B59="","",IF(COUNTIFS('Clients'!$A$6:$A$205,'Deals'!B59)&lt;&gt;1,"Check Client ID",INDEX('Clients'!$B$6:$B$205,MATCH('Deals'!B59,'Clients'!$A$6:$A$205,0)))),IF('Deals'!B59="","",IF(COUNTIFS('Clients'!$A$6:$A$205,'Deals'!B59)&lt;&gt;1,"Check Client ID",INDEX('Clients'!$B$6:$B$205,MATCH('Deals'!B59,'Clients'!$A$6:$A$205,0)))),'Follow-ups'!K59,'Payments'!B59,'Expenses'!D59))))</x:f>
      </x:c>
      <x:c r="E101" s="432" t="str">
        <x:f>IF(B101="","",IF(ISNUMBER(CHOOSE($M$42,'Clients'!K59,'Clients'!K59,'Viewings'!I59,'Deals'!C59,'Deals'!C59,'Deals'!C59,'Follow-ups'!L59,'Payments'!G59,'Expenses'!F59)),CHOOSE($M$42,'Clients'!K59,'Clients'!K59,'Viewings'!I59,'Deals'!C59,'Deals'!C59,'Deals'!C59,'Follow-ups'!L59,'Payments'!G59,'Expenses'!F59),IF(CHOOSE($M$42,'Clients'!K59,'Clients'!K59,'Viewings'!I59,'Deals'!C59,'Deals'!C59,'Deals'!C59,'Follow-ups'!L59,'Payments'!G59,'Expenses'!F59)="","",CHOOSE($M$42,'Clients'!K59,'Clients'!K59,'Viewings'!I59,'Deals'!C59,'Deals'!C59,'Deals'!C59,'Follow-ups'!L59,'Payments'!G59,'Expenses'!F59))))</x:f>
      </x:c>
      <x:c r="F101" s="432" t="str">
        <x:f>IF(B101="","",IF(ISNUMBER(CHOOSE($M$42,'Clients'!H59,'Clients'!H59,'Viewings'!E59,'Deals'!E59,'Deals'!E59,'Deals'!E59,'Follow-ups'!I59,"Receipt",'Expenses'!C59)),CHOOSE($M$42,'Clients'!H59,'Clients'!H59,'Viewings'!E59,'Deals'!E59,'Deals'!E59,'Deals'!E59,'Follow-ups'!I59,"Receipt",'Expenses'!C59),IF(CHOOSE($M$42,'Clients'!H59,'Clients'!H59,'Viewings'!E59,'Deals'!E59,'Deals'!E59,'Deals'!E59,'Follow-ups'!I59,"Receipt",'Expenses'!C59)="","",CHOOSE($M$42,'Clients'!H59,'Clients'!H59,'Viewings'!E59,'Deals'!E59,'Deals'!E59,'Deals'!E59,'Follow-ups'!I59,"Receipt",'Expenses'!C59))))</x:f>
      </x:c>
      <x:c r="G101" s="473" t="str">
        <x:f>IF(B101="","",IF(ISNUMBER(CHOOSE($M$42,"","","",'Deals'!F59,'Deals'!F59,'Deals'!F59,"",'Payments'!D59,'Expenses'!G59)),CHOOSE($M$42,"","","",'Deals'!F59,'Deals'!F59,'Deals'!F59,"",'Payments'!D59,'Expenses'!G59),IF(CHOOSE($M$42,"","","",'Deals'!F59,'Deals'!F59,'Deals'!F59,"",'Payments'!D59,'Expenses'!G59)="","",CHOOSE($M$42,"","","",'Deals'!F59,'Deals'!F59,'Deals'!F59,"",'Payments'!D59,'Expenses'!G59))))</x:f>
      </x:c>
      <x:c r="H101" s="432" t="n">
        <x:f>IF(AND($M$43=1,B101&lt;&gt;"",ISNUMBER(C101),C101&gt;=$G$6,C101&lt;$K$6+1),1,0)</x:f>
        <x:v>0</x:v>
      </x:c>
      <x:c r="I101" s="432" t="str">
        <x:f>IF(H101=0,"",COUNTIFS($H$48:$H$247,1,$C$48:$C$247,"&lt;"&amp;C101)+COUNTIFS($H$48:H101,1,$C$48:C101,C101))</x:f>
      </x:c>
      <x:c r="J101" s="432"/>
      <x:c r="K101" s="432"/>
      <x:c r="L101" s="432"/>
      <x:c r="M101" s="432"/>
      <x:c r="N101" s="432"/>
      <x:c r="O101" s="432"/>
      <x:c r="P101" s="432"/>
      <x:c r="Q101" s="432"/>
    </x:row>
    <x:row r="102" ht="25" customHeight="1">
      <x:c r="A102" s="432"/>
      <x:c r="B102" s="432" t="str">
        <x:f>IF(CHOOSE($M$42,'Clients'!A60,'Clients'!A60,'Viewings'!A60,'Deals'!A60,'Deals'!A60,'Deals'!A60,'Follow-ups'!A60,'Payments'!A60,'Expenses'!A60)="","",CHOOSE($M$42,'Clients'!A60,'Clients'!A60,'Viewings'!A60,'Deals'!A60,'Deals'!A60,'Deals'!A60,'Follow-ups'!A60,'Payments'!A60,'Expenses'!A60))</x:f>
      </x:c>
      <x:c r="C102" s="472" t="str">
        <x:f>IF(B102="","",IF(CHOOSE($M$42,'Clients'!R60,'Clients'!Q60,'Viewings'!D60,'Deals'!X60,'Deals'!Y60,'Deals'!Z60,'Follow-ups'!H60,'Payments'!C60,'Expenses'!B60)="","",CHOOSE($M$42,'Clients'!R60,'Clients'!Q60,'Viewings'!D60,'Deals'!X60,'Deals'!Y60,'Deals'!Z60,'Follow-ups'!H60,'Payments'!C60,'Expenses'!B60)))</x:f>
      </x:c>
      <x:c r="D102" s="432" t="str">
        <x:f>IF(B102="","",IF(ISNUMBER(CHOOSE($M$42,'Clients'!B60,'Clients'!B60,'Viewings'!H60,IF('Deals'!B60="","",IF(COUNTIFS('Clients'!$A$6:$A$205,'Deals'!B60)&lt;&gt;1,"Check Client ID",INDEX('Clients'!$B$6:$B$205,MATCH('Deals'!B60,'Clients'!$A$6:$A$205,0)))),IF('Deals'!B60="","",IF(COUNTIFS('Clients'!$A$6:$A$205,'Deals'!B60)&lt;&gt;1,"Check Client ID",INDEX('Clients'!$B$6:$B$205,MATCH('Deals'!B60,'Clients'!$A$6:$A$205,0)))),IF('Deals'!B60="","",IF(COUNTIFS('Clients'!$A$6:$A$205,'Deals'!B60)&lt;&gt;1,"Check Client ID",INDEX('Clients'!$B$6:$B$205,MATCH('Deals'!B60,'Clients'!$A$6:$A$205,0)))),'Follow-ups'!K60,'Payments'!B60,'Expenses'!D60)),CHOOSE($M$42,'Clients'!B60,'Clients'!B60,'Viewings'!H60,IF('Deals'!B60="","",IF(COUNTIFS('Clients'!$A$6:$A$205,'Deals'!B60)&lt;&gt;1,"Check Client ID",INDEX('Clients'!$B$6:$B$205,MATCH('Deals'!B60,'Clients'!$A$6:$A$205,0)))),IF('Deals'!B60="","",IF(COUNTIFS('Clients'!$A$6:$A$205,'Deals'!B60)&lt;&gt;1,"Check Client ID",INDEX('Clients'!$B$6:$B$205,MATCH('Deals'!B60,'Clients'!$A$6:$A$205,0)))),IF('Deals'!B60="","",IF(COUNTIFS('Clients'!$A$6:$A$205,'Deals'!B60)&lt;&gt;1,"Check Client ID",INDEX('Clients'!$B$6:$B$205,MATCH('Deals'!B60,'Clients'!$A$6:$A$205,0)))),'Follow-ups'!K60,'Payments'!B60,'Expenses'!D60),IF(CHOOSE($M$42,'Clients'!B60,'Clients'!B60,'Viewings'!H60,IF('Deals'!B60="","",IF(COUNTIFS('Clients'!$A$6:$A$205,'Deals'!B60)&lt;&gt;1,"Check Client ID",INDEX('Clients'!$B$6:$B$205,MATCH('Deals'!B60,'Clients'!$A$6:$A$205,0)))),IF('Deals'!B60="","",IF(COUNTIFS('Clients'!$A$6:$A$205,'Deals'!B60)&lt;&gt;1,"Check Client ID",INDEX('Clients'!$B$6:$B$205,MATCH('Deals'!B60,'Clients'!$A$6:$A$205,0)))),IF('Deals'!B60="","",IF(COUNTIFS('Clients'!$A$6:$A$205,'Deals'!B60)&lt;&gt;1,"Check Client ID",INDEX('Clients'!$B$6:$B$205,MATCH('Deals'!B60,'Clients'!$A$6:$A$205,0)))),'Follow-ups'!K60,'Payments'!B60,'Expenses'!D60)="","",CHOOSE($M$42,'Clients'!B60,'Clients'!B60,'Viewings'!H60,IF('Deals'!B60="","",IF(COUNTIFS('Clients'!$A$6:$A$205,'Deals'!B60)&lt;&gt;1,"Check Client ID",INDEX('Clients'!$B$6:$B$205,MATCH('Deals'!B60,'Clients'!$A$6:$A$205,0)))),IF('Deals'!B60="","",IF(COUNTIFS('Clients'!$A$6:$A$205,'Deals'!B60)&lt;&gt;1,"Check Client ID",INDEX('Clients'!$B$6:$B$205,MATCH('Deals'!B60,'Clients'!$A$6:$A$205,0)))),IF('Deals'!B60="","",IF(COUNTIFS('Clients'!$A$6:$A$205,'Deals'!B60)&lt;&gt;1,"Check Client ID",INDEX('Clients'!$B$6:$B$205,MATCH('Deals'!B60,'Clients'!$A$6:$A$205,0)))),'Follow-ups'!K60,'Payments'!B60,'Expenses'!D60))))</x:f>
      </x:c>
      <x:c r="E102" s="432" t="str">
        <x:f>IF(B102="","",IF(ISNUMBER(CHOOSE($M$42,'Clients'!K60,'Clients'!K60,'Viewings'!I60,'Deals'!C60,'Deals'!C60,'Deals'!C60,'Follow-ups'!L60,'Payments'!G60,'Expenses'!F60)),CHOOSE($M$42,'Clients'!K60,'Clients'!K60,'Viewings'!I60,'Deals'!C60,'Deals'!C60,'Deals'!C60,'Follow-ups'!L60,'Payments'!G60,'Expenses'!F60),IF(CHOOSE($M$42,'Clients'!K60,'Clients'!K60,'Viewings'!I60,'Deals'!C60,'Deals'!C60,'Deals'!C60,'Follow-ups'!L60,'Payments'!G60,'Expenses'!F60)="","",CHOOSE($M$42,'Clients'!K60,'Clients'!K60,'Viewings'!I60,'Deals'!C60,'Deals'!C60,'Deals'!C60,'Follow-ups'!L60,'Payments'!G60,'Expenses'!F60))))</x:f>
      </x:c>
      <x:c r="F102" s="432" t="str">
        <x:f>IF(B102="","",IF(ISNUMBER(CHOOSE($M$42,'Clients'!H60,'Clients'!H60,'Viewings'!E60,'Deals'!E60,'Deals'!E60,'Deals'!E60,'Follow-ups'!I60,"Receipt",'Expenses'!C60)),CHOOSE($M$42,'Clients'!H60,'Clients'!H60,'Viewings'!E60,'Deals'!E60,'Deals'!E60,'Deals'!E60,'Follow-ups'!I60,"Receipt",'Expenses'!C60),IF(CHOOSE($M$42,'Clients'!H60,'Clients'!H60,'Viewings'!E60,'Deals'!E60,'Deals'!E60,'Deals'!E60,'Follow-ups'!I60,"Receipt",'Expenses'!C60)="","",CHOOSE($M$42,'Clients'!H60,'Clients'!H60,'Viewings'!E60,'Deals'!E60,'Deals'!E60,'Deals'!E60,'Follow-ups'!I60,"Receipt",'Expenses'!C60))))</x:f>
      </x:c>
      <x:c r="G102" s="473" t="str">
        <x:f>IF(B102="","",IF(ISNUMBER(CHOOSE($M$42,"","","",'Deals'!F60,'Deals'!F60,'Deals'!F60,"",'Payments'!D60,'Expenses'!G60)),CHOOSE($M$42,"","","",'Deals'!F60,'Deals'!F60,'Deals'!F60,"",'Payments'!D60,'Expenses'!G60),IF(CHOOSE($M$42,"","","",'Deals'!F60,'Deals'!F60,'Deals'!F60,"",'Payments'!D60,'Expenses'!G60)="","",CHOOSE($M$42,"","","",'Deals'!F60,'Deals'!F60,'Deals'!F60,"",'Payments'!D60,'Expenses'!G60))))</x:f>
      </x:c>
      <x:c r="H102" s="432" t="n">
        <x:f>IF(AND($M$43=1,B102&lt;&gt;"",ISNUMBER(C102),C102&gt;=$G$6,C102&lt;$K$6+1),1,0)</x:f>
        <x:v>0</x:v>
      </x:c>
      <x:c r="I102" s="432" t="str">
        <x:f>IF(H102=0,"",COUNTIFS($H$48:$H$247,1,$C$48:$C$247,"&lt;"&amp;C102)+COUNTIFS($H$48:H102,1,$C$48:C102,C102))</x:f>
      </x:c>
      <x:c r="J102" s="432"/>
      <x:c r="K102" s="432"/>
      <x:c r="L102" s="432"/>
      <x:c r="M102" s="432"/>
      <x:c r="N102" s="432"/>
      <x:c r="O102" s="432"/>
      <x:c r="P102" s="432"/>
      <x:c r="Q102" s="432"/>
    </x:row>
    <x:row r="103" ht="25" customHeight="1">
      <x:c r="A103" s="432"/>
      <x:c r="B103" s="432" t="str">
        <x:f>IF(CHOOSE($M$42,'Clients'!A61,'Clients'!A61,'Viewings'!A61,'Deals'!A61,'Deals'!A61,'Deals'!A61,'Follow-ups'!A61,'Payments'!A61,'Expenses'!A61)="","",CHOOSE($M$42,'Clients'!A61,'Clients'!A61,'Viewings'!A61,'Deals'!A61,'Deals'!A61,'Deals'!A61,'Follow-ups'!A61,'Payments'!A61,'Expenses'!A61))</x:f>
      </x:c>
      <x:c r="C103" s="472" t="str">
        <x:f>IF(B103="","",IF(CHOOSE($M$42,'Clients'!R61,'Clients'!Q61,'Viewings'!D61,'Deals'!X61,'Deals'!Y61,'Deals'!Z61,'Follow-ups'!H61,'Payments'!C61,'Expenses'!B61)="","",CHOOSE($M$42,'Clients'!R61,'Clients'!Q61,'Viewings'!D61,'Deals'!X61,'Deals'!Y61,'Deals'!Z61,'Follow-ups'!H61,'Payments'!C61,'Expenses'!B61)))</x:f>
      </x:c>
      <x:c r="D103" s="432" t="str">
        <x:f>IF(B103="","",IF(ISNUMBER(CHOOSE($M$42,'Clients'!B61,'Clients'!B61,'Viewings'!H61,IF('Deals'!B61="","",IF(COUNTIFS('Clients'!$A$6:$A$205,'Deals'!B61)&lt;&gt;1,"Check Client ID",INDEX('Clients'!$B$6:$B$205,MATCH('Deals'!B61,'Clients'!$A$6:$A$205,0)))),IF('Deals'!B61="","",IF(COUNTIFS('Clients'!$A$6:$A$205,'Deals'!B61)&lt;&gt;1,"Check Client ID",INDEX('Clients'!$B$6:$B$205,MATCH('Deals'!B61,'Clients'!$A$6:$A$205,0)))),IF('Deals'!B61="","",IF(COUNTIFS('Clients'!$A$6:$A$205,'Deals'!B61)&lt;&gt;1,"Check Client ID",INDEX('Clients'!$B$6:$B$205,MATCH('Deals'!B61,'Clients'!$A$6:$A$205,0)))),'Follow-ups'!K61,'Payments'!B61,'Expenses'!D61)),CHOOSE($M$42,'Clients'!B61,'Clients'!B61,'Viewings'!H61,IF('Deals'!B61="","",IF(COUNTIFS('Clients'!$A$6:$A$205,'Deals'!B61)&lt;&gt;1,"Check Client ID",INDEX('Clients'!$B$6:$B$205,MATCH('Deals'!B61,'Clients'!$A$6:$A$205,0)))),IF('Deals'!B61="","",IF(COUNTIFS('Clients'!$A$6:$A$205,'Deals'!B61)&lt;&gt;1,"Check Client ID",INDEX('Clients'!$B$6:$B$205,MATCH('Deals'!B61,'Clients'!$A$6:$A$205,0)))),IF('Deals'!B61="","",IF(COUNTIFS('Clients'!$A$6:$A$205,'Deals'!B61)&lt;&gt;1,"Check Client ID",INDEX('Clients'!$B$6:$B$205,MATCH('Deals'!B61,'Clients'!$A$6:$A$205,0)))),'Follow-ups'!K61,'Payments'!B61,'Expenses'!D61),IF(CHOOSE($M$42,'Clients'!B61,'Clients'!B61,'Viewings'!H61,IF('Deals'!B61="","",IF(COUNTIFS('Clients'!$A$6:$A$205,'Deals'!B61)&lt;&gt;1,"Check Client ID",INDEX('Clients'!$B$6:$B$205,MATCH('Deals'!B61,'Clients'!$A$6:$A$205,0)))),IF('Deals'!B61="","",IF(COUNTIFS('Clients'!$A$6:$A$205,'Deals'!B61)&lt;&gt;1,"Check Client ID",INDEX('Clients'!$B$6:$B$205,MATCH('Deals'!B61,'Clients'!$A$6:$A$205,0)))),IF('Deals'!B61="","",IF(COUNTIFS('Clients'!$A$6:$A$205,'Deals'!B61)&lt;&gt;1,"Check Client ID",INDEX('Clients'!$B$6:$B$205,MATCH('Deals'!B61,'Clients'!$A$6:$A$205,0)))),'Follow-ups'!K61,'Payments'!B61,'Expenses'!D61)="","",CHOOSE($M$42,'Clients'!B61,'Clients'!B61,'Viewings'!H61,IF('Deals'!B61="","",IF(COUNTIFS('Clients'!$A$6:$A$205,'Deals'!B61)&lt;&gt;1,"Check Client ID",INDEX('Clients'!$B$6:$B$205,MATCH('Deals'!B61,'Clients'!$A$6:$A$205,0)))),IF('Deals'!B61="","",IF(COUNTIFS('Clients'!$A$6:$A$205,'Deals'!B61)&lt;&gt;1,"Check Client ID",INDEX('Clients'!$B$6:$B$205,MATCH('Deals'!B61,'Clients'!$A$6:$A$205,0)))),IF('Deals'!B61="","",IF(COUNTIFS('Clients'!$A$6:$A$205,'Deals'!B61)&lt;&gt;1,"Check Client ID",INDEX('Clients'!$B$6:$B$205,MATCH('Deals'!B61,'Clients'!$A$6:$A$205,0)))),'Follow-ups'!K61,'Payments'!B61,'Expenses'!D61))))</x:f>
      </x:c>
      <x:c r="E103" s="432" t="str">
        <x:f>IF(B103="","",IF(ISNUMBER(CHOOSE($M$42,'Clients'!K61,'Clients'!K61,'Viewings'!I61,'Deals'!C61,'Deals'!C61,'Deals'!C61,'Follow-ups'!L61,'Payments'!G61,'Expenses'!F61)),CHOOSE($M$42,'Clients'!K61,'Clients'!K61,'Viewings'!I61,'Deals'!C61,'Deals'!C61,'Deals'!C61,'Follow-ups'!L61,'Payments'!G61,'Expenses'!F61),IF(CHOOSE($M$42,'Clients'!K61,'Clients'!K61,'Viewings'!I61,'Deals'!C61,'Deals'!C61,'Deals'!C61,'Follow-ups'!L61,'Payments'!G61,'Expenses'!F61)="","",CHOOSE($M$42,'Clients'!K61,'Clients'!K61,'Viewings'!I61,'Deals'!C61,'Deals'!C61,'Deals'!C61,'Follow-ups'!L61,'Payments'!G61,'Expenses'!F61))))</x:f>
      </x:c>
      <x:c r="F103" s="432" t="str">
        <x:f>IF(B103="","",IF(ISNUMBER(CHOOSE($M$42,'Clients'!H61,'Clients'!H61,'Viewings'!E61,'Deals'!E61,'Deals'!E61,'Deals'!E61,'Follow-ups'!I61,"Receipt",'Expenses'!C61)),CHOOSE($M$42,'Clients'!H61,'Clients'!H61,'Viewings'!E61,'Deals'!E61,'Deals'!E61,'Deals'!E61,'Follow-ups'!I61,"Receipt",'Expenses'!C61),IF(CHOOSE($M$42,'Clients'!H61,'Clients'!H61,'Viewings'!E61,'Deals'!E61,'Deals'!E61,'Deals'!E61,'Follow-ups'!I61,"Receipt",'Expenses'!C61)="","",CHOOSE($M$42,'Clients'!H61,'Clients'!H61,'Viewings'!E61,'Deals'!E61,'Deals'!E61,'Deals'!E61,'Follow-ups'!I61,"Receipt",'Expenses'!C61))))</x:f>
      </x:c>
      <x:c r="G103" s="473" t="str">
        <x:f>IF(B103="","",IF(ISNUMBER(CHOOSE($M$42,"","","",'Deals'!F61,'Deals'!F61,'Deals'!F61,"",'Payments'!D61,'Expenses'!G61)),CHOOSE($M$42,"","","",'Deals'!F61,'Deals'!F61,'Deals'!F61,"",'Payments'!D61,'Expenses'!G61),IF(CHOOSE($M$42,"","","",'Deals'!F61,'Deals'!F61,'Deals'!F61,"",'Payments'!D61,'Expenses'!G61)="","",CHOOSE($M$42,"","","",'Deals'!F61,'Deals'!F61,'Deals'!F61,"",'Payments'!D61,'Expenses'!G61))))</x:f>
      </x:c>
      <x:c r="H103" s="432" t="n">
        <x:f>IF(AND($M$43=1,B103&lt;&gt;"",ISNUMBER(C103),C103&gt;=$G$6,C103&lt;$K$6+1),1,0)</x:f>
        <x:v>0</x:v>
      </x:c>
      <x:c r="I103" s="432" t="str">
        <x:f>IF(H103=0,"",COUNTIFS($H$48:$H$247,1,$C$48:$C$247,"&lt;"&amp;C103)+COUNTIFS($H$48:H103,1,$C$48:C103,C103))</x:f>
      </x:c>
      <x:c r="J103" s="432"/>
      <x:c r="K103" s="432"/>
      <x:c r="L103" s="432"/>
      <x:c r="M103" s="432"/>
      <x:c r="N103" s="432"/>
      <x:c r="O103" s="432"/>
      <x:c r="P103" s="432"/>
      <x:c r="Q103" s="432"/>
    </x:row>
    <x:row r="104" ht="25" customHeight="1">
      <x:c r="A104" s="432"/>
      <x:c r="B104" s="432" t="str">
        <x:f>IF(CHOOSE($M$42,'Clients'!A62,'Clients'!A62,'Viewings'!A62,'Deals'!A62,'Deals'!A62,'Deals'!A62,'Follow-ups'!A62,'Payments'!A62,'Expenses'!A62)="","",CHOOSE($M$42,'Clients'!A62,'Clients'!A62,'Viewings'!A62,'Deals'!A62,'Deals'!A62,'Deals'!A62,'Follow-ups'!A62,'Payments'!A62,'Expenses'!A62))</x:f>
      </x:c>
      <x:c r="C104" s="472" t="str">
        <x:f>IF(B104="","",IF(CHOOSE($M$42,'Clients'!R62,'Clients'!Q62,'Viewings'!D62,'Deals'!X62,'Deals'!Y62,'Deals'!Z62,'Follow-ups'!H62,'Payments'!C62,'Expenses'!B62)="","",CHOOSE($M$42,'Clients'!R62,'Clients'!Q62,'Viewings'!D62,'Deals'!X62,'Deals'!Y62,'Deals'!Z62,'Follow-ups'!H62,'Payments'!C62,'Expenses'!B62)))</x:f>
      </x:c>
      <x:c r="D104" s="432" t="str">
        <x:f>IF(B104="","",IF(ISNUMBER(CHOOSE($M$42,'Clients'!B62,'Clients'!B62,'Viewings'!H62,IF('Deals'!B62="","",IF(COUNTIFS('Clients'!$A$6:$A$205,'Deals'!B62)&lt;&gt;1,"Check Client ID",INDEX('Clients'!$B$6:$B$205,MATCH('Deals'!B62,'Clients'!$A$6:$A$205,0)))),IF('Deals'!B62="","",IF(COUNTIFS('Clients'!$A$6:$A$205,'Deals'!B62)&lt;&gt;1,"Check Client ID",INDEX('Clients'!$B$6:$B$205,MATCH('Deals'!B62,'Clients'!$A$6:$A$205,0)))),IF('Deals'!B62="","",IF(COUNTIFS('Clients'!$A$6:$A$205,'Deals'!B62)&lt;&gt;1,"Check Client ID",INDEX('Clients'!$B$6:$B$205,MATCH('Deals'!B62,'Clients'!$A$6:$A$205,0)))),'Follow-ups'!K62,'Payments'!B62,'Expenses'!D62)),CHOOSE($M$42,'Clients'!B62,'Clients'!B62,'Viewings'!H62,IF('Deals'!B62="","",IF(COUNTIFS('Clients'!$A$6:$A$205,'Deals'!B62)&lt;&gt;1,"Check Client ID",INDEX('Clients'!$B$6:$B$205,MATCH('Deals'!B62,'Clients'!$A$6:$A$205,0)))),IF('Deals'!B62="","",IF(COUNTIFS('Clients'!$A$6:$A$205,'Deals'!B62)&lt;&gt;1,"Check Client ID",INDEX('Clients'!$B$6:$B$205,MATCH('Deals'!B62,'Clients'!$A$6:$A$205,0)))),IF('Deals'!B62="","",IF(COUNTIFS('Clients'!$A$6:$A$205,'Deals'!B62)&lt;&gt;1,"Check Client ID",INDEX('Clients'!$B$6:$B$205,MATCH('Deals'!B62,'Clients'!$A$6:$A$205,0)))),'Follow-ups'!K62,'Payments'!B62,'Expenses'!D62),IF(CHOOSE($M$42,'Clients'!B62,'Clients'!B62,'Viewings'!H62,IF('Deals'!B62="","",IF(COUNTIFS('Clients'!$A$6:$A$205,'Deals'!B62)&lt;&gt;1,"Check Client ID",INDEX('Clients'!$B$6:$B$205,MATCH('Deals'!B62,'Clients'!$A$6:$A$205,0)))),IF('Deals'!B62="","",IF(COUNTIFS('Clients'!$A$6:$A$205,'Deals'!B62)&lt;&gt;1,"Check Client ID",INDEX('Clients'!$B$6:$B$205,MATCH('Deals'!B62,'Clients'!$A$6:$A$205,0)))),IF('Deals'!B62="","",IF(COUNTIFS('Clients'!$A$6:$A$205,'Deals'!B62)&lt;&gt;1,"Check Client ID",INDEX('Clients'!$B$6:$B$205,MATCH('Deals'!B62,'Clients'!$A$6:$A$205,0)))),'Follow-ups'!K62,'Payments'!B62,'Expenses'!D62)="","",CHOOSE($M$42,'Clients'!B62,'Clients'!B62,'Viewings'!H62,IF('Deals'!B62="","",IF(COUNTIFS('Clients'!$A$6:$A$205,'Deals'!B62)&lt;&gt;1,"Check Client ID",INDEX('Clients'!$B$6:$B$205,MATCH('Deals'!B62,'Clients'!$A$6:$A$205,0)))),IF('Deals'!B62="","",IF(COUNTIFS('Clients'!$A$6:$A$205,'Deals'!B62)&lt;&gt;1,"Check Client ID",INDEX('Clients'!$B$6:$B$205,MATCH('Deals'!B62,'Clients'!$A$6:$A$205,0)))),IF('Deals'!B62="","",IF(COUNTIFS('Clients'!$A$6:$A$205,'Deals'!B62)&lt;&gt;1,"Check Client ID",INDEX('Clients'!$B$6:$B$205,MATCH('Deals'!B62,'Clients'!$A$6:$A$205,0)))),'Follow-ups'!K62,'Payments'!B62,'Expenses'!D62))))</x:f>
      </x:c>
      <x:c r="E104" s="432" t="str">
        <x:f>IF(B104="","",IF(ISNUMBER(CHOOSE($M$42,'Clients'!K62,'Clients'!K62,'Viewings'!I62,'Deals'!C62,'Deals'!C62,'Deals'!C62,'Follow-ups'!L62,'Payments'!G62,'Expenses'!F62)),CHOOSE($M$42,'Clients'!K62,'Clients'!K62,'Viewings'!I62,'Deals'!C62,'Deals'!C62,'Deals'!C62,'Follow-ups'!L62,'Payments'!G62,'Expenses'!F62),IF(CHOOSE($M$42,'Clients'!K62,'Clients'!K62,'Viewings'!I62,'Deals'!C62,'Deals'!C62,'Deals'!C62,'Follow-ups'!L62,'Payments'!G62,'Expenses'!F62)="","",CHOOSE($M$42,'Clients'!K62,'Clients'!K62,'Viewings'!I62,'Deals'!C62,'Deals'!C62,'Deals'!C62,'Follow-ups'!L62,'Payments'!G62,'Expenses'!F62))))</x:f>
      </x:c>
      <x:c r="F104" s="432" t="str">
        <x:f>IF(B104="","",IF(ISNUMBER(CHOOSE($M$42,'Clients'!H62,'Clients'!H62,'Viewings'!E62,'Deals'!E62,'Deals'!E62,'Deals'!E62,'Follow-ups'!I62,"Receipt",'Expenses'!C62)),CHOOSE($M$42,'Clients'!H62,'Clients'!H62,'Viewings'!E62,'Deals'!E62,'Deals'!E62,'Deals'!E62,'Follow-ups'!I62,"Receipt",'Expenses'!C62),IF(CHOOSE($M$42,'Clients'!H62,'Clients'!H62,'Viewings'!E62,'Deals'!E62,'Deals'!E62,'Deals'!E62,'Follow-ups'!I62,"Receipt",'Expenses'!C62)="","",CHOOSE($M$42,'Clients'!H62,'Clients'!H62,'Viewings'!E62,'Deals'!E62,'Deals'!E62,'Deals'!E62,'Follow-ups'!I62,"Receipt",'Expenses'!C62))))</x:f>
      </x:c>
      <x:c r="G104" s="473" t="str">
        <x:f>IF(B104="","",IF(ISNUMBER(CHOOSE($M$42,"","","",'Deals'!F62,'Deals'!F62,'Deals'!F62,"",'Payments'!D62,'Expenses'!G62)),CHOOSE($M$42,"","","",'Deals'!F62,'Deals'!F62,'Deals'!F62,"",'Payments'!D62,'Expenses'!G62),IF(CHOOSE($M$42,"","","",'Deals'!F62,'Deals'!F62,'Deals'!F62,"",'Payments'!D62,'Expenses'!G62)="","",CHOOSE($M$42,"","","",'Deals'!F62,'Deals'!F62,'Deals'!F62,"",'Payments'!D62,'Expenses'!G62))))</x:f>
      </x:c>
      <x:c r="H104" s="432" t="n">
        <x:f>IF(AND($M$43=1,B104&lt;&gt;"",ISNUMBER(C104),C104&gt;=$G$6,C104&lt;$K$6+1),1,0)</x:f>
        <x:v>0</x:v>
      </x:c>
      <x:c r="I104" s="432" t="str">
        <x:f>IF(H104=0,"",COUNTIFS($H$48:$H$247,1,$C$48:$C$247,"&lt;"&amp;C104)+COUNTIFS($H$48:H104,1,$C$48:C104,C104))</x:f>
      </x:c>
      <x:c r="J104" s="432"/>
      <x:c r="K104" s="432"/>
      <x:c r="L104" s="432"/>
      <x:c r="M104" s="432"/>
      <x:c r="N104" s="432"/>
      <x:c r="O104" s="432"/>
      <x:c r="P104" s="432"/>
      <x:c r="Q104" s="432"/>
    </x:row>
    <x:row r="105" ht="25" customHeight="1">
      <x:c r="A105" s="432"/>
      <x:c r="B105" s="432" t="str">
        <x:f>IF(CHOOSE($M$42,'Clients'!A63,'Clients'!A63,'Viewings'!A63,'Deals'!A63,'Deals'!A63,'Deals'!A63,'Follow-ups'!A63,'Payments'!A63,'Expenses'!A63)="","",CHOOSE($M$42,'Clients'!A63,'Clients'!A63,'Viewings'!A63,'Deals'!A63,'Deals'!A63,'Deals'!A63,'Follow-ups'!A63,'Payments'!A63,'Expenses'!A63))</x:f>
      </x:c>
      <x:c r="C105" s="472" t="str">
        <x:f>IF(B105="","",IF(CHOOSE($M$42,'Clients'!R63,'Clients'!Q63,'Viewings'!D63,'Deals'!X63,'Deals'!Y63,'Deals'!Z63,'Follow-ups'!H63,'Payments'!C63,'Expenses'!B63)="","",CHOOSE($M$42,'Clients'!R63,'Clients'!Q63,'Viewings'!D63,'Deals'!X63,'Deals'!Y63,'Deals'!Z63,'Follow-ups'!H63,'Payments'!C63,'Expenses'!B63)))</x:f>
      </x:c>
      <x:c r="D105" s="432" t="str">
        <x:f>IF(B105="","",IF(ISNUMBER(CHOOSE($M$42,'Clients'!B63,'Clients'!B63,'Viewings'!H63,IF('Deals'!B63="","",IF(COUNTIFS('Clients'!$A$6:$A$205,'Deals'!B63)&lt;&gt;1,"Check Client ID",INDEX('Clients'!$B$6:$B$205,MATCH('Deals'!B63,'Clients'!$A$6:$A$205,0)))),IF('Deals'!B63="","",IF(COUNTIFS('Clients'!$A$6:$A$205,'Deals'!B63)&lt;&gt;1,"Check Client ID",INDEX('Clients'!$B$6:$B$205,MATCH('Deals'!B63,'Clients'!$A$6:$A$205,0)))),IF('Deals'!B63="","",IF(COUNTIFS('Clients'!$A$6:$A$205,'Deals'!B63)&lt;&gt;1,"Check Client ID",INDEX('Clients'!$B$6:$B$205,MATCH('Deals'!B63,'Clients'!$A$6:$A$205,0)))),'Follow-ups'!K63,'Payments'!B63,'Expenses'!D63)),CHOOSE($M$42,'Clients'!B63,'Clients'!B63,'Viewings'!H63,IF('Deals'!B63="","",IF(COUNTIFS('Clients'!$A$6:$A$205,'Deals'!B63)&lt;&gt;1,"Check Client ID",INDEX('Clients'!$B$6:$B$205,MATCH('Deals'!B63,'Clients'!$A$6:$A$205,0)))),IF('Deals'!B63="","",IF(COUNTIFS('Clients'!$A$6:$A$205,'Deals'!B63)&lt;&gt;1,"Check Client ID",INDEX('Clients'!$B$6:$B$205,MATCH('Deals'!B63,'Clients'!$A$6:$A$205,0)))),IF('Deals'!B63="","",IF(COUNTIFS('Clients'!$A$6:$A$205,'Deals'!B63)&lt;&gt;1,"Check Client ID",INDEX('Clients'!$B$6:$B$205,MATCH('Deals'!B63,'Clients'!$A$6:$A$205,0)))),'Follow-ups'!K63,'Payments'!B63,'Expenses'!D63),IF(CHOOSE($M$42,'Clients'!B63,'Clients'!B63,'Viewings'!H63,IF('Deals'!B63="","",IF(COUNTIFS('Clients'!$A$6:$A$205,'Deals'!B63)&lt;&gt;1,"Check Client ID",INDEX('Clients'!$B$6:$B$205,MATCH('Deals'!B63,'Clients'!$A$6:$A$205,0)))),IF('Deals'!B63="","",IF(COUNTIFS('Clients'!$A$6:$A$205,'Deals'!B63)&lt;&gt;1,"Check Client ID",INDEX('Clients'!$B$6:$B$205,MATCH('Deals'!B63,'Clients'!$A$6:$A$205,0)))),IF('Deals'!B63="","",IF(COUNTIFS('Clients'!$A$6:$A$205,'Deals'!B63)&lt;&gt;1,"Check Client ID",INDEX('Clients'!$B$6:$B$205,MATCH('Deals'!B63,'Clients'!$A$6:$A$205,0)))),'Follow-ups'!K63,'Payments'!B63,'Expenses'!D63)="","",CHOOSE($M$42,'Clients'!B63,'Clients'!B63,'Viewings'!H63,IF('Deals'!B63="","",IF(COUNTIFS('Clients'!$A$6:$A$205,'Deals'!B63)&lt;&gt;1,"Check Client ID",INDEX('Clients'!$B$6:$B$205,MATCH('Deals'!B63,'Clients'!$A$6:$A$205,0)))),IF('Deals'!B63="","",IF(COUNTIFS('Clients'!$A$6:$A$205,'Deals'!B63)&lt;&gt;1,"Check Client ID",INDEX('Clients'!$B$6:$B$205,MATCH('Deals'!B63,'Clients'!$A$6:$A$205,0)))),IF('Deals'!B63="","",IF(COUNTIFS('Clients'!$A$6:$A$205,'Deals'!B63)&lt;&gt;1,"Check Client ID",INDEX('Clients'!$B$6:$B$205,MATCH('Deals'!B63,'Clients'!$A$6:$A$205,0)))),'Follow-ups'!K63,'Payments'!B63,'Expenses'!D63))))</x:f>
      </x:c>
      <x:c r="E105" s="432" t="str">
        <x:f>IF(B105="","",IF(ISNUMBER(CHOOSE($M$42,'Clients'!K63,'Clients'!K63,'Viewings'!I63,'Deals'!C63,'Deals'!C63,'Deals'!C63,'Follow-ups'!L63,'Payments'!G63,'Expenses'!F63)),CHOOSE($M$42,'Clients'!K63,'Clients'!K63,'Viewings'!I63,'Deals'!C63,'Deals'!C63,'Deals'!C63,'Follow-ups'!L63,'Payments'!G63,'Expenses'!F63),IF(CHOOSE($M$42,'Clients'!K63,'Clients'!K63,'Viewings'!I63,'Deals'!C63,'Deals'!C63,'Deals'!C63,'Follow-ups'!L63,'Payments'!G63,'Expenses'!F63)="","",CHOOSE($M$42,'Clients'!K63,'Clients'!K63,'Viewings'!I63,'Deals'!C63,'Deals'!C63,'Deals'!C63,'Follow-ups'!L63,'Payments'!G63,'Expenses'!F63))))</x:f>
      </x:c>
      <x:c r="F105" s="432" t="str">
        <x:f>IF(B105="","",IF(ISNUMBER(CHOOSE($M$42,'Clients'!H63,'Clients'!H63,'Viewings'!E63,'Deals'!E63,'Deals'!E63,'Deals'!E63,'Follow-ups'!I63,"Receipt",'Expenses'!C63)),CHOOSE($M$42,'Clients'!H63,'Clients'!H63,'Viewings'!E63,'Deals'!E63,'Deals'!E63,'Deals'!E63,'Follow-ups'!I63,"Receipt",'Expenses'!C63),IF(CHOOSE($M$42,'Clients'!H63,'Clients'!H63,'Viewings'!E63,'Deals'!E63,'Deals'!E63,'Deals'!E63,'Follow-ups'!I63,"Receipt",'Expenses'!C63)="","",CHOOSE($M$42,'Clients'!H63,'Clients'!H63,'Viewings'!E63,'Deals'!E63,'Deals'!E63,'Deals'!E63,'Follow-ups'!I63,"Receipt",'Expenses'!C63))))</x:f>
      </x:c>
      <x:c r="G105" s="473" t="str">
        <x:f>IF(B105="","",IF(ISNUMBER(CHOOSE($M$42,"","","",'Deals'!F63,'Deals'!F63,'Deals'!F63,"",'Payments'!D63,'Expenses'!G63)),CHOOSE($M$42,"","","",'Deals'!F63,'Deals'!F63,'Deals'!F63,"",'Payments'!D63,'Expenses'!G63),IF(CHOOSE($M$42,"","","",'Deals'!F63,'Deals'!F63,'Deals'!F63,"",'Payments'!D63,'Expenses'!G63)="","",CHOOSE($M$42,"","","",'Deals'!F63,'Deals'!F63,'Deals'!F63,"",'Payments'!D63,'Expenses'!G63))))</x:f>
      </x:c>
      <x:c r="H105" s="432" t="n">
        <x:f>IF(AND($M$43=1,B105&lt;&gt;"",ISNUMBER(C105),C105&gt;=$G$6,C105&lt;$K$6+1),1,0)</x:f>
        <x:v>0</x:v>
      </x:c>
      <x:c r="I105" s="432" t="str">
        <x:f>IF(H105=0,"",COUNTIFS($H$48:$H$247,1,$C$48:$C$247,"&lt;"&amp;C105)+COUNTIFS($H$48:H105,1,$C$48:C105,C105))</x:f>
      </x:c>
      <x:c r="J105" s="432"/>
      <x:c r="K105" s="432"/>
      <x:c r="L105" s="432"/>
      <x:c r="M105" s="432"/>
      <x:c r="N105" s="432"/>
      <x:c r="O105" s="432"/>
      <x:c r="P105" s="432"/>
      <x:c r="Q105" s="432"/>
    </x:row>
    <x:row r="106" ht="25" customHeight="1">
      <x:c r="A106" s="432"/>
      <x:c r="B106" s="432" t="str">
        <x:f>IF(CHOOSE($M$42,'Clients'!A64,'Clients'!A64,'Viewings'!A64,'Deals'!A64,'Deals'!A64,'Deals'!A64,'Follow-ups'!A64,'Payments'!A64,'Expenses'!A64)="","",CHOOSE($M$42,'Clients'!A64,'Clients'!A64,'Viewings'!A64,'Deals'!A64,'Deals'!A64,'Deals'!A64,'Follow-ups'!A64,'Payments'!A64,'Expenses'!A64))</x:f>
      </x:c>
      <x:c r="C106" s="472" t="str">
        <x:f>IF(B106="","",IF(CHOOSE($M$42,'Clients'!R64,'Clients'!Q64,'Viewings'!D64,'Deals'!X64,'Deals'!Y64,'Deals'!Z64,'Follow-ups'!H64,'Payments'!C64,'Expenses'!B64)="","",CHOOSE($M$42,'Clients'!R64,'Clients'!Q64,'Viewings'!D64,'Deals'!X64,'Deals'!Y64,'Deals'!Z64,'Follow-ups'!H64,'Payments'!C64,'Expenses'!B64)))</x:f>
      </x:c>
      <x:c r="D106" s="432" t="str">
        <x:f>IF(B106="","",IF(ISNUMBER(CHOOSE($M$42,'Clients'!B64,'Clients'!B64,'Viewings'!H64,IF('Deals'!B64="","",IF(COUNTIFS('Clients'!$A$6:$A$205,'Deals'!B64)&lt;&gt;1,"Check Client ID",INDEX('Clients'!$B$6:$B$205,MATCH('Deals'!B64,'Clients'!$A$6:$A$205,0)))),IF('Deals'!B64="","",IF(COUNTIFS('Clients'!$A$6:$A$205,'Deals'!B64)&lt;&gt;1,"Check Client ID",INDEX('Clients'!$B$6:$B$205,MATCH('Deals'!B64,'Clients'!$A$6:$A$205,0)))),IF('Deals'!B64="","",IF(COUNTIFS('Clients'!$A$6:$A$205,'Deals'!B64)&lt;&gt;1,"Check Client ID",INDEX('Clients'!$B$6:$B$205,MATCH('Deals'!B64,'Clients'!$A$6:$A$205,0)))),'Follow-ups'!K64,'Payments'!B64,'Expenses'!D64)),CHOOSE($M$42,'Clients'!B64,'Clients'!B64,'Viewings'!H64,IF('Deals'!B64="","",IF(COUNTIFS('Clients'!$A$6:$A$205,'Deals'!B64)&lt;&gt;1,"Check Client ID",INDEX('Clients'!$B$6:$B$205,MATCH('Deals'!B64,'Clients'!$A$6:$A$205,0)))),IF('Deals'!B64="","",IF(COUNTIFS('Clients'!$A$6:$A$205,'Deals'!B64)&lt;&gt;1,"Check Client ID",INDEX('Clients'!$B$6:$B$205,MATCH('Deals'!B64,'Clients'!$A$6:$A$205,0)))),IF('Deals'!B64="","",IF(COUNTIFS('Clients'!$A$6:$A$205,'Deals'!B64)&lt;&gt;1,"Check Client ID",INDEX('Clients'!$B$6:$B$205,MATCH('Deals'!B64,'Clients'!$A$6:$A$205,0)))),'Follow-ups'!K64,'Payments'!B64,'Expenses'!D64),IF(CHOOSE($M$42,'Clients'!B64,'Clients'!B64,'Viewings'!H64,IF('Deals'!B64="","",IF(COUNTIFS('Clients'!$A$6:$A$205,'Deals'!B64)&lt;&gt;1,"Check Client ID",INDEX('Clients'!$B$6:$B$205,MATCH('Deals'!B64,'Clients'!$A$6:$A$205,0)))),IF('Deals'!B64="","",IF(COUNTIFS('Clients'!$A$6:$A$205,'Deals'!B64)&lt;&gt;1,"Check Client ID",INDEX('Clients'!$B$6:$B$205,MATCH('Deals'!B64,'Clients'!$A$6:$A$205,0)))),IF('Deals'!B64="","",IF(COUNTIFS('Clients'!$A$6:$A$205,'Deals'!B64)&lt;&gt;1,"Check Client ID",INDEX('Clients'!$B$6:$B$205,MATCH('Deals'!B64,'Clients'!$A$6:$A$205,0)))),'Follow-ups'!K64,'Payments'!B64,'Expenses'!D64)="","",CHOOSE($M$42,'Clients'!B64,'Clients'!B64,'Viewings'!H64,IF('Deals'!B64="","",IF(COUNTIFS('Clients'!$A$6:$A$205,'Deals'!B64)&lt;&gt;1,"Check Client ID",INDEX('Clients'!$B$6:$B$205,MATCH('Deals'!B64,'Clients'!$A$6:$A$205,0)))),IF('Deals'!B64="","",IF(COUNTIFS('Clients'!$A$6:$A$205,'Deals'!B64)&lt;&gt;1,"Check Client ID",INDEX('Clients'!$B$6:$B$205,MATCH('Deals'!B64,'Clients'!$A$6:$A$205,0)))),IF('Deals'!B64="","",IF(COUNTIFS('Clients'!$A$6:$A$205,'Deals'!B64)&lt;&gt;1,"Check Client ID",INDEX('Clients'!$B$6:$B$205,MATCH('Deals'!B64,'Clients'!$A$6:$A$205,0)))),'Follow-ups'!K64,'Payments'!B64,'Expenses'!D64))))</x:f>
      </x:c>
      <x:c r="E106" s="432" t="str">
        <x:f>IF(B106="","",IF(ISNUMBER(CHOOSE($M$42,'Clients'!K64,'Clients'!K64,'Viewings'!I64,'Deals'!C64,'Deals'!C64,'Deals'!C64,'Follow-ups'!L64,'Payments'!G64,'Expenses'!F64)),CHOOSE($M$42,'Clients'!K64,'Clients'!K64,'Viewings'!I64,'Deals'!C64,'Deals'!C64,'Deals'!C64,'Follow-ups'!L64,'Payments'!G64,'Expenses'!F64),IF(CHOOSE($M$42,'Clients'!K64,'Clients'!K64,'Viewings'!I64,'Deals'!C64,'Deals'!C64,'Deals'!C64,'Follow-ups'!L64,'Payments'!G64,'Expenses'!F64)="","",CHOOSE($M$42,'Clients'!K64,'Clients'!K64,'Viewings'!I64,'Deals'!C64,'Deals'!C64,'Deals'!C64,'Follow-ups'!L64,'Payments'!G64,'Expenses'!F64))))</x:f>
      </x:c>
      <x:c r="F106" s="432" t="str">
        <x:f>IF(B106="","",IF(ISNUMBER(CHOOSE($M$42,'Clients'!H64,'Clients'!H64,'Viewings'!E64,'Deals'!E64,'Deals'!E64,'Deals'!E64,'Follow-ups'!I64,"Receipt",'Expenses'!C64)),CHOOSE($M$42,'Clients'!H64,'Clients'!H64,'Viewings'!E64,'Deals'!E64,'Deals'!E64,'Deals'!E64,'Follow-ups'!I64,"Receipt",'Expenses'!C64),IF(CHOOSE($M$42,'Clients'!H64,'Clients'!H64,'Viewings'!E64,'Deals'!E64,'Deals'!E64,'Deals'!E64,'Follow-ups'!I64,"Receipt",'Expenses'!C64)="","",CHOOSE($M$42,'Clients'!H64,'Clients'!H64,'Viewings'!E64,'Deals'!E64,'Deals'!E64,'Deals'!E64,'Follow-ups'!I64,"Receipt",'Expenses'!C64))))</x:f>
      </x:c>
      <x:c r="G106" s="473" t="str">
        <x:f>IF(B106="","",IF(ISNUMBER(CHOOSE($M$42,"","","",'Deals'!F64,'Deals'!F64,'Deals'!F64,"",'Payments'!D64,'Expenses'!G64)),CHOOSE($M$42,"","","",'Deals'!F64,'Deals'!F64,'Deals'!F64,"",'Payments'!D64,'Expenses'!G64),IF(CHOOSE($M$42,"","","",'Deals'!F64,'Deals'!F64,'Deals'!F64,"",'Payments'!D64,'Expenses'!G64)="","",CHOOSE($M$42,"","","",'Deals'!F64,'Deals'!F64,'Deals'!F64,"",'Payments'!D64,'Expenses'!G64))))</x:f>
      </x:c>
      <x:c r="H106" s="432" t="n">
        <x:f>IF(AND($M$43=1,B106&lt;&gt;"",ISNUMBER(C106),C106&gt;=$G$6,C106&lt;$K$6+1),1,0)</x:f>
        <x:v>0</x:v>
      </x:c>
      <x:c r="I106" s="432" t="str">
        <x:f>IF(H106=0,"",COUNTIFS($H$48:$H$247,1,$C$48:$C$247,"&lt;"&amp;C106)+COUNTIFS($H$48:H106,1,$C$48:C106,C106))</x:f>
      </x:c>
      <x:c r="J106" s="432"/>
      <x:c r="K106" s="432"/>
      <x:c r="L106" s="432"/>
      <x:c r="M106" s="432"/>
      <x:c r="N106" s="432"/>
      <x:c r="O106" s="432"/>
      <x:c r="P106" s="432"/>
      <x:c r="Q106" s="432"/>
    </x:row>
    <x:row r="107" ht="25" customHeight="1">
      <x:c r="A107" s="432"/>
      <x:c r="B107" s="432" t="str">
        <x:f>IF(CHOOSE($M$42,'Clients'!A65,'Clients'!A65,'Viewings'!A65,'Deals'!A65,'Deals'!A65,'Deals'!A65,'Follow-ups'!A65,'Payments'!A65,'Expenses'!A65)="","",CHOOSE($M$42,'Clients'!A65,'Clients'!A65,'Viewings'!A65,'Deals'!A65,'Deals'!A65,'Deals'!A65,'Follow-ups'!A65,'Payments'!A65,'Expenses'!A65))</x:f>
      </x:c>
      <x:c r="C107" s="472" t="str">
        <x:f>IF(B107="","",IF(CHOOSE($M$42,'Clients'!R65,'Clients'!Q65,'Viewings'!D65,'Deals'!X65,'Deals'!Y65,'Deals'!Z65,'Follow-ups'!H65,'Payments'!C65,'Expenses'!B65)="","",CHOOSE($M$42,'Clients'!R65,'Clients'!Q65,'Viewings'!D65,'Deals'!X65,'Deals'!Y65,'Deals'!Z65,'Follow-ups'!H65,'Payments'!C65,'Expenses'!B65)))</x:f>
      </x:c>
      <x:c r="D107" s="432" t="str">
        <x:f>IF(B107="","",IF(ISNUMBER(CHOOSE($M$42,'Clients'!B65,'Clients'!B65,'Viewings'!H65,IF('Deals'!B65="","",IF(COUNTIFS('Clients'!$A$6:$A$205,'Deals'!B65)&lt;&gt;1,"Check Client ID",INDEX('Clients'!$B$6:$B$205,MATCH('Deals'!B65,'Clients'!$A$6:$A$205,0)))),IF('Deals'!B65="","",IF(COUNTIFS('Clients'!$A$6:$A$205,'Deals'!B65)&lt;&gt;1,"Check Client ID",INDEX('Clients'!$B$6:$B$205,MATCH('Deals'!B65,'Clients'!$A$6:$A$205,0)))),IF('Deals'!B65="","",IF(COUNTIFS('Clients'!$A$6:$A$205,'Deals'!B65)&lt;&gt;1,"Check Client ID",INDEX('Clients'!$B$6:$B$205,MATCH('Deals'!B65,'Clients'!$A$6:$A$205,0)))),'Follow-ups'!K65,'Payments'!B65,'Expenses'!D65)),CHOOSE($M$42,'Clients'!B65,'Clients'!B65,'Viewings'!H65,IF('Deals'!B65="","",IF(COUNTIFS('Clients'!$A$6:$A$205,'Deals'!B65)&lt;&gt;1,"Check Client ID",INDEX('Clients'!$B$6:$B$205,MATCH('Deals'!B65,'Clients'!$A$6:$A$205,0)))),IF('Deals'!B65="","",IF(COUNTIFS('Clients'!$A$6:$A$205,'Deals'!B65)&lt;&gt;1,"Check Client ID",INDEX('Clients'!$B$6:$B$205,MATCH('Deals'!B65,'Clients'!$A$6:$A$205,0)))),IF('Deals'!B65="","",IF(COUNTIFS('Clients'!$A$6:$A$205,'Deals'!B65)&lt;&gt;1,"Check Client ID",INDEX('Clients'!$B$6:$B$205,MATCH('Deals'!B65,'Clients'!$A$6:$A$205,0)))),'Follow-ups'!K65,'Payments'!B65,'Expenses'!D65),IF(CHOOSE($M$42,'Clients'!B65,'Clients'!B65,'Viewings'!H65,IF('Deals'!B65="","",IF(COUNTIFS('Clients'!$A$6:$A$205,'Deals'!B65)&lt;&gt;1,"Check Client ID",INDEX('Clients'!$B$6:$B$205,MATCH('Deals'!B65,'Clients'!$A$6:$A$205,0)))),IF('Deals'!B65="","",IF(COUNTIFS('Clients'!$A$6:$A$205,'Deals'!B65)&lt;&gt;1,"Check Client ID",INDEX('Clients'!$B$6:$B$205,MATCH('Deals'!B65,'Clients'!$A$6:$A$205,0)))),IF('Deals'!B65="","",IF(COUNTIFS('Clients'!$A$6:$A$205,'Deals'!B65)&lt;&gt;1,"Check Client ID",INDEX('Clients'!$B$6:$B$205,MATCH('Deals'!B65,'Clients'!$A$6:$A$205,0)))),'Follow-ups'!K65,'Payments'!B65,'Expenses'!D65)="","",CHOOSE($M$42,'Clients'!B65,'Clients'!B65,'Viewings'!H65,IF('Deals'!B65="","",IF(COUNTIFS('Clients'!$A$6:$A$205,'Deals'!B65)&lt;&gt;1,"Check Client ID",INDEX('Clients'!$B$6:$B$205,MATCH('Deals'!B65,'Clients'!$A$6:$A$205,0)))),IF('Deals'!B65="","",IF(COUNTIFS('Clients'!$A$6:$A$205,'Deals'!B65)&lt;&gt;1,"Check Client ID",INDEX('Clients'!$B$6:$B$205,MATCH('Deals'!B65,'Clients'!$A$6:$A$205,0)))),IF('Deals'!B65="","",IF(COUNTIFS('Clients'!$A$6:$A$205,'Deals'!B65)&lt;&gt;1,"Check Client ID",INDEX('Clients'!$B$6:$B$205,MATCH('Deals'!B65,'Clients'!$A$6:$A$205,0)))),'Follow-ups'!K65,'Payments'!B65,'Expenses'!D65))))</x:f>
      </x:c>
      <x:c r="E107" s="432" t="str">
        <x:f>IF(B107="","",IF(ISNUMBER(CHOOSE($M$42,'Clients'!K65,'Clients'!K65,'Viewings'!I65,'Deals'!C65,'Deals'!C65,'Deals'!C65,'Follow-ups'!L65,'Payments'!G65,'Expenses'!F65)),CHOOSE($M$42,'Clients'!K65,'Clients'!K65,'Viewings'!I65,'Deals'!C65,'Deals'!C65,'Deals'!C65,'Follow-ups'!L65,'Payments'!G65,'Expenses'!F65),IF(CHOOSE($M$42,'Clients'!K65,'Clients'!K65,'Viewings'!I65,'Deals'!C65,'Deals'!C65,'Deals'!C65,'Follow-ups'!L65,'Payments'!G65,'Expenses'!F65)="","",CHOOSE($M$42,'Clients'!K65,'Clients'!K65,'Viewings'!I65,'Deals'!C65,'Deals'!C65,'Deals'!C65,'Follow-ups'!L65,'Payments'!G65,'Expenses'!F65))))</x:f>
      </x:c>
      <x:c r="F107" s="432" t="str">
        <x:f>IF(B107="","",IF(ISNUMBER(CHOOSE($M$42,'Clients'!H65,'Clients'!H65,'Viewings'!E65,'Deals'!E65,'Deals'!E65,'Deals'!E65,'Follow-ups'!I65,"Receipt",'Expenses'!C65)),CHOOSE($M$42,'Clients'!H65,'Clients'!H65,'Viewings'!E65,'Deals'!E65,'Deals'!E65,'Deals'!E65,'Follow-ups'!I65,"Receipt",'Expenses'!C65),IF(CHOOSE($M$42,'Clients'!H65,'Clients'!H65,'Viewings'!E65,'Deals'!E65,'Deals'!E65,'Deals'!E65,'Follow-ups'!I65,"Receipt",'Expenses'!C65)="","",CHOOSE($M$42,'Clients'!H65,'Clients'!H65,'Viewings'!E65,'Deals'!E65,'Deals'!E65,'Deals'!E65,'Follow-ups'!I65,"Receipt",'Expenses'!C65))))</x:f>
      </x:c>
      <x:c r="G107" s="473" t="str">
        <x:f>IF(B107="","",IF(ISNUMBER(CHOOSE($M$42,"","","",'Deals'!F65,'Deals'!F65,'Deals'!F65,"",'Payments'!D65,'Expenses'!G65)),CHOOSE($M$42,"","","",'Deals'!F65,'Deals'!F65,'Deals'!F65,"",'Payments'!D65,'Expenses'!G65),IF(CHOOSE($M$42,"","","",'Deals'!F65,'Deals'!F65,'Deals'!F65,"",'Payments'!D65,'Expenses'!G65)="","",CHOOSE($M$42,"","","",'Deals'!F65,'Deals'!F65,'Deals'!F65,"",'Payments'!D65,'Expenses'!G65))))</x:f>
      </x:c>
      <x:c r="H107" s="432" t="n">
        <x:f>IF(AND($M$43=1,B107&lt;&gt;"",ISNUMBER(C107),C107&gt;=$G$6,C107&lt;$K$6+1),1,0)</x:f>
        <x:v>0</x:v>
      </x:c>
      <x:c r="I107" s="432" t="str">
        <x:f>IF(H107=0,"",COUNTIFS($H$48:$H$247,1,$C$48:$C$247,"&lt;"&amp;C107)+COUNTIFS($H$48:H107,1,$C$48:C107,C107))</x:f>
      </x:c>
      <x:c r="J107" s="432"/>
      <x:c r="K107" s="432"/>
      <x:c r="L107" s="432"/>
      <x:c r="M107" s="432"/>
      <x:c r="N107" s="432"/>
      <x:c r="O107" s="432"/>
      <x:c r="P107" s="432"/>
      <x:c r="Q107" s="432"/>
    </x:row>
    <x:row r="108" ht="25" customHeight="1">
      <x:c r="A108" s="432"/>
      <x:c r="B108" s="432" t="str">
        <x:f>IF(CHOOSE($M$42,'Clients'!A66,'Clients'!A66,'Viewings'!A66,'Deals'!A66,'Deals'!A66,'Deals'!A66,'Follow-ups'!A66,'Payments'!A66,'Expenses'!A66)="","",CHOOSE($M$42,'Clients'!A66,'Clients'!A66,'Viewings'!A66,'Deals'!A66,'Deals'!A66,'Deals'!A66,'Follow-ups'!A66,'Payments'!A66,'Expenses'!A66))</x:f>
      </x:c>
      <x:c r="C108" s="472" t="str">
        <x:f>IF(B108="","",IF(CHOOSE($M$42,'Clients'!R66,'Clients'!Q66,'Viewings'!D66,'Deals'!X66,'Deals'!Y66,'Deals'!Z66,'Follow-ups'!H66,'Payments'!C66,'Expenses'!B66)="","",CHOOSE($M$42,'Clients'!R66,'Clients'!Q66,'Viewings'!D66,'Deals'!X66,'Deals'!Y66,'Deals'!Z66,'Follow-ups'!H66,'Payments'!C66,'Expenses'!B66)))</x:f>
      </x:c>
      <x:c r="D108" s="432" t="str">
        <x:f>IF(B108="","",IF(ISNUMBER(CHOOSE($M$42,'Clients'!B66,'Clients'!B66,'Viewings'!H66,IF('Deals'!B66="","",IF(COUNTIFS('Clients'!$A$6:$A$205,'Deals'!B66)&lt;&gt;1,"Check Client ID",INDEX('Clients'!$B$6:$B$205,MATCH('Deals'!B66,'Clients'!$A$6:$A$205,0)))),IF('Deals'!B66="","",IF(COUNTIFS('Clients'!$A$6:$A$205,'Deals'!B66)&lt;&gt;1,"Check Client ID",INDEX('Clients'!$B$6:$B$205,MATCH('Deals'!B66,'Clients'!$A$6:$A$205,0)))),IF('Deals'!B66="","",IF(COUNTIFS('Clients'!$A$6:$A$205,'Deals'!B66)&lt;&gt;1,"Check Client ID",INDEX('Clients'!$B$6:$B$205,MATCH('Deals'!B66,'Clients'!$A$6:$A$205,0)))),'Follow-ups'!K66,'Payments'!B66,'Expenses'!D66)),CHOOSE($M$42,'Clients'!B66,'Clients'!B66,'Viewings'!H66,IF('Deals'!B66="","",IF(COUNTIFS('Clients'!$A$6:$A$205,'Deals'!B66)&lt;&gt;1,"Check Client ID",INDEX('Clients'!$B$6:$B$205,MATCH('Deals'!B66,'Clients'!$A$6:$A$205,0)))),IF('Deals'!B66="","",IF(COUNTIFS('Clients'!$A$6:$A$205,'Deals'!B66)&lt;&gt;1,"Check Client ID",INDEX('Clients'!$B$6:$B$205,MATCH('Deals'!B66,'Clients'!$A$6:$A$205,0)))),IF('Deals'!B66="","",IF(COUNTIFS('Clients'!$A$6:$A$205,'Deals'!B66)&lt;&gt;1,"Check Client ID",INDEX('Clients'!$B$6:$B$205,MATCH('Deals'!B66,'Clients'!$A$6:$A$205,0)))),'Follow-ups'!K66,'Payments'!B66,'Expenses'!D66),IF(CHOOSE($M$42,'Clients'!B66,'Clients'!B66,'Viewings'!H66,IF('Deals'!B66="","",IF(COUNTIFS('Clients'!$A$6:$A$205,'Deals'!B66)&lt;&gt;1,"Check Client ID",INDEX('Clients'!$B$6:$B$205,MATCH('Deals'!B66,'Clients'!$A$6:$A$205,0)))),IF('Deals'!B66="","",IF(COUNTIFS('Clients'!$A$6:$A$205,'Deals'!B66)&lt;&gt;1,"Check Client ID",INDEX('Clients'!$B$6:$B$205,MATCH('Deals'!B66,'Clients'!$A$6:$A$205,0)))),IF('Deals'!B66="","",IF(COUNTIFS('Clients'!$A$6:$A$205,'Deals'!B66)&lt;&gt;1,"Check Client ID",INDEX('Clients'!$B$6:$B$205,MATCH('Deals'!B66,'Clients'!$A$6:$A$205,0)))),'Follow-ups'!K66,'Payments'!B66,'Expenses'!D66)="","",CHOOSE($M$42,'Clients'!B66,'Clients'!B66,'Viewings'!H66,IF('Deals'!B66="","",IF(COUNTIFS('Clients'!$A$6:$A$205,'Deals'!B66)&lt;&gt;1,"Check Client ID",INDEX('Clients'!$B$6:$B$205,MATCH('Deals'!B66,'Clients'!$A$6:$A$205,0)))),IF('Deals'!B66="","",IF(COUNTIFS('Clients'!$A$6:$A$205,'Deals'!B66)&lt;&gt;1,"Check Client ID",INDEX('Clients'!$B$6:$B$205,MATCH('Deals'!B66,'Clients'!$A$6:$A$205,0)))),IF('Deals'!B66="","",IF(COUNTIFS('Clients'!$A$6:$A$205,'Deals'!B66)&lt;&gt;1,"Check Client ID",INDEX('Clients'!$B$6:$B$205,MATCH('Deals'!B66,'Clients'!$A$6:$A$205,0)))),'Follow-ups'!K66,'Payments'!B66,'Expenses'!D66))))</x:f>
      </x:c>
      <x:c r="E108" s="432" t="str">
        <x:f>IF(B108="","",IF(ISNUMBER(CHOOSE($M$42,'Clients'!K66,'Clients'!K66,'Viewings'!I66,'Deals'!C66,'Deals'!C66,'Deals'!C66,'Follow-ups'!L66,'Payments'!G66,'Expenses'!F66)),CHOOSE($M$42,'Clients'!K66,'Clients'!K66,'Viewings'!I66,'Deals'!C66,'Deals'!C66,'Deals'!C66,'Follow-ups'!L66,'Payments'!G66,'Expenses'!F66),IF(CHOOSE($M$42,'Clients'!K66,'Clients'!K66,'Viewings'!I66,'Deals'!C66,'Deals'!C66,'Deals'!C66,'Follow-ups'!L66,'Payments'!G66,'Expenses'!F66)="","",CHOOSE($M$42,'Clients'!K66,'Clients'!K66,'Viewings'!I66,'Deals'!C66,'Deals'!C66,'Deals'!C66,'Follow-ups'!L66,'Payments'!G66,'Expenses'!F66))))</x:f>
      </x:c>
      <x:c r="F108" s="432" t="str">
        <x:f>IF(B108="","",IF(ISNUMBER(CHOOSE($M$42,'Clients'!H66,'Clients'!H66,'Viewings'!E66,'Deals'!E66,'Deals'!E66,'Deals'!E66,'Follow-ups'!I66,"Receipt",'Expenses'!C66)),CHOOSE($M$42,'Clients'!H66,'Clients'!H66,'Viewings'!E66,'Deals'!E66,'Deals'!E66,'Deals'!E66,'Follow-ups'!I66,"Receipt",'Expenses'!C66),IF(CHOOSE($M$42,'Clients'!H66,'Clients'!H66,'Viewings'!E66,'Deals'!E66,'Deals'!E66,'Deals'!E66,'Follow-ups'!I66,"Receipt",'Expenses'!C66)="","",CHOOSE($M$42,'Clients'!H66,'Clients'!H66,'Viewings'!E66,'Deals'!E66,'Deals'!E66,'Deals'!E66,'Follow-ups'!I66,"Receipt",'Expenses'!C66))))</x:f>
      </x:c>
      <x:c r="G108" s="473" t="str">
        <x:f>IF(B108="","",IF(ISNUMBER(CHOOSE($M$42,"","","",'Deals'!F66,'Deals'!F66,'Deals'!F66,"",'Payments'!D66,'Expenses'!G66)),CHOOSE($M$42,"","","",'Deals'!F66,'Deals'!F66,'Deals'!F66,"",'Payments'!D66,'Expenses'!G66),IF(CHOOSE($M$42,"","","",'Deals'!F66,'Deals'!F66,'Deals'!F66,"",'Payments'!D66,'Expenses'!G66)="","",CHOOSE($M$42,"","","",'Deals'!F66,'Deals'!F66,'Deals'!F66,"",'Payments'!D66,'Expenses'!G66))))</x:f>
      </x:c>
      <x:c r="H108" s="432" t="n">
        <x:f>IF(AND($M$43=1,B108&lt;&gt;"",ISNUMBER(C108),C108&gt;=$G$6,C108&lt;$K$6+1),1,0)</x:f>
        <x:v>0</x:v>
      </x:c>
      <x:c r="I108" s="432" t="str">
        <x:f>IF(H108=0,"",COUNTIFS($H$48:$H$247,1,$C$48:$C$247,"&lt;"&amp;C108)+COUNTIFS($H$48:H108,1,$C$48:C108,C108))</x:f>
      </x:c>
      <x:c r="J108" s="432"/>
      <x:c r="K108" s="432"/>
      <x:c r="L108" s="432"/>
      <x:c r="M108" s="432"/>
      <x:c r="N108" s="432"/>
      <x:c r="O108" s="432"/>
      <x:c r="P108" s="432"/>
      <x:c r="Q108" s="432"/>
    </x:row>
    <x:row r="109" ht="25" customHeight="1">
      <x:c r="A109" s="432"/>
      <x:c r="B109" s="432" t="str">
        <x:f>IF(CHOOSE($M$42,'Clients'!A67,'Clients'!A67,'Viewings'!A67,'Deals'!A67,'Deals'!A67,'Deals'!A67,'Follow-ups'!A67,'Payments'!A67,'Expenses'!A67)="","",CHOOSE($M$42,'Clients'!A67,'Clients'!A67,'Viewings'!A67,'Deals'!A67,'Deals'!A67,'Deals'!A67,'Follow-ups'!A67,'Payments'!A67,'Expenses'!A67))</x:f>
      </x:c>
      <x:c r="C109" s="472" t="str">
        <x:f>IF(B109="","",IF(CHOOSE($M$42,'Clients'!R67,'Clients'!Q67,'Viewings'!D67,'Deals'!X67,'Deals'!Y67,'Deals'!Z67,'Follow-ups'!H67,'Payments'!C67,'Expenses'!B67)="","",CHOOSE($M$42,'Clients'!R67,'Clients'!Q67,'Viewings'!D67,'Deals'!X67,'Deals'!Y67,'Deals'!Z67,'Follow-ups'!H67,'Payments'!C67,'Expenses'!B67)))</x:f>
      </x:c>
      <x:c r="D109" s="432" t="str">
        <x:f>IF(B109="","",IF(ISNUMBER(CHOOSE($M$42,'Clients'!B67,'Clients'!B67,'Viewings'!H67,IF('Deals'!B67="","",IF(COUNTIFS('Clients'!$A$6:$A$205,'Deals'!B67)&lt;&gt;1,"Check Client ID",INDEX('Clients'!$B$6:$B$205,MATCH('Deals'!B67,'Clients'!$A$6:$A$205,0)))),IF('Deals'!B67="","",IF(COUNTIFS('Clients'!$A$6:$A$205,'Deals'!B67)&lt;&gt;1,"Check Client ID",INDEX('Clients'!$B$6:$B$205,MATCH('Deals'!B67,'Clients'!$A$6:$A$205,0)))),IF('Deals'!B67="","",IF(COUNTIFS('Clients'!$A$6:$A$205,'Deals'!B67)&lt;&gt;1,"Check Client ID",INDEX('Clients'!$B$6:$B$205,MATCH('Deals'!B67,'Clients'!$A$6:$A$205,0)))),'Follow-ups'!K67,'Payments'!B67,'Expenses'!D67)),CHOOSE($M$42,'Clients'!B67,'Clients'!B67,'Viewings'!H67,IF('Deals'!B67="","",IF(COUNTIFS('Clients'!$A$6:$A$205,'Deals'!B67)&lt;&gt;1,"Check Client ID",INDEX('Clients'!$B$6:$B$205,MATCH('Deals'!B67,'Clients'!$A$6:$A$205,0)))),IF('Deals'!B67="","",IF(COUNTIFS('Clients'!$A$6:$A$205,'Deals'!B67)&lt;&gt;1,"Check Client ID",INDEX('Clients'!$B$6:$B$205,MATCH('Deals'!B67,'Clients'!$A$6:$A$205,0)))),IF('Deals'!B67="","",IF(COUNTIFS('Clients'!$A$6:$A$205,'Deals'!B67)&lt;&gt;1,"Check Client ID",INDEX('Clients'!$B$6:$B$205,MATCH('Deals'!B67,'Clients'!$A$6:$A$205,0)))),'Follow-ups'!K67,'Payments'!B67,'Expenses'!D67),IF(CHOOSE($M$42,'Clients'!B67,'Clients'!B67,'Viewings'!H67,IF('Deals'!B67="","",IF(COUNTIFS('Clients'!$A$6:$A$205,'Deals'!B67)&lt;&gt;1,"Check Client ID",INDEX('Clients'!$B$6:$B$205,MATCH('Deals'!B67,'Clients'!$A$6:$A$205,0)))),IF('Deals'!B67="","",IF(COUNTIFS('Clients'!$A$6:$A$205,'Deals'!B67)&lt;&gt;1,"Check Client ID",INDEX('Clients'!$B$6:$B$205,MATCH('Deals'!B67,'Clients'!$A$6:$A$205,0)))),IF('Deals'!B67="","",IF(COUNTIFS('Clients'!$A$6:$A$205,'Deals'!B67)&lt;&gt;1,"Check Client ID",INDEX('Clients'!$B$6:$B$205,MATCH('Deals'!B67,'Clients'!$A$6:$A$205,0)))),'Follow-ups'!K67,'Payments'!B67,'Expenses'!D67)="","",CHOOSE($M$42,'Clients'!B67,'Clients'!B67,'Viewings'!H67,IF('Deals'!B67="","",IF(COUNTIFS('Clients'!$A$6:$A$205,'Deals'!B67)&lt;&gt;1,"Check Client ID",INDEX('Clients'!$B$6:$B$205,MATCH('Deals'!B67,'Clients'!$A$6:$A$205,0)))),IF('Deals'!B67="","",IF(COUNTIFS('Clients'!$A$6:$A$205,'Deals'!B67)&lt;&gt;1,"Check Client ID",INDEX('Clients'!$B$6:$B$205,MATCH('Deals'!B67,'Clients'!$A$6:$A$205,0)))),IF('Deals'!B67="","",IF(COUNTIFS('Clients'!$A$6:$A$205,'Deals'!B67)&lt;&gt;1,"Check Client ID",INDEX('Clients'!$B$6:$B$205,MATCH('Deals'!B67,'Clients'!$A$6:$A$205,0)))),'Follow-ups'!K67,'Payments'!B67,'Expenses'!D67))))</x:f>
      </x:c>
      <x:c r="E109" s="432" t="str">
        <x:f>IF(B109="","",IF(ISNUMBER(CHOOSE($M$42,'Clients'!K67,'Clients'!K67,'Viewings'!I67,'Deals'!C67,'Deals'!C67,'Deals'!C67,'Follow-ups'!L67,'Payments'!G67,'Expenses'!F67)),CHOOSE($M$42,'Clients'!K67,'Clients'!K67,'Viewings'!I67,'Deals'!C67,'Deals'!C67,'Deals'!C67,'Follow-ups'!L67,'Payments'!G67,'Expenses'!F67),IF(CHOOSE($M$42,'Clients'!K67,'Clients'!K67,'Viewings'!I67,'Deals'!C67,'Deals'!C67,'Deals'!C67,'Follow-ups'!L67,'Payments'!G67,'Expenses'!F67)="","",CHOOSE($M$42,'Clients'!K67,'Clients'!K67,'Viewings'!I67,'Deals'!C67,'Deals'!C67,'Deals'!C67,'Follow-ups'!L67,'Payments'!G67,'Expenses'!F67))))</x:f>
      </x:c>
      <x:c r="F109" s="432" t="str">
        <x:f>IF(B109="","",IF(ISNUMBER(CHOOSE($M$42,'Clients'!H67,'Clients'!H67,'Viewings'!E67,'Deals'!E67,'Deals'!E67,'Deals'!E67,'Follow-ups'!I67,"Receipt",'Expenses'!C67)),CHOOSE($M$42,'Clients'!H67,'Clients'!H67,'Viewings'!E67,'Deals'!E67,'Deals'!E67,'Deals'!E67,'Follow-ups'!I67,"Receipt",'Expenses'!C67),IF(CHOOSE($M$42,'Clients'!H67,'Clients'!H67,'Viewings'!E67,'Deals'!E67,'Deals'!E67,'Deals'!E67,'Follow-ups'!I67,"Receipt",'Expenses'!C67)="","",CHOOSE($M$42,'Clients'!H67,'Clients'!H67,'Viewings'!E67,'Deals'!E67,'Deals'!E67,'Deals'!E67,'Follow-ups'!I67,"Receipt",'Expenses'!C67))))</x:f>
      </x:c>
      <x:c r="G109" s="473" t="str">
        <x:f>IF(B109="","",IF(ISNUMBER(CHOOSE($M$42,"","","",'Deals'!F67,'Deals'!F67,'Deals'!F67,"",'Payments'!D67,'Expenses'!G67)),CHOOSE($M$42,"","","",'Deals'!F67,'Deals'!F67,'Deals'!F67,"",'Payments'!D67,'Expenses'!G67),IF(CHOOSE($M$42,"","","",'Deals'!F67,'Deals'!F67,'Deals'!F67,"",'Payments'!D67,'Expenses'!G67)="","",CHOOSE($M$42,"","","",'Deals'!F67,'Deals'!F67,'Deals'!F67,"",'Payments'!D67,'Expenses'!G67))))</x:f>
      </x:c>
      <x:c r="H109" s="432" t="n">
        <x:f>IF(AND($M$43=1,B109&lt;&gt;"",ISNUMBER(C109),C109&gt;=$G$6,C109&lt;$K$6+1),1,0)</x:f>
        <x:v>0</x:v>
      </x:c>
      <x:c r="I109" s="432" t="str">
        <x:f>IF(H109=0,"",COUNTIFS($H$48:$H$247,1,$C$48:$C$247,"&lt;"&amp;C109)+COUNTIFS($H$48:H109,1,$C$48:C109,C109))</x:f>
      </x:c>
      <x:c r="J109" s="432"/>
      <x:c r="K109" s="432"/>
      <x:c r="L109" s="432"/>
      <x:c r="M109" s="432"/>
      <x:c r="N109" s="432"/>
      <x:c r="O109" s="432"/>
      <x:c r="P109" s="432"/>
      <x:c r="Q109" s="432"/>
    </x:row>
    <x:row r="110" ht="25" customHeight="1">
      <x:c r="A110" s="432"/>
      <x:c r="B110" s="432" t="str">
        <x:f>IF(CHOOSE($M$42,'Clients'!A68,'Clients'!A68,'Viewings'!A68,'Deals'!A68,'Deals'!A68,'Deals'!A68,'Follow-ups'!A68,'Payments'!A68,'Expenses'!A68)="","",CHOOSE($M$42,'Clients'!A68,'Clients'!A68,'Viewings'!A68,'Deals'!A68,'Deals'!A68,'Deals'!A68,'Follow-ups'!A68,'Payments'!A68,'Expenses'!A68))</x:f>
      </x:c>
      <x:c r="C110" s="472" t="str">
        <x:f>IF(B110="","",IF(CHOOSE($M$42,'Clients'!R68,'Clients'!Q68,'Viewings'!D68,'Deals'!X68,'Deals'!Y68,'Deals'!Z68,'Follow-ups'!H68,'Payments'!C68,'Expenses'!B68)="","",CHOOSE($M$42,'Clients'!R68,'Clients'!Q68,'Viewings'!D68,'Deals'!X68,'Deals'!Y68,'Deals'!Z68,'Follow-ups'!H68,'Payments'!C68,'Expenses'!B68)))</x:f>
      </x:c>
      <x:c r="D110" s="432" t="str">
        <x:f>IF(B110="","",IF(ISNUMBER(CHOOSE($M$42,'Clients'!B68,'Clients'!B68,'Viewings'!H68,IF('Deals'!B68="","",IF(COUNTIFS('Clients'!$A$6:$A$205,'Deals'!B68)&lt;&gt;1,"Check Client ID",INDEX('Clients'!$B$6:$B$205,MATCH('Deals'!B68,'Clients'!$A$6:$A$205,0)))),IF('Deals'!B68="","",IF(COUNTIFS('Clients'!$A$6:$A$205,'Deals'!B68)&lt;&gt;1,"Check Client ID",INDEX('Clients'!$B$6:$B$205,MATCH('Deals'!B68,'Clients'!$A$6:$A$205,0)))),IF('Deals'!B68="","",IF(COUNTIFS('Clients'!$A$6:$A$205,'Deals'!B68)&lt;&gt;1,"Check Client ID",INDEX('Clients'!$B$6:$B$205,MATCH('Deals'!B68,'Clients'!$A$6:$A$205,0)))),'Follow-ups'!K68,'Payments'!B68,'Expenses'!D68)),CHOOSE($M$42,'Clients'!B68,'Clients'!B68,'Viewings'!H68,IF('Deals'!B68="","",IF(COUNTIFS('Clients'!$A$6:$A$205,'Deals'!B68)&lt;&gt;1,"Check Client ID",INDEX('Clients'!$B$6:$B$205,MATCH('Deals'!B68,'Clients'!$A$6:$A$205,0)))),IF('Deals'!B68="","",IF(COUNTIFS('Clients'!$A$6:$A$205,'Deals'!B68)&lt;&gt;1,"Check Client ID",INDEX('Clients'!$B$6:$B$205,MATCH('Deals'!B68,'Clients'!$A$6:$A$205,0)))),IF('Deals'!B68="","",IF(COUNTIFS('Clients'!$A$6:$A$205,'Deals'!B68)&lt;&gt;1,"Check Client ID",INDEX('Clients'!$B$6:$B$205,MATCH('Deals'!B68,'Clients'!$A$6:$A$205,0)))),'Follow-ups'!K68,'Payments'!B68,'Expenses'!D68),IF(CHOOSE($M$42,'Clients'!B68,'Clients'!B68,'Viewings'!H68,IF('Deals'!B68="","",IF(COUNTIFS('Clients'!$A$6:$A$205,'Deals'!B68)&lt;&gt;1,"Check Client ID",INDEX('Clients'!$B$6:$B$205,MATCH('Deals'!B68,'Clients'!$A$6:$A$205,0)))),IF('Deals'!B68="","",IF(COUNTIFS('Clients'!$A$6:$A$205,'Deals'!B68)&lt;&gt;1,"Check Client ID",INDEX('Clients'!$B$6:$B$205,MATCH('Deals'!B68,'Clients'!$A$6:$A$205,0)))),IF('Deals'!B68="","",IF(COUNTIFS('Clients'!$A$6:$A$205,'Deals'!B68)&lt;&gt;1,"Check Client ID",INDEX('Clients'!$B$6:$B$205,MATCH('Deals'!B68,'Clients'!$A$6:$A$205,0)))),'Follow-ups'!K68,'Payments'!B68,'Expenses'!D68)="","",CHOOSE($M$42,'Clients'!B68,'Clients'!B68,'Viewings'!H68,IF('Deals'!B68="","",IF(COUNTIFS('Clients'!$A$6:$A$205,'Deals'!B68)&lt;&gt;1,"Check Client ID",INDEX('Clients'!$B$6:$B$205,MATCH('Deals'!B68,'Clients'!$A$6:$A$205,0)))),IF('Deals'!B68="","",IF(COUNTIFS('Clients'!$A$6:$A$205,'Deals'!B68)&lt;&gt;1,"Check Client ID",INDEX('Clients'!$B$6:$B$205,MATCH('Deals'!B68,'Clients'!$A$6:$A$205,0)))),IF('Deals'!B68="","",IF(COUNTIFS('Clients'!$A$6:$A$205,'Deals'!B68)&lt;&gt;1,"Check Client ID",INDEX('Clients'!$B$6:$B$205,MATCH('Deals'!B68,'Clients'!$A$6:$A$205,0)))),'Follow-ups'!K68,'Payments'!B68,'Expenses'!D68))))</x:f>
      </x:c>
      <x:c r="E110" s="432" t="str">
        <x:f>IF(B110="","",IF(ISNUMBER(CHOOSE($M$42,'Clients'!K68,'Clients'!K68,'Viewings'!I68,'Deals'!C68,'Deals'!C68,'Deals'!C68,'Follow-ups'!L68,'Payments'!G68,'Expenses'!F68)),CHOOSE($M$42,'Clients'!K68,'Clients'!K68,'Viewings'!I68,'Deals'!C68,'Deals'!C68,'Deals'!C68,'Follow-ups'!L68,'Payments'!G68,'Expenses'!F68),IF(CHOOSE($M$42,'Clients'!K68,'Clients'!K68,'Viewings'!I68,'Deals'!C68,'Deals'!C68,'Deals'!C68,'Follow-ups'!L68,'Payments'!G68,'Expenses'!F68)="","",CHOOSE($M$42,'Clients'!K68,'Clients'!K68,'Viewings'!I68,'Deals'!C68,'Deals'!C68,'Deals'!C68,'Follow-ups'!L68,'Payments'!G68,'Expenses'!F68))))</x:f>
      </x:c>
      <x:c r="F110" s="432" t="str">
        <x:f>IF(B110="","",IF(ISNUMBER(CHOOSE($M$42,'Clients'!H68,'Clients'!H68,'Viewings'!E68,'Deals'!E68,'Deals'!E68,'Deals'!E68,'Follow-ups'!I68,"Receipt",'Expenses'!C68)),CHOOSE($M$42,'Clients'!H68,'Clients'!H68,'Viewings'!E68,'Deals'!E68,'Deals'!E68,'Deals'!E68,'Follow-ups'!I68,"Receipt",'Expenses'!C68),IF(CHOOSE($M$42,'Clients'!H68,'Clients'!H68,'Viewings'!E68,'Deals'!E68,'Deals'!E68,'Deals'!E68,'Follow-ups'!I68,"Receipt",'Expenses'!C68)="","",CHOOSE($M$42,'Clients'!H68,'Clients'!H68,'Viewings'!E68,'Deals'!E68,'Deals'!E68,'Deals'!E68,'Follow-ups'!I68,"Receipt",'Expenses'!C68))))</x:f>
      </x:c>
      <x:c r="G110" s="473" t="str">
        <x:f>IF(B110="","",IF(ISNUMBER(CHOOSE($M$42,"","","",'Deals'!F68,'Deals'!F68,'Deals'!F68,"",'Payments'!D68,'Expenses'!G68)),CHOOSE($M$42,"","","",'Deals'!F68,'Deals'!F68,'Deals'!F68,"",'Payments'!D68,'Expenses'!G68),IF(CHOOSE($M$42,"","","",'Deals'!F68,'Deals'!F68,'Deals'!F68,"",'Payments'!D68,'Expenses'!G68)="","",CHOOSE($M$42,"","","",'Deals'!F68,'Deals'!F68,'Deals'!F68,"",'Payments'!D68,'Expenses'!G68))))</x:f>
      </x:c>
      <x:c r="H110" s="432" t="n">
        <x:f>IF(AND($M$43=1,B110&lt;&gt;"",ISNUMBER(C110),C110&gt;=$G$6,C110&lt;$K$6+1),1,0)</x:f>
        <x:v>0</x:v>
      </x:c>
      <x:c r="I110" s="432" t="str">
        <x:f>IF(H110=0,"",COUNTIFS($H$48:$H$247,1,$C$48:$C$247,"&lt;"&amp;C110)+COUNTIFS($H$48:H110,1,$C$48:C110,C110))</x:f>
      </x:c>
      <x:c r="J110" s="432"/>
      <x:c r="K110" s="432"/>
      <x:c r="L110" s="432"/>
      <x:c r="M110" s="432"/>
      <x:c r="N110" s="432"/>
      <x:c r="O110" s="432"/>
      <x:c r="P110" s="432"/>
      <x:c r="Q110" s="432"/>
    </x:row>
    <x:row r="111" ht="25" customHeight="1">
      <x:c r="A111" s="432"/>
      <x:c r="B111" s="432" t="str">
        <x:f>IF(CHOOSE($M$42,'Clients'!A69,'Clients'!A69,'Viewings'!A69,'Deals'!A69,'Deals'!A69,'Deals'!A69,'Follow-ups'!A69,'Payments'!A69,'Expenses'!A69)="","",CHOOSE($M$42,'Clients'!A69,'Clients'!A69,'Viewings'!A69,'Deals'!A69,'Deals'!A69,'Deals'!A69,'Follow-ups'!A69,'Payments'!A69,'Expenses'!A69))</x:f>
      </x:c>
      <x:c r="C111" s="472" t="str">
        <x:f>IF(B111="","",IF(CHOOSE($M$42,'Clients'!R69,'Clients'!Q69,'Viewings'!D69,'Deals'!X69,'Deals'!Y69,'Deals'!Z69,'Follow-ups'!H69,'Payments'!C69,'Expenses'!B69)="","",CHOOSE($M$42,'Clients'!R69,'Clients'!Q69,'Viewings'!D69,'Deals'!X69,'Deals'!Y69,'Deals'!Z69,'Follow-ups'!H69,'Payments'!C69,'Expenses'!B69)))</x:f>
      </x:c>
      <x:c r="D111" s="432" t="str">
        <x:f>IF(B111="","",IF(ISNUMBER(CHOOSE($M$42,'Clients'!B69,'Clients'!B69,'Viewings'!H69,IF('Deals'!B69="","",IF(COUNTIFS('Clients'!$A$6:$A$205,'Deals'!B69)&lt;&gt;1,"Check Client ID",INDEX('Clients'!$B$6:$B$205,MATCH('Deals'!B69,'Clients'!$A$6:$A$205,0)))),IF('Deals'!B69="","",IF(COUNTIFS('Clients'!$A$6:$A$205,'Deals'!B69)&lt;&gt;1,"Check Client ID",INDEX('Clients'!$B$6:$B$205,MATCH('Deals'!B69,'Clients'!$A$6:$A$205,0)))),IF('Deals'!B69="","",IF(COUNTIFS('Clients'!$A$6:$A$205,'Deals'!B69)&lt;&gt;1,"Check Client ID",INDEX('Clients'!$B$6:$B$205,MATCH('Deals'!B69,'Clients'!$A$6:$A$205,0)))),'Follow-ups'!K69,'Payments'!B69,'Expenses'!D69)),CHOOSE($M$42,'Clients'!B69,'Clients'!B69,'Viewings'!H69,IF('Deals'!B69="","",IF(COUNTIFS('Clients'!$A$6:$A$205,'Deals'!B69)&lt;&gt;1,"Check Client ID",INDEX('Clients'!$B$6:$B$205,MATCH('Deals'!B69,'Clients'!$A$6:$A$205,0)))),IF('Deals'!B69="","",IF(COUNTIFS('Clients'!$A$6:$A$205,'Deals'!B69)&lt;&gt;1,"Check Client ID",INDEX('Clients'!$B$6:$B$205,MATCH('Deals'!B69,'Clients'!$A$6:$A$205,0)))),IF('Deals'!B69="","",IF(COUNTIFS('Clients'!$A$6:$A$205,'Deals'!B69)&lt;&gt;1,"Check Client ID",INDEX('Clients'!$B$6:$B$205,MATCH('Deals'!B69,'Clients'!$A$6:$A$205,0)))),'Follow-ups'!K69,'Payments'!B69,'Expenses'!D69),IF(CHOOSE($M$42,'Clients'!B69,'Clients'!B69,'Viewings'!H69,IF('Deals'!B69="","",IF(COUNTIFS('Clients'!$A$6:$A$205,'Deals'!B69)&lt;&gt;1,"Check Client ID",INDEX('Clients'!$B$6:$B$205,MATCH('Deals'!B69,'Clients'!$A$6:$A$205,0)))),IF('Deals'!B69="","",IF(COUNTIFS('Clients'!$A$6:$A$205,'Deals'!B69)&lt;&gt;1,"Check Client ID",INDEX('Clients'!$B$6:$B$205,MATCH('Deals'!B69,'Clients'!$A$6:$A$205,0)))),IF('Deals'!B69="","",IF(COUNTIFS('Clients'!$A$6:$A$205,'Deals'!B69)&lt;&gt;1,"Check Client ID",INDEX('Clients'!$B$6:$B$205,MATCH('Deals'!B69,'Clients'!$A$6:$A$205,0)))),'Follow-ups'!K69,'Payments'!B69,'Expenses'!D69)="","",CHOOSE($M$42,'Clients'!B69,'Clients'!B69,'Viewings'!H69,IF('Deals'!B69="","",IF(COUNTIFS('Clients'!$A$6:$A$205,'Deals'!B69)&lt;&gt;1,"Check Client ID",INDEX('Clients'!$B$6:$B$205,MATCH('Deals'!B69,'Clients'!$A$6:$A$205,0)))),IF('Deals'!B69="","",IF(COUNTIFS('Clients'!$A$6:$A$205,'Deals'!B69)&lt;&gt;1,"Check Client ID",INDEX('Clients'!$B$6:$B$205,MATCH('Deals'!B69,'Clients'!$A$6:$A$205,0)))),IF('Deals'!B69="","",IF(COUNTIFS('Clients'!$A$6:$A$205,'Deals'!B69)&lt;&gt;1,"Check Client ID",INDEX('Clients'!$B$6:$B$205,MATCH('Deals'!B69,'Clients'!$A$6:$A$205,0)))),'Follow-ups'!K69,'Payments'!B69,'Expenses'!D69))))</x:f>
      </x:c>
      <x:c r="E111" s="432" t="str">
        <x:f>IF(B111="","",IF(ISNUMBER(CHOOSE($M$42,'Clients'!K69,'Clients'!K69,'Viewings'!I69,'Deals'!C69,'Deals'!C69,'Deals'!C69,'Follow-ups'!L69,'Payments'!G69,'Expenses'!F69)),CHOOSE($M$42,'Clients'!K69,'Clients'!K69,'Viewings'!I69,'Deals'!C69,'Deals'!C69,'Deals'!C69,'Follow-ups'!L69,'Payments'!G69,'Expenses'!F69),IF(CHOOSE($M$42,'Clients'!K69,'Clients'!K69,'Viewings'!I69,'Deals'!C69,'Deals'!C69,'Deals'!C69,'Follow-ups'!L69,'Payments'!G69,'Expenses'!F69)="","",CHOOSE($M$42,'Clients'!K69,'Clients'!K69,'Viewings'!I69,'Deals'!C69,'Deals'!C69,'Deals'!C69,'Follow-ups'!L69,'Payments'!G69,'Expenses'!F69))))</x:f>
      </x:c>
      <x:c r="F111" s="432" t="str">
        <x:f>IF(B111="","",IF(ISNUMBER(CHOOSE($M$42,'Clients'!H69,'Clients'!H69,'Viewings'!E69,'Deals'!E69,'Deals'!E69,'Deals'!E69,'Follow-ups'!I69,"Receipt",'Expenses'!C69)),CHOOSE($M$42,'Clients'!H69,'Clients'!H69,'Viewings'!E69,'Deals'!E69,'Deals'!E69,'Deals'!E69,'Follow-ups'!I69,"Receipt",'Expenses'!C69),IF(CHOOSE($M$42,'Clients'!H69,'Clients'!H69,'Viewings'!E69,'Deals'!E69,'Deals'!E69,'Deals'!E69,'Follow-ups'!I69,"Receipt",'Expenses'!C69)="","",CHOOSE($M$42,'Clients'!H69,'Clients'!H69,'Viewings'!E69,'Deals'!E69,'Deals'!E69,'Deals'!E69,'Follow-ups'!I69,"Receipt",'Expenses'!C69))))</x:f>
      </x:c>
      <x:c r="G111" s="473" t="str">
        <x:f>IF(B111="","",IF(ISNUMBER(CHOOSE($M$42,"","","",'Deals'!F69,'Deals'!F69,'Deals'!F69,"",'Payments'!D69,'Expenses'!G69)),CHOOSE($M$42,"","","",'Deals'!F69,'Deals'!F69,'Deals'!F69,"",'Payments'!D69,'Expenses'!G69),IF(CHOOSE($M$42,"","","",'Deals'!F69,'Deals'!F69,'Deals'!F69,"",'Payments'!D69,'Expenses'!G69)="","",CHOOSE($M$42,"","","",'Deals'!F69,'Deals'!F69,'Deals'!F69,"",'Payments'!D69,'Expenses'!G69))))</x:f>
      </x:c>
      <x:c r="H111" s="432" t="n">
        <x:f>IF(AND($M$43=1,B111&lt;&gt;"",ISNUMBER(C111),C111&gt;=$G$6,C111&lt;$K$6+1),1,0)</x:f>
        <x:v>0</x:v>
      </x:c>
      <x:c r="I111" s="432" t="str">
        <x:f>IF(H111=0,"",COUNTIFS($H$48:$H$247,1,$C$48:$C$247,"&lt;"&amp;C111)+COUNTIFS($H$48:H111,1,$C$48:C111,C111))</x:f>
      </x:c>
      <x:c r="J111" s="432"/>
      <x:c r="K111" s="432"/>
      <x:c r="L111" s="432"/>
      <x:c r="M111" s="432"/>
      <x:c r="N111" s="432"/>
      <x:c r="O111" s="432"/>
      <x:c r="P111" s="432"/>
      <x:c r="Q111" s="432"/>
    </x:row>
    <x:row r="112" ht="25" customHeight="1">
      <x:c r="A112" s="432"/>
      <x:c r="B112" s="432" t="str">
        <x:f>IF(CHOOSE($M$42,'Clients'!A70,'Clients'!A70,'Viewings'!A70,'Deals'!A70,'Deals'!A70,'Deals'!A70,'Follow-ups'!A70,'Payments'!A70,'Expenses'!A70)="","",CHOOSE($M$42,'Clients'!A70,'Clients'!A70,'Viewings'!A70,'Deals'!A70,'Deals'!A70,'Deals'!A70,'Follow-ups'!A70,'Payments'!A70,'Expenses'!A70))</x:f>
      </x:c>
      <x:c r="C112" s="472" t="str">
        <x:f>IF(B112="","",IF(CHOOSE($M$42,'Clients'!R70,'Clients'!Q70,'Viewings'!D70,'Deals'!X70,'Deals'!Y70,'Deals'!Z70,'Follow-ups'!H70,'Payments'!C70,'Expenses'!B70)="","",CHOOSE($M$42,'Clients'!R70,'Clients'!Q70,'Viewings'!D70,'Deals'!X70,'Deals'!Y70,'Deals'!Z70,'Follow-ups'!H70,'Payments'!C70,'Expenses'!B70)))</x:f>
      </x:c>
      <x:c r="D112" s="432" t="str">
        <x:f>IF(B112="","",IF(ISNUMBER(CHOOSE($M$42,'Clients'!B70,'Clients'!B70,'Viewings'!H70,IF('Deals'!B70="","",IF(COUNTIFS('Clients'!$A$6:$A$205,'Deals'!B70)&lt;&gt;1,"Check Client ID",INDEX('Clients'!$B$6:$B$205,MATCH('Deals'!B70,'Clients'!$A$6:$A$205,0)))),IF('Deals'!B70="","",IF(COUNTIFS('Clients'!$A$6:$A$205,'Deals'!B70)&lt;&gt;1,"Check Client ID",INDEX('Clients'!$B$6:$B$205,MATCH('Deals'!B70,'Clients'!$A$6:$A$205,0)))),IF('Deals'!B70="","",IF(COUNTIFS('Clients'!$A$6:$A$205,'Deals'!B70)&lt;&gt;1,"Check Client ID",INDEX('Clients'!$B$6:$B$205,MATCH('Deals'!B70,'Clients'!$A$6:$A$205,0)))),'Follow-ups'!K70,'Payments'!B70,'Expenses'!D70)),CHOOSE($M$42,'Clients'!B70,'Clients'!B70,'Viewings'!H70,IF('Deals'!B70="","",IF(COUNTIFS('Clients'!$A$6:$A$205,'Deals'!B70)&lt;&gt;1,"Check Client ID",INDEX('Clients'!$B$6:$B$205,MATCH('Deals'!B70,'Clients'!$A$6:$A$205,0)))),IF('Deals'!B70="","",IF(COUNTIFS('Clients'!$A$6:$A$205,'Deals'!B70)&lt;&gt;1,"Check Client ID",INDEX('Clients'!$B$6:$B$205,MATCH('Deals'!B70,'Clients'!$A$6:$A$205,0)))),IF('Deals'!B70="","",IF(COUNTIFS('Clients'!$A$6:$A$205,'Deals'!B70)&lt;&gt;1,"Check Client ID",INDEX('Clients'!$B$6:$B$205,MATCH('Deals'!B70,'Clients'!$A$6:$A$205,0)))),'Follow-ups'!K70,'Payments'!B70,'Expenses'!D70),IF(CHOOSE($M$42,'Clients'!B70,'Clients'!B70,'Viewings'!H70,IF('Deals'!B70="","",IF(COUNTIFS('Clients'!$A$6:$A$205,'Deals'!B70)&lt;&gt;1,"Check Client ID",INDEX('Clients'!$B$6:$B$205,MATCH('Deals'!B70,'Clients'!$A$6:$A$205,0)))),IF('Deals'!B70="","",IF(COUNTIFS('Clients'!$A$6:$A$205,'Deals'!B70)&lt;&gt;1,"Check Client ID",INDEX('Clients'!$B$6:$B$205,MATCH('Deals'!B70,'Clients'!$A$6:$A$205,0)))),IF('Deals'!B70="","",IF(COUNTIFS('Clients'!$A$6:$A$205,'Deals'!B70)&lt;&gt;1,"Check Client ID",INDEX('Clients'!$B$6:$B$205,MATCH('Deals'!B70,'Clients'!$A$6:$A$205,0)))),'Follow-ups'!K70,'Payments'!B70,'Expenses'!D70)="","",CHOOSE($M$42,'Clients'!B70,'Clients'!B70,'Viewings'!H70,IF('Deals'!B70="","",IF(COUNTIFS('Clients'!$A$6:$A$205,'Deals'!B70)&lt;&gt;1,"Check Client ID",INDEX('Clients'!$B$6:$B$205,MATCH('Deals'!B70,'Clients'!$A$6:$A$205,0)))),IF('Deals'!B70="","",IF(COUNTIFS('Clients'!$A$6:$A$205,'Deals'!B70)&lt;&gt;1,"Check Client ID",INDEX('Clients'!$B$6:$B$205,MATCH('Deals'!B70,'Clients'!$A$6:$A$205,0)))),IF('Deals'!B70="","",IF(COUNTIFS('Clients'!$A$6:$A$205,'Deals'!B70)&lt;&gt;1,"Check Client ID",INDEX('Clients'!$B$6:$B$205,MATCH('Deals'!B70,'Clients'!$A$6:$A$205,0)))),'Follow-ups'!K70,'Payments'!B70,'Expenses'!D70))))</x:f>
      </x:c>
      <x:c r="E112" s="432" t="str">
        <x:f>IF(B112="","",IF(ISNUMBER(CHOOSE($M$42,'Clients'!K70,'Clients'!K70,'Viewings'!I70,'Deals'!C70,'Deals'!C70,'Deals'!C70,'Follow-ups'!L70,'Payments'!G70,'Expenses'!F70)),CHOOSE($M$42,'Clients'!K70,'Clients'!K70,'Viewings'!I70,'Deals'!C70,'Deals'!C70,'Deals'!C70,'Follow-ups'!L70,'Payments'!G70,'Expenses'!F70),IF(CHOOSE($M$42,'Clients'!K70,'Clients'!K70,'Viewings'!I70,'Deals'!C70,'Deals'!C70,'Deals'!C70,'Follow-ups'!L70,'Payments'!G70,'Expenses'!F70)="","",CHOOSE($M$42,'Clients'!K70,'Clients'!K70,'Viewings'!I70,'Deals'!C70,'Deals'!C70,'Deals'!C70,'Follow-ups'!L70,'Payments'!G70,'Expenses'!F70))))</x:f>
      </x:c>
      <x:c r="F112" s="432" t="str">
        <x:f>IF(B112="","",IF(ISNUMBER(CHOOSE($M$42,'Clients'!H70,'Clients'!H70,'Viewings'!E70,'Deals'!E70,'Deals'!E70,'Deals'!E70,'Follow-ups'!I70,"Receipt",'Expenses'!C70)),CHOOSE($M$42,'Clients'!H70,'Clients'!H70,'Viewings'!E70,'Deals'!E70,'Deals'!E70,'Deals'!E70,'Follow-ups'!I70,"Receipt",'Expenses'!C70),IF(CHOOSE($M$42,'Clients'!H70,'Clients'!H70,'Viewings'!E70,'Deals'!E70,'Deals'!E70,'Deals'!E70,'Follow-ups'!I70,"Receipt",'Expenses'!C70)="","",CHOOSE($M$42,'Clients'!H70,'Clients'!H70,'Viewings'!E70,'Deals'!E70,'Deals'!E70,'Deals'!E70,'Follow-ups'!I70,"Receipt",'Expenses'!C70))))</x:f>
      </x:c>
      <x:c r="G112" s="473" t="str">
        <x:f>IF(B112="","",IF(ISNUMBER(CHOOSE($M$42,"","","",'Deals'!F70,'Deals'!F70,'Deals'!F70,"",'Payments'!D70,'Expenses'!G70)),CHOOSE($M$42,"","","",'Deals'!F70,'Deals'!F70,'Deals'!F70,"",'Payments'!D70,'Expenses'!G70),IF(CHOOSE($M$42,"","","",'Deals'!F70,'Deals'!F70,'Deals'!F70,"",'Payments'!D70,'Expenses'!G70)="","",CHOOSE($M$42,"","","",'Deals'!F70,'Deals'!F70,'Deals'!F70,"",'Payments'!D70,'Expenses'!G70))))</x:f>
      </x:c>
      <x:c r="H112" s="432" t="n">
        <x:f>IF(AND($M$43=1,B112&lt;&gt;"",ISNUMBER(C112),C112&gt;=$G$6,C112&lt;$K$6+1),1,0)</x:f>
        <x:v>0</x:v>
      </x:c>
      <x:c r="I112" s="432" t="str">
        <x:f>IF(H112=0,"",COUNTIFS($H$48:$H$247,1,$C$48:$C$247,"&lt;"&amp;C112)+COUNTIFS($H$48:H112,1,$C$48:C112,C112))</x:f>
      </x:c>
      <x:c r="J112" s="432"/>
      <x:c r="K112" s="432"/>
      <x:c r="L112" s="432"/>
      <x:c r="M112" s="432"/>
      <x:c r="N112" s="432"/>
      <x:c r="O112" s="432"/>
      <x:c r="P112" s="432"/>
      <x:c r="Q112" s="432"/>
    </x:row>
    <x:row r="113" ht="25" customHeight="1">
      <x:c r="A113" s="432"/>
      <x:c r="B113" s="432" t="str">
        <x:f>IF(CHOOSE($M$42,'Clients'!A71,'Clients'!A71,'Viewings'!A71,'Deals'!A71,'Deals'!A71,'Deals'!A71,'Follow-ups'!A71,'Payments'!A71,'Expenses'!A71)="","",CHOOSE($M$42,'Clients'!A71,'Clients'!A71,'Viewings'!A71,'Deals'!A71,'Deals'!A71,'Deals'!A71,'Follow-ups'!A71,'Payments'!A71,'Expenses'!A71))</x:f>
      </x:c>
      <x:c r="C113" s="472" t="str">
        <x:f>IF(B113="","",IF(CHOOSE($M$42,'Clients'!R71,'Clients'!Q71,'Viewings'!D71,'Deals'!X71,'Deals'!Y71,'Deals'!Z71,'Follow-ups'!H71,'Payments'!C71,'Expenses'!B71)="","",CHOOSE($M$42,'Clients'!R71,'Clients'!Q71,'Viewings'!D71,'Deals'!X71,'Deals'!Y71,'Deals'!Z71,'Follow-ups'!H71,'Payments'!C71,'Expenses'!B71)))</x:f>
      </x:c>
      <x:c r="D113" s="432" t="str">
        <x:f>IF(B113="","",IF(ISNUMBER(CHOOSE($M$42,'Clients'!B71,'Clients'!B71,'Viewings'!H71,IF('Deals'!B71="","",IF(COUNTIFS('Clients'!$A$6:$A$205,'Deals'!B71)&lt;&gt;1,"Check Client ID",INDEX('Clients'!$B$6:$B$205,MATCH('Deals'!B71,'Clients'!$A$6:$A$205,0)))),IF('Deals'!B71="","",IF(COUNTIFS('Clients'!$A$6:$A$205,'Deals'!B71)&lt;&gt;1,"Check Client ID",INDEX('Clients'!$B$6:$B$205,MATCH('Deals'!B71,'Clients'!$A$6:$A$205,0)))),IF('Deals'!B71="","",IF(COUNTIFS('Clients'!$A$6:$A$205,'Deals'!B71)&lt;&gt;1,"Check Client ID",INDEX('Clients'!$B$6:$B$205,MATCH('Deals'!B71,'Clients'!$A$6:$A$205,0)))),'Follow-ups'!K71,'Payments'!B71,'Expenses'!D71)),CHOOSE($M$42,'Clients'!B71,'Clients'!B71,'Viewings'!H71,IF('Deals'!B71="","",IF(COUNTIFS('Clients'!$A$6:$A$205,'Deals'!B71)&lt;&gt;1,"Check Client ID",INDEX('Clients'!$B$6:$B$205,MATCH('Deals'!B71,'Clients'!$A$6:$A$205,0)))),IF('Deals'!B71="","",IF(COUNTIFS('Clients'!$A$6:$A$205,'Deals'!B71)&lt;&gt;1,"Check Client ID",INDEX('Clients'!$B$6:$B$205,MATCH('Deals'!B71,'Clients'!$A$6:$A$205,0)))),IF('Deals'!B71="","",IF(COUNTIFS('Clients'!$A$6:$A$205,'Deals'!B71)&lt;&gt;1,"Check Client ID",INDEX('Clients'!$B$6:$B$205,MATCH('Deals'!B71,'Clients'!$A$6:$A$205,0)))),'Follow-ups'!K71,'Payments'!B71,'Expenses'!D71),IF(CHOOSE($M$42,'Clients'!B71,'Clients'!B71,'Viewings'!H71,IF('Deals'!B71="","",IF(COUNTIFS('Clients'!$A$6:$A$205,'Deals'!B71)&lt;&gt;1,"Check Client ID",INDEX('Clients'!$B$6:$B$205,MATCH('Deals'!B71,'Clients'!$A$6:$A$205,0)))),IF('Deals'!B71="","",IF(COUNTIFS('Clients'!$A$6:$A$205,'Deals'!B71)&lt;&gt;1,"Check Client ID",INDEX('Clients'!$B$6:$B$205,MATCH('Deals'!B71,'Clients'!$A$6:$A$205,0)))),IF('Deals'!B71="","",IF(COUNTIFS('Clients'!$A$6:$A$205,'Deals'!B71)&lt;&gt;1,"Check Client ID",INDEX('Clients'!$B$6:$B$205,MATCH('Deals'!B71,'Clients'!$A$6:$A$205,0)))),'Follow-ups'!K71,'Payments'!B71,'Expenses'!D71)="","",CHOOSE($M$42,'Clients'!B71,'Clients'!B71,'Viewings'!H71,IF('Deals'!B71="","",IF(COUNTIFS('Clients'!$A$6:$A$205,'Deals'!B71)&lt;&gt;1,"Check Client ID",INDEX('Clients'!$B$6:$B$205,MATCH('Deals'!B71,'Clients'!$A$6:$A$205,0)))),IF('Deals'!B71="","",IF(COUNTIFS('Clients'!$A$6:$A$205,'Deals'!B71)&lt;&gt;1,"Check Client ID",INDEX('Clients'!$B$6:$B$205,MATCH('Deals'!B71,'Clients'!$A$6:$A$205,0)))),IF('Deals'!B71="","",IF(COUNTIFS('Clients'!$A$6:$A$205,'Deals'!B71)&lt;&gt;1,"Check Client ID",INDEX('Clients'!$B$6:$B$205,MATCH('Deals'!B71,'Clients'!$A$6:$A$205,0)))),'Follow-ups'!K71,'Payments'!B71,'Expenses'!D71))))</x:f>
      </x:c>
      <x:c r="E113" s="432" t="str">
        <x:f>IF(B113="","",IF(ISNUMBER(CHOOSE($M$42,'Clients'!K71,'Clients'!K71,'Viewings'!I71,'Deals'!C71,'Deals'!C71,'Deals'!C71,'Follow-ups'!L71,'Payments'!G71,'Expenses'!F71)),CHOOSE($M$42,'Clients'!K71,'Clients'!K71,'Viewings'!I71,'Deals'!C71,'Deals'!C71,'Deals'!C71,'Follow-ups'!L71,'Payments'!G71,'Expenses'!F71),IF(CHOOSE($M$42,'Clients'!K71,'Clients'!K71,'Viewings'!I71,'Deals'!C71,'Deals'!C71,'Deals'!C71,'Follow-ups'!L71,'Payments'!G71,'Expenses'!F71)="","",CHOOSE($M$42,'Clients'!K71,'Clients'!K71,'Viewings'!I71,'Deals'!C71,'Deals'!C71,'Deals'!C71,'Follow-ups'!L71,'Payments'!G71,'Expenses'!F71))))</x:f>
      </x:c>
      <x:c r="F113" s="432" t="str">
        <x:f>IF(B113="","",IF(ISNUMBER(CHOOSE($M$42,'Clients'!H71,'Clients'!H71,'Viewings'!E71,'Deals'!E71,'Deals'!E71,'Deals'!E71,'Follow-ups'!I71,"Receipt",'Expenses'!C71)),CHOOSE($M$42,'Clients'!H71,'Clients'!H71,'Viewings'!E71,'Deals'!E71,'Deals'!E71,'Deals'!E71,'Follow-ups'!I71,"Receipt",'Expenses'!C71),IF(CHOOSE($M$42,'Clients'!H71,'Clients'!H71,'Viewings'!E71,'Deals'!E71,'Deals'!E71,'Deals'!E71,'Follow-ups'!I71,"Receipt",'Expenses'!C71)="","",CHOOSE($M$42,'Clients'!H71,'Clients'!H71,'Viewings'!E71,'Deals'!E71,'Deals'!E71,'Deals'!E71,'Follow-ups'!I71,"Receipt",'Expenses'!C71))))</x:f>
      </x:c>
      <x:c r="G113" s="473" t="str">
        <x:f>IF(B113="","",IF(ISNUMBER(CHOOSE($M$42,"","","",'Deals'!F71,'Deals'!F71,'Deals'!F71,"",'Payments'!D71,'Expenses'!G71)),CHOOSE($M$42,"","","",'Deals'!F71,'Deals'!F71,'Deals'!F71,"",'Payments'!D71,'Expenses'!G71),IF(CHOOSE($M$42,"","","",'Deals'!F71,'Deals'!F71,'Deals'!F71,"",'Payments'!D71,'Expenses'!G71)="","",CHOOSE($M$42,"","","",'Deals'!F71,'Deals'!F71,'Deals'!F71,"",'Payments'!D71,'Expenses'!G71))))</x:f>
      </x:c>
      <x:c r="H113" s="432" t="n">
        <x:f>IF(AND($M$43=1,B113&lt;&gt;"",ISNUMBER(C113),C113&gt;=$G$6,C113&lt;$K$6+1),1,0)</x:f>
        <x:v>0</x:v>
      </x:c>
      <x:c r="I113" s="432" t="str">
        <x:f>IF(H113=0,"",COUNTIFS($H$48:$H$247,1,$C$48:$C$247,"&lt;"&amp;C113)+COUNTIFS($H$48:H113,1,$C$48:C113,C113))</x:f>
      </x:c>
      <x:c r="J113" s="432"/>
      <x:c r="K113" s="432"/>
      <x:c r="L113" s="432"/>
      <x:c r="M113" s="432"/>
      <x:c r="N113" s="432"/>
      <x:c r="O113" s="432"/>
      <x:c r="P113" s="432"/>
      <x:c r="Q113" s="432"/>
    </x:row>
    <x:row r="114" ht="25" customHeight="1">
      <x:c r="A114" s="432"/>
      <x:c r="B114" s="432" t="str">
        <x:f>IF(CHOOSE($M$42,'Clients'!A72,'Clients'!A72,'Viewings'!A72,'Deals'!A72,'Deals'!A72,'Deals'!A72,'Follow-ups'!A72,'Payments'!A72,'Expenses'!A72)="","",CHOOSE($M$42,'Clients'!A72,'Clients'!A72,'Viewings'!A72,'Deals'!A72,'Deals'!A72,'Deals'!A72,'Follow-ups'!A72,'Payments'!A72,'Expenses'!A72))</x:f>
      </x:c>
      <x:c r="C114" s="472" t="str">
        <x:f>IF(B114="","",IF(CHOOSE($M$42,'Clients'!R72,'Clients'!Q72,'Viewings'!D72,'Deals'!X72,'Deals'!Y72,'Deals'!Z72,'Follow-ups'!H72,'Payments'!C72,'Expenses'!B72)="","",CHOOSE($M$42,'Clients'!R72,'Clients'!Q72,'Viewings'!D72,'Deals'!X72,'Deals'!Y72,'Deals'!Z72,'Follow-ups'!H72,'Payments'!C72,'Expenses'!B72)))</x:f>
      </x:c>
      <x:c r="D114" s="432" t="str">
        <x:f>IF(B114="","",IF(ISNUMBER(CHOOSE($M$42,'Clients'!B72,'Clients'!B72,'Viewings'!H72,IF('Deals'!B72="","",IF(COUNTIFS('Clients'!$A$6:$A$205,'Deals'!B72)&lt;&gt;1,"Check Client ID",INDEX('Clients'!$B$6:$B$205,MATCH('Deals'!B72,'Clients'!$A$6:$A$205,0)))),IF('Deals'!B72="","",IF(COUNTIFS('Clients'!$A$6:$A$205,'Deals'!B72)&lt;&gt;1,"Check Client ID",INDEX('Clients'!$B$6:$B$205,MATCH('Deals'!B72,'Clients'!$A$6:$A$205,0)))),IF('Deals'!B72="","",IF(COUNTIFS('Clients'!$A$6:$A$205,'Deals'!B72)&lt;&gt;1,"Check Client ID",INDEX('Clients'!$B$6:$B$205,MATCH('Deals'!B72,'Clients'!$A$6:$A$205,0)))),'Follow-ups'!K72,'Payments'!B72,'Expenses'!D72)),CHOOSE($M$42,'Clients'!B72,'Clients'!B72,'Viewings'!H72,IF('Deals'!B72="","",IF(COUNTIFS('Clients'!$A$6:$A$205,'Deals'!B72)&lt;&gt;1,"Check Client ID",INDEX('Clients'!$B$6:$B$205,MATCH('Deals'!B72,'Clients'!$A$6:$A$205,0)))),IF('Deals'!B72="","",IF(COUNTIFS('Clients'!$A$6:$A$205,'Deals'!B72)&lt;&gt;1,"Check Client ID",INDEX('Clients'!$B$6:$B$205,MATCH('Deals'!B72,'Clients'!$A$6:$A$205,0)))),IF('Deals'!B72="","",IF(COUNTIFS('Clients'!$A$6:$A$205,'Deals'!B72)&lt;&gt;1,"Check Client ID",INDEX('Clients'!$B$6:$B$205,MATCH('Deals'!B72,'Clients'!$A$6:$A$205,0)))),'Follow-ups'!K72,'Payments'!B72,'Expenses'!D72),IF(CHOOSE($M$42,'Clients'!B72,'Clients'!B72,'Viewings'!H72,IF('Deals'!B72="","",IF(COUNTIFS('Clients'!$A$6:$A$205,'Deals'!B72)&lt;&gt;1,"Check Client ID",INDEX('Clients'!$B$6:$B$205,MATCH('Deals'!B72,'Clients'!$A$6:$A$205,0)))),IF('Deals'!B72="","",IF(COUNTIFS('Clients'!$A$6:$A$205,'Deals'!B72)&lt;&gt;1,"Check Client ID",INDEX('Clients'!$B$6:$B$205,MATCH('Deals'!B72,'Clients'!$A$6:$A$205,0)))),IF('Deals'!B72="","",IF(COUNTIFS('Clients'!$A$6:$A$205,'Deals'!B72)&lt;&gt;1,"Check Client ID",INDEX('Clients'!$B$6:$B$205,MATCH('Deals'!B72,'Clients'!$A$6:$A$205,0)))),'Follow-ups'!K72,'Payments'!B72,'Expenses'!D72)="","",CHOOSE($M$42,'Clients'!B72,'Clients'!B72,'Viewings'!H72,IF('Deals'!B72="","",IF(COUNTIFS('Clients'!$A$6:$A$205,'Deals'!B72)&lt;&gt;1,"Check Client ID",INDEX('Clients'!$B$6:$B$205,MATCH('Deals'!B72,'Clients'!$A$6:$A$205,0)))),IF('Deals'!B72="","",IF(COUNTIFS('Clients'!$A$6:$A$205,'Deals'!B72)&lt;&gt;1,"Check Client ID",INDEX('Clients'!$B$6:$B$205,MATCH('Deals'!B72,'Clients'!$A$6:$A$205,0)))),IF('Deals'!B72="","",IF(COUNTIFS('Clients'!$A$6:$A$205,'Deals'!B72)&lt;&gt;1,"Check Client ID",INDEX('Clients'!$B$6:$B$205,MATCH('Deals'!B72,'Clients'!$A$6:$A$205,0)))),'Follow-ups'!K72,'Payments'!B72,'Expenses'!D72))))</x:f>
      </x:c>
      <x:c r="E114" s="432" t="str">
        <x:f>IF(B114="","",IF(ISNUMBER(CHOOSE($M$42,'Clients'!K72,'Clients'!K72,'Viewings'!I72,'Deals'!C72,'Deals'!C72,'Deals'!C72,'Follow-ups'!L72,'Payments'!G72,'Expenses'!F72)),CHOOSE($M$42,'Clients'!K72,'Clients'!K72,'Viewings'!I72,'Deals'!C72,'Deals'!C72,'Deals'!C72,'Follow-ups'!L72,'Payments'!G72,'Expenses'!F72),IF(CHOOSE($M$42,'Clients'!K72,'Clients'!K72,'Viewings'!I72,'Deals'!C72,'Deals'!C72,'Deals'!C72,'Follow-ups'!L72,'Payments'!G72,'Expenses'!F72)="","",CHOOSE($M$42,'Clients'!K72,'Clients'!K72,'Viewings'!I72,'Deals'!C72,'Deals'!C72,'Deals'!C72,'Follow-ups'!L72,'Payments'!G72,'Expenses'!F72))))</x:f>
      </x:c>
      <x:c r="F114" s="432" t="str">
        <x:f>IF(B114="","",IF(ISNUMBER(CHOOSE($M$42,'Clients'!H72,'Clients'!H72,'Viewings'!E72,'Deals'!E72,'Deals'!E72,'Deals'!E72,'Follow-ups'!I72,"Receipt",'Expenses'!C72)),CHOOSE($M$42,'Clients'!H72,'Clients'!H72,'Viewings'!E72,'Deals'!E72,'Deals'!E72,'Deals'!E72,'Follow-ups'!I72,"Receipt",'Expenses'!C72),IF(CHOOSE($M$42,'Clients'!H72,'Clients'!H72,'Viewings'!E72,'Deals'!E72,'Deals'!E72,'Deals'!E72,'Follow-ups'!I72,"Receipt",'Expenses'!C72)="","",CHOOSE($M$42,'Clients'!H72,'Clients'!H72,'Viewings'!E72,'Deals'!E72,'Deals'!E72,'Deals'!E72,'Follow-ups'!I72,"Receipt",'Expenses'!C72))))</x:f>
      </x:c>
      <x:c r="G114" s="473" t="str">
        <x:f>IF(B114="","",IF(ISNUMBER(CHOOSE($M$42,"","","",'Deals'!F72,'Deals'!F72,'Deals'!F72,"",'Payments'!D72,'Expenses'!G72)),CHOOSE($M$42,"","","",'Deals'!F72,'Deals'!F72,'Deals'!F72,"",'Payments'!D72,'Expenses'!G72),IF(CHOOSE($M$42,"","","",'Deals'!F72,'Deals'!F72,'Deals'!F72,"",'Payments'!D72,'Expenses'!G72)="","",CHOOSE($M$42,"","","",'Deals'!F72,'Deals'!F72,'Deals'!F72,"",'Payments'!D72,'Expenses'!G72))))</x:f>
      </x:c>
      <x:c r="H114" s="432" t="n">
        <x:f>IF(AND($M$43=1,B114&lt;&gt;"",ISNUMBER(C114),C114&gt;=$G$6,C114&lt;$K$6+1),1,0)</x:f>
        <x:v>0</x:v>
      </x:c>
      <x:c r="I114" s="432" t="str">
        <x:f>IF(H114=0,"",COUNTIFS($H$48:$H$247,1,$C$48:$C$247,"&lt;"&amp;C114)+COUNTIFS($H$48:H114,1,$C$48:C114,C114))</x:f>
      </x:c>
      <x:c r="J114" s="432"/>
      <x:c r="K114" s="432"/>
      <x:c r="L114" s="432"/>
      <x:c r="M114" s="432"/>
      <x:c r="N114" s="432"/>
      <x:c r="O114" s="432"/>
      <x:c r="P114" s="432"/>
      <x:c r="Q114" s="432"/>
    </x:row>
    <x:row r="115" ht="25" customHeight="1">
      <x:c r="A115" s="432"/>
      <x:c r="B115" s="432" t="str">
        <x:f>IF(CHOOSE($M$42,'Clients'!A73,'Clients'!A73,'Viewings'!A73,'Deals'!A73,'Deals'!A73,'Deals'!A73,'Follow-ups'!A73,'Payments'!A73,'Expenses'!A73)="","",CHOOSE($M$42,'Clients'!A73,'Clients'!A73,'Viewings'!A73,'Deals'!A73,'Deals'!A73,'Deals'!A73,'Follow-ups'!A73,'Payments'!A73,'Expenses'!A73))</x:f>
      </x:c>
      <x:c r="C115" s="472" t="str">
        <x:f>IF(B115="","",IF(CHOOSE($M$42,'Clients'!R73,'Clients'!Q73,'Viewings'!D73,'Deals'!X73,'Deals'!Y73,'Deals'!Z73,'Follow-ups'!H73,'Payments'!C73,'Expenses'!B73)="","",CHOOSE($M$42,'Clients'!R73,'Clients'!Q73,'Viewings'!D73,'Deals'!X73,'Deals'!Y73,'Deals'!Z73,'Follow-ups'!H73,'Payments'!C73,'Expenses'!B73)))</x:f>
      </x:c>
      <x:c r="D115" s="432" t="str">
        <x:f>IF(B115="","",IF(ISNUMBER(CHOOSE($M$42,'Clients'!B73,'Clients'!B73,'Viewings'!H73,IF('Deals'!B73="","",IF(COUNTIFS('Clients'!$A$6:$A$205,'Deals'!B73)&lt;&gt;1,"Check Client ID",INDEX('Clients'!$B$6:$B$205,MATCH('Deals'!B73,'Clients'!$A$6:$A$205,0)))),IF('Deals'!B73="","",IF(COUNTIFS('Clients'!$A$6:$A$205,'Deals'!B73)&lt;&gt;1,"Check Client ID",INDEX('Clients'!$B$6:$B$205,MATCH('Deals'!B73,'Clients'!$A$6:$A$205,0)))),IF('Deals'!B73="","",IF(COUNTIFS('Clients'!$A$6:$A$205,'Deals'!B73)&lt;&gt;1,"Check Client ID",INDEX('Clients'!$B$6:$B$205,MATCH('Deals'!B73,'Clients'!$A$6:$A$205,0)))),'Follow-ups'!K73,'Payments'!B73,'Expenses'!D73)),CHOOSE($M$42,'Clients'!B73,'Clients'!B73,'Viewings'!H73,IF('Deals'!B73="","",IF(COUNTIFS('Clients'!$A$6:$A$205,'Deals'!B73)&lt;&gt;1,"Check Client ID",INDEX('Clients'!$B$6:$B$205,MATCH('Deals'!B73,'Clients'!$A$6:$A$205,0)))),IF('Deals'!B73="","",IF(COUNTIFS('Clients'!$A$6:$A$205,'Deals'!B73)&lt;&gt;1,"Check Client ID",INDEX('Clients'!$B$6:$B$205,MATCH('Deals'!B73,'Clients'!$A$6:$A$205,0)))),IF('Deals'!B73="","",IF(COUNTIFS('Clients'!$A$6:$A$205,'Deals'!B73)&lt;&gt;1,"Check Client ID",INDEX('Clients'!$B$6:$B$205,MATCH('Deals'!B73,'Clients'!$A$6:$A$205,0)))),'Follow-ups'!K73,'Payments'!B73,'Expenses'!D73),IF(CHOOSE($M$42,'Clients'!B73,'Clients'!B73,'Viewings'!H73,IF('Deals'!B73="","",IF(COUNTIFS('Clients'!$A$6:$A$205,'Deals'!B73)&lt;&gt;1,"Check Client ID",INDEX('Clients'!$B$6:$B$205,MATCH('Deals'!B73,'Clients'!$A$6:$A$205,0)))),IF('Deals'!B73="","",IF(COUNTIFS('Clients'!$A$6:$A$205,'Deals'!B73)&lt;&gt;1,"Check Client ID",INDEX('Clients'!$B$6:$B$205,MATCH('Deals'!B73,'Clients'!$A$6:$A$205,0)))),IF('Deals'!B73="","",IF(COUNTIFS('Clients'!$A$6:$A$205,'Deals'!B73)&lt;&gt;1,"Check Client ID",INDEX('Clients'!$B$6:$B$205,MATCH('Deals'!B73,'Clients'!$A$6:$A$205,0)))),'Follow-ups'!K73,'Payments'!B73,'Expenses'!D73)="","",CHOOSE($M$42,'Clients'!B73,'Clients'!B73,'Viewings'!H73,IF('Deals'!B73="","",IF(COUNTIFS('Clients'!$A$6:$A$205,'Deals'!B73)&lt;&gt;1,"Check Client ID",INDEX('Clients'!$B$6:$B$205,MATCH('Deals'!B73,'Clients'!$A$6:$A$205,0)))),IF('Deals'!B73="","",IF(COUNTIFS('Clients'!$A$6:$A$205,'Deals'!B73)&lt;&gt;1,"Check Client ID",INDEX('Clients'!$B$6:$B$205,MATCH('Deals'!B73,'Clients'!$A$6:$A$205,0)))),IF('Deals'!B73="","",IF(COUNTIFS('Clients'!$A$6:$A$205,'Deals'!B73)&lt;&gt;1,"Check Client ID",INDEX('Clients'!$B$6:$B$205,MATCH('Deals'!B73,'Clients'!$A$6:$A$205,0)))),'Follow-ups'!K73,'Payments'!B73,'Expenses'!D73))))</x:f>
      </x:c>
      <x:c r="E115" s="432" t="str">
        <x:f>IF(B115="","",IF(ISNUMBER(CHOOSE($M$42,'Clients'!K73,'Clients'!K73,'Viewings'!I73,'Deals'!C73,'Deals'!C73,'Deals'!C73,'Follow-ups'!L73,'Payments'!G73,'Expenses'!F73)),CHOOSE($M$42,'Clients'!K73,'Clients'!K73,'Viewings'!I73,'Deals'!C73,'Deals'!C73,'Deals'!C73,'Follow-ups'!L73,'Payments'!G73,'Expenses'!F73),IF(CHOOSE($M$42,'Clients'!K73,'Clients'!K73,'Viewings'!I73,'Deals'!C73,'Deals'!C73,'Deals'!C73,'Follow-ups'!L73,'Payments'!G73,'Expenses'!F73)="","",CHOOSE($M$42,'Clients'!K73,'Clients'!K73,'Viewings'!I73,'Deals'!C73,'Deals'!C73,'Deals'!C73,'Follow-ups'!L73,'Payments'!G73,'Expenses'!F73))))</x:f>
      </x:c>
      <x:c r="F115" s="432" t="str">
        <x:f>IF(B115="","",IF(ISNUMBER(CHOOSE($M$42,'Clients'!H73,'Clients'!H73,'Viewings'!E73,'Deals'!E73,'Deals'!E73,'Deals'!E73,'Follow-ups'!I73,"Receipt",'Expenses'!C73)),CHOOSE($M$42,'Clients'!H73,'Clients'!H73,'Viewings'!E73,'Deals'!E73,'Deals'!E73,'Deals'!E73,'Follow-ups'!I73,"Receipt",'Expenses'!C73),IF(CHOOSE($M$42,'Clients'!H73,'Clients'!H73,'Viewings'!E73,'Deals'!E73,'Deals'!E73,'Deals'!E73,'Follow-ups'!I73,"Receipt",'Expenses'!C73)="","",CHOOSE($M$42,'Clients'!H73,'Clients'!H73,'Viewings'!E73,'Deals'!E73,'Deals'!E73,'Deals'!E73,'Follow-ups'!I73,"Receipt",'Expenses'!C73))))</x:f>
      </x:c>
      <x:c r="G115" s="473" t="str">
        <x:f>IF(B115="","",IF(ISNUMBER(CHOOSE($M$42,"","","",'Deals'!F73,'Deals'!F73,'Deals'!F73,"",'Payments'!D73,'Expenses'!G73)),CHOOSE($M$42,"","","",'Deals'!F73,'Deals'!F73,'Deals'!F73,"",'Payments'!D73,'Expenses'!G73),IF(CHOOSE($M$42,"","","",'Deals'!F73,'Deals'!F73,'Deals'!F73,"",'Payments'!D73,'Expenses'!G73)="","",CHOOSE($M$42,"","","",'Deals'!F73,'Deals'!F73,'Deals'!F73,"",'Payments'!D73,'Expenses'!G73))))</x:f>
      </x:c>
      <x:c r="H115" s="432" t="n">
        <x:f>IF(AND($M$43=1,B115&lt;&gt;"",ISNUMBER(C115),C115&gt;=$G$6,C115&lt;$K$6+1),1,0)</x:f>
        <x:v>0</x:v>
      </x:c>
      <x:c r="I115" s="432" t="str">
        <x:f>IF(H115=0,"",COUNTIFS($H$48:$H$247,1,$C$48:$C$247,"&lt;"&amp;C115)+COUNTIFS($H$48:H115,1,$C$48:C115,C115))</x:f>
      </x:c>
      <x:c r="J115" s="432"/>
      <x:c r="K115" s="432"/>
      <x:c r="L115" s="432"/>
      <x:c r="M115" s="432"/>
      <x:c r="N115" s="432"/>
      <x:c r="O115" s="432"/>
      <x:c r="P115" s="432"/>
      <x:c r="Q115" s="432"/>
    </x:row>
    <x:row r="116" ht="25" customHeight="1">
      <x:c r="A116" s="432"/>
      <x:c r="B116" s="432" t="str">
        <x:f>IF(CHOOSE($M$42,'Clients'!A74,'Clients'!A74,'Viewings'!A74,'Deals'!A74,'Deals'!A74,'Deals'!A74,'Follow-ups'!A74,'Payments'!A74,'Expenses'!A74)="","",CHOOSE($M$42,'Clients'!A74,'Clients'!A74,'Viewings'!A74,'Deals'!A74,'Deals'!A74,'Deals'!A74,'Follow-ups'!A74,'Payments'!A74,'Expenses'!A74))</x:f>
      </x:c>
      <x:c r="C116" s="472" t="str">
        <x:f>IF(B116="","",IF(CHOOSE($M$42,'Clients'!R74,'Clients'!Q74,'Viewings'!D74,'Deals'!X74,'Deals'!Y74,'Deals'!Z74,'Follow-ups'!H74,'Payments'!C74,'Expenses'!B74)="","",CHOOSE($M$42,'Clients'!R74,'Clients'!Q74,'Viewings'!D74,'Deals'!X74,'Deals'!Y74,'Deals'!Z74,'Follow-ups'!H74,'Payments'!C74,'Expenses'!B74)))</x:f>
      </x:c>
      <x:c r="D116" s="432" t="str">
        <x:f>IF(B116="","",IF(ISNUMBER(CHOOSE($M$42,'Clients'!B74,'Clients'!B74,'Viewings'!H74,IF('Deals'!B74="","",IF(COUNTIFS('Clients'!$A$6:$A$205,'Deals'!B74)&lt;&gt;1,"Check Client ID",INDEX('Clients'!$B$6:$B$205,MATCH('Deals'!B74,'Clients'!$A$6:$A$205,0)))),IF('Deals'!B74="","",IF(COUNTIFS('Clients'!$A$6:$A$205,'Deals'!B74)&lt;&gt;1,"Check Client ID",INDEX('Clients'!$B$6:$B$205,MATCH('Deals'!B74,'Clients'!$A$6:$A$205,0)))),IF('Deals'!B74="","",IF(COUNTIFS('Clients'!$A$6:$A$205,'Deals'!B74)&lt;&gt;1,"Check Client ID",INDEX('Clients'!$B$6:$B$205,MATCH('Deals'!B74,'Clients'!$A$6:$A$205,0)))),'Follow-ups'!K74,'Payments'!B74,'Expenses'!D74)),CHOOSE($M$42,'Clients'!B74,'Clients'!B74,'Viewings'!H74,IF('Deals'!B74="","",IF(COUNTIFS('Clients'!$A$6:$A$205,'Deals'!B74)&lt;&gt;1,"Check Client ID",INDEX('Clients'!$B$6:$B$205,MATCH('Deals'!B74,'Clients'!$A$6:$A$205,0)))),IF('Deals'!B74="","",IF(COUNTIFS('Clients'!$A$6:$A$205,'Deals'!B74)&lt;&gt;1,"Check Client ID",INDEX('Clients'!$B$6:$B$205,MATCH('Deals'!B74,'Clients'!$A$6:$A$205,0)))),IF('Deals'!B74="","",IF(COUNTIFS('Clients'!$A$6:$A$205,'Deals'!B74)&lt;&gt;1,"Check Client ID",INDEX('Clients'!$B$6:$B$205,MATCH('Deals'!B74,'Clients'!$A$6:$A$205,0)))),'Follow-ups'!K74,'Payments'!B74,'Expenses'!D74),IF(CHOOSE($M$42,'Clients'!B74,'Clients'!B74,'Viewings'!H74,IF('Deals'!B74="","",IF(COUNTIFS('Clients'!$A$6:$A$205,'Deals'!B74)&lt;&gt;1,"Check Client ID",INDEX('Clients'!$B$6:$B$205,MATCH('Deals'!B74,'Clients'!$A$6:$A$205,0)))),IF('Deals'!B74="","",IF(COUNTIFS('Clients'!$A$6:$A$205,'Deals'!B74)&lt;&gt;1,"Check Client ID",INDEX('Clients'!$B$6:$B$205,MATCH('Deals'!B74,'Clients'!$A$6:$A$205,0)))),IF('Deals'!B74="","",IF(COUNTIFS('Clients'!$A$6:$A$205,'Deals'!B74)&lt;&gt;1,"Check Client ID",INDEX('Clients'!$B$6:$B$205,MATCH('Deals'!B74,'Clients'!$A$6:$A$205,0)))),'Follow-ups'!K74,'Payments'!B74,'Expenses'!D74)="","",CHOOSE($M$42,'Clients'!B74,'Clients'!B74,'Viewings'!H74,IF('Deals'!B74="","",IF(COUNTIFS('Clients'!$A$6:$A$205,'Deals'!B74)&lt;&gt;1,"Check Client ID",INDEX('Clients'!$B$6:$B$205,MATCH('Deals'!B74,'Clients'!$A$6:$A$205,0)))),IF('Deals'!B74="","",IF(COUNTIFS('Clients'!$A$6:$A$205,'Deals'!B74)&lt;&gt;1,"Check Client ID",INDEX('Clients'!$B$6:$B$205,MATCH('Deals'!B74,'Clients'!$A$6:$A$205,0)))),IF('Deals'!B74="","",IF(COUNTIFS('Clients'!$A$6:$A$205,'Deals'!B74)&lt;&gt;1,"Check Client ID",INDEX('Clients'!$B$6:$B$205,MATCH('Deals'!B74,'Clients'!$A$6:$A$205,0)))),'Follow-ups'!K74,'Payments'!B74,'Expenses'!D74))))</x:f>
      </x:c>
      <x:c r="E116" s="432" t="str">
        <x:f>IF(B116="","",IF(ISNUMBER(CHOOSE($M$42,'Clients'!K74,'Clients'!K74,'Viewings'!I74,'Deals'!C74,'Deals'!C74,'Deals'!C74,'Follow-ups'!L74,'Payments'!G74,'Expenses'!F74)),CHOOSE($M$42,'Clients'!K74,'Clients'!K74,'Viewings'!I74,'Deals'!C74,'Deals'!C74,'Deals'!C74,'Follow-ups'!L74,'Payments'!G74,'Expenses'!F74),IF(CHOOSE($M$42,'Clients'!K74,'Clients'!K74,'Viewings'!I74,'Deals'!C74,'Deals'!C74,'Deals'!C74,'Follow-ups'!L74,'Payments'!G74,'Expenses'!F74)="","",CHOOSE($M$42,'Clients'!K74,'Clients'!K74,'Viewings'!I74,'Deals'!C74,'Deals'!C74,'Deals'!C74,'Follow-ups'!L74,'Payments'!G74,'Expenses'!F74))))</x:f>
      </x:c>
      <x:c r="F116" s="432" t="str">
        <x:f>IF(B116="","",IF(ISNUMBER(CHOOSE($M$42,'Clients'!H74,'Clients'!H74,'Viewings'!E74,'Deals'!E74,'Deals'!E74,'Deals'!E74,'Follow-ups'!I74,"Receipt",'Expenses'!C74)),CHOOSE($M$42,'Clients'!H74,'Clients'!H74,'Viewings'!E74,'Deals'!E74,'Deals'!E74,'Deals'!E74,'Follow-ups'!I74,"Receipt",'Expenses'!C74),IF(CHOOSE($M$42,'Clients'!H74,'Clients'!H74,'Viewings'!E74,'Deals'!E74,'Deals'!E74,'Deals'!E74,'Follow-ups'!I74,"Receipt",'Expenses'!C74)="","",CHOOSE($M$42,'Clients'!H74,'Clients'!H74,'Viewings'!E74,'Deals'!E74,'Deals'!E74,'Deals'!E74,'Follow-ups'!I74,"Receipt",'Expenses'!C74))))</x:f>
      </x:c>
      <x:c r="G116" s="473" t="str">
        <x:f>IF(B116="","",IF(ISNUMBER(CHOOSE($M$42,"","","",'Deals'!F74,'Deals'!F74,'Deals'!F74,"",'Payments'!D74,'Expenses'!G74)),CHOOSE($M$42,"","","",'Deals'!F74,'Deals'!F74,'Deals'!F74,"",'Payments'!D74,'Expenses'!G74),IF(CHOOSE($M$42,"","","",'Deals'!F74,'Deals'!F74,'Deals'!F74,"",'Payments'!D74,'Expenses'!G74)="","",CHOOSE($M$42,"","","",'Deals'!F74,'Deals'!F74,'Deals'!F74,"",'Payments'!D74,'Expenses'!G74))))</x:f>
      </x:c>
      <x:c r="H116" s="432" t="n">
        <x:f>IF(AND($M$43=1,B116&lt;&gt;"",ISNUMBER(C116),C116&gt;=$G$6,C116&lt;$K$6+1),1,0)</x:f>
        <x:v>0</x:v>
      </x:c>
      <x:c r="I116" s="432" t="str">
        <x:f>IF(H116=0,"",COUNTIFS($H$48:$H$247,1,$C$48:$C$247,"&lt;"&amp;C116)+COUNTIFS($H$48:H116,1,$C$48:C116,C116))</x:f>
      </x:c>
      <x:c r="J116" s="432"/>
      <x:c r="K116" s="432"/>
      <x:c r="L116" s="432"/>
      <x:c r="M116" s="432"/>
      <x:c r="N116" s="432"/>
      <x:c r="O116" s="432"/>
      <x:c r="P116" s="432"/>
      <x:c r="Q116" s="432"/>
    </x:row>
    <x:row r="117" ht="25" customHeight="1">
      <x:c r="A117" s="432"/>
      <x:c r="B117" s="432" t="str">
        <x:f>IF(CHOOSE($M$42,'Clients'!A75,'Clients'!A75,'Viewings'!A75,'Deals'!A75,'Deals'!A75,'Deals'!A75,'Follow-ups'!A75,'Payments'!A75,'Expenses'!A75)="","",CHOOSE($M$42,'Clients'!A75,'Clients'!A75,'Viewings'!A75,'Deals'!A75,'Deals'!A75,'Deals'!A75,'Follow-ups'!A75,'Payments'!A75,'Expenses'!A75))</x:f>
      </x:c>
      <x:c r="C117" s="472" t="str">
        <x:f>IF(B117="","",IF(CHOOSE($M$42,'Clients'!R75,'Clients'!Q75,'Viewings'!D75,'Deals'!X75,'Deals'!Y75,'Deals'!Z75,'Follow-ups'!H75,'Payments'!C75,'Expenses'!B75)="","",CHOOSE($M$42,'Clients'!R75,'Clients'!Q75,'Viewings'!D75,'Deals'!X75,'Deals'!Y75,'Deals'!Z75,'Follow-ups'!H75,'Payments'!C75,'Expenses'!B75)))</x:f>
      </x:c>
      <x:c r="D117" s="432" t="str">
        <x:f>IF(B117="","",IF(ISNUMBER(CHOOSE($M$42,'Clients'!B75,'Clients'!B75,'Viewings'!H75,IF('Deals'!B75="","",IF(COUNTIFS('Clients'!$A$6:$A$205,'Deals'!B75)&lt;&gt;1,"Check Client ID",INDEX('Clients'!$B$6:$B$205,MATCH('Deals'!B75,'Clients'!$A$6:$A$205,0)))),IF('Deals'!B75="","",IF(COUNTIFS('Clients'!$A$6:$A$205,'Deals'!B75)&lt;&gt;1,"Check Client ID",INDEX('Clients'!$B$6:$B$205,MATCH('Deals'!B75,'Clients'!$A$6:$A$205,0)))),IF('Deals'!B75="","",IF(COUNTIFS('Clients'!$A$6:$A$205,'Deals'!B75)&lt;&gt;1,"Check Client ID",INDEX('Clients'!$B$6:$B$205,MATCH('Deals'!B75,'Clients'!$A$6:$A$205,0)))),'Follow-ups'!K75,'Payments'!B75,'Expenses'!D75)),CHOOSE($M$42,'Clients'!B75,'Clients'!B75,'Viewings'!H75,IF('Deals'!B75="","",IF(COUNTIFS('Clients'!$A$6:$A$205,'Deals'!B75)&lt;&gt;1,"Check Client ID",INDEX('Clients'!$B$6:$B$205,MATCH('Deals'!B75,'Clients'!$A$6:$A$205,0)))),IF('Deals'!B75="","",IF(COUNTIFS('Clients'!$A$6:$A$205,'Deals'!B75)&lt;&gt;1,"Check Client ID",INDEX('Clients'!$B$6:$B$205,MATCH('Deals'!B75,'Clients'!$A$6:$A$205,0)))),IF('Deals'!B75="","",IF(COUNTIFS('Clients'!$A$6:$A$205,'Deals'!B75)&lt;&gt;1,"Check Client ID",INDEX('Clients'!$B$6:$B$205,MATCH('Deals'!B75,'Clients'!$A$6:$A$205,0)))),'Follow-ups'!K75,'Payments'!B75,'Expenses'!D75),IF(CHOOSE($M$42,'Clients'!B75,'Clients'!B75,'Viewings'!H75,IF('Deals'!B75="","",IF(COUNTIFS('Clients'!$A$6:$A$205,'Deals'!B75)&lt;&gt;1,"Check Client ID",INDEX('Clients'!$B$6:$B$205,MATCH('Deals'!B75,'Clients'!$A$6:$A$205,0)))),IF('Deals'!B75="","",IF(COUNTIFS('Clients'!$A$6:$A$205,'Deals'!B75)&lt;&gt;1,"Check Client ID",INDEX('Clients'!$B$6:$B$205,MATCH('Deals'!B75,'Clients'!$A$6:$A$205,0)))),IF('Deals'!B75="","",IF(COUNTIFS('Clients'!$A$6:$A$205,'Deals'!B75)&lt;&gt;1,"Check Client ID",INDEX('Clients'!$B$6:$B$205,MATCH('Deals'!B75,'Clients'!$A$6:$A$205,0)))),'Follow-ups'!K75,'Payments'!B75,'Expenses'!D75)="","",CHOOSE($M$42,'Clients'!B75,'Clients'!B75,'Viewings'!H75,IF('Deals'!B75="","",IF(COUNTIFS('Clients'!$A$6:$A$205,'Deals'!B75)&lt;&gt;1,"Check Client ID",INDEX('Clients'!$B$6:$B$205,MATCH('Deals'!B75,'Clients'!$A$6:$A$205,0)))),IF('Deals'!B75="","",IF(COUNTIFS('Clients'!$A$6:$A$205,'Deals'!B75)&lt;&gt;1,"Check Client ID",INDEX('Clients'!$B$6:$B$205,MATCH('Deals'!B75,'Clients'!$A$6:$A$205,0)))),IF('Deals'!B75="","",IF(COUNTIFS('Clients'!$A$6:$A$205,'Deals'!B75)&lt;&gt;1,"Check Client ID",INDEX('Clients'!$B$6:$B$205,MATCH('Deals'!B75,'Clients'!$A$6:$A$205,0)))),'Follow-ups'!K75,'Payments'!B75,'Expenses'!D75))))</x:f>
      </x:c>
      <x:c r="E117" s="432" t="str">
        <x:f>IF(B117="","",IF(ISNUMBER(CHOOSE($M$42,'Clients'!K75,'Clients'!K75,'Viewings'!I75,'Deals'!C75,'Deals'!C75,'Deals'!C75,'Follow-ups'!L75,'Payments'!G75,'Expenses'!F75)),CHOOSE($M$42,'Clients'!K75,'Clients'!K75,'Viewings'!I75,'Deals'!C75,'Deals'!C75,'Deals'!C75,'Follow-ups'!L75,'Payments'!G75,'Expenses'!F75),IF(CHOOSE($M$42,'Clients'!K75,'Clients'!K75,'Viewings'!I75,'Deals'!C75,'Deals'!C75,'Deals'!C75,'Follow-ups'!L75,'Payments'!G75,'Expenses'!F75)="","",CHOOSE($M$42,'Clients'!K75,'Clients'!K75,'Viewings'!I75,'Deals'!C75,'Deals'!C75,'Deals'!C75,'Follow-ups'!L75,'Payments'!G75,'Expenses'!F75))))</x:f>
      </x:c>
      <x:c r="F117" s="432" t="str">
        <x:f>IF(B117="","",IF(ISNUMBER(CHOOSE($M$42,'Clients'!H75,'Clients'!H75,'Viewings'!E75,'Deals'!E75,'Deals'!E75,'Deals'!E75,'Follow-ups'!I75,"Receipt",'Expenses'!C75)),CHOOSE($M$42,'Clients'!H75,'Clients'!H75,'Viewings'!E75,'Deals'!E75,'Deals'!E75,'Deals'!E75,'Follow-ups'!I75,"Receipt",'Expenses'!C75),IF(CHOOSE($M$42,'Clients'!H75,'Clients'!H75,'Viewings'!E75,'Deals'!E75,'Deals'!E75,'Deals'!E75,'Follow-ups'!I75,"Receipt",'Expenses'!C75)="","",CHOOSE($M$42,'Clients'!H75,'Clients'!H75,'Viewings'!E75,'Deals'!E75,'Deals'!E75,'Deals'!E75,'Follow-ups'!I75,"Receipt",'Expenses'!C75))))</x:f>
      </x:c>
      <x:c r="G117" s="473" t="str">
        <x:f>IF(B117="","",IF(ISNUMBER(CHOOSE($M$42,"","","",'Deals'!F75,'Deals'!F75,'Deals'!F75,"",'Payments'!D75,'Expenses'!G75)),CHOOSE($M$42,"","","",'Deals'!F75,'Deals'!F75,'Deals'!F75,"",'Payments'!D75,'Expenses'!G75),IF(CHOOSE($M$42,"","","",'Deals'!F75,'Deals'!F75,'Deals'!F75,"",'Payments'!D75,'Expenses'!G75)="","",CHOOSE($M$42,"","","",'Deals'!F75,'Deals'!F75,'Deals'!F75,"",'Payments'!D75,'Expenses'!G75))))</x:f>
      </x:c>
      <x:c r="H117" s="432" t="n">
        <x:f>IF(AND($M$43=1,B117&lt;&gt;"",ISNUMBER(C117),C117&gt;=$G$6,C117&lt;$K$6+1),1,0)</x:f>
        <x:v>0</x:v>
      </x:c>
      <x:c r="I117" s="432" t="str">
        <x:f>IF(H117=0,"",COUNTIFS($H$48:$H$247,1,$C$48:$C$247,"&lt;"&amp;C117)+COUNTIFS($H$48:H117,1,$C$48:C117,C117))</x:f>
      </x:c>
      <x:c r="J117" s="432"/>
      <x:c r="K117" s="432"/>
      <x:c r="L117" s="432"/>
      <x:c r="M117" s="432"/>
      <x:c r="N117" s="432"/>
      <x:c r="O117" s="432"/>
      <x:c r="P117" s="432"/>
      <x:c r="Q117" s="432"/>
    </x:row>
    <x:row r="118" ht="25" customHeight="1">
      <x:c r="A118" s="432"/>
      <x:c r="B118" s="432" t="str">
        <x:f>IF(CHOOSE($M$42,'Clients'!A76,'Clients'!A76,'Viewings'!A76,'Deals'!A76,'Deals'!A76,'Deals'!A76,'Follow-ups'!A76,'Payments'!A76,'Expenses'!A76)="","",CHOOSE($M$42,'Clients'!A76,'Clients'!A76,'Viewings'!A76,'Deals'!A76,'Deals'!A76,'Deals'!A76,'Follow-ups'!A76,'Payments'!A76,'Expenses'!A76))</x:f>
      </x:c>
      <x:c r="C118" s="472" t="str">
        <x:f>IF(B118="","",IF(CHOOSE($M$42,'Clients'!R76,'Clients'!Q76,'Viewings'!D76,'Deals'!X76,'Deals'!Y76,'Deals'!Z76,'Follow-ups'!H76,'Payments'!C76,'Expenses'!B76)="","",CHOOSE($M$42,'Clients'!R76,'Clients'!Q76,'Viewings'!D76,'Deals'!X76,'Deals'!Y76,'Deals'!Z76,'Follow-ups'!H76,'Payments'!C76,'Expenses'!B76)))</x:f>
      </x:c>
      <x:c r="D118" s="432" t="str">
        <x:f>IF(B118="","",IF(ISNUMBER(CHOOSE($M$42,'Clients'!B76,'Clients'!B76,'Viewings'!H76,IF('Deals'!B76="","",IF(COUNTIFS('Clients'!$A$6:$A$205,'Deals'!B76)&lt;&gt;1,"Check Client ID",INDEX('Clients'!$B$6:$B$205,MATCH('Deals'!B76,'Clients'!$A$6:$A$205,0)))),IF('Deals'!B76="","",IF(COUNTIFS('Clients'!$A$6:$A$205,'Deals'!B76)&lt;&gt;1,"Check Client ID",INDEX('Clients'!$B$6:$B$205,MATCH('Deals'!B76,'Clients'!$A$6:$A$205,0)))),IF('Deals'!B76="","",IF(COUNTIFS('Clients'!$A$6:$A$205,'Deals'!B76)&lt;&gt;1,"Check Client ID",INDEX('Clients'!$B$6:$B$205,MATCH('Deals'!B76,'Clients'!$A$6:$A$205,0)))),'Follow-ups'!K76,'Payments'!B76,'Expenses'!D76)),CHOOSE($M$42,'Clients'!B76,'Clients'!B76,'Viewings'!H76,IF('Deals'!B76="","",IF(COUNTIFS('Clients'!$A$6:$A$205,'Deals'!B76)&lt;&gt;1,"Check Client ID",INDEX('Clients'!$B$6:$B$205,MATCH('Deals'!B76,'Clients'!$A$6:$A$205,0)))),IF('Deals'!B76="","",IF(COUNTIFS('Clients'!$A$6:$A$205,'Deals'!B76)&lt;&gt;1,"Check Client ID",INDEX('Clients'!$B$6:$B$205,MATCH('Deals'!B76,'Clients'!$A$6:$A$205,0)))),IF('Deals'!B76="","",IF(COUNTIFS('Clients'!$A$6:$A$205,'Deals'!B76)&lt;&gt;1,"Check Client ID",INDEX('Clients'!$B$6:$B$205,MATCH('Deals'!B76,'Clients'!$A$6:$A$205,0)))),'Follow-ups'!K76,'Payments'!B76,'Expenses'!D76),IF(CHOOSE($M$42,'Clients'!B76,'Clients'!B76,'Viewings'!H76,IF('Deals'!B76="","",IF(COUNTIFS('Clients'!$A$6:$A$205,'Deals'!B76)&lt;&gt;1,"Check Client ID",INDEX('Clients'!$B$6:$B$205,MATCH('Deals'!B76,'Clients'!$A$6:$A$205,0)))),IF('Deals'!B76="","",IF(COUNTIFS('Clients'!$A$6:$A$205,'Deals'!B76)&lt;&gt;1,"Check Client ID",INDEX('Clients'!$B$6:$B$205,MATCH('Deals'!B76,'Clients'!$A$6:$A$205,0)))),IF('Deals'!B76="","",IF(COUNTIFS('Clients'!$A$6:$A$205,'Deals'!B76)&lt;&gt;1,"Check Client ID",INDEX('Clients'!$B$6:$B$205,MATCH('Deals'!B76,'Clients'!$A$6:$A$205,0)))),'Follow-ups'!K76,'Payments'!B76,'Expenses'!D76)="","",CHOOSE($M$42,'Clients'!B76,'Clients'!B76,'Viewings'!H76,IF('Deals'!B76="","",IF(COUNTIFS('Clients'!$A$6:$A$205,'Deals'!B76)&lt;&gt;1,"Check Client ID",INDEX('Clients'!$B$6:$B$205,MATCH('Deals'!B76,'Clients'!$A$6:$A$205,0)))),IF('Deals'!B76="","",IF(COUNTIFS('Clients'!$A$6:$A$205,'Deals'!B76)&lt;&gt;1,"Check Client ID",INDEX('Clients'!$B$6:$B$205,MATCH('Deals'!B76,'Clients'!$A$6:$A$205,0)))),IF('Deals'!B76="","",IF(COUNTIFS('Clients'!$A$6:$A$205,'Deals'!B76)&lt;&gt;1,"Check Client ID",INDEX('Clients'!$B$6:$B$205,MATCH('Deals'!B76,'Clients'!$A$6:$A$205,0)))),'Follow-ups'!K76,'Payments'!B76,'Expenses'!D76))))</x:f>
      </x:c>
      <x:c r="E118" s="432" t="str">
        <x:f>IF(B118="","",IF(ISNUMBER(CHOOSE($M$42,'Clients'!K76,'Clients'!K76,'Viewings'!I76,'Deals'!C76,'Deals'!C76,'Deals'!C76,'Follow-ups'!L76,'Payments'!G76,'Expenses'!F76)),CHOOSE($M$42,'Clients'!K76,'Clients'!K76,'Viewings'!I76,'Deals'!C76,'Deals'!C76,'Deals'!C76,'Follow-ups'!L76,'Payments'!G76,'Expenses'!F76),IF(CHOOSE($M$42,'Clients'!K76,'Clients'!K76,'Viewings'!I76,'Deals'!C76,'Deals'!C76,'Deals'!C76,'Follow-ups'!L76,'Payments'!G76,'Expenses'!F76)="","",CHOOSE($M$42,'Clients'!K76,'Clients'!K76,'Viewings'!I76,'Deals'!C76,'Deals'!C76,'Deals'!C76,'Follow-ups'!L76,'Payments'!G76,'Expenses'!F76))))</x:f>
      </x:c>
      <x:c r="F118" s="432" t="str">
        <x:f>IF(B118="","",IF(ISNUMBER(CHOOSE($M$42,'Clients'!H76,'Clients'!H76,'Viewings'!E76,'Deals'!E76,'Deals'!E76,'Deals'!E76,'Follow-ups'!I76,"Receipt",'Expenses'!C76)),CHOOSE($M$42,'Clients'!H76,'Clients'!H76,'Viewings'!E76,'Deals'!E76,'Deals'!E76,'Deals'!E76,'Follow-ups'!I76,"Receipt",'Expenses'!C76),IF(CHOOSE($M$42,'Clients'!H76,'Clients'!H76,'Viewings'!E76,'Deals'!E76,'Deals'!E76,'Deals'!E76,'Follow-ups'!I76,"Receipt",'Expenses'!C76)="","",CHOOSE($M$42,'Clients'!H76,'Clients'!H76,'Viewings'!E76,'Deals'!E76,'Deals'!E76,'Deals'!E76,'Follow-ups'!I76,"Receipt",'Expenses'!C76))))</x:f>
      </x:c>
      <x:c r="G118" s="473" t="str">
        <x:f>IF(B118="","",IF(ISNUMBER(CHOOSE($M$42,"","","",'Deals'!F76,'Deals'!F76,'Deals'!F76,"",'Payments'!D76,'Expenses'!G76)),CHOOSE($M$42,"","","",'Deals'!F76,'Deals'!F76,'Deals'!F76,"",'Payments'!D76,'Expenses'!G76),IF(CHOOSE($M$42,"","","",'Deals'!F76,'Deals'!F76,'Deals'!F76,"",'Payments'!D76,'Expenses'!G76)="","",CHOOSE($M$42,"","","",'Deals'!F76,'Deals'!F76,'Deals'!F76,"",'Payments'!D76,'Expenses'!G76))))</x:f>
      </x:c>
      <x:c r="H118" s="432" t="n">
        <x:f>IF(AND($M$43=1,B118&lt;&gt;"",ISNUMBER(C118),C118&gt;=$G$6,C118&lt;$K$6+1),1,0)</x:f>
        <x:v>0</x:v>
      </x:c>
      <x:c r="I118" s="432" t="str">
        <x:f>IF(H118=0,"",COUNTIFS($H$48:$H$247,1,$C$48:$C$247,"&lt;"&amp;C118)+COUNTIFS($H$48:H118,1,$C$48:C118,C118))</x:f>
      </x:c>
      <x:c r="J118" s="432"/>
      <x:c r="K118" s="432"/>
      <x:c r="L118" s="432"/>
      <x:c r="M118" s="432"/>
      <x:c r="N118" s="432"/>
      <x:c r="O118" s="432"/>
      <x:c r="P118" s="432"/>
      <x:c r="Q118" s="432"/>
    </x:row>
    <x:row r="119" ht="25" customHeight="1">
      <x:c r="A119" s="432"/>
      <x:c r="B119" s="432" t="str">
        <x:f>IF(CHOOSE($M$42,'Clients'!A77,'Clients'!A77,'Viewings'!A77,'Deals'!A77,'Deals'!A77,'Deals'!A77,'Follow-ups'!A77,'Payments'!A77,'Expenses'!A77)="","",CHOOSE($M$42,'Clients'!A77,'Clients'!A77,'Viewings'!A77,'Deals'!A77,'Deals'!A77,'Deals'!A77,'Follow-ups'!A77,'Payments'!A77,'Expenses'!A77))</x:f>
      </x:c>
      <x:c r="C119" s="472" t="str">
        <x:f>IF(B119="","",IF(CHOOSE($M$42,'Clients'!R77,'Clients'!Q77,'Viewings'!D77,'Deals'!X77,'Deals'!Y77,'Deals'!Z77,'Follow-ups'!H77,'Payments'!C77,'Expenses'!B77)="","",CHOOSE($M$42,'Clients'!R77,'Clients'!Q77,'Viewings'!D77,'Deals'!X77,'Deals'!Y77,'Deals'!Z77,'Follow-ups'!H77,'Payments'!C77,'Expenses'!B77)))</x:f>
      </x:c>
      <x:c r="D119" s="432" t="str">
        <x:f>IF(B119="","",IF(ISNUMBER(CHOOSE($M$42,'Clients'!B77,'Clients'!B77,'Viewings'!H77,IF('Deals'!B77="","",IF(COUNTIFS('Clients'!$A$6:$A$205,'Deals'!B77)&lt;&gt;1,"Check Client ID",INDEX('Clients'!$B$6:$B$205,MATCH('Deals'!B77,'Clients'!$A$6:$A$205,0)))),IF('Deals'!B77="","",IF(COUNTIFS('Clients'!$A$6:$A$205,'Deals'!B77)&lt;&gt;1,"Check Client ID",INDEX('Clients'!$B$6:$B$205,MATCH('Deals'!B77,'Clients'!$A$6:$A$205,0)))),IF('Deals'!B77="","",IF(COUNTIFS('Clients'!$A$6:$A$205,'Deals'!B77)&lt;&gt;1,"Check Client ID",INDEX('Clients'!$B$6:$B$205,MATCH('Deals'!B77,'Clients'!$A$6:$A$205,0)))),'Follow-ups'!K77,'Payments'!B77,'Expenses'!D77)),CHOOSE($M$42,'Clients'!B77,'Clients'!B77,'Viewings'!H77,IF('Deals'!B77="","",IF(COUNTIFS('Clients'!$A$6:$A$205,'Deals'!B77)&lt;&gt;1,"Check Client ID",INDEX('Clients'!$B$6:$B$205,MATCH('Deals'!B77,'Clients'!$A$6:$A$205,0)))),IF('Deals'!B77="","",IF(COUNTIFS('Clients'!$A$6:$A$205,'Deals'!B77)&lt;&gt;1,"Check Client ID",INDEX('Clients'!$B$6:$B$205,MATCH('Deals'!B77,'Clients'!$A$6:$A$205,0)))),IF('Deals'!B77="","",IF(COUNTIFS('Clients'!$A$6:$A$205,'Deals'!B77)&lt;&gt;1,"Check Client ID",INDEX('Clients'!$B$6:$B$205,MATCH('Deals'!B77,'Clients'!$A$6:$A$205,0)))),'Follow-ups'!K77,'Payments'!B77,'Expenses'!D77),IF(CHOOSE($M$42,'Clients'!B77,'Clients'!B77,'Viewings'!H77,IF('Deals'!B77="","",IF(COUNTIFS('Clients'!$A$6:$A$205,'Deals'!B77)&lt;&gt;1,"Check Client ID",INDEX('Clients'!$B$6:$B$205,MATCH('Deals'!B77,'Clients'!$A$6:$A$205,0)))),IF('Deals'!B77="","",IF(COUNTIFS('Clients'!$A$6:$A$205,'Deals'!B77)&lt;&gt;1,"Check Client ID",INDEX('Clients'!$B$6:$B$205,MATCH('Deals'!B77,'Clients'!$A$6:$A$205,0)))),IF('Deals'!B77="","",IF(COUNTIFS('Clients'!$A$6:$A$205,'Deals'!B77)&lt;&gt;1,"Check Client ID",INDEX('Clients'!$B$6:$B$205,MATCH('Deals'!B77,'Clients'!$A$6:$A$205,0)))),'Follow-ups'!K77,'Payments'!B77,'Expenses'!D77)="","",CHOOSE($M$42,'Clients'!B77,'Clients'!B77,'Viewings'!H77,IF('Deals'!B77="","",IF(COUNTIFS('Clients'!$A$6:$A$205,'Deals'!B77)&lt;&gt;1,"Check Client ID",INDEX('Clients'!$B$6:$B$205,MATCH('Deals'!B77,'Clients'!$A$6:$A$205,0)))),IF('Deals'!B77="","",IF(COUNTIFS('Clients'!$A$6:$A$205,'Deals'!B77)&lt;&gt;1,"Check Client ID",INDEX('Clients'!$B$6:$B$205,MATCH('Deals'!B77,'Clients'!$A$6:$A$205,0)))),IF('Deals'!B77="","",IF(COUNTIFS('Clients'!$A$6:$A$205,'Deals'!B77)&lt;&gt;1,"Check Client ID",INDEX('Clients'!$B$6:$B$205,MATCH('Deals'!B77,'Clients'!$A$6:$A$205,0)))),'Follow-ups'!K77,'Payments'!B77,'Expenses'!D77))))</x:f>
      </x:c>
      <x:c r="E119" s="432" t="str">
        <x:f>IF(B119="","",IF(ISNUMBER(CHOOSE($M$42,'Clients'!K77,'Clients'!K77,'Viewings'!I77,'Deals'!C77,'Deals'!C77,'Deals'!C77,'Follow-ups'!L77,'Payments'!G77,'Expenses'!F77)),CHOOSE($M$42,'Clients'!K77,'Clients'!K77,'Viewings'!I77,'Deals'!C77,'Deals'!C77,'Deals'!C77,'Follow-ups'!L77,'Payments'!G77,'Expenses'!F77),IF(CHOOSE($M$42,'Clients'!K77,'Clients'!K77,'Viewings'!I77,'Deals'!C77,'Deals'!C77,'Deals'!C77,'Follow-ups'!L77,'Payments'!G77,'Expenses'!F77)="","",CHOOSE($M$42,'Clients'!K77,'Clients'!K77,'Viewings'!I77,'Deals'!C77,'Deals'!C77,'Deals'!C77,'Follow-ups'!L77,'Payments'!G77,'Expenses'!F77))))</x:f>
      </x:c>
      <x:c r="F119" s="432" t="str">
        <x:f>IF(B119="","",IF(ISNUMBER(CHOOSE($M$42,'Clients'!H77,'Clients'!H77,'Viewings'!E77,'Deals'!E77,'Deals'!E77,'Deals'!E77,'Follow-ups'!I77,"Receipt",'Expenses'!C77)),CHOOSE($M$42,'Clients'!H77,'Clients'!H77,'Viewings'!E77,'Deals'!E77,'Deals'!E77,'Deals'!E77,'Follow-ups'!I77,"Receipt",'Expenses'!C77),IF(CHOOSE($M$42,'Clients'!H77,'Clients'!H77,'Viewings'!E77,'Deals'!E77,'Deals'!E77,'Deals'!E77,'Follow-ups'!I77,"Receipt",'Expenses'!C77)="","",CHOOSE($M$42,'Clients'!H77,'Clients'!H77,'Viewings'!E77,'Deals'!E77,'Deals'!E77,'Deals'!E77,'Follow-ups'!I77,"Receipt",'Expenses'!C77))))</x:f>
      </x:c>
      <x:c r="G119" s="473" t="str">
        <x:f>IF(B119="","",IF(ISNUMBER(CHOOSE($M$42,"","","",'Deals'!F77,'Deals'!F77,'Deals'!F77,"",'Payments'!D77,'Expenses'!G77)),CHOOSE($M$42,"","","",'Deals'!F77,'Deals'!F77,'Deals'!F77,"",'Payments'!D77,'Expenses'!G77),IF(CHOOSE($M$42,"","","",'Deals'!F77,'Deals'!F77,'Deals'!F77,"",'Payments'!D77,'Expenses'!G77)="","",CHOOSE($M$42,"","","",'Deals'!F77,'Deals'!F77,'Deals'!F77,"",'Payments'!D77,'Expenses'!G77))))</x:f>
      </x:c>
      <x:c r="H119" s="432" t="n">
        <x:f>IF(AND($M$43=1,B119&lt;&gt;"",ISNUMBER(C119),C119&gt;=$G$6,C119&lt;$K$6+1),1,0)</x:f>
        <x:v>0</x:v>
      </x:c>
      <x:c r="I119" s="432" t="str">
        <x:f>IF(H119=0,"",COUNTIFS($H$48:$H$247,1,$C$48:$C$247,"&lt;"&amp;C119)+COUNTIFS($H$48:H119,1,$C$48:C119,C119))</x:f>
      </x:c>
      <x:c r="J119" s="432"/>
      <x:c r="K119" s="432"/>
      <x:c r="L119" s="432"/>
      <x:c r="M119" s="432"/>
      <x:c r="N119" s="432"/>
      <x:c r="O119" s="432"/>
      <x:c r="P119" s="432"/>
      <x:c r="Q119" s="432"/>
    </x:row>
    <x:row r="120" ht="25" customHeight="1">
      <x:c r="A120" s="432"/>
      <x:c r="B120" s="432" t="str">
        <x:f>IF(CHOOSE($M$42,'Clients'!A78,'Clients'!A78,'Viewings'!A78,'Deals'!A78,'Deals'!A78,'Deals'!A78,'Follow-ups'!A78,'Payments'!A78,'Expenses'!A78)="","",CHOOSE($M$42,'Clients'!A78,'Clients'!A78,'Viewings'!A78,'Deals'!A78,'Deals'!A78,'Deals'!A78,'Follow-ups'!A78,'Payments'!A78,'Expenses'!A78))</x:f>
      </x:c>
      <x:c r="C120" s="472" t="str">
        <x:f>IF(B120="","",IF(CHOOSE($M$42,'Clients'!R78,'Clients'!Q78,'Viewings'!D78,'Deals'!X78,'Deals'!Y78,'Deals'!Z78,'Follow-ups'!H78,'Payments'!C78,'Expenses'!B78)="","",CHOOSE($M$42,'Clients'!R78,'Clients'!Q78,'Viewings'!D78,'Deals'!X78,'Deals'!Y78,'Deals'!Z78,'Follow-ups'!H78,'Payments'!C78,'Expenses'!B78)))</x:f>
      </x:c>
      <x:c r="D120" s="432" t="str">
        <x:f>IF(B120="","",IF(ISNUMBER(CHOOSE($M$42,'Clients'!B78,'Clients'!B78,'Viewings'!H78,IF('Deals'!B78="","",IF(COUNTIFS('Clients'!$A$6:$A$205,'Deals'!B78)&lt;&gt;1,"Check Client ID",INDEX('Clients'!$B$6:$B$205,MATCH('Deals'!B78,'Clients'!$A$6:$A$205,0)))),IF('Deals'!B78="","",IF(COUNTIFS('Clients'!$A$6:$A$205,'Deals'!B78)&lt;&gt;1,"Check Client ID",INDEX('Clients'!$B$6:$B$205,MATCH('Deals'!B78,'Clients'!$A$6:$A$205,0)))),IF('Deals'!B78="","",IF(COUNTIFS('Clients'!$A$6:$A$205,'Deals'!B78)&lt;&gt;1,"Check Client ID",INDEX('Clients'!$B$6:$B$205,MATCH('Deals'!B78,'Clients'!$A$6:$A$205,0)))),'Follow-ups'!K78,'Payments'!B78,'Expenses'!D78)),CHOOSE($M$42,'Clients'!B78,'Clients'!B78,'Viewings'!H78,IF('Deals'!B78="","",IF(COUNTIFS('Clients'!$A$6:$A$205,'Deals'!B78)&lt;&gt;1,"Check Client ID",INDEX('Clients'!$B$6:$B$205,MATCH('Deals'!B78,'Clients'!$A$6:$A$205,0)))),IF('Deals'!B78="","",IF(COUNTIFS('Clients'!$A$6:$A$205,'Deals'!B78)&lt;&gt;1,"Check Client ID",INDEX('Clients'!$B$6:$B$205,MATCH('Deals'!B78,'Clients'!$A$6:$A$205,0)))),IF('Deals'!B78="","",IF(COUNTIFS('Clients'!$A$6:$A$205,'Deals'!B78)&lt;&gt;1,"Check Client ID",INDEX('Clients'!$B$6:$B$205,MATCH('Deals'!B78,'Clients'!$A$6:$A$205,0)))),'Follow-ups'!K78,'Payments'!B78,'Expenses'!D78),IF(CHOOSE($M$42,'Clients'!B78,'Clients'!B78,'Viewings'!H78,IF('Deals'!B78="","",IF(COUNTIFS('Clients'!$A$6:$A$205,'Deals'!B78)&lt;&gt;1,"Check Client ID",INDEX('Clients'!$B$6:$B$205,MATCH('Deals'!B78,'Clients'!$A$6:$A$205,0)))),IF('Deals'!B78="","",IF(COUNTIFS('Clients'!$A$6:$A$205,'Deals'!B78)&lt;&gt;1,"Check Client ID",INDEX('Clients'!$B$6:$B$205,MATCH('Deals'!B78,'Clients'!$A$6:$A$205,0)))),IF('Deals'!B78="","",IF(COUNTIFS('Clients'!$A$6:$A$205,'Deals'!B78)&lt;&gt;1,"Check Client ID",INDEX('Clients'!$B$6:$B$205,MATCH('Deals'!B78,'Clients'!$A$6:$A$205,0)))),'Follow-ups'!K78,'Payments'!B78,'Expenses'!D78)="","",CHOOSE($M$42,'Clients'!B78,'Clients'!B78,'Viewings'!H78,IF('Deals'!B78="","",IF(COUNTIFS('Clients'!$A$6:$A$205,'Deals'!B78)&lt;&gt;1,"Check Client ID",INDEX('Clients'!$B$6:$B$205,MATCH('Deals'!B78,'Clients'!$A$6:$A$205,0)))),IF('Deals'!B78="","",IF(COUNTIFS('Clients'!$A$6:$A$205,'Deals'!B78)&lt;&gt;1,"Check Client ID",INDEX('Clients'!$B$6:$B$205,MATCH('Deals'!B78,'Clients'!$A$6:$A$205,0)))),IF('Deals'!B78="","",IF(COUNTIFS('Clients'!$A$6:$A$205,'Deals'!B78)&lt;&gt;1,"Check Client ID",INDEX('Clients'!$B$6:$B$205,MATCH('Deals'!B78,'Clients'!$A$6:$A$205,0)))),'Follow-ups'!K78,'Payments'!B78,'Expenses'!D78))))</x:f>
      </x:c>
      <x:c r="E120" s="432" t="str">
        <x:f>IF(B120="","",IF(ISNUMBER(CHOOSE($M$42,'Clients'!K78,'Clients'!K78,'Viewings'!I78,'Deals'!C78,'Deals'!C78,'Deals'!C78,'Follow-ups'!L78,'Payments'!G78,'Expenses'!F78)),CHOOSE($M$42,'Clients'!K78,'Clients'!K78,'Viewings'!I78,'Deals'!C78,'Deals'!C78,'Deals'!C78,'Follow-ups'!L78,'Payments'!G78,'Expenses'!F78),IF(CHOOSE($M$42,'Clients'!K78,'Clients'!K78,'Viewings'!I78,'Deals'!C78,'Deals'!C78,'Deals'!C78,'Follow-ups'!L78,'Payments'!G78,'Expenses'!F78)="","",CHOOSE($M$42,'Clients'!K78,'Clients'!K78,'Viewings'!I78,'Deals'!C78,'Deals'!C78,'Deals'!C78,'Follow-ups'!L78,'Payments'!G78,'Expenses'!F78))))</x:f>
      </x:c>
      <x:c r="F120" s="432" t="str">
        <x:f>IF(B120="","",IF(ISNUMBER(CHOOSE($M$42,'Clients'!H78,'Clients'!H78,'Viewings'!E78,'Deals'!E78,'Deals'!E78,'Deals'!E78,'Follow-ups'!I78,"Receipt",'Expenses'!C78)),CHOOSE($M$42,'Clients'!H78,'Clients'!H78,'Viewings'!E78,'Deals'!E78,'Deals'!E78,'Deals'!E78,'Follow-ups'!I78,"Receipt",'Expenses'!C78),IF(CHOOSE($M$42,'Clients'!H78,'Clients'!H78,'Viewings'!E78,'Deals'!E78,'Deals'!E78,'Deals'!E78,'Follow-ups'!I78,"Receipt",'Expenses'!C78)="","",CHOOSE($M$42,'Clients'!H78,'Clients'!H78,'Viewings'!E78,'Deals'!E78,'Deals'!E78,'Deals'!E78,'Follow-ups'!I78,"Receipt",'Expenses'!C78))))</x:f>
      </x:c>
      <x:c r="G120" s="473" t="str">
        <x:f>IF(B120="","",IF(ISNUMBER(CHOOSE($M$42,"","","",'Deals'!F78,'Deals'!F78,'Deals'!F78,"",'Payments'!D78,'Expenses'!G78)),CHOOSE($M$42,"","","",'Deals'!F78,'Deals'!F78,'Deals'!F78,"",'Payments'!D78,'Expenses'!G78),IF(CHOOSE($M$42,"","","",'Deals'!F78,'Deals'!F78,'Deals'!F78,"",'Payments'!D78,'Expenses'!G78)="","",CHOOSE($M$42,"","","",'Deals'!F78,'Deals'!F78,'Deals'!F78,"",'Payments'!D78,'Expenses'!G78))))</x:f>
      </x:c>
      <x:c r="H120" s="432" t="n">
        <x:f>IF(AND($M$43=1,B120&lt;&gt;"",ISNUMBER(C120),C120&gt;=$G$6,C120&lt;$K$6+1),1,0)</x:f>
        <x:v>0</x:v>
      </x:c>
      <x:c r="I120" s="432" t="str">
        <x:f>IF(H120=0,"",COUNTIFS($H$48:$H$247,1,$C$48:$C$247,"&lt;"&amp;C120)+COUNTIFS($H$48:H120,1,$C$48:C120,C120))</x:f>
      </x:c>
      <x:c r="J120" s="432"/>
      <x:c r="K120" s="432"/>
      <x:c r="L120" s="432"/>
      <x:c r="M120" s="432"/>
      <x:c r="N120" s="432"/>
      <x:c r="O120" s="432"/>
      <x:c r="P120" s="432"/>
      <x:c r="Q120" s="432"/>
    </x:row>
    <x:row r="121" ht="25" customHeight="1">
      <x:c r="A121" s="432"/>
      <x:c r="B121" s="432" t="str">
        <x:f>IF(CHOOSE($M$42,'Clients'!A79,'Clients'!A79,'Viewings'!A79,'Deals'!A79,'Deals'!A79,'Deals'!A79,'Follow-ups'!A79,'Payments'!A79,'Expenses'!A79)="","",CHOOSE($M$42,'Clients'!A79,'Clients'!A79,'Viewings'!A79,'Deals'!A79,'Deals'!A79,'Deals'!A79,'Follow-ups'!A79,'Payments'!A79,'Expenses'!A79))</x:f>
      </x:c>
      <x:c r="C121" s="472" t="str">
        <x:f>IF(B121="","",IF(CHOOSE($M$42,'Clients'!R79,'Clients'!Q79,'Viewings'!D79,'Deals'!X79,'Deals'!Y79,'Deals'!Z79,'Follow-ups'!H79,'Payments'!C79,'Expenses'!B79)="","",CHOOSE($M$42,'Clients'!R79,'Clients'!Q79,'Viewings'!D79,'Deals'!X79,'Deals'!Y79,'Deals'!Z79,'Follow-ups'!H79,'Payments'!C79,'Expenses'!B79)))</x:f>
      </x:c>
      <x:c r="D121" s="432" t="str">
        <x:f>IF(B121="","",IF(ISNUMBER(CHOOSE($M$42,'Clients'!B79,'Clients'!B79,'Viewings'!H79,IF('Deals'!B79="","",IF(COUNTIFS('Clients'!$A$6:$A$205,'Deals'!B79)&lt;&gt;1,"Check Client ID",INDEX('Clients'!$B$6:$B$205,MATCH('Deals'!B79,'Clients'!$A$6:$A$205,0)))),IF('Deals'!B79="","",IF(COUNTIFS('Clients'!$A$6:$A$205,'Deals'!B79)&lt;&gt;1,"Check Client ID",INDEX('Clients'!$B$6:$B$205,MATCH('Deals'!B79,'Clients'!$A$6:$A$205,0)))),IF('Deals'!B79="","",IF(COUNTIFS('Clients'!$A$6:$A$205,'Deals'!B79)&lt;&gt;1,"Check Client ID",INDEX('Clients'!$B$6:$B$205,MATCH('Deals'!B79,'Clients'!$A$6:$A$205,0)))),'Follow-ups'!K79,'Payments'!B79,'Expenses'!D79)),CHOOSE($M$42,'Clients'!B79,'Clients'!B79,'Viewings'!H79,IF('Deals'!B79="","",IF(COUNTIFS('Clients'!$A$6:$A$205,'Deals'!B79)&lt;&gt;1,"Check Client ID",INDEX('Clients'!$B$6:$B$205,MATCH('Deals'!B79,'Clients'!$A$6:$A$205,0)))),IF('Deals'!B79="","",IF(COUNTIFS('Clients'!$A$6:$A$205,'Deals'!B79)&lt;&gt;1,"Check Client ID",INDEX('Clients'!$B$6:$B$205,MATCH('Deals'!B79,'Clients'!$A$6:$A$205,0)))),IF('Deals'!B79="","",IF(COUNTIFS('Clients'!$A$6:$A$205,'Deals'!B79)&lt;&gt;1,"Check Client ID",INDEX('Clients'!$B$6:$B$205,MATCH('Deals'!B79,'Clients'!$A$6:$A$205,0)))),'Follow-ups'!K79,'Payments'!B79,'Expenses'!D79),IF(CHOOSE($M$42,'Clients'!B79,'Clients'!B79,'Viewings'!H79,IF('Deals'!B79="","",IF(COUNTIFS('Clients'!$A$6:$A$205,'Deals'!B79)&lt;&gt;1,"Check Client ID",INDEX('Clients'!$B$6:$B$205,MATCH('Deals'!B79,'Clients'!$A$6:$A$205,0)))),IF('Deals'!B79="","",IF(COUNTIFS('Clients'!$A$6:$A$205,'Deals'!B79)&lt;&gt;1,"Check Client ID",INDEX('Clients'!$B$6:$B$205,MATCH('Deals'!B79,'Clients'!$A$6:$A$205,0)))),IF('Deals'!B79="","",IF(COUNTIFS('Clients'!$A$6:$A$205,'Deals'!B79)&lt;&gt;1,"Check Client ID",INDEX('Clients'!$B$6:$B$205,MATCH('Deals'!B79,'Clients'!$A$6:$A$205,0)))),'Follow-ups'!K79,'Payments'!B79,'Expenses'!D79)="","",CHOOSE($M$42,'Clients'!B79,'Clients'!B79,'Viewings'!H79,IF('Deals'!B79="","",IF(COUNTIFS('Clients'!$A$6:$A$205,'Deals'!B79)&lt;&gt;1,"Check Client ID",INDEX('Clients'!$B$6:$B$205,MATCH('Deals'!B79,'Clients'!$A$6:$A$205,0)))),IF('Deals'!B79="","",IF(COUNTIFS('Clients'!$A$6:$A$205,'Deals'!B79)&lt;&gt;1,"Check Client ID",INDEX('Clients'!$B$6:$B$205,MATCH('Deals'!B79,'Clients'!$A$6:$A$205,0)))),IF('Deals'!B79="","",IF(COUNTIFS('Clients'!$A$6:$A$205,'Deals'!B79)&lt;&gt;1,"Check Client ID",INDEX('Clients'!$B$6:$B$205,MATCH('Deals'!B79,'Clients'!$A$6:$A$205,0)))),'Follow-ups'!K79,'Payments'!B79,'Expenses'!D79))))</x:f>
      </x:c>
      <x:c r="E121" s="432" t="str">
        <x:f>IF(B121="","",IF(ISNUMBER(CHOOSE($M$42,'Clients'!K79,'Clients'!K79,'Viewings'!I79,'Deals'!C79,'Deals'!C79,'Deals'!C79,'Follow-ups'!L79,'Payments'!G79,'Expenses'!F79)),CHOOSE($M$42,'Clients'!K79,'Clients'!K79,'Viewings'!I79,'Deals'!C79,'Deals'!C79,'Deals'!C79,'Follow-ups'!L79,'Payments'!G79,'Expenses'!F79),IF(CHOOSE($M$42,'Clients'!K79,'Clients'!K79,'Viewings'!I79,'Deals'!C79,'Deals'!C79,'Deals'!C79,'Follow-ups'!L79,'Payments'!G79,'Expenses'!F79)="","",CHOOSE($M$42,'Clients'!K79,'Clients'!K79,'Viewings'!I79,'Deals'!C79,'Deals'!C79,'Deals'!C79,'Follow-ups'!L79,'Payments'!G79,'Expenses'!F79))))</x:f>
      </x:c>
      <x:c r="F121" s="432" t="str">
        <x:f>IF(B121="","",IF(ISNUMBER(CHOOSE($M$42,'Clients'!H79,'Clients'!H79,'Viewings'!E79,'Deals'!E79,'Deals'!E79,'Deals'!E79,'Follow-ups'!I79,"Receipt",'Expenses'!C79)),CHOOSE($M$42,'Clients'!H79,'Clients'!H79,'Viewings'!E79,'Deals'!E79,'Deals'!E79,'Deals'!E79,'Follow-ups'!I79,"Receipt",'Expenses'!C79),IF(CHOOSE($M$42,'Clients'!H79,'Clients'!H79,'Viewings'!E79,'Deals'!E79,'Deals'!E79,'Deals'!E79,'Follow-ups'!I79,"Receipt",'Expenses'!C79)="","",CHOOSE($M$42,'Clients'!H79,'Clients'!H79,'Viewings'!E79,'Deals'!E79,'Deals'!E79,'Deals'!E79,'Follow-ups'!I79,"Receipt",'Expenses'!C79))))</x:f>
      </x:c>
      <x:c r="G121" s="473" t="str">
        <x:f>IF(B121="","",IF(ISNUMBER(CHOOSE($M$42,"","","",'Deals'!F79,'Deals'!F79,'Deals'!F79,"",'Payments'!D79,'Expenses'!G79)),CHOOSE($M$42,"","","",'Deals'!F79,'Deals'!F79,'Deals'!F79,"",'Payments'!D79,'Expenses'!G79),IF(CHOOSE($M$42,"","","",'Deals'!F79,'Deals'!F79,'Deals'!F79,"",'Payments'!D79,'Expenses'!G79)="","",CHOOSE($M$42,"","","",'Deals'!F79,'Deals'!F79,'Deals'!F79,"",'Payments'!D79,'Expenses'!G79))))</x:f>
      </x:c>
      <x:c r="H121" s="432" t="n">
        <x:f>IF(AND($M$43=1,B121&lt;&gt;"",ISNUMBER(C121),C121&gt;=$G$6,C121&lt;$K$6+1),1,0)</x:f>
        <x:v>0</x:v>
      </x:c>
      <x:c r="I121" s="432" t="str">
        <x:f>IF(H121=0,"",COUNTIFS($H$48:$H$247,1,$C$48:$C$247,"&lt;"&amp;C121)+COUNTIFS($H$48:H121,1,$C$48:C121,C121))</x:f>
      </x:c>
      <x:c r="J121" s="432"/>
      <x:c r="K121" s="432"/>
      <x:c r="L121" s="432"/>
      <x:c r="M121" s="432"/>
      <x:c r="N121" s="432"/>
      <x:c r="O121" s="432"/>
      <x:c r="P121" s="432"/>
      <x:c r="Q121" s="432"/>
    </x:row>
    <x:row r="122" ht="25" customHeight="1">
      <x:c r="A122" s="432"/>
      <x:c r="B122" s="432" t="str">
        <x:f>IF(CHOOSE($M$42,'Clients'!A80,'Clients'!A80,'Viewings'!A80,'Deals'!A80,'Deals'!A80,'Deals'!A80,'Follow-ups'!A80,'Payments'!A80,'Expenses'!A80)="","",CHOOSE($M$42,'Clients'!A80,'Clients'!A80,'Viewings'!A80,'Deals'!A80,'Deals'!A80,'Deals'!A80,'Follow-ups'!A80,'Payments'!A80,'Expenses'!A80))</x:f>
      </x:c>
      <x:c r="C122" s="472" t="str">
        <x:f>IF(B122="","",IF(CHOOSE($M$42,'Clients'!R80,'Clients'!Q80,'Viewings'!D80,'Deals'!X80,'Deals'!Y80,'Deals'!Z80,'Follow-ups'!H80,'Payments'!C80,'Expenses'!B80)="","",CHOOSE($M$42,'Clients'!R80,'Clients'!Q80,'Viewings'!D80,'Deals'!X80,'Deals'!Y80,'Deals'!Z80,'Follow-ups'!H80,'Payments'!C80,'Expenses'!B80)))</x:f>
      </x:c>
      <x:c r="D122" s="432" t="str">
        <x:f>IF(B122="","",IF(ISNUMBER(CHOOSE($M$42,'Clients'!B80,'Clients'!B80,'Viewings'!H80,IF('Deals'!B80="","",IF(COUNTIFS('Clients'!$A$6:$A$205,'Deals'!B80)&lt;&gt;1,"Check Client ID",INDEX('Clients'!$B$6:$B$205,MATCH('Deals'!B80,'Clients'!$A$6:$A$205,0)))),IF('Deals'!B80="","",IF(COUNTIFS('Clients'!$A$6:$A$205,'Deals'!B80)&lt;&gt;1,"Check Client ID",INDEX('Clients'!$B$6:$B$205,MATCH('Deals'!B80,'Clients'!$A$6:$A$205,0)))),IF('Deals'!B80="","",IF(COUNTIFS('Clients'!$A$6:$A$205,'Deals'!B80)&lt;&gt;1,"Check Client ID",INDEX('Clients'!$B$6:$B$205,MATCH('Deals'!B80,'Clients'!$A$6:$A$205,0)))),'Follow-ups'!K80,'Payments'!B80,'Expenses'!D80)),CHOOSE($M$42,'Clients'!B80,'Clients'!B80,'Viewings'!H80,IF('Deals'!B80="","",IF(COUNTIFS('Clients'!$A$6:$A$205,'Deals'!B80)&lt;&gt;1,"Check Client ID",INDEX('Clients'!$B$6:$B$205,MATCH('Deals'!B80,'Clients'!$A$6:$A$205,0)))),IF('Deals'!B80="","",IF(COUNTIFS('Clients'!$A$6:$A$205,'Deals'!B80)&lt;&gt;1,"Check Client ID",INDEX('Clients'!$B$6:$B$205,MATCH('Deals'!B80,'Clients'!$A$6:$A$205,0)))),IF('Deals'!B80="","",IF(COUNTIFS('Clients'!$A$6:$A$205,'Deals'!B80)&lt;&gt;1,"Check Client ID",INDEX('Clients'!$B$6:$B$205,MATCH('Deals'!B80,'Clients'!$A$6:$A$205,0)))),'Follow-ups'!K80,'Payments'!B80,'Expenses'!D80),IF(CHOOSE($M$42,'Clients'!B80,'Clients'!B80,'Viewings'!H80,IF('Deals'!B80="","",IF(COUNTIFS('Clients'!$A$6:$A$205,'Deals'!B80)&lt;&gt;1,"Check Client ID",INDEX('Clients'!$B$6:$B$205,MATCH('Deals'!B80,'Clients'!$A$6:$A$205,0)))),IF('Deals'!B80="","",IF(COUNTIFS('Clients'!$A$6:$A$205,'Deals'!B80)&lt;&gt;1,"Check Client ID",INDEX('Clients'!$B$6:$B$205,MATCH('Deals'!B80,'Clients'!$A$6:$A$205,0)))),IF('Deals'!B80="","",IF(COUNTIFS('Clients'!$A$6:$A$205,'Deals'!B80)&lt;&gt;1,"Check Client ID",INDEX('Clients'!$B$6:$B$205,MATCH('Deals'!B80,'Clients'!$A$6:$A$205,0)))),'Follow-ups'!K80,'Payments'!B80,'Expenses'!D80)="","",CHOOSE($M$42,'Clients'!B80,'Clients'!B80,'Viewings'!H80,IF('Deals'!B80="","",IF(COUNTIFS('Clients'!$A$6:$A$205,'Deals'!B80)&lt;&gt;1,"Check Client ID",INDEX('Clients'!$B$6:$B$205,MATCH('Deals'!B80,'Clients'!$A$6:$A$205,0)))),IF('Deals'!B80="","",IF(COUNTIFS('Clients'!$A$6:$A$205,'Deals'!B80)&lt;&gt;1,"Check Client ID",INDEX('Clients'!$B$6:$B$205,MATCH('Deals'!B80,'Clients'!$A$6:$A$205,0)))),IF('Deals'!B80="","",IF(COUNTIFS('Clients'!$A$6:$A$205,'Deals'!B80)&lt;&gt;1,"Check Client ID",INDEX('Clients'!$B$6:$B$205,MATCH('Deals'!B80,'Clients'!$A$6:$A$205,0)))),'Follow-ups'!K80,'Payments'!B80,'Expenses'!D80))))</x:f>
      </x:c>
      <x:c r="E122" s="432" t="str">
        <x:f>IF(B122="","",IF(ISNUMBER(CHOOSE($M$42,'Clients'!K80,'Clients'!K80,'Viewings'!I80,'Deals'!C80,'Deals'!C80,'Deals'!C80,'Follow-ups'!L80,'Payments'!G80,'Expenses'!F80)),CHOOSE($M$42,'Clients'!K80,'Clients'!K80,'Viewings'!I80,'Deals'!C80,'Deals'!C80,'Deals'!C80,'Follow-ups'!L80,'Payments'!G80,'Expenses'!F80),IF(CHOOSE($M$42,'Clients'!K80,'Clients'!K80,'Viewings'!I80,'Deals'!C80,'Deals'!C80,'Deals'!C80,'Follow-ups'!L80,'Payments'!G80,'Expenses'!F80)="","",CHOOSE($M$42,'Clients'!K80,'Clients'!K80,'Viewings'!I80,'Deals'!C80,'Deals'!C80,'Deals'!C80,'Follow-ups'!L80,'Payments'!G80,'Expenses'!F80))))</x:f>
      </x:c>
      <x:c r="F122" s="432" t="str">
        <x:f>IF(B122="","",IF(ISNUMBER(CHOOSE($M$42,'Clients'!H80,'Clients'!H80,'Viewings'!E80,'Deals'!E80,'Deals'!E80,'Deals'!E80,'Follow-ups'!I80,"Receipt",'Expenses'!C80)),CHOOSE($M$42,'Clients'!H80,'Clients'!H80,'Viewings'!E80,'Deals'!E80,'Deals'!E80,'Deals'!E80,'Follow-ups'!I80,"Receipt",'Expenses'!C80),IF(CHOOSE($M$42,'Clients'!H80,'Clients'!H80,'Viewings'!E80,'Deals'!E80,'Deals'!E80,'Deals'!E80,'Follow-ups'!I80,"Receipt",'Expenses'!C80)="","",CHOOSE($M$42,'Clients'!H80,'Clients'!H80,'Viewings'!E80,'Deals'!E80,'Deals'!E80,'Deals'!E80,'Follow-ups'!I80,"Receipt",'Expenses'!C80))))</x:f>
      </x:c>
      <x:c r="G122" s="473" t="str">
        <x:f>IF(B122="","",IF(ISNUMBER(CHOOSE($M$42,"","","",'Deals'!F80,'Deals'!F80,'Deals'!F80,"",'Payments'!D80,'Expenses'!G80)),CHOOSE($M$42,"","","",'Deals'!F80,'Deals'!F80,'Deals'!F80,"",'Payments'!D80,'Expenses'!G80),IF(CHOOSE($M$42,"","","",'Deals'!F80,'Deals'!F80,'Deals'!F80,"",'Payments'!D80,'Expenses'!G80)="","",CHOOSE($M$42,"","","",'Deals'!F80,'Deals'!F80,'Deals'!F80,"",'Payments'!D80,'Expenses'!G80))))</x:f>
      </x:c>
      <x:c r="H122" s="432" t="n">
        <x:f>IF(AND($M$43=1,B122&lt;&gt;"",ISNUMBER(C122),C122&gt;=$G$6,C122&lt;$K$6+1),1,0)</x:f>
        <x:v>0</x:v>
      </x:c>
      <x:c r="I122" s="432" t="str">
        <x:f>IF(H122=0,"",COUNTIFS($H$48:$H$247,1,$C$48:$C$247,"&lt;"&amp;C122)+COUNTIFS($H$48:H122,1,$C$48:C122,C122))</x:f>
      </x:c>
      <x:c r="J122" s="432"/>
      <x:c r="K122" s="432"/>
      <x:c r="L122" s="432"/>
      <x:c r="M122" s="432"/>
      <x:c r="N122" s="432"/>
      <x:c r="O122" s="432"/>
      <x:c r="P122" s="432"/>
      <x:c r="Q122" s="432"/>
    </x:row>
    <x:row r="123" ht="25" customHeight="1">
      <x:c r="A123" s="432"/>
      <x:c r="B123" s="432" t="str">
        <x:f>IF(CHOOSE($M$42,'Clients'!A81,'Clients'!A81,'Viewings'!A81,'Deals'!A81,'Deals'!A81,'Deals'!A81,'Follow-ups'!A81,'Payments'!A81,'Expenses'!A81)="","",CHOOSE($M$42,'Clients'!A81,'Clients'!A81,'Viewings'!A81,'Deals'!A81,'Deals'!A81,'Deals'!A81,'Follow-ups'!A81,'Payments'!A81,'Expenses'!A81))</x:f>
      </x:c>
      <x:c r="C123" s="472" t="str">
        <x:f>IF(B123="","",IF(CHOOSE($M$42,'Clients'!R81,'Clients'!Q81,'Viewings'!D81,'Deals'!X81,'Deals'!Y81,'Deals'!Z81,'Follow-ups'!H81,'Payments'!C81,'Expenses'!B81)="","",CHOOSE($M$42,'Clients'!R81,'Clients'!Q81,'Viewings'!D81,'Deals'!X81,'Deals'!Y81,'Deals'!Z81,'Follow-ups'!H81,'Payments'!C81,'Expenses'!B81)))</x:f>
      </x:c>
      <x:c r="D123" s="432" t="str">
        <x:f>IF(B123="","",IF(ISNUMBER(CHOOSE($M$42,'Clients'!B81,'Clients'!B81,'Viewings'!H81,IF('Deals'!B81="","",IF(COUNTIFS('Clients'!$A$6:$A$205,'Deals'!B81)&lt;&gt;1,"Check Client ID",INDEX('Clients'!$B$6:$B$205,MATCH('Deals'!B81,'Clients'!$A$6:$A$205,0)))),IF('Deals'!B81="","",IF(COUNTIFS('Clients'!$A$6:$A$205,'Deals'!B81)&lt;&gt;1,"Check Client ID",INDEX('Clients'!$B$6:$B$205,MATCH('Deals'!B81,'Clients'!$A$6:$A$205,0)))),IF('Deals'!B81="","",IF(COUNTIFS('Clients'!$A$6:$A$205,'Deals'!B81)&lt;&gt;1,"Check Client ID",INDEX('Clients'!$B$6:$B$205,MATCH('Deals'!B81,'Clients'!$A$6:$A$205,0)))),'Follow-ups'!K81,'Payments'!B81,'Expenses'!D81)),CHOOSE($M$42,'Clients'!B81,'Clients'!B81,'Viewings'!H81,IF('Deals'!B81="","",IF(COUNTIFS('Clients'!$A$6:$A$205,'Deals'!B81)&lt;&gt;1,"Check Client ID",INDEX('Clients'!$B$6:$B$205,MATCH('Deals'!B81,'Clients'!$A$6:$A$205,0)))),IF('Deals'!B81="","",IF(COUNTIFS('Clients'!$A$6:$A$205,'Deals'!B81)&lt;&gt;1,"Check Client ID",INDEX('Clients'!$B$6:$B$205,MATCH('Deals'!B81,'Clients'!$A$6:$A$205,0)))),IF('Deals'!B81="","",IF(COUNTIFS('Clients'!$A$6:$A$205,'Deals'!B81)&lt;&gt;1,"Check Client ID",INDEX('Clients'!$B$6:$B$205,MATCH('Deals'!B81,'Clients'!$A$6:$A$205,0)))),'Follow-ups'!K81,'Payments'!B81,'Expenses'!D81),IF(CHOOSE($M$42,'Clients'!B81,'Clients'!B81,'Viewings'!H81,IF('Deals'!B81="","",IF(COUNTIFS('Clients'!$A$6:$A$205,'Deals'!B81)&lt;&gt;1,"Check Client ID",INDEX('Clients'!$B$6:$B$205,MATCH('Deals'!B81,'Clients'!$A$6:$A$205,0)))),IF('Deals'!B81="","",IF(COUNTIFS('Clients'!$A$6:$A$205,'Deals'!B81)&lt;&gt;1,"Check Client ID",INDEX('Clients'!$B$6:$B$205,MATCH('Deals'!B81,'Clients'!$A$6:$A$205,0)))),IF('Deals'!B81="","",IF(COUNTIFS('Clients'!$A$6:$A$205,'Deals'!B81)&lt;&gt;1,"Check Client ID",INDEX('Clients'!$B$6:$B$205,MATCH('Deals'!B81,'Clients'!$A$6:$A$205,0)))),'Follow-ups'!K81,'Payments'!B81,'Expenses'!D81)="","",CHOOSE($M$42,'Clients'!B81,'Clients'!B81,'Viewings'!H81,IF('Deals'!B81="","",IF(COUNTIFS('Clients'!$A$6:$A$205,'Deals'!B81)&lt;&gt;1,"Check Client ID",INDEX('Clients'!$B$6:$B$205,MATCH('Deals'!B81,'Clients'!$A$6:$A$205,0)))),IF('Deals'!B81="","",IF(COUNTIFS('Clients'!$A$6:$A$205,'Deals'!B81)&lt;&gt;1,"Check Client ID",INDEX('Clients'!$B$6:$B$205,MATCH('Deals'!B81,'Clients'!$A$6:$A$205,0)))),IF('Deals'!B81="","",IF(COUNTIFS('Clients'!$A$6:$A$205,'Deals'!B81)&lt;&gt;1,"Check Client ID",INDEX('Clients'!$B$6:$B$205,MATCH('Deals'!B81,'Clients'!$A$6:$A$205,0)))),'Follow-ups'!K81,'Payments'!B81,'Expenses'!D81))))</x:f>
      </x:c>
      <x:c r="E123" s="432" t="str">
        <x:f>IF(B123="","",IF(ISNUMBER(CHOOSE($M$42,'Clients'!K81,'Clients'!K81,'Viewings'!I81,'Deals'!C81,'Deals'!C81,'Deals'!C81,'Follow-ups'!L81,'Payments'!G81,'Expenses'!F81)),CHOOSE($M$42,'Clients'!K81,'Clients'!K81,'Viewings'!I81,'Deals'!C81,'Deals'!C81,'Deals'!C81,'Follow-ups'!L81,'Payments'!G81,'Expenses'!F81),IF(CHOOSE($M$42,'Clients'!K81,'Clients'!K81,'Viewings'!I81,'Deals'!C81,'Deals'!C81,'Deals'!C81,'Follow-ups'!L81,'Payments'!G81,'Expenses'!F81)="","",CHOOSE($M$42,'Clients'!K81,'Clients'!K81,'Viewings'!I81,'Deals'!C81,'Deals'!C81,'Deals'!C81,'Follow-ups'!L81,'Payments'!G81,'Expenses'!F81))))</x:f>
      </x:c>
      <x:c r="F123" s="432" t="str">
        <x:f>IF(B123="","",IF(ISNUMBER(CHOOSE($M$42,'Clients'!H81,'Clients'!H81,'Viewings'!E81,'Deals'!E81,'Deals'!E81,'Deals'!E81,'Follow-ups'!I81,"Receipt",'Expenses'!C81)),CHOOSE($M$42,'Clients'!H81,'Clients'!H81,'Viewings'!E81,'Deals'!E81,'Deals'!E81,'Deals'!E81,'Follow-ups'!I81,"Receipt",'Expenses'!C81),IF(CHOOSE($M$42,'Clients'!H81,'Clients'!H81,'Viewings'!E81,'Deals'!E81,'Deals'!E81,'Deals'!E81,'Follow-ups'!I81,"Receipt",'Expenses'!C81)="","",CHOOSE($M$42,'Clients'!H81,'Clients'!H81,'Viewings'!E81,'Deals'!E81,'Deals'!E81,'Deals'!E81,'Follow-ups'!I81,"Receipt",'Expenses'!C81))))</x:f>
      </x:c>
      <x:c r="G123" s="473" t="str">
        <x:f>IF(B123="","",IF(ISNUMBER(CHOOSE($M$42,"","","",'Deals'!F81,'Deals'!F81,'Deals'!F81,"",'Payments'!D81,'Expenses'!G81)),CHOOSE($M$42,"","","",'Deals'!F81,'Deals'!F81,'Deals'!F81,"",'Payments'!D81,'Expenses'!G81),IF(CHOOSE($M$42,"","","",'Deals'!F81,'Deals'!F81,'Deals'!F81,"",'Payments'!D81,'Expenses'!G81)="","",CHOOSE($M$42,"","","",'Deals'!F81,'Deals'!F81,'Deals'!F81,"",'Payments'!D81,'Expenses'!G81))))</x:f>
      </x:c>
      <x:c r="H123" s="432" t="n">
        <x:f>IF(AND($M$43=1,B123&lt;&gt;"",ISNUMBER(C123),C123&gt;=$G$6,C123&lt;$K$6+1),1,0)</x:f>
        <x:v>0</x:v>
      </x:c>
      <x:c r="I123" s="432" t="str">
        <x:f>IF(H123=0,"",COUNTIFS($H$48:$H$247,1,$C$48:$C$247,"&lt;"&amp;C123)+COUNTIFS($H$48:H123,1,$C$48:C123,C123))</x:f>
      </x:c>
      <x:c r="J123" s="432"/>
      <x:c r="K123" s="432"/>
      <x:c r="L123" s="432"/>
      <x:c r="M123" s="432"/>
      <x:c r="N123" s="432"/>
      <x:c r="O123" s="432"/>
      <x:c r="P123" s="432"/>
      <x:c r="Q123" s="432"/>
    </x:row>
    <x:row r="124" ht="25" customHeight="1">
      <x:c r="A124" s="432"/>
      <x:c r="B124" s="432" t="str">
        <x:f>IF(CHOOSE($M$42,'Clients'!A82,'Clients'!A82,'Viewings'!A82,'Deals'!A82,'Deals'!A82,'Deals'!A82,'Follow-ups'!A82,'Payments'!A82,'Expenses'!A82)="","",CHOOSE($M$42,'Clients'!A82,'Clients'!A82,'Viewings'!A82,'Deals'!A82,'Deals'!A82,'Deals'!A82,'Follow-ups'!A82,'Payments'!A82,'Expenses'!A82))</x:f>
      </x:c>
      <x:c r="C124" s="472" t="str">
        <x:f>IF(B124="","",IF(CHOOSE($M$42,'Clients'!R82,'Clients'!Q82,'Viewings'!D82,'Deals'!X82,'Deals'!Y82,'Deals'!Z82,'Follow-ups'!H82,'Payments'!C82,'Expenses'!B82)="","",CHOOSE($M$42,'Clients'!R82,'Clients'!Q82,'Viewings'!D82,'Deals'!X82,'Deals'!Y82,'Deals'!Z82,'Follow-ups'!H82,'Payments'!C82,'Expenses'!B82)))</x:f>
      </x:c>
      <x:c r="D124" s="432" t="str">
        <x:f>IF(B124="","",IF(ISNUMBER(CHOOSE($M$42,'Clients'!B82,'Clients'!B82,'Viewings'!H82,IF('Deals'!B82="","",IF(COUNTIFS('Clients'!$A$6:$A$205,'Deals'!B82)&lt;&gt;1,"Check Client ID",INDEX('Clients'!$B$6:$B$205,MATCH('Deals'!B82,'Clients'!$A$6:$A$205,0)))),IF('Deals'!B82="","",IF(COUNTIFS('Clients'!$A$6:$A$205,'Deals'!B82)&lt;&gt;1,"Check Client ID",INDEX('Clients'!$B$6:$B$205,MATCH('Deals'!B82,'Clients'!$A$6:$A$205,0)))),IF('Deals'!B82="","",IF(COUNTIFS('Clients'!$A$6:$A$205,'Deals'!B82)&lt;&gt;1,"Check Client ID",INDEX('Clients'!$B$6:$B$205,MATCH('Deals'!B82,'Clients'!$A$6:$A$205,0)))),'Follow-ups'!K82,'Payments'!B82,'Expenses'!D82)),CHOOSE($M$42,'Clients'!B82,'Clients'!B82,'Viewings'!H82,IF('Deals'!B82="","",IF(COUNTIFS('Clients'!$A$6:$A$205,'Deals'!B82)&lt;&gt;1,"Check Client ID",INDEX('Clients'!$B$6:$B$205,MATCH('Deals'!B82,'Clients'!$A$6:$A$205,0)))),IF('Deals'!B82="","",IF(COUNTIFS('Clients'!$A$6:$A$205,'Deals'!B82)&lt;&gt;1,"Check Client ID",INDEX('Clients'!$B$6:$B$205,MATCH('Deals'!B82,'Clients'!$A$6:$A$205,0)))),IF('Deals'!B82="","",IF(COUNTIFS('Clients'!$A$6:$A$205,'Deals'!B82)&lt;&gt;1,"Check Client ID",INDEX('Clients'!$B$6:$B$205,MATCH('Deals'!B82,'Clients'!$A$6:$A$205,0)))),'Follow-ups'!K82,'Payments'!B82,'Expenses'!D82),IF(CHOOSE($M$42,'Clients'!B82,'Clients'!B82,'Viewings'!H82,IF('Deals'!B82="","",IF(COUNTIFS('Clients'!$A$6:$A$205,'Deals'!B82)&lt;&gt;1,"Check Client ID",INDEX('Clients'!$B$6:$B$205,MATCH('Deals'!B82,'Clients'!$A$6:$A$205,0)))),IF('Deals'!B82="","",IF(COUNTIFS('Clients'!$A$6:$A$205,'Deals'!B82)&lt;&gt;1,"Check Client ID",INDEX('Clients'!$B$6:$B$205,MATCH('Deals'!B82,'Clients'!$A$6:$A$205,0)))),IF('Deals'!B82="","",IF(COUNTIFS('Clients'!$A$6:$A$205,'Deals'!B82)&lt;&gt;1,"Check Client ID",INDEX('Clients'!$B$6:$B$205,MATCH('Deals'!B82,'Clients'!$A$6:$A$205,0)))),'Follow-ups'!K82,'Payments'!B82,'Expenses'!D82)="","",CHOOSE($M$42,'Clients'!B82,'Clients'!B82,'Viewings'!H82,IF('Deals'!B82="","",IF(COUNTIFS('Clients'!$A$6:$A$205,'Deals'!B82)&lt;&gt;1,"Check Client ID",INDEX('Clients'!$B$6:$B$205,MATCH('Deals'!B82,'Clients'!$A$6:$A$205,0)))),IF('Deals'!B82="","",IF(COUNTIFS('Clients'!$A$6:$A$205,'Deals'!B82)&lt;&gt;1,"Check Client ID",INDEX('Clients'!$B$6:$B$205,MATCH('Deals'!B82,'Clients'!$A$6:$A$205,0)))),IF('Deals'!B82="","",IF(COUNTIFS('Clients'!$A$6:$A$205,'Deals'!B82)&lt;&gt;1,"Check Client ID",INDEX('Clients'!$B$6:$B$205,MATCH('Deals'!B82,'Clients'!$A$6:$A$205,0)))),'Follow-ups'!K82,'Payments'!B82,'Expenses'!D82))))</x:f>
      </x:c>
      <x:c r="E124" s="432" t="str">
        <x:f>IF(B124="","",IF(ISNUMBER(CHOOSE($M$42,'Clients'!K82,'Clients'!K82,'Viewings'!I82,'Deals'!C82,'Deals'!C82,'Deals'!C82,'Follow-ups'!L82,'Payments'!G82,'Expenses'!F82)),CHOOSE($M$42,'Clients'!K82,'Clients'!K82,'Viewings'!I82,'Deals'!C82,'Deals'!C82,'Deals'!C82,'Follow-ups'!L82,'Payments'!G82,'Expenses'!F82),IF(CHOOSE($M$42,'Clients'!K82,'Clients'!K82,'Viewings'!I82,'Deals'!C82,'Deals'!C82,'Deals'!C82,'Follow-ups'!L82,'Payments'!G82,'Expenses'!F82)="","",CHOOSE($M$42,'Clients'!K82,'Clients'!K82,'Viewings'!I82,'Deals'!C82,'Deals'!C82,'Deals'!C82,'Follow-ups'!L82,'Payments'!G82,'Expenses'!F82))))</x:f>
      </x:c>
      <x:c r="F124" s="432" t="str">
        <x:f>IF(B124="","",IF(ISNUMBER(CHOOSE($M$42,'Clients'!H82,'Clients'!H82,'Viewings'!E82,'Deals'!E82,'Deals'!E82,'Deals'!E82,'Follow-ups'!I82,"Receipt",'Expenses'!C82)),CHOOSE($M$42,'Clients'!H82,'Clients'!H82,'Viewings'!E82,'Deals'!E82,'Deals'!E82,'Deals'!E82,'Follow-ups'!I82,"Receipt",'Expenses'!C82),IF(CHOOSE($M$42,'Clients'!H82,'Clients'!H82,'Viewings'!E82,'Deals'!E82,'Deals'!E82,'Deals'!E82,'Follow-ups'!I82,"Receipt",'Expenses'!C82)="","",CHOOSE($M$42,'Clients'!H82,'Clients'!H82,'Viewings'!E82,'Deals'!E82,'Deals'!E82,'Deals'!E82,'Follow-ups'!I82,"Receipt",'Expenses'!C82))))</x:f>
      </x:c>
      <x:c r="G124" s="473" t="str">
        <x:f>IF(B124="","",IF(ISNUMBER(CHOOSE($M$42,"","","",'Deals'!F82,'Deals'!F82,'Deals'!F82,"",'Payments'!D82,'Expenses'!G82)),CHOOSE($M$42,"","","",'Deals'!F82,'Deals'!F82,'Deals'!F82,"",'Payments'!D82,'Expenses'!G82),IF(CHOOSE($M$42,"","","",'Deals'!F82,'Deals'!F82,'Deals'!F82,"",'Payments'!D82,'Expenses'!G82)="","",CHOOSE($M$42,"","","",'Deals'!F82,'Deals'!F82,'Deals'!F82,"",'Payments'!D82,'Expenses'!G82))))</x:f>
      </x:c>
      <x:c r="H124" s="432" t="n">
        <x:f>IF(AND($M$43=1,B124&lt;&gt;"",ISNUMBER(C124),C124&gt;=$G$6,C124&lt;$K$6+1),1,0)</x:f>
        <x:v>0</x:v>
      </x:c>
      <x:c r="I124" s="432" t="str">
        <x:f>IF(H124=0,"",COUNTIFS($H$48:$H$247,1,$C$48:$C$247,"&lt;"&amp;C124)+COUNTIFS($H$48:H124,1,$C$48:C124,C124))</x:f>
      </x:c>
      <x:c r="J124" s="432"/>
      <x:c r="K124" s="432"/>
      <x:c r="L124" s="432"/>
      <x:c r="M124" s="432"/>
      <x:c r="N124" s="432"/>
      <x:c r="O124" s="432"/>
      <x:c r="P124" s="432"/>
      <x:c r="Q124" s="432"/>
    </x:row>
    <x:row r="125" ht="25" customHeight="1">
      <x:c r="A125" s="432"/>
      <x:c r="B125" s="432" t="str">
        <x:f>IF(CHOOSE($M$42,'Clients'!A83,'Clients'!A83,'Viewings'!A83,'Deals'!A83,'Deals'!A83,'Deals'!A83,'Follow-ups'!A83,'Payments'!A83,'Expenses'!A83)="","",CHOOSE($M$42,'Clients'!A83,'Clients'!A83,'Viewings'!A83,'Deals'!A83,'Deals'!A83,'Deals'!A83,'Follow-ups'!A83,'Payments'!A83,'Expenses'!A83))</x:f>
      </x:c>
      <x:c r="C125" s="472" t="str">
        <x:f>IF(B125="","",IF(CHOOSE($M$42,'Clients'!R83,'Clients'!Q83,'Viewings'!D83,'Deals'!X83,'Deals'!Y83,'Deals'!Z83,'Follow-ups'!H83,'Payments'!C83,'Expenses'!B83)="","",CHOOSE($M$42,'Clients'!R83,'Clients'!Q83,'Viewings'!D83,'Deals'!X83,'Deals'!Y83,'Deals'!Z83,'Follow-ups'!H83,'Payments'!C83,'Expenses'!B83)))</x:f>
      </x:c>
      <x:c r="D125" s="432" t="str">
        <x:f>IF(B125="","",IF(ISNUMBER(CHOOSE($M$42,'Clients'!B83,'Clients'!B83,'Viewings'!H83,IF('Deals'!B83="","",IF(COUNTIFS('Clients'!$A$6:$A$205,'Deals'!B83)&lt;&gt;1,"Check Client ID",INDEX('Clients'!$B$6:$B$205,MATCH('Deals'!B83,'Clients'!$A$6:$A$205,0)))),IF('Deals'!B83="","",IF(COUNTIFS('Clients'!$A$6:$A$205,'Deals'!B83)&lt;&gt;1,"Check Client ID",INDEX('Clients'!$B$6:$B$205,MATCH('Deals'!B83,'Clients'!$A$6:$A$205,0)))),IF('Deals'!B83="","",IF(COUNTIFS('Clients'!$A$6:$A$205,'Deals'!B83)&lt;&gt;1,"Check Client ID",INDEX('Clients'!$B$6:$B$205,MATCH('Deals'!B83,'Clients'!$A$6:$A$205,0)))),'Follow-ups'!K83,'Payments'!B83,'Expenses'!D83)),CHOOSE($M$42,'Clients'!B83,'Clients'!B83,'Viewings'!H83,IF('Deals'!B83="","",IF(COUNTIFS('Clients'!$A$6:$A$205,'Deals'!B83)&lt;&gt;1,"Check Client ID",INDEX('Clients'!$B$6:$B$205,MATCH('Deals'!B83,'Clients'!$A$6:$A$205,0)))),IF('Deals'!B83="","",IF(COUNTIFS('Clients'!$A$6:$A$205,'Deals'!B83)&lt;&gt;1,"Check Client ID",INDEX('Clients'!$B$6:$B$205,MATCH('Deals'!B83,'Clients'!$A$6:$A$205,0)))),IF('Deals'!B83="","",IF(COUNTIFS('Clients'!$A$6:$A$205,'Deals'!B83)&lt;&gt;1,"Check Client ID",INDEX('Clients'!$B$6:$B$205,MATCH('Deals'!B83,'Clients'!$A$6:$A$205,0)))),'Follow-ups'!K83,'Payments'!B83,'Expenses'!D83),IF(CHOOSE($M$42,'Clients'!B83,'Clients'!B83,'Viewings'!H83,IF('Deals'!B83="","",IF(COUNTIFS('Clients'!$A$6:$A$205,'Deals'!B83)&lt;&gt;1,"Check Client ID",INDEX('Clients'!$B$6:$B$205,MATCH('Deals'!B83,'Clients'!$A$6:$A$205,0)))),IF('Deals'!B83="","",IF(COUNTIFS('Clients'!$A$6:$A$205,'Deals'!B83)&lt;&gt;1,"Check Client ID",INDEX('Clients'!$B$6:$B$205,MATCH('Deals'!B83,'Clients'!$A$6:$A$205,0)))),IF('Deals'!B83="","",IF(COUNTIFS('Clients'!$A$6:$A$205,'Deals'!B83)&lt;&gt;1,"Check Client ID",INDEX('Clients'!$B$6:$B$205,MATCH('Deals'!B83,'Clients'!$A$6:$A$205,0)))),'Follow-ups'!K83,'Payments'!B83,'Expenses'!D83)="","",CHOOSE($M$42,'Clients'!B83,'Clients'!B83,'Viewings'!H83,IF('Deals'!B83="","",IF(COUNTIFS('Clients'!$A$6:$A$205,'Deals'!B83)&lt;&gt;1,"Check Client ID",INDEX('Clients'!$B$6:$B$205,MATCH('Deals'!B83,'Clients'!$A$6:$A$205,0)))),IF('Deals'!B83="","",IF(COUNTIFS('Clients'!$A$6:$A$205,'Deals'!B83)&lt;&gt;1,"Check Client ID",INDEX('Clients'!$B$6:$B$205,MATCH('Deals'!B83,'Clients'!$A$6:$A$205,0)))),IF('Deals'!B83="","",IF(COUNTIFS('Clients'!$A$6:$A$205,'Deals'!B83)&lt;&gt;1,"Check Client ID",INDEX('Clients'!$B$6:$B$205,MATCH('Deals'!B83,'Clients'!$A$6:$A$205,0)))),'Follow-ups'!K83,'Payments'!B83,'Expenses'!D83))))</x:f>
      </x:c>
      <x:c r="E125" s="432" t="str">
        <x:f>IF(B125="","",IF(ISNUMBER(CHOOSE($M$42,'Clients'!K83,'Clients'!K83,'Viewings'!I83,'Deals'!C83,'Deals'!C83,'Deals'!C83,'Follow-ups'!L83,'Payments'!G83,'Expenses'!F83)),CHOOSE($M$42,'Clients'!K83,'Clients'!K83,'Viewings'!I83,'Deals'!C83,'Deals'!C83,'Deals'!C83,'Follow-ups'!L83,'Payments'!G83,'Expenses'!F83),IF(CHOOSE($M$42,'Clients'!K83,'Clients'!K83,'Viewings'!I83,'Deals'!C83,'Deals'!C83,'Deals'!C83,'Follow-ups'!L83,'Payments'!G83,'Expenses'!F83)="","",CHOOSE($M$42,'Clients'!K83,'Clients'!K83,'Viewings'!I83,'Deals'!C83,'Deals'!C83,'Deals'!C83,'Follow-ups'!L83,'Payments'!G83,'Expenses'!F83))))</x:f>
      </x:c>
      <x:c r="F125" s="432" t="str">
        <x:f>IF(B125="","",IF(ISNUMBER(CHOOSE($M$42,'Clients'!H83,'Clients'!H83,'Viewings'!E83,'Deals'!E83,'Deals'!E83,'Deals'!E83,'Follow-ups'!I83,"Receipt",'Expenses'!C83)),CHOOSE($M$42,'Clients'!H83,'Clients'!H83,'Viewings'!E83,'Deals'!E83,'Deals'!E83,'Deals'!E83,'Follow-ups'!I83,"Receipt",'Expenses'!C83),IF(CHOOSE($M$42,'Clients'!H83,'Clients'!H83,'Viewings'!E83,'Deals'!E83,'Deals'!E83,'Deals'!E83,'Follow-ups'!I83,"Receipt",'Expenses'!C83)="","",CHOOSE($M$42,'Clients'!H83,'Clients'!H83,'Viewings'!E83,'Deals'!E83,'Deals'!E83,'Deals'!E83,'Follow-ups'!I83,"Receipt",'Expenses'!C83))))</x:f>
      </x:c>
      <x:c r="G125" s="473" t="str">
        <x:f>IF(B125="","",IF(ISNUMBER(CHOOSE($M$42,"","","",'Deals'!F83,'Deals'!F83,'Deals'!F83,"",'Payments'!D83,'Expenses'!G83)),CHOOSE($M$42,"","","",'Deals'!F83,'Deals'!F83,'Deals'!F83,"",'Payments'!D83,'Expenses'!G83),IF(CHOOSE($M$42,"","","",'Deals'!F83,'Deals'!F83,'Deals'!F83,"",'Payments'!D83,'Expenses'!G83)="","",CHOOSE($M$42,"","","",'Deals'!F83,'Deals'!F83,'Deals'!F83,"",'Payments'!D83,'Expenses'!G83))))</x:f>
      </x:c>
      <x:c r="H125" s="432" t="n">
        <x:f>IF(AND($M$43=1,B125&lt;&gt;"",ISNUMBER(C125),C125&gt;=$G$6,C125&lt;$K$6+1),1,0)</x:f>
        <x:v>0</x:v>
      </x:c>
      <x:c r="I125" s="432" t="str">
        <x:f>IF(H125=0,"",COUNTIFS($H$48:$H$247,1,$C$48:$C$247,"&lt;"&amp;C125)+COUNTIFS($H$48:H125,1,$C$48:C125,C125))</x:f>
      </x:c>
      <x:c r="J125" s="432"/>
      <x:c r="K125" s="432"/>
      <x:c r="L125" s="432"/>
      <x:c r="M125" s="432"/>
      <x:c r="N125" s="432"/>
      <x:c r="O125" s="432"/>
      <x:c r="P125" s="432"/>
      <x:c r="Q125" s="432"/>
    </x:row>
    <x:row r="126" ht="25" customHeight="1">
      <x:c r="A126" s="432"/>
      <x:c r="B126" s="432" t="str">
        <x:f>IF(CHOOSE($M$42,'Clients'!A84,'Clients'!A84,'Viewings'!A84,'Deals'!A84,'Deals'!A84,'Deals'!A84,'Follow-ups'!A84,'Payments'!A84,'Expenses'!A84)="","",CHOOSE($M$42,'Clients'!A84,'Clients'!A84,'Viewings'!A84,'Deals'!A84,'Deals'!A84,'Deals'!A84,'Follow-ups'!A84,'Payments'!A84,'Expenses'!A84))</x:f>
      </x:c>
      <x:c r="C126" s="472" t="str">
        <x:f>IF(B126="","",IF(CHOOSE($M$42,'Clients'!R84,'Clients'!Q84,'Viewings'!D84,'Deals'!X84,'Deals'!Y84,'Deals'!Z84,'Follow-ups'!H84,'Payments'!C84,'Expenses'!B84)="","",CHOOSE($M$42,'Clients'!R84,'Clients'!Q84,'Viewings'!D84,'Deals'!X84,'Deals'!Y84,'Deals'!Z84,'Follow-ups'!H84,'Payments'!C84,'Expenses'!B84)))</x:f>
      </x:c>
      <x:c r="D126" s="432" t="str">
        <x:f>IF(B126="","",IF(ISNUMBER(CHOOSE($M$42,'Clients'!B84,'Clients'!B84,'Viewings'!H84,IF('Deals'!B84="","",IF(COUNTIFS('Clients'!$A$6:$A$205,'Deals'!B84)&lt;&gt;1,"Check Client ID",INDEX('Clients'!$B$6:$B$205,MATCH('Deals'!B84,'Clients'!$A$6:$A$205,0)))),IF('Deals'!B84="","",IF(COUNTIFS('Clients'!$A$6:$A$205,'Deals'!B84)&lt;&gt;1,"Check Client ID",INDEX('Clients'!$B$6:$B$205,MATCH('Deals'!B84,'Clients'!$A$6:$A$205,0)))),IF('Deals'!B84="","",IF(COUNTIFS('Clients'!$A$6:$A$205,'Deals'!B84)&lt;&gt;1,"Check Client ID",INDEX('Clients'!$B$6:$B$205,MATCH('Deals'!B84,'Clients'!$A$6:$A$205,0)))),'Follow-ups'!K84,'Payments'!B84,'Expenses'!D84)),CHOOSE($M$42,'Clients'!B84,'Clients'!B84,'Viewings'!H84,IF('Deals'!B84="","",IF(COUNTIFS('Clients'!$A$6:$A$205,'Deals'!B84)&lt;&gt;1,"Check Client ID",INDEX('Clients'!$B$6:$B$205,MATCH('Deals'!B84,'Clients'!$A$6:$A$205,0)))),IF('Deals'!B84="","",IF(COUNTIFS('Clients'!$A$6:$A$205,'Deals'!B84)&lt;&gt;1,"Check Client ID",INDEX('Clients'!$B$6:$B$205,MATCH('Deals'!B84,'Clients'!$A$6:$A$205,0)))),IF('Deals'!B84="","",IF(COUNTIFS('Clients'!$A$6:$A$205,'Deals'!B84)&lt;&gt;1,"Check Client ID",INDEX('Clients'!$B$6:$B$205,MATCH('Deals'!B84,'Clients'!$A$6:$A$205,0)))),'Follow-ups'!K84,'Payments'!B84,'Expenses'!D84),IF(CHOOSE($M$42,'Clients'!B84,'Clients'!B84,'Viewings'!H84,IF('Deals'!B84="","",IF(COUNTIFS('Clients'!$A$6:$A$205,'Deals'!B84)&lt;&gt;1,"Check Client ID",INDEX('Clients'!$B$6:$B$205,MATCH('Deals'!B84,'Clients'!$A$6:$A$205,0)))),IF('Deals'!B84="","",IF(COUNTIFS('Clients'!$A$6:$A$205,'Deals'!B84)&lt;&gt;1,"Check Client ID",INDEX('Clients'!$B$6:$B$205,MATCH('Deals'!B84,'Clients'!$A$6:$A$205,0)))),IF('Deals'!B84="","",IF(COUNTIFS('Clients'!$A$6:$A$205,'Deals'!B84)&lt;&gt;1,"Check Client ID",INDEX('Clients'!$B$6:$B$205,MATCH('Deals'!B84,'Clients'!$A$6:$A$205,0)))),'Follow-ups'!K84,'Payments'!B84,'Expenses'!D84)="","",CHOOSE($M$42,'Clients'!B84,'Clients'!B84,'Viewings'!H84,IF('Deals'!B84="","",IF(COUNTIFS('Clients'!$A$6:$A$205,'Deals'!B84)&lt;&gt;1,"Check Client ID",INDEX('Clients'!$B$6:$B$205,MATCH('Deals'!B84,'Clients'!$A$6:$A$205,0)))),IF('Deals'!B84="","",IF(COUNTIFS('Clients'!$A$6:$A$205,'Deals'!B84)&lt;&gt;1,"Check Client ID",INDEX('Clients'!$B$6:$B$205,MATCH('Deals'!B84,'Clients'!$A$6:$A$205,0)))),IF('Deals'!B84="","",IF(COUNTIFS('Clients'!$A$6:$A$205,'Deals'!B84)&lt;&gt;1,"Check Client ID",INDEX('Clients'!$B$6:$B$205,MATCH('Deals'!B84,'Clients'!$A$6:$A$205,0)))),'Follow-ups'!K84,'Payments'!B84,'Expenses'!D84))))</x:f>
      </x:c>
      <x:c r="E126" s="432" t="str">
        <x:f>IF(B126="","",IF(ISNUMBER(CHOOSE($M$42,'Clients'!K84,'Clients'!K84,'Viewings'!I84,'Deals'!C84,'Deals'!C84,'Deals'!C84,'Follow-ups'!L84,'Payments'!G84,'Expenses'!F84)),CHOOSE($M$42,'Clients'!K84,'Clients'!K84,'Viewings'!I84,'Deals'!C84,'Deals'!C84,'Deals'!C84,'Follow-ups'!L84,'Payments'!G84,'Expenses'!F84),IF(CHOOSE($M$42,'Clients'!K84,'Clients'!K84,'Viewings'!I84,'Deals'!C84,'Deals'!C84,'Deals'!C84,'Follow-ups'!L84,'Payments'!G84,'Expenses'!F84)="","",CHOOSE($M$42,'Clients'!K84,'Clients'!K84,'Viewings'!I84,'Deals'!C84,'Deals'!C84,'Deals'!C84,'Follow-ups'!L84,'Payments'!G84,'Expenses'!F84))))</x:f>
      </x:c>
      <x:c r="F126" s="432" t="str">
        <x:f>IF(B126="","",IF(ISNUMBER(CHOOSE($M$42,'Clients'!H84,'Clients'!H84,'Viewings'!E84,'Deals'!E84,'Deals'!E84,'Deals'!E84,'Follow-ups'!I84,"Receipt",'Expenses'!C84)),CHOOSE($M$42,'Clients'!H84,'Clients'!H84,'Viewings'!E84,'Deals'!E84,'Deals'!E84,'Deals'!E84,'Follow-ups'!I84,"Receipt",'Expenses'!C84),IF(CHOOSE($M$42,'Clients'!H84,'Clients'!H84,'Viewings'!E84,'Deals'!E84,'Deals'!E84,'Deals'!E84,'Follow-ups'!I84,"Receipt",'Expenses'!C84)="","",CHOOSE($M$42,'Clients'!H84,'Clients'!H84,'Viewings'!E84,'Deals'!E84,'Deals'!E84,'Deals'!E84,'Follow-ups'!I84,"Receipt",'Expenses'!C84))))</x:f>
      </x:c>
      <x:c r="G126" s="473" t="str">
        <x:f>IF(B126="","",IF(ISNUMBER(CHOOSE($M$42,"","","",'Deals'!F84,'Deals'!F84,'Deals'!F84,"",'Payments'!D84,'Expenses'!G84)),CHOOSE($M$42,"","","",'Deals'!F84,'Deals'!F84,'Deals'!F84,"",'Payments'!D84,'Expenses'!G84),IF(CHOOSE($M$42,"","","",'Deals'!F84,'Deals'!F84,'Deals'!F84,"",'Payments'!D84,'Expenses'!G84)="","",CHOOSE($M$42,"","","",'Deals'!F84,'Deals'!F84,'Deals'!F84,"",'Payments'!D84,'Expenses'!G84))))</x:f>
      </x:c>
      <x:c r="H126" s="432" t="n">
        <x:f>IF(AND($M$43=1,B126&lt;&gt;"",ISNUMBER(C126),C126&gt;=$G$6,C126&lt;$K$6+1),1,0)</x:f>
        <x:v>0</x:v>
      </x:c>
      <x:c r="I126" s="432" t="str">
        <x:f>IF(H126=0,"",COUNTIFS($H$48:$H$247,1,$C$48:$C$247,"&lt;"&amp;C126)+COUNTIFS($H$48:H126,1,$C$48:C126,C126))</x:f>
      </x:c>
      <x:c r="J126" s="432"/>
      <x:c r="K126" s="432"/>
      <x:c r="L126" s="432"/>
      <x:c r="M126" s="432"/>
      <x:c r="N126" s="432"/>
      <x:c r="O126" s="432"/>
      <x:c r="P126" s="432"/>
      <x:c r="Q126" s="432"/>
    </x:row>
    <x:row r="127" ht="25" customHeight="1">
      <x:c r="A127" s="432"/>
      <x:c r="B127" s="432" t="str">
        <x:f>IF(CHOOSE($M$42,'Clients'!A85,'Clients'!A85,'Viewings'!A85,'Deals'!A85,'Deals'!A85,'Deals'!A85,'Follow-ups'!A85,'Payments'!A85,'Expenses'!A85)="","",CHOOSE($M$42,'Clients'!A85,'Clients'!A85,'Viewings'!A85,'Deals'!A85,'Deals'!A85,'Deals'!A85,'Follow-ups'!A85,'Payments'!A85,'Expenses'!A85))</x:f>
      </x:c>
      <x:c r="C127" s="472" t="str">
        <x:f>IF(B127="","",IF(CHOOSE($M$42,'Clients'!R85,'Clients'!Q85,'Viewings'!D85,'Deals'!X85,'Deals'!Y85,'Deals'!Z85,'Follow-ups'!H85,'Payments'!C85,'Expenses'!B85)="","",CHOOSE($M$42,'Clients'!R85,'Clients'!Q85,'Viewings'!D85,'Deals'!X85,'Deals'!Y85,'Deals'!Z85,'Follow-ups'!H85,'Payments'!C85,'Expenses'!B85)))</x:f>
      </x:c>
      <x:c r="D127" s="432" t="str">
        <x:f>IF(B127="","",IF(ISNUMBER(CHOOSE($M$42,'Clients'!B85,'Clients'!B85,'Viewings'!H85,IF('Deals'!B85="","",IF(COUNTIFS('Clients'!$A$6:$A$205,'Deals'!B85)&lt;&gt;1,"Check Client ID",INDEX('Clients'!$B$6:$B$205,MATCH('Deals'!B85,'Clients'!$A$6:$A$205,0)))),IF('Deals'!B85="","",IF(COUNTIFS('Clients'!$A$6:$A$205,'Deals'!B85)&lt;&gt;1,"Check Client ID",INDEX('Clients'!$B$6:$B$205,MATCH('Deals'!B85,'Clients'!$A$6:$A$205,0)))),IF('Deals'!B85="","",IF(COUNTIFS('Clients'!$A$6:$A$205,'Deals'!B85)&lt;&gt;1,"Check Client ID",INDEX('Clients'!$B$6:$B$205,MATCH('Deals'!B85,'Clients'!$A$6:$A$205,0)))),'Follow-ups'!K85,'Payments'!B85,'Expenses'!D85)),CHOOSE($M$42,'Clients'!B85,'Clients'!B85,'Viewings'!H85,IF('Deals'!B85="","",IF(COUNTIFS('Clients'!$A$6:$A$205,'Deals'!B85)&lt;&gt;1,"Check Client ID",INDEX('Clients'!$B$6:$B$205,MATCH('Deals'!B85,'Clients'!$A$6:$A$205,0)))),IF('Deals'!B85="","",IF(COUNTIFS('Clients'!$A$6:$A$205,'Deals'!B85)&lt;&gt;1,"Check Client ID",INDEX('Clients'!$B$6:$B$205,MATCH('Deals'!B85,'Clients'!$A$6:$A$205,0)))),IF('Deals'!B85="","",IF(COUNTIFS('Clients'!$A$6:$A$205,'Deals'!B85)&lt;&gt;1,"Check Client ID",INDEX('Clients'!$B$6:$B$205,MATCH('Deals'!B85,'Clients'!$A$6:$A$205,0)))),'Follow-ups'!K85,'Payments'!B85,'Expenses'!D85),IF(CHOOSE($M$42,'Clients'!B85,'Clients'!B85,'Viewings'!H85,IF('Deals'!B85="","",IF(COUNTIFS('Clients'!$A$6:$A$205,'Deals'!B85)&lt;&gt;1,"Check Client ID",INDEX('Clients'!$B$6:$B$205,MATCH('Deals'!B85,'Clients'!$A$6:$A$205,0)))),IF('Deals'!B85="","",IF(COUNTIFS('Clients'!$A$6:$A$205,'Deals'!B85)&lt;&gt;1,"Check Client ID",INDEX('Clients'!$B$6:$B$205,MATCH('Deals'!B85,'Clients'!$A$6:$A$205,0)))),IF('Deals'!B85="","",IF(COUNTIFS('Clients'!$A$6:$A$205,'Deals'!B85)&lt;&gt;1,"Check Client ID",INDEX('Clients'!$B$6:$B$205,MATCH('Deals'!B85,'Clients'!$A$6:$A$205,0)))),'Follow-ups'!K85,'Payments'!B85,'Expenses'!D85)="","",CHOOSE($M$42,'Clients'!B85,'Clients'!B85,'Viewings'!H85,IF('Deals'!B85="","",IF(COUNTIFS('Clients'!$A$6:$A$205,'Deals'!B85)&lt;&gt;1,"Check Client ID",INDEX('Clients'!$B$6:$B$205,MATCH('Deals'!B85,'Clients'!$A$6:$A$205,0)))),IF('Deals'!B85="","",IF(COUNTIFS('Clients'!$A$6:$A$205,'Deals'!B85)&lt;&gt;1,"Check Client ID",INDEX('Clients'!$B$6:$B$205,MATCH('Deals'!B85,'Clients'!$A$6:$A$205,0)))),IF('Deals'!B85="","",IF(COUNTIFS('Clients'!$A$6:$A$205,'Deals'!B85)&lt;&gt;1,"Check Client ID",INDEX('Clients'!$B$6:$B$205,MATCH('Deals'!B85,'Clients'!$A$6:$A$205,0)))),'Follow-ups'!K85,'Payments'!B85,'Expenses'!D85))))</x:f>
      </x:c>
      <x:c r="E127" s="432" t="str">
        <x:f>IF(B127="","",IF(ISNUMBER(CHOOSE($M$42,'Clients'!K85,'Clients'!K85,'Viewings'!I85,'Deals'!C85,'Deals'!C85,'Deals'!C85,'Follow-ups'!L85,'Payments'!G85,'Expenses'!F85)),CHOOSE($M$42,'Clients'!K85,'Clients'!K85,'Viewings'!I85,'Deals'!C85,'Deals'!C85,'Deals'!C85,'Follow-ups'!L85,'Payments'!G85,'Expenses'!F85),IF(CHOOSE($M$42,'Clients'!K85,'Clients'!K85,'Viewings'!I85,'Deals'!C85,'Deals'!C85,'Deals'!C85,'Follow-ups'!L85,'Payments'!G85,'Expenses'!F85)="","",CHOOSE($M$42,'Clients'!K85,'Clients'!K85,'Viewings'!I85,'Deals'!C85,'Deals'!C85,'Deals'!C85,'Follow-ups'!L85,'Payments'!G85,'Expenses'!F85))))</x:f>
      </x:c>
      <x:c r="F127" s="432" t="str">
        <x:f>IF(B127="","",IF(ISNUMBER(CHOOSE($M$42,'Clients'!H85,'Clients'!H85,'Viewings'!E85,'Deals'!E85,'Deals'!E85,'Deals'!E85,'Follow-ups'!I85,"Receipt",'Expenses'!C85)),CHOOSE($M$42,'Clients'!H85,'Clients'!H85,'Viewings'!E85,'Deals'!E85,'Deals'!E85,'Deals'!E85,'Follow-ups'!I85,"Receipt",'Expenses'!C85),IF(CHOOSE($M$42,'Clients'!H85,'Clients'!H85,'Viewings'!E85,'Deals'!E85,'Deals'!E85,'Deals'!E85,'Follow-ups'!I85,"Receipt",'Expenses'!C85)="","",CHOOSE($M$42,'Clients'!H85,'Clients'!H85,'Viewings'!E85,'Deals'!E85,'Deals'!E85,'Deals'!E85,'Follow-ups'!I85,"Receipt",'Expenses'!C85))))</x:f>
      </x:c>
      <x:c r="G127" s="473" t="str">
        <x:f>IF(B127="","",IF(ISNUMBER(CHOOSE($M$42,"","","",'Deals'!F85,'Deals'!F85,'Deals'!F85,"",'Payments'!D85,'Expenses'!G85)),CHOOSE($M$42,"","","",'Deals'!F85,'Deals'!F85,'Deals'!F85,"",'Payments'!D85,'Expenses'!G85),IF(CHOOSE($M$42,"","","",'Deals'!F85,'Deals'!F85,'Deals'!F85,"",'Payments'!D85,'Expenses'!G85)="","",CHOOSE($M$42,"","","",'Deals'!F85,'Deals'!F85,'Deals'!F85,"",'Payments'!D85,'Expenses'!G85))))</x:f>
      </x:c>
      <x:c r="H127" s="432" t="n">
        <x:f>IF(AND($M$43=1,B127&lt;&gt;"",ISNUMBER(C127),C127&gt;=$G$6,C127&lt;$K$6+1),1,0)</x:f>
        <x:v>0</x:v>
      </x:c>
      <x:c r="I127" s="432" t="str">
        <x:f>IF(H127=0,"",COUNTIFS($H$48:$H$247,1,$C$48:$C$247,"&lt;"&amp;C127)+COUNTIFS($H$48:H127,1,$C$48:C127,C127))</x:f>
      </x:c>
      <x:c r="J127" s="432"/>
      <x:c r="K127" s="432"/>
      <x:c r="L127" s="432"/>
      <x:c r="M127" s="432"/>
      <x:c r="N127" s="432"/>
      <x:c r="O127" s="432"/>
      <x:c r="P127" s="432"/>
      <x:c r="Q127" s="432"/>
    </x:row>
    <x:row r="128" ht="25" customHeight="1">
      <x:c r="A128" s="432"/>
      <x:c r="B128" s="432" t="str">
        <x:f>IF(CHOOSE($M$42,'Clients'!A86,'Clients'!A86,'Viewings'!A86,'Deals'!A86,'Deals'!A86,'Deals'!A86,'Follow-ups'!A86,'Payments'!A86,'Expenses'!A86)="","",CHOOSE($M$42,'Clients'!A86,'Clients'!A86,'Viewings'!A86,'Deals'!A86,'Deals'!A86,'Deals'!A86,'Follow-ups'!A86,'Payments'!A86,'Expenses'!A86))</x:f>
      </x:c>
      <x:c r="C128" s="472" t="str">
        <x:f>IF(B128="","",IF(CHOOSE($M$42,'Clients'!R86,'Clients'!Q86,'Viewings'!D86,'Deals'!X86,'Deals'!Y86,'Deals'!Z86,'Follow-ups'!H86,'Payments'!C86,'Expenses'!B86)="","",CHOOSE($M$42,'Clients'!R86,'Clients'!Q86,'Viewings'!D86,'Deals'!X86,'Deals'!Y86,'Deals'!Z86,'Follow-ups'!H86,'Payments'!C86,'Expenses'!B86)))</x:f>
      </x:c>
      <x:c r="D128" s="432" t="str">
        <x:f>IF(B128="","",IF(ISNUMBER(CHOOSE($M$42,'Clients'!B86,'Clients'!B86,'Viewings'!H86,IF('Deals'!B86="","",IF(COUNTIFS('Clients'!$A$6:$A$205,'Deals'!B86)&lt;&gt;1,"Check Client ID",INDEX('Clients'!$B$6:$B$205,MATCH('Deals'!B86,'Clients'!$A$6:$A$205,0)))),IF('Deals'!B86="","",IF(COUNTIFS('Clients'!$A$6:$A$205,'Deals'!B86)&lt;&gt;1,"Check Client ID",INDEX('Clients'!$B$6:$B$205,MATCH('Deals'!B86,'Clients'!$A$6:$A$205,0)))),IF('Deals'!B86="","",IF(COUNTIFS('Clients'!$A$6:$A$205,'Deals'!B86)&lt;&gt;1,"Check Client ID",INDEX('Clients'!$B$6:$B$205,MATCH('Deals'!B86,'Clients'!$A$6:$A$205,0)))),'Follow-ups'!K86,'Payments'!B86,'Expenses'!D86)),CHOOSE($M$42,'Clients'!B86,'Clients'!B86,'Viewings'!H86,IF('Deals'!B86="","",IF(COUNTIFS('Clients'!$A$6:$A$205,'Deals'!B86)&lt;&gt;1,"Check Client ID",INDEX('Clients'!$B$6:$B$205,MATCH('Deals'!B86,'Clients'!$A$6:$A$205,0)))),IF('Deals'!B86="","",IF(COUNTIFS('Clients'!$A$6:$A$205,'Deals'!B86)&lt;&gt;1,"Check Client ID",INDEX('Clients'!$B$6:$B$205,MATCH('Deals'!B86,'Clients'!$A$6:$A$205,0)))),IF('Deals'!B86="","",IF(COUNTIFS('Clients'!$A$6:$A$205,'Deals'!B86)&lt;&gt;1,"Check Client ID",INDEX('Clients'!$B$6:$B$205,MATCH('Deals'!B86,'Clients'!$A$6:$A$205,0)))),'Follow-ups'!K86,'Payments'!B86,'Expenses'!D86),IF(CHOOSE($M$42,'Clients'!B86,'Clients'!B86,'Viewings'!H86,IF('Deals'!B86="","",IF(COUNTIFS('Clients'!$A$6:$A$205,'Deals'!B86)&lt;&gt;1,"Check Client ID",INDEX('Clients'!$B$6:$B$205,MATCH('Deals'!B86,'Clients'!$A$6:$A$205,0)))),IF('Deals'!B86="","",IF(COUNTIFS('Clients'!$A$6:$A$205,'Deals'!B86)&lt;&gt;1,"Check Client ID",INDEX('Clients'!$B$6:$B$205,MATCH('Deals'!B86,'Clients'!$A$6:$A$205,0)))),IF('Deals'!B86="","",IF(COUNTIFS('Clients'!$A$6:$A$205,'Deals'!B86)&lt;&gt;1,"Check Client ID",INDEX('Clients'!$B$6:$B$205,MATCH('Deals'!B86,'Clients'!$A$6:$A$205,0)))),'Follow-ups'!K86,'Payments'!B86,'Expenses'!D86)="","",CHOOSE($M$42,'Clients'!B86,'Clients'!B86,'Viewings'!H86,IF('Deals'!B86="","",IF(COUNTIFS('Clients'!$A$6:$A$205,'Deals'!B86)&lt;&gt;1,"Check Client ID",INDEX('Clients'!$B$6:$B$205,MATCH('Deals'!B86,'Clients'!$A$6:$A$205,0)))),IF('Deals'!B86="","",IF(COUNTIFS('Clients'!$A$6:$A$205,'Deals'!B86)&lt;&gt;1,"Check Client ID",INDEX('Clients'!$B$6:$B$205,MATCH('Deals'!B86,'Clients'!$A$6:$A$205,0)))),IF('Deals'!B86="","",IF(COUNTIFS('Clients'!$A$6:$A$205,'Deals'!B86)&lt;&gt;1,"Check Client ID",INDEX('Clients'!$B$6:$B$205,MATCH('Deals'!B86,'Clients'!$A$6:$A$205,0)))),'Follow-ups'!K86,'Payments'!B86,'Expenses'!D86))))</x:f>
      </x:c>
      <x:c r="E128" s="432" t="str">
        <x:f>IF(B128="","",IF(ISNUMBER(CHOOSE($M$42,'Clients'!K86,'Clients'!K86,'Viewings'!I86,'Deals'!C86,'Deals'!C86,'Deals'!C86,'Follow-ups'!L86,'Payments'!G86,'Expenses'!F86)),CHOOSE($M$42,'Clients'!K86,'Clients'!K86,'Viewings'!I86,'Deals'!C86,'Deals'!C86,'Deals'!C86,'Follow-ups'!L86,'Payments'!G86,'Expenses'!F86),IF(CHOOSE($M$42,'Clients'!K86,'Clients'!K86,'Viewings'!I86,'Deals'!C86,'Deals'!C86,'Deals'!C86,'Follow-ups'!L86,'Payments'!G86,'Expenses'!F86)="","",CHOOSE($M$42,'Clients'!K86,'Clients'!K86,'Viewings'!I86,'Deals'!C86,'Deals'!C86,'Deals'!C86,'Follow-ups'!L86,'Payments'!G86,'Expenses'!F86))))</x:f>
      </x:c>
      <x:c r="F128" s="432" t="str">
        <x:f>IF(B128="","",IF(ISNUMBER(CHOOSE($M$42,'Clients'!H86,'Clients'!H86,'Viewings'!E86,'Deals'!E86,'Deals'!E86,'Deals'!E86,'Follow-ups'!I86,"Receipt",'Expenses'!C86)),CHOOSE($M$42,'Clients'!H86,'Clients'!H86,'Viewings'!E86,'Deals'!E86,'Deals'!E86,'Deals'!E86,'Follow-ups'!I86,"Receipt",'Expenses'!C86),IF(CHOOSE($M$42,'Clients'!H86,'Clients'!H86,'Viewings'!E86,'Deals'!E86,'Deals'!E86,'Deals'!E86,'Follow-ups'!I86,"Receipt",'Expenses'!C86)="","",CHOOSE($M$42,'Clients'!H86,'Clients'!H86,'Viewings'!E86,'Deals'!E86,'Deals'!E86,'Deals'!E86,'Follow-ups'!I86,"Receipt",'Expenses'!C86))))</x:f>
      </x:c>
      <x:c r="G128" s="473" t="str">
        <x:f>IF(B128="","",IF(ISNUMBER(CHOOSE($M$42,"","","",'Deals'!F86,'Deals'!F86,'Deals'!F86,"",'Payments'!D86,'Expenses'!G86)),CHOOSE($M$42,"","","",'Deals'!F86,'Deals'!F86,'Deals'!F86,"",'Payments'!D86,'Expenses'!G86),IF(CHOOSE($M$42,"","","",'Deals'!F86,'Deals'!F86,'Deals'!F86,"",'Payments'!D86,'Expenses'!G86)="","",CHOOSE($M$42,"","","",'Deals'!F86,'Deals'!F86,'Deals'!F86,"",'Payments'!D86,'Expenses'!G86))))</x:f>
      </x:c>
      <x:c r="H128" s="432" t="n">
        <x:f>IF(AND($M$43=1,B128&lt;&gt;"",ISNUMBER(C128),C128&gt;=$G$6,C128&lt;$K$6+1),1,0)</x:f>
        <x:v>0</x:v>
      </x:c>
      <x:c r="I128" s="432" t="str">
        <x:f>IF(H128=0,"",COUNTIFS($H$48:$H$247,1,$C$48:$C$247,"&lt;"&amp;C128)+COUNTIFS($H$48:H128,1,$C$48:C128,C128))</x:f>
      </x:c>
      <x:c r="J128" s="432"/>
      <x:c r="K128" s="432"/>
      <x:c r="L128" s="432"/>
      <x:c r="M128" s="432"/>
      <x:c r="N128" s="432"/>
      <x:c r="O128" s="432"/>
      <x:c r="P128" s="432"/>
      <x:c r="Q128" s="432"/>
    </x:row>
    <x:row r="129" ht="25" customHeight="1">
      <x:c r="A129" s="432"/>
      <x:c r="B129" s="432" t="str">
        <x:f>IF(CHOOSE($M$42,'Clients'!A87,'Clients'!A87,'Viewings'!A87,'Deals'!A87,'Deals'!A87,'Deals'!A87,'Follow-ups'!A87,'Payments'!A87,'Expenses'!A87)="","",CHOOSE($M$42,'Clients'!A87,'Clients'!A87,'Viewings'!A87,'Deals'!A87,'Deals'!A87,'Deals'!A87,'Follow-ups'!A87,'Payments'!A87,'Expenses'!A87))</x:f>
      </x:c>
      <x:c r="C129" s="472" t="str">
        <x:f>IF(B129="","",IF(CHOOSE($M$42,'Clients'!R87,'Clients'!Q87,'Viewings'!D87,'Deals'!X87,'Deals'!Y87,'Deals'!Z87,'Follow-ups'!H87,'Payments'!C87,'Expenses'!B87)="","",CHOOSE($M$42,'Clients'!R87,'Clients'!Q87,'Viewings'!D87,'Deals'!X87,'Deals'!Y87,'Deals'!Z87,'Follow-ups'!H87,'Payments'!C87,'Expenses'!B87)))</x:f>
      </x:c>
      <x:c r="D129" s="432" t="str">
        <x:f>IF(B129="","",IF(ISNUMBER(CHOOSE($M$42,'Clients'!B87,'Clients'!B87,'Viewings'!H87,IF('Deals'!B87="","",IF(COUNTIFS('Clients'!$A$6:$A$205,'Deals'!B87)&lt;&gt;1,"Check Client ID",INDEX('Clients'!$B$6:$B$205,MATCH('Deals'!B87,'Clients'!$A$6:$A$205,0)))),IF('Deals'!B87="","",IF(COUNTIFS('Clients'!$A$6:$A$205,'Deals'!B87)&lt;&gt;1,"Check Client ID",INDEX('Clients'!$B$6:$B$205,MATCH('Deals'!B87,'Clients'!$A$6:$A$205,0)))),IF('Deals'!B87="","",IF(COUNTIFS('Clients'!$A$6:$A$205,'Deals'!B87)&lt;&gt;1,"Check Client ID",INDEX('Clients'!$B$6:$B$205,MATCH('Deals'!B87,'Clients'!$A$6:$A$205,0)))),'Follow-ups'!K87,'Payments'!B87,'Expenses'!D87)),CHOOSE($M$42,'Clients'!B87,'Clients'!B87,'Viewings'!H87,IF('Deals'!B87="","",IF(COUNTIFS('Clients'!$A$6:$A$205,'Deals'!B87)&lt;&gt;1,"Check Client ID",INDEX('Clients'!$B$6:$B$205,MATCH('Deals'!B87,'Clients'!$A$6:$A$205,0)))),IF('Deals'!B87="","",IF(COUNTIFS('Clients'!$A$6:$A$205,'Deals'!B87)&lt;&gt;1,"Check Client ID",INDEX('Clients'!$B$6:$B$205,MATCH('Deals'!B87,'Clients'!$A$6:$A$205,0)))),IF('Deals'!B87="","",IF(COUNTIFS('Clients'!$A$6:$A$205,'Deals'!B87)&lt;&gt;1,"Check Client ID",INDEX('Clients'!$B$6:$B$205,MATCH('Deals'!B87,'Clients'!$A$6:$A$205,0)))),'Follow-ups'!K87,'Payments'!B87,'Expenses'!D87),IF(CHOOSE($M$42,'Clients'!B87,'Clients'!B87,'Viewings'!H87,IF('Deals'!B87="","",IF(COUNTIFS('Clients'!$A$6:$A$205,'Deals'!B87)&lt;&gt;1,"Check Client ID",INDEX('Clients'!$B$6:$B$205,MATCH('Deals'!B87,'Clients'!$A$6:$A$205,0)))),IF('Deals'!B87="","",IF(COUNTIFS('Clients'!$A$6:$A$205,'Deals'!B87)&lt;&gt;1,"Check Client ID",INDEX('Clients'!$B$6:$B$205,MATCH('Deals'!B87,'Clients'!$A$6:$A$205,0)))),IF('Deals'!B87="","",IF(COUNTIFS('Clients'!$A$6:$A$205,'Deals'!B87)&lt;&gt;1,"Check Client ID",INDEX('Clients'!$B$6:$B$205,MATCH('Deals'!B87,'Clients'!$A$6:$A$205,0)))),'Follow-ups'!K87,'Payments'!B87,'Expenses'!D87)="","",CHOOSE($M$42,'Clients'!B87,'Clients'!B87,'Viewings'!H87,IF('Deals'!B87="","",IF(COUNTIFS('Clients'!$A$6:$A$205,'Deals'!B87)&lt;&gt;1,"Check Client ID",INDEX('Clients'!$B$6:$B$205,MATCH('Deals'!B87,'Clients'!$A$6:$A$205,0)))),IF('Deals'!B87="","",IF(COUNTIFS('Clients'!$A$6:$A$205,'Deals'!B87)&lt;&gt;1,"Check Client ID",INDEX('Clients'!$B$6:$B$205,MATCH('Deals'!B87,'Clients'!$A$6:$A$205,0)))),IF('Deals'!B87="","",IF(COUNTIFS('Clients'!$A$6:$A$205,'Deals'!B87)&lt;&gt;1,"Check Client ID",INDEX('Clients'!$B$6:$B$205,MATCH('Deals'!B87,'Clients'!$A$6:$A$205,0)))),'Follow-ups'!K87,'Payments'!B87,'Expenses'!D87))))</x:f>
      </x:c>
      <x:c r="E129" s="432" t="str">
        <x:f>IF(B129="","",IF(ISNUMBER(CHOOSE($M$42,'Clients'!K87,'Clients'!K87,'Viewings'!I87,'Deals'!C87,'Deals'!C87,'Deals'!C87,'Follow-ups'!L87,'Payments'!G87,'Expenses'!F87)),CHOOSE($M$42,'Clients'!K87,'Clients'!K87,'Viewings'!I87,'Deals'!C87,'Deals'!C87,'Deals'!C87,'Follow-ups'!L87,'Payments'!G87,'Expenses'!F87),IF(CHOOSE($M$42,'Clients'!K87,'Clients'!K87,'Viewings'!I87,'Deals'!C87,'Deals'!C87,'Deals'!C87,'Follow-ups'!L87,'Payments'!G87,'Expenses'!F87)="","",CHOOSE($M$42,'Clients'!K87,'Clients'!K87,'Viewings'!I87,'Deals'!C87,'Deals'!C87,'Deals'!C87,'Follow-ups'!L87,'Payments'!G87,'Expenses'!F87))))</x:f>
      </x:c>
      <x:c r="F129" s="432" t="str">
        <x:f>IF(B129="","",IF(ISNUMBER(CHOOSE($M$42,'Clients'!H87,'Clients'!H87,'Viewings'!E87,'Deals'!E87,'Deals'!E87,'Deals'!E87,'Follow-ups'!I87,"Receipt",'Expenses'!C87)),CHOOSE($M$42,'Clients'!H87,'Clients'!H87,'Viewings'!E87,'Deals'!E87,'Deals'!E87,'Deals'!E87,'Follow-ups'!I87,"Receipt",'Expenses'!C87),IF(CHOOSE($M$42,'Clients'!H87,'Clients'!H87,'Viewings'!E87,'Deals'!E87,'Deals'!E87,'Deals'!E87,'Follow-ups'!I87,"Receipt",'Expenses'!C87)="","",CHOOSE($M$42,'Clients'!H87,'Clients'!H87,'Viewings'!E87,'Deals'!E87,'Deals'!E87,'Deals'!E87,'Follow-ups'!I87,"Receipt",'Expenses'!C87))))</x:f>
      </x:c>
      <x:c r="G129" s="473" t="str">
        <x:f>IF(B129="","",IF(ISNUMBER(CHOOSE($M$42,"","","",'Deals'!F87,'Deals'!F87,'Deals'!F87,"",'Payments'!D87,'Expenses'!G87)),CHOOSE($M$42,"","","",'Deals'!F87,'Deals'!F87,'Deals'!F87,"",'Payments'!D87,'Expenses'!G87),IF(CHOOSE($M$42,"","","",'Deals'!F87,'Deals'!F87,'Deals'!F87,"",'Payments'!D87,'Expenses'!G87)="","",CHOOSE($M$42,"","","",'Deals'!F87,'Deals'!F87,'Deals'!F87,"",'Payments'!D87,'Expenses'!G87))))</x:f>
      </x:c>
      <x:c r="H129" s="432" t="n">
        <x:f>IF(AND($M$43=1,B129&lt;&gt;"",ISNUMBER(C129),C129&gt;=$G$6,C129&lt;$K$6+1),1,0)</x:f>
        <x:v>0</x:v>
      </x:c>
      <x:c r="I129" s="432" t="str">
        <x:f>IF(H129=0,"",COUNTIFS($H$48:$H$247,1,$C$48:$C$247,"&lt;"&amp;C129)+COUNTIFS($H$48:H129,1,$C$48:C129,C129))</x:f>
      </x:c>
      <x:c r="J129" s="432"/>
      <x:c r="K129" s="432"/>
      <x:c r="L129" s="432"/>
      <x:c r="M129" s="432"/>
      <x:c r="N129" s="432"/>
      <x:c r="O129" s="432"/>
      <x:c r="P129" s="432"/>
      <x:c r="Q129" s="432"/>
    </x:row>
    <x:row r="130" ht="25" customHeight="1">
      <x:c r="A130" s="432"/>
      <x:c r="B130" s="432" t="str">
        <x:f>IF(CHOOSE($M$42,'Clients'!A88,'Clients'!A88,'Viewings'!A88,'Deals'!A88,'Deals'!A88,'Deals'!A88,'Follow-ups'!A88,'Payments'!A88,'Expenses'!A88)="","",CHOOSE($M$42,'Clients'!A88,'Clients'!A88,'Viewings'!A88,'Deals'!A88,'Deals'!A88,'Deals'!A88,'Follow-ups'!A88,'Payments'!A88,'Expenses'!A88))</x:f>
      </x:c>
      <x:c r="C130" s="472" t="str">
        <x:f>IF(B130="","",IF(CHOOSE($M$42,'Clients'!R88,'Clients'!Q88,'Viewings'!D88,'Deals'!X88,'Deals'!Y88,'Deals'!Z88,'Follow-ups'!H88,'Payments'!C88,'Expenses'!B88)="","",CHOOSE($M$42,'Clients'!R88,'Clients'!Q88,'Viewings'!D88,'Deals'!X88,'Deals'!Y88,'Deals'!Z88,'Follow-ups'!H88,'Payments'!C88,'Expenses'!B88)))</x:f>
      </x:c>
      <x:c r="D130" s="432" t="str">
        <x:f>IF(B130="","",IF(ISNUMBER(CHOOSE($M$42,'Clients'!B88,'Clients'!B88,'Viewings'!H88,IF('Deals'!B88="","",IF(COUNTIFS('Clients'!$A$6:$A$205,'Deals'!B88)&lt;&gt;1,"Check Client ID",INDEX('Clients'!$B$6:$B$205,MATCH('Deals'!B88,'Clients'!$A$6:$A$205,0)))),IF('Deals'!B88="","",IF(COUNTIFS('Clients'!$A$6:$A$205,'Deals'!B88)&lt;&gt;1,"Check Client ID",INDEX('Clients'!$B$6:$B$205,MATCH('Deals'!B88,'Clients'!$A$6:$A$205,0)))),IF('Deals'!B88="","",IF(COUNTIFS('Clients'!$A$6:$A$205,'Deals'!B88)&lt;&gt;1,"Check Client ID",INDEX('Clients'!$B$6:$B$205,MATCH('Deals'!B88,'Clients'!$A$6:$A$205,0)))),'Follow-ups'!K88,'Payments'!B88,'Expenses'!D88)),CHOOSE($M$42,'Clients'!B88,'Clients'!B88,'Viewings'!H88,IF('Deals'!B88="","",IF(COUNTIFS('Clients'!$A$6:$A$205,'Deals'!B88)&lt;&gt;1,"Check Client ID",INDEX('Clients'!$B$6:$B$205,MATCH('Deals'!B88,'Clients'!$A$6:$A$205,0)))),IF('Deals'!B88="","",IF(COUNTIFS('Clients'!$A$6:$A$205,'Deals'!B88)&lt;&gt;1,"Check Client ID",INDEX('Clients'!$B$6:$B$205,MATCH('Deals'!B88,'Clients'!$A$6:$A$205,0)))),IF('Deals'!B88="","",IF(COUNTIFS('Clients'!$A$6:$A$205,'Deals'!B88)&lt;&gt;1,"Check Client ID",INDEX('Clients'!$B$6:$B$205,MATCH('Deals'!B88,'Clients'!$A$6:$A$205,0)))),'Follow-ups'!K88,'Payments'!B88,'Expenses'!D88),IF(CHOOSE($M$42,'Clients'!B88,'Clients'!B88,'Viewings'!H88,IF('Deals'!B88="","",IF(COUNTIFS('Clients'!$A$6:$A$205,'Deals'!B88)&lt;&gt;1,"Check Client ID",INDEX('Clients'!$B$6:$B$205,MATCH('Deals'!B88,'Clients'!$A$6:$A$205,0)))),IF('Deals'!B88="","",IF(COUNTIFS('Clients'!$A$6:$A$205,'Deals'!B88)&lt;&gt;1,"Check Client ID",INDEX('Clients'!$B$6:$B$205,MATCH('Deals'!B88,'Clients'!$A$6:$A$205,0)))),IF('Deals'!B88="","",IF(COUNTIFS('Clients'!$A$6:$A$205,'Deals'!B88)&lt;&gt;1,"Check Client ID",INDEX('Clients'!$B$6:$B$205,MATCH('Deals'!B88,'Clients'!$A$6:$A$205,0)))),'Follow-ups'!K88,'Payments'!B88,'Expenses'!D88)="","",CHOOSE($M$42,'Clients'!B88,'Clients'!B88,'Viewings'!H88,IF('Deals'!B88="","",IF(COUNTIFS('Clients'!$A$6:$A$205,'Deals'!B88)&lt;&gt;1,"Check Client ID",INDEX('Clients'!$B$6:$B$205,MATCH('Deals'!B88,'Clients'!$A$6:$A$205,0)))),IF('Deals'!B88="","",IF(COUNTIFS('Clients'!$A$6:$A$205,'Deals'!B88)&lt;&gt;1,"Check Client ID",INDEX('Clients'!$B$6:$B$205,MATCH('Deals'!B88,'Clients'!$A$6:$A$205,0)))),IF('Deals'!B88="","",IF(COUNTIFS('Clients'!$A$6:$A$205,'Deals'!B88)&lt;&gt;1,"Check Client ID",INDEX('Clients'!$B$6:$B$205,MATCH('Deals'!B88,'Clients'!$A$6:$A$205,0)))),'Follow-ups'!K88,'Payments'!B88,'Expenses'!D88))))</x:f>
      </x:c>
      <x:c r="E130" s="432" t="str">
        <x:f>IF(B130="","",IF(ISNUMBER(CHOOSE($M$42,'Clients'!K88,'Clients'!K88,'Viewings'!I88,'Deals'!C88,'Deals'!C88,'Deals'!C88,'Follow-ups'!L88,'Payments'!G88,'Expenses'!F88)),CHOOSE($M$42,'Clients'!K88,'Clients'!K88,'Viewings'!I88,'Deals'!C88,'Deals'!C88,'Deals'!C88,'Follow-ups'!L88,'Payments'!G88,'Expenses'!F88),IF(CHOOSE($M$42,'Clients'!K88,'Clients'!K88,'Viewings'!I88,'Deals'!C88,'Deals'!C88,'Deals'!C88,'Follow-ups'!L88,'Payments'!G88,'Expenses'!F88)="","",CHOOSE($M$42,'Clients'!K88,'Clients'!K88,'Viewings'!I88,'Deals'!C88,'Deals'!C88,'Deals'!C88,'Follow-ups'!L88,'Payments'!G88,'Expenses'!F88))))</x:f>
      </x:c>
      <x:c r="F130" s="432" t="str">
        <x:f>IF(B130="","",IF(ISNUMBER(CHOOSE($M$42,'Clients'!H88,'Clients'!H88,'Viewings'!E88,'Deals'!E88,'Deals'!E88,'Deals'!E88,'Follow-ups'!I88,"Receipt",'Expenses'!C88)),CHOOSE($M$42,'Clients'!H88,'Clients'!H88,'Viewings'!E88,'Deals'!E88,'Deals'!E88,'Deals'!E88,'Follow-ups'!I88,"Receipt",'Expenses'!C88),IF(CHOOSE($M$42,'Clients'!H88,'Clients'!H88,'Viewings'!E88,'Deals'!E88,'Deals'!E88,'Deals'!E88,'Follow-ups'!I88,"Receipt",'Expenses'!C88)="","",CHOOSE($M$42,'Clients'!H88,'Clients'!H88,'Viewings'!E88,'Deals'!E88,'Deals'!E88,'Deals'!E88,'Follow-ups'!I88,"Receipt",'Expenses'!C88))))</x:f>
      </x:c>
      <x:c r="G130" s="473" t="str">
        <x:f>IF(B130="","",IF(ISNUMBER(CHOOSE($M$42,"","","",'Deals'!F88,'Deals'!F88,'Deals'!F88,"",'Payments'!D88,'Expenses'!G88)),CHOOSE($M$42,"","","",'Deals'!F88,'Deals'!F88,'Deals'!F88,"",'Payments'!D88,'Expenses'!G88),IF(CHOOSE($M$42,"","","",'Deals'!F88,'Deals'!F88,'Deals'!F88,"",'Payments'!D88,'Expenses'!G88)="","",CHOOSE($M$42,"","","",'Deals'!F88,'Deals'!F88,'Deals'!F88,"",'Payments'!D88,'Expenses'!G88))))</x:f>
      </x:c>
      <x:c r="H130" s="432" t="n">
        <x:f>IF(AND($M$43=1,B130&lt;&gt;"",ISNUMBER(C130),C130&gt;=$G$6,C130&lt;$K$6+1),1,0)</x:f>
        <x:v>0</x:v>
      </x:c>
      <x:c r="I130" s="432" t="str">
        <x:f>IF(H130=0,"",COUNTIFS($H$48:$H$247,1,$C$48:$C$247,"&lt;"&amp;C130)+COUNTIFS($H$48:H130,1,$C$48:C130,C130))</x:f>
      </x:c>
      <x:c r="J130" s="432"/>
      <x:c r="K130" s="432"/>
      <x:c r="L130" s="432"/>
      <x:c r="M130" s="432"/>
      <x:c r="N130" s="432"/>
      <x:c r="O130" s="432"/>
      <x:c r="P130" s="432"/>
      <x:c r="Q130" s="432"/>
    </x:row>
    <x:row r="131" ht="25" customHeight="1">
      <x:c r="A131" s="432"/>
      <x:c r="B131" s="432" t="str">
        <x:f>IF(CHOOSE($M$42,'Clients'!A89,'Clients'!A89,'Viewings'!A89,'Deals'!A89,'Deals'!A89,'Deals'!A89,'Follow-ups'!A89,'Payments'!A89,'Expenses'!A89)="","",CHOOSE($M$42,'Clients'!A89,'Clients'!A89,'Viewings'!A89,'Deals'!A89,'Deals'!A89,'Deals'!A89,'Follow-ups'!A89,'Payments'!A89,'Expenses'!A89))</x:f>
      </x:c>
      <x:c r="C131" s="472" t="str">
        <x:f>IF(B131="","",IF(CHOOSE($M$42,'Clients'!R89,'Clients'!Q89,'Viewings'!D89,'Deals'!X89,'Deals'!Y89,'Deals'!Z89,'Follow-ups'!H89,'Payments'!C89,'Expenses'!B89)="","",CHOOSE($M$42,'Clients'!R89,'Clients'!Q89,'Viewings'!D89,'Deals'!X89,'Deals'!Y89,'Deals'!Z89,'Follow-ups'!H89,'Payments'!C89,'Expenses'!B89)))</x:f>
      </x:c>
      <x:c r="D131" s="432" t="str">
        <x:f>IF(B131="","",IF(ISNUMBER(CHOOSE($M$42,'Clients'!B89,'Clients'!B89,'Viewings'!H89,IF('Deals'!B89="","",IF(COUNTIFS('Clients'!$A$6:$A$205,'Deals'!B89)&lt;&gt;1,"Check Client ID",INDEX('Clients'!$B$6:$B$205,MATCH('Deals'!B89,'Clients'!$A$6:$A$205,0)))),IF('Deals'!B89="","",IF(COUNTIFS('Clients'!$A$6:$A$205,'Deals'!B89)&lt;&gt;1,"Check Client ID",INDEX('Clients'!$B$6:$B$205,MATCH('Deals'!B89,'Clients'!$A$6:$A$205,0)))),IF('Deals'!B89="","",IF(COUNTIFS('Clients'!$A$6:$A$205,'Deals'!B89)&lt;&gt;1,"Check Client ID",INDEX('Clients'!$B$6:$B$205,MATCH('Deals'!B89,'Clients'!$A$6:$A$205,0)))),'Follow-ups'!K89,'Payments'!B89,'Expenses'!D89)),CHOOSE($M$42,'Clients'!B89,'Clients'!B89,'Viewings'!H89,IF('Deals'!B89="","",IF(COUNTIFS('Clients'!$A$6:$A$205,'Deals'!B89)&lt;&gt;1,"Check Client ID",INDEX('Clients'!$B$6:$B$205,MATCH('Deals'!B89,'Clients'!$A$6:$A$205,0)))),IF('Deals'!B89="","",IF(COUNTIFS('Clients'!$A$6:$A$205,'Deals'!B89)&lt;&gt;1,"Check Client ID",INDEX('Clients'!$B$6:$B$205,MATCH('Deals'!B89,'Clients'!$A$6:$A$205,0)))),IF('Deals'!B89="","",IF(COUNTIFS('Clients'!$A$6:$A$205,'Deals'!B89)&lt;&gt;1,"Check Client ID",INDEX('Clients'!$B$6:$B$205,MATCH('Deals'!B89,'Clients'!$A$6:$A$205,0)))),'Follow-ups'!K89,'Payments'!B89,'Expenses'!D89),IF(CHOOSE($M$42,'Clients'!B89,'Clients'!B89,'Viewings'!H89,IF('Deals'!B89="","",IF(COUNTIFS('Clients'!$A$6:$A$205,'Deals'!B89)&lt;&gt;1,"Check Client ID",INDEX('Clients'!$B$6:$B$205,MATCH('Deals'!B89,'Clients'!$A$6:$A$205,0)))),IF('Deals'!B89="","",IF(COUNTIFS('Clients'!$A$6:$A$205,'Deals'!B89)&lt;&gt;1,"Check Client ID",INDEX('Clients'!$B$6:$B$205,MATCH('Deals'!B89,'Clients'!$A$6:$A$205,0)))),IF('Deals'!B89="","",IF(COUNTIFS('Clients'!$A$6:$A$205,'Deals'!B89)&lt;&gt;1,"Check Client ID",INDEX('Clients'!$B$6:$B$205,MATCH('Deals'!B89,'Clients'!$A$6:$A$205,0)))),'Follow-ups'!K89,'Payments'!B89,'Expenses'!D89)="","",CHOOSE($M$42,'Clients'!B89,'Clients'!B89,'Viewings'!H89,IF('Deals'!B89="","",IF(COUNTIFS('Clients'!$A$6:$A$205,'Deals'!B89)&lt;&gt;1,"Check Client ID",INDEX('Clients'!$B$6:$B$205,MATCH('Deals'!B89,'Clients'!$A$6:$A$205,0)))),IF('Deals'!B89="","",IF(COUNTIFS('Clients'!$A$6:$A$205,'Deals'!B89)&lt;&gt;1,"Check Client ID",INDEX('Clients'!$B$6:$B$205,MATCH('Deals'!B89,'Clients'!$A$6:$A$205,0)))),IF('Deals'!B89="","",IF(COUNTIFS('Clients'!$A$6:$A$205,'Deals'!B89)&lt;&gt;1,"Check Client ID",INDEX('Clients'!$B$6:$B$205,MATCH('Deals'!B89,'Clients'!$A$6:$A$205,0)))),'Follow-ups'!K89,'Payments'!B89,'Expenses'!D89))))</x:f>
      </x:c>
      <x:c r="E131" s="432" t="str">
        <x:f>IF(B131="","",IF(ISNUMBER(CHOOSE($M$42,'Clients'!K89,'Clients'!K89,'Viewings'!I89,'Deals'!C89,'Deals'!C89,'Deals'!C89,'Follow-ups'!L89,'Payments'!G89,'Expenses'!F89)),CHOOSE($M$42,'Clients'!K89,'Clients'!K89,'Viewings'!I89,'Deals'!C89,'Deals'!C89,'Deals'!C89,'Follow-ups'!L89,'Payments'!G89,'Expenses'!F89),IF(CHOOSE($M$42,'Clients'!K89,'Clients'!K89,'Viewings'!I89,'Deals'!C89,'Deals'!C89,'Deals'!C89,'Follow-ups'!L89,'Payments'!G89,'Expenses'!F89)="","",CHOOSE($M$42,'Clients'!K89,'Clients'!K89,'Viewings'!I89,'Deals'!C89,'Deals'!C89,'Deals'!C89,'Follow-ups'!L89,'Payments'!G89,'Expenses'!F89))))</x:f>
      </x:c>
      <x:c r="F131" s="432" t="str">
        <x:f>IF(B131="","",IF(ISNUMBER(CHOOSE($M$42,'Clients'!H89,'Clients'!H89,'Viewings'!E89,'Deals'!E89,'Deals'!E89,'Deals'!E89,'Follow-ups'!I89,"Receipt",'Expenses'!C89)),CHOOSE($M$42,'Clients'!H89,'Clients'!H89,'Viewings'!E89,'Deals'!E89,'Deals'!E89,'Deals'!E89,'Follow-ups'!I89,"Receipt",'Expenses'!C89),IF(CHOOSE($M$42,'Clients'!H89,'Clients'!H89,'Viewings'!E89,'Deals'!E89,'Deals'!E89,'Deals'!E89,'Follow-ups'!I89,"Receipt",'Expenses'!C89)="","",CHOOSE($M$42,'Clients'!H89,'Clients'!H89,'Viewings'!E89,'Deals'!E89,'Deals'!E89,'Deals'!E89,'Follow-ups'!I89,"Receipt",'Expenses'!C89))))</x:f>
      </x:c>
      <x:c r="G131" s="473" t="str">
        <x:f>IF(B131="","",IF(ISNUMBER(CHOOSE($M$42,"","","",'Deals'!F89,'Deals'!F89,'Deals'!F89,"",'Payments'!D89,'Expenses'!G89)),CHOOSE($M$42,"","","",'Deals'!F89,'Deals'!F89,'Deals'!F89,"",'Payments'!D89,'Expenses'!G89),IF(CHOOSE($M$42,"","","",'Deals'!F89,'Deals'!F89,'Deals'!F89,"",'Payments'!D89,'Expenses'!G89)="","",CHOOSE($M$42,"","","",'Deals'!F89,'Deals'!F89,'Deals'!F89,"",'Payments'!D89,'Expenses'!G89))))</x:f>
      </x:c>
      <x:c r="H131" s="432" t="n">
        <x:f>IF(AND($M$43=1,B131&lt;&gt;"",ISNUMBER(C131),C131&gt;=$G$6,C131&lt;$K$6+1),1,0)</x:f>
        <x:v>0</x:v>
      </x:c>
      <x:c r="I131" s="432" t="str">
        <x:f>IF(H131=0,"",COUNTIFS($H$48:$H$247,1,$C$48:$C$247,"&lt;"&amp;C131)+COUNTIFS($H$48:H131,1,$C$48:C131,C131))</x:f>
      </x:c>
      <x:c r="J131" s="432"/>
      <x:c r="K131" s="432"/>
      <x:c r="L131" s="432"/>
      <x:c r="M131" s="432"/>
      <x:c r="N131" s="432"/>
      <x:c r="O131" s="432"/>
      <x:c r="P131" s="432"/>
      <x:c r="Q131" s="432"/>
    </x:row>
    <x:row r="132" ht="25" customHeight="1">
      <x:c r="A132" s="432"/>
      <x:c r="B132" s="432" t="str">
        <x:f>IF(CHOOSE($M$42,'Clients'!A90,'Clients'!A90,'Viewings'!A90,'Deals'!A90,'Deals'!A90,'Deals'!A90,'Follow-ups'!A90,'Payments'!A90,'Expenses'!A90)="","",CHOOSE($M$42,'Clients'!A90,'Clients'!A90,'Viewings'!A90,'Deals'!A90,'Deals'!A90,'Deals'!A90,'Follow-ups'!A90,'Payments'!A90,'Expenses'!A90))</x:f>
      </x:c>
      <x:c r="C132" s="472" t="str">
        <x:f>IF(B132="","",IF(CHOOSE($M$42,'Clients'!R90,'Clients'!Q90,'Viewings'!D90,'Deals'!X90,'Deals'!Y90,'Deals'!Z90,'Follow-ups'!H90,'Payments'!C90,'Expenses'!B90)="","",CHOOSE($M$42,'Clients'!R90,'Clients'!Q90,'Viewings'!D90,'Deals'!X90,'Deals'!Y90,'Deals'!Z90,'Follow-ups'!H90,'Payments'!C90,'Expenses'!B90)))</x:f>
      </x:c>
      <x:c r="D132" s="432" t="str">
        <x:f>IF(B132="","",IF(ISNUMBER(CHOOSE($M$42,'Clients'!B90,'Clients'!B90,'Viewings'!H90,IF('Deals'!B90="","",IF(COUNTIFS('Clients'!$A$6:$A$205,'Deals'!B90)&lt;&gt;1,"Check Client ID",INDEX('Clients'!$B$6:$B$205,MATCH('Deals'!B90,'Clients'!$A$6:$A$205,0)))),IF('Deals'!B90="","",IF(COUNTIFS('Clients'!$A$6:$A$205,'Deals'!B90)&lt;&gt;1,"Check Client ID",INDEX('Clients'!$B$6:$B$205,MATCH('Deals'!B90,'Clients'!$A$6:$A$205,0)))),IF('Deals'!B90="","",IF(COUNTIFS('Clients'!$A$6:$A$205,'Deals'!B90)&lt;&gt;1,"Check Client ID",INDEX('Clients'!$B$6:$B$205,MATCH('Deals'!B90,'Clients'!$A$6:$A$205,0)))),'Follow-ups'!K90,'Payments'!B90,'Expenses'!D90)),CHOOSE($M$42,'Clients'!B90,'Clients'!B90,'Viewings'!H90,IF('Deals'!B90="","",IF(COUNTIFS('Clients'!$A$6:$A$205,'Deals'!B90)&lt;&gt;1,"Check Client ID",INDEX('Clients'!$B$6:$B$205,MATCH('Deals'!B90,'Clients'!$A$6:$A$205,0)))),IF('Deals'!B90="","",IF(COUNTIFS('Clients'!$A$6:$A$205,'Deals'!B90)&lt;&gt;1,"Check Client ID",INDEX('Clients'!$B$6:$B$205,MATCH('Deals'!B90,'Clients'!$A$6:$A$205,0)))),IF('Deals'!B90="","",IF(COUNTIFS('Clients'!$A$6:$A$205,'Deals'!B90)&lt;&gt;1,"Check Client ID",INDEX('Clients'!$B$6:$B$205,MATCH('Deals'!B90,'Clients'!$A$6:$A$205,0)))),'Follow-ups'!K90,'Payments'!B90,'Expenses'!D90),IF(CHOOSE($M$42,'Clients'!B90,'Clients'!B90,'Viewings'!H90,IF('Deals'!B90="","",IF(COUNTIFS('Clients'!$A$6:$A$205,'Deals'!B90)&lt;&gt;1,"Check Client ID",INDEX('Clients'!$B$6:$B$205,MATCH('Deals'!B90,'Clients'!$A$6:$A$205,0)))),IF('Deals'!B90="","",IF(COUNTIFS('Clients'!$A$6:$A$205,'Deals'!B90)&lt;&gt;1,"Check Client ID",INDEX('Clients'!$B$6:$B$205,MATCH('Deals'!B90,'Clients'!$A$6:$A$205,0)))),IF('Deals'!B90="","",IF(COUNTIFS('Clients'!$A$6:$A$205,'Deals'!B90)&lt;&gt;1,"Check Client ID",INDEX('Clients'!$B$6:$B$205,MATCH('Deals'!B90,'Clients'!$A$6:$A$205,0)))),'Follow-ups'!K90,'Payments'!B90,'Expenses'!D90)="","",CHOOSE($M$42,'Clients'!B90,'Clients'!B90,'Viewings'!H90,IF('Deals'!B90="","",IF(COUNTIFS('Clients'!$A$6:$A$205,'Deals'!B90)&lt;&gt;1,"Check Client ID",INDEX('Clients'!$B$6:$B$205,MATCH('Deals'!B90,'Clients'!$A$6:$A$205,0)))),IF('Deals'!B90="","",IF(COUNTIFS('Clients'!$A$6:$A$205,'Deals'!B90)&lt;&gt;1,"Check Client ID",INDEX('Clients'!$B$6:$B$205,MATCH('Deals'!B90,'Clients'!$A$6:$A$205,0)))),IF('Deals'!B90="","",IF(COUNTIFS('Clients'!$A$6:$A$205,'Deals'!B90)&lt;&gt;1,"Check Client ID",INDEX('Clients'!$B$6:$B$205,MATCH('Deals'!B90,'Clients'!$A$6:$A$205,0)))),'Follow-ups'!K90,'Payments'!B90,'Expenses'!D90))))</x:f>
      </x:c>
      <x:c r="E132" s="432" t="str">
        <x:f>IF(B132="","",IF(ISNUMBER(CHOOSE($M$42,'Clients'!K90,'Clients'!K90,'Viewings'!I90,'Deals'!C90,'Deals'!C90,'Deals'!C90,'Follow-ups'!L90,'Payments'!G90,'Expenses'!F90)),CHOOSE($M$42,'Clients'!K90,'Clients'!K90,'Viewings'!I90,'Deals'!C90,'Deals'!C90,'Deals'!C90,'Follow-ups'!L90,'Payments'!G90,'Expenses'!F90),IF(CHOOSE($M$42,'Clients'!K90,'Clients'!K90,'Viewings'!I90,'Deals'!C90,'Deals'!C90,'Deals'!C90,'Follow-ups'!L90,'Payments'!G90,'Expenses'!F90)="","",CHOOSE($M$42,'Clients'!K90,'Clients'!K90,'Viewings'!I90,'Deals'!C90,'Deals'!C90,'Deals'!C90,'Follow-ups'!L90,'Payments'!G90,'Expenses'!F90))))</x:f>
      </x:c>
      <x:c r="F132" s="432" t="str">
        <x:f>IF(B132="","",IF(ISNUMBER(CHOOSE($M$42,'Clients'!H90,'Clients'!H90,'Viewings'!E90,'Deals'!E90,'Deals'!E90,'Deals'!E90,'Follow-ups'!I90,"Receipt",'Expenses'!C90)),CHOOSE($M$42,'Clients'!H90,'Clients'!H90,'Viewings'!E90,'Deals'!E90,'Deals'!E90,'Deals'!E90,'Follow-ups'!I90,"Receipt",'Expenses'!C90),IF(CHOOSE($M$42,'Clients'!H90,'Clients'!H90,'Viewings'!E90,'Deals'!E90,'Deals'!E90,'Deals'!E90,'Follow-ups'!I90,"Receipt",'Expenses'!C90)="","",CHOOSE($M$42,'Clients'!H90,'Clients'!H90,'Viewings'!E90,'Deals'!E90,'Deals'!E90,'Deals'!E90,'Follow-ups'!I90,"Receipt",'Expenses'!C90))))</x:f>
      </x:c>
      <x:c r="G132" s="473" t="str">
        <x:f>IF(B132="","",IF(ISNUMBER(CHOOSE($M$42,"","","",'Deals'!F90,'Deals'!F90,'Deals'!F90,"",'Payments'!D90,'Expenses'!G90)),CHOOSE($M$42,"","","",'Deals'!F90,'Deals'!F90,'Deals'!F90,"",'Payments'!D90,'Expenses'!G90),IF(CHOOSE($M$42,"","","",'Deals'!F90,'Deals'!F90,'Deals'!F90,"",'Payments'!D90,'Expenses'!G90)="","",CHOOSE($M$42,"","","",'Deals'!F90,'Deals'!F90,'Deals'!F90,"",'Payments'!D90,'Expenses'!G90))))</x:f>
      </x:c>
      <x:c r="H132" s="432" t="n">
        <x:f>IF(AND($M$43=1,B132&lt;&gt;"",ISNUMBER(C132),C132&gt;=$G$6,C132&lt;$K$6+1),1,0)</x:f>
        <x:v>0</x:v>
      </x:c>
      <x:c r="I132" s="432" t="str">
        <x:f>IF(H132=0,"",COUNTIFS($H$48:$H$247,1,$C$48:$C$247,"&lt;"&amp;C132)+COUNTIFS($H$48:H132,1,$C$48:C132,C132))</x:f>
      </x:c>
      <x:c r="J132" s="432"/>
      <x:c r="K132" s="432"/>
      <x:c r="L132" s="432"/>
      <x:c r="M132" s="432"/>
      <x:c r="N132" s="432"/>
      <x:c r="O132" s="432"/>
      <x:c r="P132" s="432"/>
      <x:c r="Q132" s="432"/>
    </x:row>
    <x:row r="133" ht="25" customHeight="1">
      <x:c r="A133" s="432"/>
      <x:c r="B133" s="432" t="str">
        <x:f>IF(CHOOSE($M$42,'Clients'!A91,'Clients'!A91,'Viewings'!A91,'Deals'!A91,'Deals'!A91,'Deals'!A91,'Follow-ups'!A91,'Payments'!A91,'Expenses'!A91)="","",CHOOSE($M$42,'Clients'!A91,'Clients'!A91,'Viewings'!A91,'Deals'!A91,'Deals'!A91,'Deals'!A91,'Follow-ups'!A91,'Payments'!A91,'Expenses'!A91))</x:f>
      </x:c>
      <x:c r="C133" s="472" t="str">
        <x:f>IF(B133="","",IF(CHOOSE($M$42,'Clients'!R91,'Clients'!Q91,'Viewings'!D91,'Deals'!X91,'Deals'!Y91,'Deals'!Z91,'Follow-ups'!H91,'Payments'!C91,'Expenses'!B91)="","",CHOOSE($M$42,'Clients'!R91,'Clients'!Q91,'Viewings'!D91,'Deals'!X91,'Deals'!Y91,'Deals'!Z91,'Follow-ups'!H91,'Payments'!C91,'Expenses'!B91)))</x:f>
      </x:c>
      <x:c r="D133" s="432" t="str">
        <x:f>IF(B133="","",IF(ISNUMBER(CHOOSE($M$42,'Clients'!B91,'Clients'!B91,'Viewings'!H91,IF('Deals'!B91="","",IF(COUNTIFS('Clients'!$A$6:$A$205,'Deals'!B91)&lt;&gt;1,"Check Client ID",INDEX('Clients'!$B$6:$B$205,MATCH('Deals'!B91,'Clients'!$A$6:$A$205,0)))),IF('Deals'!B91="","",IF(COUNTIFS('Clients'!$A$6:$A$205,'Deals'!B91)&lt;&gt;1,"Check Client ID",INDEX('Clients'!$B$6:$B$205,MATCH('Deals'!B91,'Clients'!$A$6:$A$205,0)))),IF('Deals'!B91="","",IF(COUNTIFS('Clients'!$A$6:$A$205,'Deals'!B91)&lt;&gt;1,"Check Client ID",INDEX('Clients'!$B$6:$B$205,MATCH('Deals'!B91,'Clients'!$A$6:$A$205,0)))),'Follow-ups'!K91,'Payments'!B91,'Expenses'!D91)),CHOOSE($M$42,'Clients'!B91,'Clients'!B91,'Viewings'!H91,IF('Deals'!B91="","",IF(COUNTIFS('Clients'!$A$6:$A$205,'Deals'!B91)&lt;&gt;1,"Check Client ID",INDEX('Clients'!$B$6:$B$205,MATCH('Deals'!B91,'Clients'!$A$6:$A$205,0)))),IF('Deals'!B91="","",IF(COUNTIFS('Clients'!$A$6:$A$205,'Deals'!B91)&lt;&gt;1,"Check Client ID",INDEX('Clients'!$B$6:$B$205,MATCH('Deals'!B91,'Clients'!$A$6:$A$205,0)))),IF('Deals'!B91="","",IF(COUNTIFS('Clients'!$A$6:$A$205,'Deals'!B91)&lt;&gt;1,"Check Client ID",INDEX('Clients'!$B$6:$B$205,MATCH('Deals'!B91,'Clients'!$A$6:$A$205,0)))),'Follow-ups'!K91,'Payments'!B91,'Expenses'!D91),IF(CHOOSE($M$42,'Clients'!B91,'Clients'!B91,'Viewings'!H91,IF('Deals'!B91="","",IF(COUNTIFS('Clients'!$A$6:$A$205,'Deals'!B91)&lt;&gt;1,"Check Client ID",INDEX('Clients'!$B$6:$B$205,MATCH('Deals'!B91,'Clients'!$A$6:$A$205,0)))),IF('Deals'!B91="","",IF(COUNTIFS('Clients'!$A$6:$A$205,'Deals'!B91)&lt;&gt;1,"Check Client ID",INDEX('Clients'!$B$6:$B$205,MATCH('Deals'!B91,'Clients'!$A$6:$A$205,0)))),IF('Deals'!B91="","",IF(COUNTIFS('Clients'!$A$6:$A$205,'Deals'!B91)&lt;&gt;1,"Check Client ID",INDEX('Clients'!$B$6:$B$205,MATCH('Deals'!B91,'Clients'!$A$6:$A$205,0)))),'Follow-ups'!K91,'Payments'!B91,'Expenses'!D91)="","",CHOOSE($M$42,'Clients'!B91,'Clients'!B91,'Viewings'!H91,IF('Deals'!B91="","",IF(COUNTIFS('Clients'!$A$6:$A$205,'Deals'!B91)&lt;&gt;1,"Check Client ID",INDEX('Clients'!$B$6:$B$205,MATCH('Deals'!B91,'Clients'!$A$6:$A$205,0)))),IF('Deals'!B91="","",IF(COUNTIFS('Clients'!$A$6:$A$205,'Deals'!B91)&lt;&gt;1,"Check Client ID",INDEX('Clients'!$B$6:$B$205,MATCH('Deals'!B91,'Clients'!$A$6:$A$205,0)))),IF('Deals'!B91="","",IF(COUNTIFS('Clients'!$A$6:$A$205,'Deals'!B91)&lt;&gt;1,"Check Client ID",INDEX('Clients'!$B$6:$B$205,MATCH('Deals'!B91,'Clients'!$A$6:$A$205,0)))),'Follow-ups'!K91,'Payments'!B91,'Expenses'!D91))))</x:f>
      </x:c>
      <x:c r="E133" s="432" t="str">
        <x:f>IF(B133="","",IF(ISNUMBER(CHOOSE($M$42,'Clients'!K91,'Clients'!K91,'Viewings'!I91,'Deals'!C91,'Deals'!C91,'Deals'!C91,'Follow-ups'!L91,'Payments'!G91,'Expenses'!F91)),CHOOSE($M$42,'Clients'!K91,'Clients'!K91,'Viewings'!I91,'Deals'!C91,'Deals'!C91,'Deals'!C91,'Follow-ups'!L91,'Payments'!G91,'Expenses'!F91),IF(CHOOSE($M$42,'Clients'!K91,'Clients'!K91,'Viewings'!I91,'Deals'!C91,'Deals'!C91,'Deals'!C91,'Follow-ups'!L91,'Payments'!G91,'Expenses'!F91)="","",CHOOSE($M$42,'Clients'!K91,'Clients'!K91,'Viewings'!I91,'Deals'!C91,'Deals'!C91,'Deals'!C91,'Follow-ups'!L91,'Payments'!G91,'Expenses'!F91))))</x:f>
      </x:c>
      <x:c r="F133" s="432" t="str">
        <x:f>IF(B133="","",IF(ISNUMBER(CHOOSE($M$42,'Clients'!H91,'Clients'!H91,'Viewings'!E91,'Deals'!E91,'Deals'!E91,'Deals'!E91,'Follow-ups'!I91,"Receipt",'Expenses'!C91)),CHOOSE($M$42,'Clients'!H91,'Clients'!H91,'Viewings'!E91,'Deals'!E91,'Deals'!E91,'Deals'!E91,'Follow-ups'!I91,"Receipt",'Expenses'!C91),IF(CHOOSE($M$42,'Clients'!H91,'Clients'!H91,'Viewings'!E91,'Deals'!E91,'Deals'!E91,'Deals'!E91,'Follow-ups'!I91,"Receipt",'Expenses'!C91)="","",CHOOSE($M$42,'Clients'!H91,'Clients'!H91,'Viewings'!E91,'Deals'!E91,'Deals'!E91,'Deals'!E91,'Follow-ups'!I91,"Receipt",'Expenses'!C91))))</x:f>
      </x:c>
      <x:c r="G133" s="473" t="str">
        <x:f>IF(B133="","",IF(ISNUMBER(CHOOSE($M$42,"","","",'Deals'!F91,'Deals'!F91,'Deals'!F91,"",'Payments'!D91,'Expenses'!G91)),CHOOSE($M$42,"","","",'Deals'!F91,'Deals'!F91,'Deals'!F91,"",'Payments'!D91,'Expenses'!G91),IF(CHOOSE($M$42,"","","",'Deals'!F91,'Deals'!F91,'Deals'!F91,"",'Payments'!D91,'Expenses'!G91)="","",CHOOSE($M$42,"","","",'Deals'!F91,'Deals'!F91,'Deals'!F91,"",'Payments'!D91,'Expenses'!G91))))</x:f>
      </x:c>
      <x:c r="H133" s="432" t="n">
        <x:f>IF(AND($M$43=1,B133&lt;&gt;"",ISNUMBER(C133),C133&gt;=$G$6,C133&lt;$K$6+1),1,0)</x:f>
        <x:v>0</x:v>
      </x:c>
      <x:c r="I133" s="432" t="str">
        <x:f>IF(H133=0,"",COUNTIFS($H$48:$H$247,1,$C$48:$C$247,"&lt;"&amp;C133)+COUNTIFS($H$48:H133,1,$C$48:C133,C133))</x:f>
      </x:c>
      <x:c r="J133" s="432"/>
      <x:c r="K133" s="432"/>
      <x:c r="L133" s="432"/>
      <x:c r="M133" s="432"/>
      <x:c r="N133" s="432"/>
      <x:c r="O133" s="432"/>
      <x:c r="P133" s="432"/>
      <x:c r="Q133" s="432"/>
    </x:row>
    <x:row r="134" ht="25" customHeight="1">
      <x:c r="A134" s="432"/>
      <x:c r="B134" s="432" t="str">
        <x:f>IF(CHOOSE($M$42,'Clients'!A92,'Clients'!A92,'Viewings'!A92,'Deals'!A92,'Deals'!A92,'Deals'!A92,'Follow-ups'!A92,'Payments'!A92,'Expenses'!A92)="","",CHOOSE($M$42,'Clients'!A92,'Clients'!A92,'Viewings'!A92,'Deals'!A92,'Deals'!A92,'Deals'!A92,'Follow-ups'!A92,'Payments'!A92,'Expenses'!A92))</x:f>
      </x:c>
      <x:c r="C134" s="472" t="str">
        <x:f>IF(B134="","",IF(CHOOSE($M$42,'Clients'!R92,'Clients'!Q92,'Viewings'!D92,'Deals'!X92,'Deals'!Y92,'Deals'!Z92,'Follow-ups'!H92,'Payments'!C92,'Expenses'!B92)="","",CHOOSE($M$42,'Clients'!R92,'Clients'!Q92,'Viewings'!D92,'Deals'!X92,'Deals'!Y92,'Deals'!Z92,'Follow-ups'!H92,'Payments'!C92,'Expenses'!B92)))</x:f>
      </x:c>
      <x:c r="D134" s="432" t="str">
        <x:f>IF(B134="","",IF(ISNUMBER(CHOOSE($M$42,'Clients'!B92,'Clients'!B92,'Viewings'!H92,IF('Deals'!B92="","",IF(COUNTIFS('Clients'!$A$6:$A$205,'Deals'!B92)&lt;&gt;1,"Check Client ID",INDEX('Clients'!$B$6:$B$205,MATCH('Deals'!B92,'Clients'!$A$6:$A$205,0)))),IF('Deals'!B92="","",IF(COUNTIFS('Clients'!$A$6:$A$205,'Deals'!B92)&lt;&gt;1,"Check Client ID",INDEX('Clients'!$B$6:$B$205,MATCH('Deals'!B92,'Clients'!$A$6:$A$205,0)))),IF('Deals'!B92="","",IF(COUNTIFS('Clients'!$A$6:$A$205,'Deals'!B92)&lt;&gt;1,"Check Client ID",INDEX('Clients'!$B$6:$B$205,MATCH('Deals'!B92,'Clients'!$A$6:$A$205,0)))),'Follow-ups'!K92,'Payments'!B92,'Expenses'!D92)),CHOOSE($M$42,'Clients'!B92,'Clients'!B92,'Viewings'!H92,IF('Deals'!B92="","",IF(COUNTIFS('Clients'!$A$6:$A$205,'Deals'!B92)&lt;&gt;1,"Check Client ID",INDEX('Clients'!$B$6:$B$205,MATCH('Deals'!B92,'Clients'!$A$6:$A$205,0)))),IF('Deals'!B92="","",IF(COUNTIFS('Clients'!$A$6:$A$205,'Deals'!B92)&lt;&gt;1,"Check Client ID",INDEX('Clients'!$B$6:$B$205,MATCH('Deals'!B92,'Clients'!$A$6:$A$205,0)))),IF('Deals'!B92="","",IF(COUNTIFS('Clients'!$A$6:$A$205,'Deals'!B92)&lt;&gt;1,"Check Client ID",INDEX('Clients'!$B$6:$B$205,MATCH('Deals'!B92,'Clients'!$A$6:$A$205,0)))),'Follow-ups'!K92,'Payments'!B92,'Expenses'!D92),IF(CHOOSE($M$42,'Clients'!B92,'Clients'!B92,'Viewings'!H92,IF('Deals'!B92="","",IF(COUNTIFS('Clients'!$A$6:$A$205,'Deals'!B92)&lt;&gt;1,"Check Client ID",INDEX('Clients'!$B$6:$B$205,MATCH('Deals'!B92,'Clients'!$A$6:$A$205,0)))),IF('Deals'!B92="","",IF(COUNTIFS('Clients'!$A$6:$A$205,'Deals'!B92)&lt;&gt;1,"Check Client ID",INDEX('Clients'!$B$6:$B$205,MATCH('Deals'!B92,'Clients'!$A$6:$A$205,0)))),IF('Deals'!B92="","",IF(COUNTIFS('Clients'!$A$6:$A$205,'Deals'!B92)&lt;&gt;1,"Check Client ID",INDEX('Clients'!$B$6:$B$205,MATCH('Deals'!B92,'Clients'!$A$6:$A$205,0)))),'Follow-ups'!K92,'Payments'!B92,'Expenses'!D92)="","",CHOOSE($M$42,'Clients'!B92,'Clients'!B92,'Viewings'!H92,IF('Deals'!B92="","",IF(COUNTIFS('Clients'!$A$6:$A$205,'Deals'!B92)&lt;&gt;1,"Check Client ID",INDEX('Clients'!$B$6:$B$205,MATCH('Deals'!B92,'Clients'!$A$6:$A$205,0)))),IF('Deals'!B92="","",IF(COUNTIFS('Clients'!$A$6:$A$205,'Deals'!B92)&lt;&gt;1,"Check Client ID",INDEX('Clients'!$B$6:$B$205,MATCH('Deals'!B92,'Clients'!$A$6:$A$205,0)))),IF('Deals'!B92="","",IF(COUNTIFS('Clients'!$A$6:$A$205,'Deals'!B92)&lt;&gt;1,"Check Client ID",INDEX('Clients'!$B$6:$B$205,MATCH('Deals'!B92,'Clients'!$A$6:$A$205,0)))),'Follow-ups'!K92,'Payments'!B92,'Expenses'!D92))))</x:f>
      </x:c>
      <x:c r="E134" s="432" t="str">
        <x:f>IF(B134="","",IF(ISNUMBER(CHOOSE($M$42,'Clients'!K92,'Clients'!K92,'Viewings'!I92,'Deals'!C92,'Deals'!C92,'Deals'!C92,'Follow-ups'!L92,'Payments'!G92,'Expenses'!F92)),CHOOSE($M$42,'Clients'!K92,'Clients'!K92,'Viewings'!I92,'Deals'!C92,'Deals'!C92,'Deals'!C92,'Follow-ups'!L92,'Payments'!G92,'Expenses'!F92),IF(CHOOSE($M$42,'Clients'!K92,'Clients'!K92,'Viewings'!I92,'Deals'!C92,'Deals'!C92,'Deals'!C92,'Follow-ups'!L92,'Payments'!G92,'Expenses'!F92)="","",CHOOSE($M$42,'Clients'!K92,'Clients'!K92,'Viewings'!I92,'Deals'!C92,'Deals'!C92,'Deals'!C92,'Follow-ups'!L92,'Payments'!G92,'Expenses'!F92))))</x:f>
      </x:c>
      <x:c r="F134" s="432" t="str">
        <x:f>IF(B134="","",IF(ISNUMBER(CHOOSE($M$42,'Clients'!H92,'Clients'!H92,'Viewings'!E92,'Deals'!E92,'Deals'!E92,'Deals'!E92,'Follow-ups'!I92,"Receipt",'Expenses'!C92)),CHOOSE($M$42,'Clients'!H92,'Clients'!H92,'Viewings'!E92,'Deals'!E92,'Deals'!E92,'Deals'!E92,'Follow-ups'!I92,"Receipt",'Expenses'!C92),IF(CHOOSE($M$42,'Clients'!H92,'Clients'!H92,'Viewings'!E92,'Deals'!E92,'Deals'!E92,'Deals'!E92,'Follow-ups'!I92,"Receipt",'Expenses'!C92)="","",CHOOSE($M$42,'Clients'!H92,'Clients'!H92,'Viewings'!E92,'Deals'!E92,'Deals'!E92,'Deals'!E92,'Follow-ups'!I92,"Receipt",'Expenses'!C92))))</x:f>
      </x:c>
      <x:c r="G134" s="473" t="str">
        <x:f>IF(B134="","",IF(ISNUMBER(CHOOSE($M$42,"","","",'Deals'!F92,'Deals'!F92,'Deals'!F92,"",'Payments'!D92,'Expenses'!G92)),CHOOSE($M$42,"","","",'Deals'!F92,'Deals'!F92,'Deals'!F92,"",'Payments'!D92,'Expenses'!G92),IF(CHOOSE($M$42,"","","",'Deals'!F92,'Deals'!F92,'Deals'!F92,"",'Payments'!D92,'Expenses'!G92)="","",CHOOSE($M$42,"","","",'Deals'!F92,'Deals'!F92,'Deals'!F92,"",'Payments'!D92,'Expenses'!G92))))</x:f>
      </x:c>
      <x:c r="H134" s="432" t="n">
        <x:f>IF(AND($M$43=1,B134&lt;&gt;"",ISNUMBER(C134),C134&gt;=$G$6,C134&lt;$K$6+1),1,0)</x:f>
        <x:v>0</x:v>
      </x:c>
      <x:c r="I134" s="432" t="str">
        <x:f>IF(H134=0,"",COUNTIFS($H$48:$H$247,1,$C$48:$C$247,"&lt;"&amp;C134)+COUNTIFS($H$48:H134,1,$C$48:C134,C134))</x:f>
      </x:c>
      <x:c r="J134" s="432"/>
      <x:c r="K134" s="432"/>
      <x:c r="L134" s="432"/>
      <x:c r="M134" s="432"/>
      <x:c r="N134" s="432"/>
      <x:c r="O134" s="432"/>
      <x:c r="P134" s="432"/>
      <x:c r="Q134" s="432"/>
    </x:row>
    <x:row r="135" ht="25" customHeight="1">
      <x:c r="A135" s="432"/>
      <x:c r="B135" s="432" t="str">
        <x:f>IF(CHOOSE($M$42,'Clients'!A93,'Clients'!A93,'Viewings'!A93,'Deals'!A93,'Deals'!A93,'Deals'!A93,'Follow-ups'!A93,'Payments'!A93,'Expenses'!A93)="","",CHOOSE($M$42,'Clients'!A93,'Clients'!A93,'Viewings'!A93,'Deals'!A93,'Deals'!A93,'Deals'!A93,'Follow-ups'!A93,'Payments'!A93,'Expenses'!A93))</x:f>
      </x:c>
      <x:c r="C135" s="472" t="str">
        <x:f>IF(B135="","",IF(CHOOSE($M$42,'Clients'!R93,'Clients'!Q93,'Viewings'!D93,'Deals'!X93,'Deals'!Y93,'Deals'!Z93,'Follow-ups'!H93,'Payments'!C93,'Expenses'!B93)="","",CHOOSE($M$42,'Clients'!R93,'Clients'!Q93,'Viewings'!D93,'Deals'!X93,'Deals'!Y93,'Deals'!Z93,'Follow-ups'!H93,'Payments'!C93,'Expenses'!B93)))</x:f>
      </x:c>
      <x:c r="D135" s="432" t="str">
        <x:f>IF(B135="","",IF(ISNUMBER(CHOOSE($M$42,'Clients'!B93,'Clients'!B93,'Viewings'!H93,IF('Deals'!B93="","",IF(COUNTIFS('Clients'!$A$6:$A$205,'Deals'!B93)&lt;&gt;1,"Check Client ID",INDEX('Clients'!$B$6:$B$205,MATCH('Deals'!B93,'Clients'!$A$6:$A$205,0)))),IF('Deals'!B93="","",IF(COUNTIFS('Clients'!$A$6:$A$205,'Deals'!B93)&lt;&gt;1,"Check Client ID",INDEX('Clients'!$B$6:$B$205,MATCH('Deals'!B93,'Clients'!$A$6:$A$205,0)))),IF('Deals'!B93="","",IF(COUNTIFS('Clients'!$A$6:$A$205,'Deals'!B93)&lt;&gt;1,"Check Client ID",INDEX('Clients'!$B$6:$B$205,MATCH('Deals'!B93,'Clients'!$A$6:$A$205,0)))),'Follow-ups'!K93,'Payments'!B93,'Expenses'!D93)),CHOOSE($M$42,'Clients'!B93,'Clients'!B93,'Viewings'!H93,IF('Deals'!B93="","",IF(COUNTIFS('Clients'!$A$6:$A$205,'Deals'!B93)&lt;&gt;1,"Check Client ID",INDEX('Clients'!$B$6:$B$205,MATCH('Deals'!B93,'Clients'!$A$6:$A$205,0)))),IF('Deals'!B93="","",IF(COUNTIFS('Clients'!$A$6:$A$205,'Deals'!B93)&lt;&gt;1,"Check Client ID",INDEX('Clients'!$B$6:$B$205,MATCH('Deals'!B93,'Clients'!$A$6:$A$205,0)))),IF('Deals'!B93="","",IF(COUNTIFS('Clients'!$A$6:$A$205,'Deals'!B93)&lt;&gt;1,"Check Client ID",INDEX('Clients'!$B$6:$B$205,MATCH('Deals'!B93,'Clients'!$A$6:$A$205,0)))),'Follow-ups'!K93,'Payments'!B93,'Expenses'!D93),IF(CHOOSE($M$42,'Clients'!B93,'Clients'!B93,'Viewings'!H93,IF('Deals'!B93="","",IF(COUNTIFS('Clients'!$A$6:$A$205,'Deals'!B93)&lt;&gt;1,"Check Client ID",INDEX('Clients'!$B$6:$B$205,MATCH('Deals'!B93,'Clients'!$A$6:$A$205,0)))),IF('Deals'!B93="","",IF(COUNTIFS('Clients'!$A$6:$A$205,'Deals'!B93)&lt;&gt;1,"Check Client ID",INDEX('Clients'!$B$6:$B$205,MATCH('Deals'!B93,'Clients'!$A$6:$A$205,0)))),IF('Deals'!B93="","",IF(COUNTIFS('Clients'!$A$6:$A$205,'Deals'!B93)&lt;&gt;1,"Check Client ID",INDEX('Clients'!$B$6:$B$205,MATCH('Deals'!B93,'Clients'!$A$6:$A$205,0)))),'Follow-ups'!K93,'Payments'!B93,'Expenses'!D93)="","",CHOOSE($M$42,'Clients'!B93,'Clients'!B93,'Viewings'!H93,IF('Deals'!B93="","",IF(COUNTIFS('Clients'!$A$6:$A$205,'Deals'!B93)&lt;&gt;1,"Check Client ID",INDEX('Clients'!$B$6:$B$205,MATCH('Deals'!B93,'Clients'!$A$6:$A$205,0)))),IF('Deals'!B93="","",IF(COUNTIFS('Clients'!$A$6:$A$205,'Deals'!B93)&lt;&gt;1,"Check Client ID",INDEX('Clients'!$B$6:$B$205,MATCH('Deals'!B93,'Clients'!$A$6:$A$205,0)))),IF('Deals'!B93="","",IF(COUNTIFS('Clients'!$A$6:$A$205,'Deals'!B93)&lt;&gt;1,"Check Client ID",INDEX('Clients'!$B$6:$B$205,MATCH('Deals'!B93,'Clients'!$A$6:$A$205,0)))),'Follow-ups'!K93,'Payments'!B93,'Expenses'!D93))))</x:f>
      </x:c>
      <x:c r="E135" s="432" t="str">
        <x:f>IF(B135="","",IF(ISNUMBER(CHOOSE($M$42,'Clients'!K93,'Clients'!K93,'Viewings'!I93,'Deals'!C93,'Deals'!C93,'Deals'!C93,'Follow-ups'!L93,'Payments'!G93,'Expenses'!F93)),CHOOSE($M$42,'Clients'!K93,'Clients'!K93,'Viewings'!I93,'Deals'!C93,'Deals'!C93,'Deals'!C93,'Follow-ups'!L93,'Payments'!G93,'Expenses'!F93),IF(CHOOSE($M$42,'Clients'!K93,'Clients'!K93,'Viewings'!I93,'Deals'!C93,'Deals'!C93,'Deals'!C93,'Follow-ups'!L93,'Payments'!G93,'Expenses'!F93)="","",CHOOSE($M$42,'Clients'!K93,'Clients'!K93,'Viewings'!I93,'Deals'!C93,'Deals'!C93,'Deals'!C93,'Follow-ups'!L93,'Payments'!G93,'Expenses'!F93))))</x:f>
      </x:c>
      <x:c r="F135" s="432" t="str">
        <x:f>IF(B135="","",IF(ISNUMBER(CHOOSE($M$42,'Clients'!H93,'Clients'!H93,'Viewings'!E93,'Deals'!E93,'Deals'!E93,'Deals'!E93,'Follow-ups'!I93,"Receipt",'Expenses'!C93)),CHOOSE($M$42,'Clients'!H93,'Clients'!H93,'Viewings'!E93,'Deals'!E93,'Deals'!E93,'Deals'!E93,'Follow-ups'!I93,"Receipt",'Expenses'!C93),IF(CHOOSE($M$42,'Clients'!H93,'Clients'!H93,'Viewings'!E93,'Deals'!E93,'Deals'!E93,'Deals'!E93,'Follow-ups'!I93,"Receipt",'Expenses'!C93)="","",CHOOSE($M$42,'Clients'!H93,'Clients'!H93,'Viewings'!E93,'Deals'!E93,'Deals'!E93,'Deals'!E93,'Follow-ups'!I93,"Receipt",'Expenses'!C93))))</x:f>
      </x:c>
      <x:c r="G135" s="473" t="str">
        <x:f>IF(B135="","",IF(ISNUMBER(CHOOSE($M$42,"","","",'Deals'!F93,'Deals'!F93,'Deals'!F93,"",'Payments'!D93,'Expenses'!G93)),CHOOSE($M$42,"","","",'Deals'!F93,'Deals'!F93,'Deals'!F93,"",'Payments'!D93,'Expenses'!G93),IF(CHOOSE($M$42,"","","",'Deals'!F93,'Deals'!F93,'Deals'!F93,"",'Payments'!D93,'Expenses'!G93)="","",CHOOSE($M$42,"","","",'Deals'!F93,'Deals'!F93,'Deals'!F93,"",'Payments'!D93,'Expenses'!G93))))</x:f>
      </x:c>
      <x:c r="H135" s="432" t="n">
        <x:f>IF(AND($M$43=1,B135&lt;&gt;"",ISNUMBER(C135),C135&gt;=$G$6,C135&lt;$K$6+1),1,0)</x:f>
        <x:v>0</x:v>
      </x:c>
      <x:c r="I135" s="432" t="str">
        <x:f>IF(H135=0,"",COUNTIFS($H$48:$H$247,1,$C$48:$C$247,"&lt;"&amp;C135)+COUNTIFS($H$48:H135,1,$C$48:C135,C135))</x:f>
      </x:c>
      <x:c r="J135" s="432"/>
      <x:c r="K135" s="432"/>
      <x:c r="L135" s="432"/>
      <x:c r="M135" s="432"/>
      <x:c r="N135" s="432"/>
      <x:c r="O135" s="432"/>
      <x:c r="P135" s="432"/>
      <x:c r="Q135" s="432"/>
    </x:row>
    <x:row r="136" ht="25" customHeight="1">
      <x:c r="A136" s="432"/>
      <x:c r="B136" s="432" t="str">
        <x:f>IF(CHOOSE($M$42,'Clients'!A94,'Clients'!A94,'Viewings'!A94,'Deals'!A94,'Deals'!A94,'Deals'!A94,'Follow-ups'!A94,'Payments'!A94,'Expenses'!A94)="","",CHOOSE($M$42,'Clients'!A94,'Clients'!A94,'Viewings'!A94,'Deals'!A94,'Deals'!A94,'Deals'!A94,'Follow-ups'!A94,'Payments'!A94,'Expenses'!A94))</x:f>
      </x:c>
      <x:c r="C136" s="472" t="str">
        <x:f>IF(B136="","",IF(CHOOSE($M$42,'Clients'!R94,'Clients'!Q94,'Viewings'!D94,'Deals'!X94,'Deals'!Y94,'Deals'!Z94,'Follow-ups'!H94,'Payments'!C94,'Expenses'!B94)="","",CHOOSE($M$42,'Clients'!R94,'Clients'!Q94,'Viewings'!D94,'Deals'!X94,'Deals'!Y94,'Deals'!Z94,'Follow-ups'!H94,'Payments'!C94,'Expenses'!B94)))</x:f>
      </x:c>
      <x:c r="D136" s="432" t="str">
        <x:f>IF(B136="","",IF(ISNUMBER(CHOOSE($M$42,'Clients'!B94,'Clients'!B94,'Viewings'!H94,IF('Deals'!B94="","",IF(COUNTIFS('Clients'!$A$6:$A$205,'Deals'!B94)&lt;&gt;1,"Check Client ID",INDEX('Clients'!$B$6:$B$205,MATCH('Deals'!B94,'Clients'!$A$6:$A$205,0)))),IF('Deals'!B94="","",IF(COUNTIFS('Clients'!$A$6:$A$205,'Deals'!B94)&lt;&gt;1,"Check Client ID",INDEX('Clients'!$B$6:$B$205,MATCH('Deals'!B94,'Clients'!$A$6:$A$205,0)))),IF('Deals'!B94="","",IF(COUNTIFS('Clients'!$A$6:$A$205,'Deals'!B94)&lt;&gt;1,"Check Client ID",INDEX('Clients'!$B$6:$B$205,MATCH('Deals'!B94,'Clients'!$A$6:$A$205,0)))),'Follow-ups'!K94,'Payments'!B94,'Expenses'!D94)),CHOOSE($M$42,'Clients'!B94,'Clients'!B94,'Viewings'!H94,IF('Deals'!B94="","",IF(COUNTIFS('Clients'!$A$6:$A$205,'Deals'!B94)&lt;&gt;1,"Check Client ID",INDEX('Clients'!$B$6:$B$205,MATCH('Deals'!B94,'Clients'!$A$6:$A$205,0)))),IF('Deals'!B94="","",IF(COUNTIFS('Clients'!$A$6:$A$205,'Deals'!B94)&lt;&gt;1,"Check Client ID",INDEX('Clients'!$B$6:$B$205,MATCH('Deals'!B94,'Clients'!$A$6:$A$205,0)))),IF('Deals'!B94="","",IF(COUNTIFS('Clients'!$A$6:$A$205,'Deals'!B94)&lt;&gt;1,"Check Client ID",INDEX('Clients'!$B$6:$B$205,MATCH('Deals'!B94,'Clients'!$A$6:$A$205,0)))),'Follow-ups'!K94,'Payments'!B94,'Expenses'!D94),IF(CHOOSE($M$42,'Clients'!B94,'Clients'!B94,'Viewings'!H94,IF('Deals'!B94="","",IF(COUNTIFS('Clients'!$A$6:$A$205,'Deals'!B94)&lt;&gt;1,"Check Client ID",INDEX('Clients'!$B$6:$B$205,MATCH('Deals'!B94,'Clients'!$A$6:$A$205,0)))),IF('Deals'!B94="","",IF(COUNTIFS('Clients'!$A$6:$A$205,'Deals'!B94)&lt;&gt;1,"Check Client ID",INDEX('Clients'!$B$6:$B$205,MATCH('Deals'!B94,'Clients'!$A$6:$A$205,0)))),IF('Deals'!B94="","",IF(COUNTIFS('Clients'!$A$6:$A$205,'Deals'!B94)&lt;&gt;1,"Check Client ID",INDEX('Clients'!$B$6:$B$205,MATCH('Deals'!B94,'Clients'!$A$6:$A$205,0)))),'Follow-ups'!K94,'Payments'!B94,'Expenses'!D94)="","",CHOOSE($M$42,'Clients'!B94,'Clients'!B94,'Viewings'!H94,IF('Deals'!B94="","",IF(COUNTIFS('Clients'!$A$6:$A$205,'Deals'!B94)&lt;&gt;1,"Check Client ID",INDEX('Clients'!$B$6:$B$205,MATCH('Deals'!B94,'Clients'!$A$6:$A$205,0)))),IF('Deals'!B94="","",IF(COUNTIFS('Clients'!$A$6:$A$205,'Deals'!B94)&lt;&gt;1,"Check Client ID",INDEX('Clients'!$B$6:$B$205,MATCH('Deals'!B94,'Clients'!$A$6:$A$205,0)))),IF('Deals'!B94="","",IF(COUNTIFS('Clients'!$A$6:$A$205,'Deals'!B94)&lt;&gt;1,"Check Client ID",INDEX('Clients'!$B$6:$B$205,MATCH('Deals'!B94,'Clients'!$A$6:$A$205,0)))),'Follow-ups'!K94,'Payments'!B94,'Expenses'!D94))))</x:f>
      </x:c>
      <x:c r="E136" s="432" t="str">
        <x:f>IF(B136="","",IF(ISNUMBER(CHOOSE($M$42,'Clients'!K94,'Clients'!K94,'Viewings'!I94,'Deals'!C94,'Deals'!C94,'Deals'!C94,'Follow-ups'!L94,'Payments'!G94,'Expenses'!F94)),CHOOSE($M$42,'Clients'!K94,'Clients'!K94,'Viewings'!I94,'Deals'!C94,'Deals'!C94,'Deals'!C94,'Follow-ups'!L94,'Payments'!G94,'Expenses'!F94),IF(CHOOSE($M$42,'Clients'!K94,'Clients'!K94,'Viewings'!I94,'Deals'!C94,'Deals'!C94,'Deals'!C94,'Follow-ups'!L94,'Payments'!G94,'Expenses'!F94)="","",CHOOSE($M$42,'Clients'!K94,'Clients'!K94,'Viewings'!I94,'Deals'!C94,'Deals'!C94,'Deals'!C94,'Follow-ups'!L94,'Payments'!G94,'Expenses'!F94))))</x:f>
      </x:c>
      <x:c r="F136" s="432" t="str">
        <x:f>IF(B136="","",IF(ISNUMBER(CHOOSE($M$42,'Clients'!H94,'Clients'!H94,'Viewings'!E94,'Deals'!E94,'Deals'!E94,'Deals'!E94,'Follow-ups'!I94,"Receipt",'Expenses'!C94)),CHOOSE($M$42,'Clients'!H94,'Clients'!H94,'Viewings'!E94,'Deals'!E94,'Deals'!E94,'Deals'!E94,'Follow-ups'!I94,"Receipt",'Expenses'!C94),IF(CHOOSE($M$42,'Clients'!H94,'Clients'!H94,'Viewings'!E94,'Deals'!E94,'Deals'!E94,'Deals'!E94,'Follow-ups'!I94,"Receipt",'Expenses'!C94)="","",CHOOSE($M$42,'Clients'!H94,'Clients'!H94,'Viewings'!E94,'Deals'!E94,'Deals'!E94,'Deals'!E94,'Follow-ups'!I94,"Receipt",'Expenses'!C94))))</x:f>
      </x:c>
      <x:c r="G136" s="473" t="str">
        <x:f>IF(B136="","",IF(ISNUMBER(CHOOSE($M$42,"","","",'Deals'!F94,'Deals'!F94,'Deals'!F94,"",'Payments'!D94,'Expenses'!G94)),CHOOSE($M$42,"","","",'Deals'!F94,'Deals'!F94,'Deals'!F94,"",'Payments'!D94,'Expenses'!G94),IF(CHOOSE($M$42,"","","",'Deals'!F94,'Deals'!F94,'Deals'!F94,"",'Payments'!D94,'Expenses'!G94)="","",CHOOSE($M$42,"","","",'Deals'!F94,'Deals'!F94,'Deals'!F94,"",'Payments'!D94,'Expenses'!G94))))</x:f>
      </x:c>
      <x:c r="H136" s="432" t="n">
        <x:f>IF(AND($M$43=1,B136&lt;&gt;"",ISNUMBER(C136),C136&gt;=$G$6,C136&lt;$K$6+1),1,0)</x:f>
        <x:v>0</x:v>
      </x:c>
      <x:c r="I136" s="432" t="str">
        <x:f>IF(H136=0,"",COUNTIFS($H$48:$H$247,1,$C$48:$C$247,"&lt;"&amp;C136)+COUNTIFS($H$48:H136,1,$C$48:C136,C136))</x:f>
      </x:c>
      <x:c r="J136" s="432"/>
      <x:c r="K136" s="432"/>
      <x:c r="L136" s="432"/>
      <x:c r="M136" s="432"/>
      <x:c r="N136" s="432"/>
      <x:c r="O136" s="432"/>
      <x:c r="P136" s="432"/>
      <x:c r="Q136" s="432"/>
    </x:row>
    <x:row r="137" ht="25" customHeight="1">
      <x:c r="A137" s="432"/>
      <x:c r="B137" s="432" t="str">
        <x:f>IF(CHOOSE($M$42,'Clients'!A95,'Clients'!A95,'Viewings'!A95,'Deals'!A95,'Deals'!A95,'Deals'!A95,'Follow-ups'!A95,'Payments'!A95,'Expenses'!A95)="","",CHOOSE($M$42,'Clients'!A95,'Clients'!A95,'Viewings'!A95,'Deals'!A95,'Deals'!A95,'Deals'!A95,'Follow-ups'!A95,'Payments'!A95,'Expenses'!A95))</x:f>
      </x:c>
      <x:c r="C137" s="472" t="str">
        <x:f>IF(B137="","",IF(CHOOSE($M$42,'Clients'!R95,'Clients'!Q95,'Viewings'!D95,'Deals'!X95,'Deals'!Y95,'Deals'!Z95,'Follow-ups'!H95,'Payments'!C95,'Expenses'!B95)="","",CHOOSE($M$42,'Clients'!R95,'Clients'!Q95,'Viewings'!D95,'Deals'!X95,'Deals'!Y95,'Deals'!Z95,'Follow-ups'!H95,'Payments'!C95,'Expenses'!B95)))</x:f>
      </x:c>
      <x:c r="D137" s="432" t="str">
        <x:f>IF(B137="","",IF(ISNUMBER(CHOOSE($M$42,'Clients'!B95,'Clients'!B95,'Viewings'!H95,IF('Deals'!B95="","",IF(COUNTIFS('Clients'!$A$6:$A$205,'Deals'!B95)&lt;&gt;1,"Check Client ID",INDEX('Clients'!$B$6:$B$205,MATCH('Deals'!B95,'Clients'!$A$6:$A$205,0)))),IF('Deals'!B95="","",IF(COUNTIFS('Clients'!$A$6:$A$205,'Deals'!B95)&lt;&gt;1,"Check Client ID",INDEX('Clients'!$B$6:$B$205,MATCH('Deals'!B95,'Clients'!$A$6:$A$205,0)))),IF('Deals'!B95="","",IF(COUNTIFS('Clients'!$A$6:$A$205,'Deals'!B95)&lt;&gt;1,"Check Client ID",INDEX('Clients'!$B$6:$B$205,MATCH('Deals'!B95,'Clients'!$A$6:$A$205,0)))),'Follow-ups'!K95,'Payments'!B95,'Expenses'!D95)),CHOOSE($M$42,'Clients'!B95,'Clients'!B95,'Viewings'!H95,IF('Deals'!B95="","",IF(COUNTIFS('Clients'!$A$6:$A$205,'Deals'!B95)&lt;&gt;1,"Check Client ID",INDEX('Clients'!$B$6:$B$205,MATCH('Deals'!B95,'Clients'!$A$6:$A$205,0)))),IF('Deals'!B95="","",IF(COUNTIFS('Clients'!$A$6:$A$205,'Deals'!B95)&lt;&gt;1,"Check Client ID",INDEX('Clients'!$B$6:$B$205,MATCH('Deals'!B95,'Clients'!$A$6:$A$205,0)))),IF('Deals'!B95="","",IF(COUNTIFS('Clients'!$A$6:$A$205,'Deals'!B95)&lt;&gt;1,"Check Client ID",INDEX('Clients'!$B$6:$B$205,MATCH('Deals'!B95,'Clients'!$A$6:$A$205,0)))),'Follow-ups'!K95,'Payments'!B95,'Expenses'!D95),IF(CHOOSE($M$42,'Clients'!B95,'Clients'!B95,'Viewings'!H95,IF('Deals'!B95="","",IF(COUNTIFS('Clients'!$A$6:$A$205,'Deals'!B95)&lt;&gt;1,"Check Client ID",INDEX('Clients'!$B$6:$B$205,MATCH('Deals'!B95,'Clients'!$A$6:$A$205,0)))),IF('Deals'!B95="","",IF(COUNTIFS('Clients'!$A$6:$A$205,'Deals'!B95)&lt;&gt;1,"Check Client ID",INDEX('Clients'!$B$6:$B$205,MATCH('Deals'!B95,'Clients'!$A$6:$A$205,0)))),IF('Deals'!B95="","",IF(COUNTIFS('Clients'!$A$6:$A$205,'Deals'!B95)&lt;&gt;1,"Check Client ID",INDEX('Clients'!$B$6:$B$205,MATCH('Deals'!B95,'Clients'!$A$6:$A$205,0)))),'Follow-ups'!K95,'Payments'!B95,'Expenses'!D95)="","",CHOOSE($M$42,'Clients'!B95,'Clients'!B95,'Viewings'!H95,IF('Deals'!B95="","",IF(COUNTIFS('Clients'!$A$6:$A$205,'Deals'!B95)&lt;&gt;1,"Check Client ID",INDEX('Clients'!$B$6:$B$205,MATCH('Deals'!B95,'Clients'!$A$6:$A$205,0)))),IF('Deals'!B95="","",IF(COUNTIFS('Clients'!$A$6:$A$205,'Deals'!B95)&lt;&gt;1,"Check Client ID",INDEX('Clients'!$B$6:$B$205,MATCH('Deals'!B95,'Clients'!$A$6:$A$205,0)))),IF('Deals'!B95="","",IF(COUNTIFS('Clients'!$A$6:$A$205,'Deals'!B95)&lt;&gt;1,"Check Client ID",INDEX('Clients'!$B$6:$B$205,MATCH('Deals'!B95,'Clients'!$A$6:$A$205,0)))),'Follow-ups'!K95,'Payments'!B95,'Expenses'!D95))))</x:f>
      </x:c>
      <x:c r="E137" s="432" t="str">
        <x:f>IF(B137="","",IF(ISNUMBER(CHOOSE($M$42,'Clients'!K95,'Clients'!K95,'Viewings'!I95,'Deals'!C95,'Deals'!C95,'Deals'!C95,'Follow-ups'!L95,'Payments'!G95,'Expenses'!F95)),CHOOSE($M$42,'Clients'!K95,'Clients'!K95,'Viewings'!I95,'Deals'!C95,'Deals'!C95,'Deals'!C95,'Follow-ups'!L95,'Payments'!G95,'Expenses'!F95),IF(CHOOSE($M$42,'Clients'!K95,'Clients'!K95,'Viewings'!I95,'Deals'!C95,'Deals'!C95,'Deals'!C95,'Follow-ups'!L95,'Payments'!G95,'Expenses'!F95)="","",CHOOSE($M$42,'Clients'!K95,'Clients'!K95,'Viewings'!I95,'Deals'!C95,'Deals'!C95,'Deals'!C95,'Follow-ups'!L95,'Payments'!G95,'Expenses'!F95))))</x:f>
      </x:c>
      <x:c r="F137" s="432" t="str">
        <x:f>IF(B137="","",IF(ISNUMBER(CHOOSE($M$42,'Clients'!H95,'Clients'!H95,'Viewings'!E95,'Deals'!E95,'Deals'!E95,'Deals'!E95,'Follow-ups'!I95,"Receipt",'Expenses'!C95)),CHOOSE($M$42,'Clients'!H95,'Clients'!H95,'Viewings'!E95,'Deals'!E95,'Deals'!E95,'Deals'!E95,'Follow-ups'!I95,"Receipt",'Expenses'!C95),IF(CHOOSE($M$42,'Clients'!H95,'Clients'!H95,'Viewings'!E95,'Deals'!E95,'Deals'!E95,'Deals'!E95,'Follow-ups'!I95,"Receipt",'Expenses'!C95)="","",CHOOSE($M$42,'Clients'!H95,'Clients'!H95,'Viewings'!E95,'Deals'!E95,'Deals'!E95,'Deals'!E95,'Follow-ups'!I95,"Receipt",'Expenses'!C95))))</x:f>
      </x:c>
      <x:c r="G137" s="473" t="str">
        <x:f>IF(B137="","",IF(ISNUMBER(CHOOSE($M$42,"","","",'Deals'!F95,'Deals'!F95,'Deals'!F95,"",'Payments'!D95,'Expenses'!G95)),CHOOSE($M$42,"","","",'Deals'!F95,'Deals'!F95,'Deals'!F95,"",'Payments'!D95,'Expenses'!G95),IF(CHOOSE($M$42,"","","",'Deals'!F95,'Deals'!F95,'Deals'!F95,"",'Payments'!D95,'Expenses'!G95)="","",CHOOSE($M$42,"","","",'Deals'!F95,'Deals'!F95,'Deals'!F95,"",'Payments'!D95,'Expenses'!G95))))</x:f>
      </x:c>
      <x:c r="H137" s="432" t="n">
        <x:f>IF(AND($M$43=1,B137&lt;&gt;"",ISNUMBER(C137),C137&gt;=$G$6,C137&lt;$K$6+1),1,0)</x:f>
        <x:v>0</x:v>
      </x:c>
      <x:c r="I137" s="432" t="str">
        <x:f>IF(H137=0,"",COUNTIFS($H$48:$H$247,1,$C$48:$C$247,"&lt;"&amp;C137)+COUNTIFS($H$48:H137,1,$C$48:C137,C137))</x:f>
      </x:c>
      <x:c r="J137" s="432"/>
      <x:c r="K137" s="432"/>
      <x:c r="L137" s="432"/>
      <x:c r="M137" s="432"/>
      <x:c r="N137" s="432"/>
      <x:c r="O137" s="432"/>
      <x:c r="P137" s="432"/>
      <x:c r="Q137" s="432"/>
    </x:row>
    <x:row r="138" ht="25" customHeight="1">
      <x:c r="A138" s="432"/>
      <x:c r="B138" s="432" t="str">
        <x:f>IF(CHOOSE($M$42,'Clients'!A96,'Clients'!A96,'Viewings'!A96,'Deals'!A96,'Deals'!A96,'Deals'!A96,'Follow-ups'!A96,'Payments'!A96,'Expenses'!A96)="","",CHOOSE($M$42,'Clients'!A96,'Clients'!A96,'Viewings'!A96,'Deals'!A96,'Deals'!A96,'Deals'!A96,'Follow-ups'!A96,'Payments'!A96,'Expenses'!A96))</x:f>
      </x:c>
      <x:c r="C138" s="472" t="str">
        <x:f>IF(B138="","",IF(CHOOSE($M$42,'Clients'!R96,'Clients'!Q96,'Viewings'!D96,'Deals'!X96,'Deals'!Y96,'Deals'!Z96,'Follow-ups'!H96,'Payments'!C96,'Expenses'!B96)="","",CHOOSE($M$42,'Clients'!R96,'Clients'!Q96,'Viewings'!D96,'Deals'!X96,'Deals'!Y96,'Deals'!Z96,'Follow-ups'!H96,'Payments'!C96,'Expenses'!B96)))</x:f>
      </x:c>
      <x:c r="D138" s="432" t="str">
        <x:f>IF(B138="","",IF(ISNUMBER(CHOOSE($M$42,'Clients'!B96,'Clients'!B96,'Viewings'!H96,IF('Deals'!B96="","",IF(COUNTIFS('Clients'!$A$6:$A$205,'Deals'!B96)&lt;&gt;1,"Check Client ID",INDEX('Clients'!$B$6:$B$205,MATCH('Deals'!B96,'Clients'!$A$6:$A$205,0)))),IF('Deals'!B96="","",IF(COUNTIFS('Clients'!$A$6:$A$205,'Deals'!B96)&lt;&gt;1,"Check Client ID",INDEX('Clients'!$B$6:$B$205,MATCH('Deals'!B96,'Clients'!$A$6:$A$205,0)))),IF('Deals'!B96="","",IF(COUNTIFS('Clients'!$A$6:$A$205,'Deals'!B96)&lt;&gt;1,"Check Client ID",INDEX('Clients'!$B$6:$B$205,MATCH('Deals'!B96,'Clients'!$A$6:$A$205,0)))),'Follow-ups'!K96,'Payments'!B96,'Expenses'!D96)),CHOOSE($M$42,'Clients'!B96,'Clients'!B96,'Viewings'!H96,IF('Deals'!B96="","",IF(COUNTIFS('Clients'!$A$6:$A$205,'Deals'!B96)&lt;&gt;1,"Check Client ID",INDEX('Clients'!$B$6:$B$205,MATCH('Deals'!B96,'Clients'!$A$6:$A$205,0)))),IF('Deals'!B96="","",IF(COUNTIFS('Clients'!$A$6:$A$205,'Deals'!B96)&lt;&gt;1,"Check Client ID",INDEX('Clients'!$B$6:$B$205,MATCH('Deals'!B96,'Clients'!$A$6:$A$205,0)))),IF('Deals'!B96="","",IF(COUNTIFS('Clients'!$A$6:$A$205,'Deals'!B96)&lt;&gt;1,"Check Client ID",INDEX('Clients'!$B$6:$B$205,MATCH('Deals'!B96,'Clients'!$A$6:$A$205,0)))),'Follow-ups'!K96,'Payments'!B96,'Expenses'!D96),IF(CHOOSE($M$42,'Clients'!B96,'Clients'!B96,'Viewings'!H96,IF('Deals'!B96="","",IF(COUNTIFS('Clients'!$A$6:$A$205,'Deals'!B96)&lt;&gt;1,"Check Client ID",INDEX('Clients'!$B$6:$B$205,MATCH('Deals'!B96,'Clients'!$A$6:$A$205,0)))),IF('Deals'!B96="","",IF(COUNTIFS('Clients'!$A$6:$A$205,'Deals'!B96)&lt;&gt;1,"Check Client ID",INDEX('Clients'!$B$6:$B$205,MATCH('Deals'!B96,'Clients'!$A$6:$A$205,0)))),IF('Deals'!B96="","",IF(COUNTIFS('Clients'!$A$6:$A$205,'Deals'!B96)&lt;&gt;1,"Check Client ID",INDEX('Clients'!$B$6:$B$205,MATCH('Deals'!B96,'Clients'!$A$6:$A$205,0)))),'Follow-ups'!K96,'Payments'!B96,'Expenses'!D96)="","",CHOOSE($M$42,'Clients'!B96,'Clients'!B96,'Viewings'!H96,IF('Deals'!B96="","",IF(COUNTIFS('Clients'!$A$6:$A$205,'Deals'!B96)&lt;&gt;1,"Check Client ID",INDEX('Clients'!$B$6:$B$205,MATCH('Deals'!B96,'Clients'!$A$6:$A$205,0)))),IF('Deals'!B96="","",IF(COUNTIFS('Clients'!$A$6:$A$205,'Deals'!B96)&lt;&gt;1,"Check Client ID",INDEX('Clients'!$B$6:$B$205,MATCH('Deals'!B96,'Clients'!$A$6:$A$205,0)))),IF('Deals'!B96="","",IF(COUNTIFS('Clients'!$A$6:$A$205,'Deals'!B96)&lt;&gt;1,"Check Client ID",INDEX('Clients'!$B$6:$B$205,MATCH('Deals'!B96,'Clients'!$A$6:$A$205,0)))),'Follow-ups'!K96,'Payments'!B96,'Expenses'!D96))))</x:f>
      </x:c>
      <x:c r="E138" s="432" t="str">
        <x:f>IF(B138="","",IF(ISNUMBER(CHOOSE($M$42,'Clients'!K96,'Clients'!K96,'Viewings'!I96,'Deals'!C96,'Deals'!C96,'Deals'!C96,'Follow-ups'!L96,'Payments'!G96,'Expenses'!F96)),CHOOSE($M$42,'Clients'!K96,'Clients'!K96,'Viewings'!I96,'Deals'!C96,'Deals'!C96,'Deals'!C96,'Follow-ups'!L96,'Payments'!G96,'Expenses'!F96),IF(CHOOSE($M$42,'Clients'!K96,'Clients'!K96,'Viewings'!I96,'Deals'!C96,'Deals'!C96,'Deals'!C96,'Follow-ups'!L96,'Payments'!G96,'Expenses'!F96)="","",CHOOSE($M$42,'Clients'!K96,'Clients'!K96,'Viewings'!I96,'Deals'!C96,'Deals'!C96,'Deals'!C96,'Follow-ups'!L96,'Payments'!G96,'Expenses'!F96))))</x:f>
      </x:c>
      <x:c r="F138" s="432" t="str">
        <x:f>IF(B138="","",IF(ISNUMBER(CHOOSE($M$42,'Clients'!H96,'Clients'!H96,'Viewings'!E96,'Deals'!E96,'Deals'!E96,'Deals'!E96,'Follow-ups'!I96,"Receipt",'Expenses'!C96)),CHOOSE($M$42,'Clients'!H96,'Clients'!H96,'Viewings'!E96,'Deals'!E96,'Deals'!E96,'Deals'!E96,'Follow-ups'!I96,"Receipt",'Expenses'!C96),IF(CHOOSE($M$42,'Clients'!H96,'Clients'!H96,'Viewings'!E96,'Deals'!E96,'Deals'!E96,'Deals'!E96,'Follow-ups'!I96,"Receipt",'Expenses'!C96)="","",CHOOSE($M$42,'Clients'!H96,'Clients'!H96,'Viewings'!E96,'Deals'!E96,'Deals'!E96,'Deals'!E96,'Follow-ups'!I96,"Receipt",'Expenses'!C96))))</x:f>
      </x:c>
      <x:c r="G138" s="473" t="str">
        <x:f>IF(B138="","",IF(ISNUMBER(CHOOSE($M$42,"","","",'Deals'!F96,'Deals'!F96,'Deals'!F96,"",'Payments'!D96,'Expenses'!G96)),CHOOSE($M$42,"","","",'Deals'!F96,'Deals'!F96,'Deals'!F96,"",'Payments'!D96,'Expenses'!G96),IF(CHOOSE($M$42,"","","",'Deals'!F96,'Deals'!F96,'Deals'!F96,"",'Payments'!D96,'Expenses'!G96)="","",CHOOSE($M$42,"","","",'Deals'!F96,'Deals'!F96,'Deals'!F96,"",'Payments'!D96,'Expenses'!G96))))</x:f>
      </x:c>
      <x:c r="H138" s="432" t="n">
        <x:f>IF(AND($M$43=1,B138&lt;&gt;"",ISNUMBER(C138),C138&gt;=$G$6,C138&lt;$K$6+1),1,0)</x:f>
        <x:v>0</x:v>
      </x:c>
      <x:c r="I138" s="432" t="str">
        <x:f>IF(H138=0,"",COUNTIFS($H$48:$H$247,1,$C$48:$C$247,"&lt;"&amp;C138)+COUNTIFS($H$48:H138,1,$C$48:C138,C138))</x:f>
      </x:c>
      <x:c r="J138" s="432"/>
      <x:c r="K138" s="432"/>
      <x:c r="L138" s="432"/>
      <x:c r="M138" s="432"/>
      <x:c r="N138" s="432"/>
      <x:c r="O138" s="432"/>
      <x:c r="P138" s="432"/>
      <x:c r="Q138" s="432"/>
    </x:row>
    <x:row r="139" ht="25" customHeight="1">
      <x:c r="A139" s="432"/>
      <x:c r="B139" s="432" t="str">
        <x:f>IF(CHOOSE($M$42,'Clients'!A97,'Clients'!A97,'Viewings'!A97,'Deals'!A97,'Deals'!A97,'Deals'!A97,'Follow-ups'!A97,'Payments'!A97,'Expenses'!A97)="","",CHOOSE($M$42,'Clients'!A97,'Clients'!A97,'Viewings'!A97,'Deals'!A97,'Deals'!A97,'Deals'!A97,'Follow-ups'!A97,'Payments'!A97,'Expenses'!A97))</x:f>
      </x:c>
      <x:c r="C139" s="472" t="str">
        <x:f>IF(B139="","",IF(CHOOSE($M$42,'Clients'!R97,'Clients'!Q97,'Viewings'!D97,'Deals'!X97,'Deals'!Y97,'Deals'!Z97,'Follow-ups'!H97,'Payments'!C97,'Expenses'!B97)="","",CHOOSE($M$42,'Clients'!R97,'Clients'!Q97,'Viewings'!D97,'Deals'!X97,'Deals'!Y97,'Deals'!Z97,'Follow-ups'!H97,'Payments'!C97,'Expenses'!B97)))</x:f>
      </x:c>
      <x:c r="D139" s="432" t="str">
        <x:f>IF(B139="","",IF(ISNUMBER(CHOOSE($M$42,'Clients'!B97,'Clients'!B97,'Viewings'!H97,IF('Deals'!B97="","",IF(COUNTIFS('Clients'!$A$6:$A$205,'Deals'!B97)&lt;&gt;1,"Check Client ID",INDEX('Clients'!$B$6:$B$205,MATCH('Deals'!B97,'Clients'!$A$6:$A$205,0)))),IF('Deals'!B97="","",IF(COUNTIFS('Clients'!$A$6:$A$205,'Deals'!B97)&lt;&gt;1,"Check Client ID",INDEX('Clients'!$B$6:$B$205,MATCH('Deals'!B97,'Clients'!$A$6:$A$205,0)))),IF('Deals'!B97="","",IF(COUNTIFS('Clients'!$A$6:$A$205,'Deals'!B97)&lt;&gt;1,"Check Client ID",INDEX('Clients'!$B$6:$B$205,MATCH('Deals'!B97,'Clients'!$A$6:$A$205,0)))),'Follow-ups'!K97,'Payments'!B97,'Expenses'!D97)),CHOOSE($M$42,'Clients'!B97,'Clients'!B97,'Viewings'!H97,IF('Deals'!B97="","",IF(COUNTIFS('Clients'!$A$6:$A$205,'Deals'!B97)&lt;&gt;1,"Check Client ID",INDEX('Clients'!$B$6:$B$205,MATCH('Deals'!B97,'Clients'!$A$6:$A$205,0)))),IF('Deals'!B97="","",IF(COUNTIFS('Clients'!$A$6:$A$205,'Deals'!B97)&lt;&gt;1,"Check Client ID",INDEX('Clients'!$B$6:$B$205,MATCH('Deals'!B97,'Clients'!$A$6:$A$205,0)))),IF('Deals'!B97="","",IF(COUNTIFS('Clients'!$A$6:$A$205,'Deals'!B97)&lt;&gt;1,"Check Client ID",INDEX('Clients'!$B$6:$B$205,MATCH('Deals'!B97,'Clients'!$A$6:$A$205,0)))),'Follow-ups'!K97,'Payments'!B97,'Expenses'!D97),IF(CHOOSE($M$42,'Clients'!B97,'Clients'!B97,'Viewings'!H97,IF('Deals'!B97="","",IF(COUNTIFS('Clients'!$A$6:$A$205,'Deals'!B97)&lt;&gt;1,"Check Client ID",INDEX('Clients'!$B$6:$B$205,MATCH('Deals'!B97,'Clients'!$A$6:$A$205,0)))),IF('Deals'!B97="","",IF(COUNTIFS('Clients'!$A$6:$A$205,'Deals'!B97)&lt;&gt;1,"Check Client ID",INDEX('Clients'!$B$6:$B$205,MATCH('Deals'!B97,'Clients'!$A$6:$A$205,0)))),IF('Deals'!B97="","",IF(COUNTIFS('Clients'!$A$6:$A$205,'Deals'!B97)&lt;&gt;1,"Check Client ID",INDEX('Clients'!$B$6:$B$205,MATCH('Deals'!B97,'Clients'!$A$6:$A$205,0)))),'Follow-ups'!K97,'Payments'!B97,'Expenses'!D97)="","",CHOOSE($M$42,'Clients'!B97,'Clients'!B97,'Viewings'!H97,IF('Deals'!B97="","",IF(COUNTIFS('Clients'!$A$6:$A$205,'Deals'!B97)&lt;&gt;1,"Check Client ID",INDEX('Clients'!$B$6:$B$205,MATCH('Deals'!B97,'Clients'!$A$6:$A$205,0)))),IF('Deals'!B97="","",IF(COUNTIFS('Clients'!$A$6:$A$205,'Deals'!B97)&lt;&gt;1,"Check Client ID",INDEX('Clients'!$B$6:$B$205,MATCH('Deals'!B97,'Clients'!$A$6:$A$205,0)))),IF('Deals'!B97="","",IF(COUNTIFS('Clients'!$A$6:$A$205,'Deals'!B97)&lt;&gt;1,"Check Client ID",INDEX('Clients'!$B$6:$B$205,MATCH('Deals'!B97,'Clients'!$A$6:$A$205,0)))),'Follow-ups'!K97,'Payments'!B97,'Expenses'!D97))))</x:f>
      </x:c>
      <x:c r="E139" s="432" t="str">
        <x:f>IF(B139="","",IF(ISNUMBER(CHOOSE($M$42,'Clients'!K97,'Clients'!K97,'Viewings'!I97,'Deals'!C97,'Deals'!C97,'Deals'!C97,'Follow-ups'!L97,'Payments'!G97,'Expenses'!F97)),CHOOSE($M$42,'Clients'!K97,'Clients'!K97,'Viewings'!I97,'Deals'!C97,'Deals'!C97,'Deals'!C97,'Follow-ups'!L97,'Payments'!G97,'Expenses'!F97),IF(CHOOSE($M$42,'Clients'!K97,'Clients'!K97,'Viewings'!I97,'Deals'!C97,'Deals'!C97,'Deals'!C97,'Follow-ups'!L97,'Payments'!G97,'Expenses'!F97)="","",CHOOSE($M$42,'Clients'!K97,'Clients'!K97,'Viewings'!I97,'Deals'!C97,'Deals'!C97,'Deals'!C97,'Follow-ups'!L97,'Payments'!G97,'Expenses'!F97))))</x:f>
      </x:c>
      <x:c r="F139" s="432" t="str">
        <x:f>IF(B139="","",IF(ISNUMBER(CHOOSE($M$42,'Clients'!H97,'Clients'!H97,'Viewings'!E97,'Deals'!E97,'Deals'!E97,'Deals'!E97,'Follow-ups'!I97,"Receipt",'Expenses'!C97)),CHOOSE($M$42,'Clients'!H97,'Clients'!H97,'Viewings'!E97,'Deals'!E97,'Deals'!E97,'Deals'!E97,'Follow-ups'!I97,"Receipt",'Expenses'!C97),IF(CHOOSE($M$42,'Clients'!H97,'Clients'!H97,'Viewings'!E97,'Deals'!E97,'Deals'!E97,'Deals'!E97,'Follow-ups'!I97,"Receipt",'Expenses'!C97)="","",CHOOSE($M$42,'Clients'!H97,'Clients'!H97,'Viewings'!E97,'Deals'!E97,'Deals'!E97,'Deals'!E97,'Follow-ups'!I97,"Receipt",'Expenses'!C97))))</x:f>
      </x:c>
      <x:c r="G139" s="473" t="str">
        <x:f>IF(B139="","",IF(ISNUMBER(CHOOSE($M$42,"","","",'Deals'!F97,'Deals'!F97,'Deals'!F97,"",'Payments'!D97,'Expenses'!G97)),CHOOSE($M$42,"","","",'Deals'!F97,'Deals'!F97,'Deals'!F97,"",'Payments'!D97,'Expenses'!G97),IF(CHOOSE($M$42,"","","",'Deals'!F97,'Deals'!F97,'Deals'!F97,"",'Payments'!D97,'Expenses'!G97)="","",CHOOSE($M$42,"","","",'Deals'!F97,'Deals'!F97,'Deals'!F97,"",'Payments'!D97,'Expenses'!G97))))</x:f>
      </x:c>
      <x:c r="H139" s="432" t="n">
        <x:f>IF(AND($M$43=1,B139&lt;&gt;"",ISNUMBER(C139),C139&gt;=$G$6,C139&lt;$K$6+1),1,0)</x:f>
        <x:v>0</x:v>
      </x:c>
      <x:c r="I139" s="432" t="str">
        <x:f>IF(H139=0,"",COUNTIFS($H$48:$H$247,1,$C$48:$C$247,"&lt;"&amp;C139)+COUNTIFS($H$48:H139,1,$C$48:C139,C139))</x:f>
      </x:c>
      <x:c r="J139" s="432"/>
      <x:c r="K139" s="432"/>
      <x:c r="L139" s="432"/>
      <x:c r="M139" s="432"/>
      <x:c r="N139" s="432"/>
      <x:c r="O139" s="432"/>
      <x:c r="P139" s="432"/>
      <x:c r="Q139" s="432"/>
    </x:row>
    <x:row r="140" ht="25" customHeight="1">
      <x:c r="A140" s="432"/>
      <x:c r="B140" s="432" t="str">
        <x:f>IF(CHOOSE($M$42,'Clients'!A98,'Clients'!A98,'Viewings'!A98,'Deals'!A98,'Deals'!A98,'Deals'!A98,'Follow-ups'!A98,'Payments'!A98,'Expenses'!A98)="","",CHOOSE($M$42,'Clients'!A98,'Clients'!A98,'Viewings'!A98,'Deals'!A98,'Deals'!A98,'Deals'!A98,'Follow-ups'!A98,'Payments'!A98,'Expenses'!A98))</x:f>
      </x:c>
      <x:c r="C140" s="472" t="str">
        <x:f>IF(B140="","",IF(CHOOSE($M$42,'Clients'!R98,'Clients'!Q98,'Viewings'!D98,'Deals'!X98,'Deals'!Y98,'Deals'!Z98,'Follow-ups'!H98,'Payments'!C98,'Expenses'!B98)="","",CHOOSE($M$42,'Clients'!R98,'Clients'!Q98,'Viewings'!D98,'Deals'!X98,'Deals'!Y98,'Deals'!Z98,'Follow-ups'!H98,'Payments'!C98,'Expenses'!B98)))</x:f>
      </x:c>
      <x:c r="D140" s="432" t="str">
        <x:f>IF(B140="","",IF(ISNUMBER(CHOOSE($M$42,'Clients'!B98,'Clients'!B98,'Viewings'!H98,IF('Deals'!B98="","",IF(COUNTIFS('Clients'!$A$6:$A$205,'Deals'!B98)&lt;&gt;1,"Check Client ID",INDEX('Clients'!$B$6:$B$205,MATCH('Deals'!B98,'Clients'!$A$6:$A$205,0)))),IF('Deals'!B98="","",IF(COUNTIFS('Clients'!$A$6:$A$205,'Deals'!B98)&lt;&gt;1,"Check Client ID",INDEX('Clients'!$B$6:$B$205,MATCH('Deals'!B98,'Clients'!$A$6:$A$205,0)))),IF('Deals'!B98="","",IF(COUNTIFS('Clients'!$A$6:$A$205,'Deals'!B98)&lt;&gt;1,"Check Client ID",INDEX('Clients'!$B$6:$B$205,MATCH('Deals'!B98,'Clients'!$A$6:$A$205,0)))),'Follow-ups'!K98,'Payments'!B98,'Expenses'!D98)),CHOOSE($M$42,'Clients'!B98,'Clients'!B98,'Viewings'!H98,IF('Deals'!B98="","",IF(COUNTIFS('Clients'!$A$6:$A$205,'Deals'!B98)&lt;&gt;1,"Check Client ID",INDEX('Clients'!$B$6:$B$205,MATCH('Deals'!B98,'Clients'!$A$6:$A$205,0)))),IF('Deals'!B98="","",IF(COUNTIFS('Clients'!$A$6:$A$205,'Deals'!B98)&lt;&gt;1,"Check Client ID",INDEX('Clients'!$B$6:$B$205,MATCH('Deals'!B98,'Clients'!$A$6:$A$205,0)))),IF('Deals'!B98="","",IF(COUNTIFS('Clients'!$A$6:$A$205,'Deals'!B98)&lt;&gt;1,"Check Client ID",INDEX('Clients'!$B$6:$B$205,MATCH('Deals'!B98,'Clients'!$A$6:$A$205,0)))),'Follow-ups'!K98,'Payments'!B98,'Expenses'!D98),IF(CHOOSE($M$42,'Clients'!B98,'Clients'!B98,'Viewings'!H98,IF('Deals'!B98="","",IF(COUNTIFS('Clients'!$A$6:$A$205,'Deals'!B98)&lt;&gt;1,"Check Client ID",INDEX('Clients'!$B$6:$B$205,MATCH('Deals'!B98,'Clients'!$A$6:$A$205,0)))),IF('Deals'!B98="","",IF(COUNTIFS('Clients'!$A$6:$A$205,'Deals'!B98)&lt;&gt;1,"Check Client ID",INDEX('Clients'!$B$6:$B$205,MATCH('Deals'!B98,'Clients'!$A$6:$A$205,0)))),IF('Deals'!B98="","",IF(COUNTIFS('Clients'!$A$6:$A$205,'Deals'!B98)&lt;&gt;1,"Check Client ID",INDEX('Clients'!$B$6:$B$205,MATCH('Deals'!B98,'Clients'!$A$6:$A$205,0)))),'Follow-ups'!K98,'Payments'!B98,'Expenses'!D98)="","",CHOOSE($M$42,'Clients'!B98,'Clients'!B98,'Viewings'!H98,IF('Deals'!B98="","",IF(COUNTIFS('Clients'!$A$6:$A$205,'Deals'!B98)&lt;&gt;1,"Check Client ID",INDEX('Clients'!$B$6:$B$205,MATCH('Deals'!B98,'Clients'!$A$6:$A$205,0)))),IF('Deals'!B98="","",IF(COUNTIFS('Clients'!$A$6:$A$205,'Deals'!B98)&lt;&gt;1,"Check Client ID",INDEX('Clients'!$B$6:$B$205,MATCH('Deals'!B98,'Clients'!$A$6:$A$205,0)))),IF('Deals'!B98="","",IF(COUNTIFS('Clients'!$A$6:$A$205,'Deals'!B98)&lt;&gt;1,"Check Client ID",INDEX('Clients'!$B$6:$B$205,MATCH('Deals'!B98,'Clients'!$A$6:$A$205,0)))),'Follow-ups'!K98,'Payments'!B98,'Expenses'!D98))))</x:f>
      </x:c>
      <x:c r="E140" s="432" t="str">
        <x:f>IF(B140="","",IF(ISNUMBER(CHOOSE($M$42,'Clients'!K98,'Clients'!K98,'Viewings'!I98,'Deals'!C98,'Deals'!C98,'Deals'!C98,'Follow-ups'!L98,'Payments'!G98,'Expenses'!F98)),CHOOSE($M$42,'Clients'!K98,'Clients'!K98,'Viewings'!I98,'Deals'!C98,'Deals'!C98,'Deals'!C98,'Follow-ups'!L98,'Payments'!G98,'Expenses'!F98),IF(CHOOSE($M$42,'Clients'!K98,'Clients'!K98,'Viewings'!I98,'Deals'!C98,'Deals'!C98,'Deals'!C98,'Follow-ups'!L98,'Payments'!G98,'Expenses'!F98)="","",CHOOSE($M$42,'Clients'!K98,'Clients'!K98,'Viewings'!I98,'Deals'!C98,'Deals'!C98,'Deals'!C98,'Follow-ups'!L98,'Payments'!G98,'Expenses'!F98))))</x:f>
      </x:c>
      <x:c r="F140" s="432" t="str">
        <x:f>IF(B140="","",IF(ISNUMBER(CHOOSE($M$42,'Clients'!H98,'Clients'!H98,'Viewings'!E98,'Deals'!E98,'Deals'!E98,'Deals'!E98,'Follow-ups'!I98,"Receipt",'Expenses'!C98)),CHOOSE($M$42,'Clients'!H98,'Clients'!H98,'Viewings'!E98,'Deals'!E98,'Deals'!E98,'Deals'!E98,'Follow-ups'!I98,"Receipt",'Expenses'!C98),IF(CHOOSE($M$42,'Clients'!H98,'Clients'!H98,'Viewings'!E98,'Deals'!E98,'Deals'!E98,'Deals'!E98,'Follow-ups'!I98,"Receipt",'Expenses'!C98)="","",CHOOSE($M$42,'Clients'!H98,'Clients'!H98,'Viewings'!E98,'Deals'!E98,'Deals'!E98,'Deals'!E98,'Follow-ups'!I98,"Receipt",'Expenses'!C98))))</x:f>
      </x:c>
      <x:c r="G140" s="473" t="str">
        <x:f>IF(B140="","",IF(ISNUMBER(CHOOSE($M$42,"","","",'Deals'!F98,'Deals'!F98,'Deals'!F98,"",'Payments'!D98,'Expenses'!G98)),CHOOSE($M$42,"","","",'Deals'!F98,'Deals'!F98,'Deals'!F98,"",'Payments'!D98,'Expenses'!G98),IF(CHOOSE($M$42,"","","",'Deals'!F98,'Deals'!F98,'Deals'!F98,"",'Payments'!D98,'Expenses'!G98)="","",CHOOSE($M$42,"","","",'Deals'!F98,'Deals'!F98,'Deals'!F98,"",'Payments'!D98,'Expenses'!G98))))</x:f>
      </x:c>
      <x:c r="H140" s="432" t="n">
        <x:f>IF(AND($M$43=1,B140&lt;&gt;"",ISNUMBER(C140),C140&gt;=$G$6,C140&lt;$K$6+1),1,0)</x:f>
        <x:v>0</x:v>
      </x:c>
      <x:c r="I140" s="432" t="str">
        <x:f>IF(H140=0,"",COUNTIFS($H$48:$H$247,1,$C$48:$C$247,"&lt;"&amp;C140)+COUNTIFS($H$48:H140,1,$C$48:C140,C140))</x:f>
      </x:c>
      <x:c r="J140" s="432"/>
      <x:c r="K140" s="432"/>
      <x:c r="L140" s="432"/>
      <x:c r="M140" s="432"/>
      <x:c r="N140" s="432"/>
      <x:c r="O140" s="432"/>
      <x:c r="P140" s="432"/>
      <x:c r="Q140" s="432"/>
    </x:row>
    <x:row r="141" ht="25" customHeight="1">
      <x:c r="A141" s="432"/>
      <x:c r="B141" s="432" t="str">
        <x:f>IF(CHOOSE($M$42,'Clients'!A99,'Clients'!A99,'Viewings'!A99,'Deals'!A99,'Deals'!A99,'Deals'!A99,'Follow-ups'!A99,'Payments'!A99,'Expenses'!A99)="","",CHOOSE($M$42,'Clients'!A99,'Clients'!A99,'Viewings'!A99,'Deals'!A99,'Deals'!A99,'Deals'!A99,'Follow-ups'!A99,'Payments'!A99,'Expenses'!A99))</x:f>
      </x:c>
      <x:c r="C141" s="472" t="str">
        <x:f>IF(B141="","",IF(CHOOSE($M$42,'Clients'!R99,'Clients'!Q99,'Viewings'!D99,'Deals'!X99,'Deals'!Y99,'Deals'!Z99,'Follow-ups'!H99,'Payments'!C99,'Expenses'!B99)="","",CHOOSE($M$42,'Clients'!R99,'Clients'!Q99,'Viewings'!D99,'Deals'!X99,'Deals'!Y99,'Deals'!Z99,'Follow-ups'!H99,'Payments'!C99,'Expenses'!B99)))</x:f>
      </x:c>
      <x:c r="D141" s="432" t="str">
        <x:f>IF(B141="","",IF(ISNUMBER(CHOOSE($M$42,'Clients'!B99,'Clients'!B99,'Viewings'!H99,IF('Deals'!B99="","",IF(COUNTIFS('Clients'!$A$6:$A$205,'Deals'!B99)&lt;&gt;1,"Check Client ID",INDEX('Clients'!$B$6:$B$205,MATCH('Deals'!B99,'Clients'!$A$6:$A$205,0)))),IF('Deals'!B99="","",IF(COUNTIFS('Clients'!$A$6:$A$205,'Deals'!B99)&lt;&gt;1,"Check Client ID",INDEX('Clients'!$B$6:$B$205,MATCH('Deals'!B99,'Clients'!$A$6:$A$205,0)))),IF('Deals'!B99="","",IF(COUNTIFS('Clients'!$A$6:$A$205,'Deals'!B99)&lt;&gt;1,"Check Client ID",INDEX('Clients'!$B$6:$B$205,MATCH('Deals'!B99,'Clients'!$A$6:$A$205,0)))),'Follow-ups'!K99,'Payments'!B99,'Expenses'!D99)),CHOOSE($M$42,'Clients'!B99,'Clients'!B99,'Viewings'!H99,IF('Deals'!B99="","",IF(COUNTIFS('Clients'!$A$6:$A$205,'Deals'!B99)&lt;&gt;1,"Check Client ID",INDEX('Clients'!$B$6:$B$205,MATCH('Deals'!B99,'Clients'!$A$6:$A$205,0)))),IF('Deals'!B99="","",IF(COUNTIFS('Clients'!$A$6:$A$205,'Deals'!B99)&lt;&gt;1,"Check Client ID",INDEX('Clients'!$B$6:$B$205,MATCH('Deals'!B99,'Clients'!$A$6:$A$205,0)))),IF('Deals'!B99="","",IF(COUNTIFS('Clients'!$A$6:$A$205,'Deals'!B99)&lt;&gt;1,"Check Client ID",INDEX('Clients'!$B$6:$B$205,MATCH('Deals'!B99,'Clients'!$A$6:$A$205,0)))),'Follow-ups'!K99,'Payments'!B99,'Expenses'!D99),IF(CHOOSE($M$42,'Clients'!B99,'Clients'!B99,'Viewings'!H99,IF('Deals'!B99="","",IF(COUNTIFS('Clients'!$A$6:$A$205,'Deals'!B99)&lt;&gt;1,"Check Client ID",INDEX('Clients'!$B$6:$B$205,MATCH('Deals'!B99,'Clients'!$A$6:$A$205,0)))),IF('Deals'!B99="","",IF(COUNTIFS('Clients'!$A$6:$A$205,'Deals'!B99)&lt;&gt;1,"Check Client ID",INDEX('Clients'!$B$6:$B$205,MATCH('Deals'!B99,'Clients'!$A$6:$A$205,0)))),IF('Deals'!B99="","",IF(COUNTIFS('Clients'!$A$6:$A$205,'Deals'!B99)&lt;&gt;1,"Check Client ID",INDEX('Clients'!$B$6:$B$205,MATCH('Deals'!B99,'Clients'!$A$6:$A$205,0)))),'Follow-ups'!K99,'Payments'!B99,'Expenses'!D99)="","",CHOOSE($M$42,'Clients'!B99,'Clients'!B99,'Viewings'!H99,IF('Deals'!B99="","",IF(COUNTIFS('Clients'!$A$6:$A$205,'Deals'!B99)&lt;&gt;1,"Check Client ID",INDEX('Clients'!$B$6:$B$205,MATCH('Deals'!B99,'Clients'!$A$6:$A$205,0)))),IF('Deals'!B99="","",IF(COUNTIFS('Clients'!$A$6:$A$205,'Deals'!B99)&lt;&gt;1,"Check Client ID",INDEX('Clients'!$B$6:$B$205,MATCH('Deals'!B99,'Clients'!$A$6:$A$205,0)))),IF('Deals'!B99="","",IF(COUNTIFS('Clients'!$A$6:$A$205,'Deals'!B99)&lt;&gt;1,"Check Client ID",INDEX('Clients'!$B$6:$B$205,MATCH('Deals'!B99,'Clients'!$A$6:$A$205,0)))),'Follow-ups'!K99,'Payments'!B99,'Expenses'!D99))))</x:f>
      </x:c>
      <x:c r="E141" s="432" t="str">
        <x:f>IF(B141="","",IF(ISNUMBER(CHOOSE($M$42,'Clients'!K99,'Clients'!K99,'Viewings'!I99,'Deals'!C99,'Deals'!C99,'Deals'!C99,'Follow-ups'!L99,'Payments'!G99,'Expenses'!F99)),CHOOSE($M$42,'Clients'!K99,'Clients'!K99,'Viewings'!I99,'Deals'!C99,'Deals'!C99,'Deals'!C99,'Follow-ups'!L99,'Payments'!G99,'Expenses'!F99),IF(CHOOSE($M$42,'Clients'!K99,'Clients'!K99,'Viewings'!I99,'Deals'!C99,'Deals'!C99,'Deals'!C99,'Follow-ups'!L99,'Payments'!G99,'Expenses'!F99)="","",CHOOSE($M$42,'Clients'!K99,'Clients'!K99,'Viewings'!I99,'Deals'!C99,'Deals'!C99,'Deals'!C99,'Follow-ups'!L99,'Payments'!G99,'Expenses'!F99))))</x:f>
      </x:c>
      <x:c r="F141" s="432" t="str">
        <x:f>IF(B141="","",IF(ISNUMBER(CHOOSE($M$42,'Clients'!H99,'Clients'!H99,'Viewings'!E99,'Deals'!E99,'Deals'!E99,'Deals'!E99,'Follow-ups'!I99,"Receipt",'Expenses'!C99)),CHOOSE($M$42,'Clients'!H99,'Clients'!H99,'Viewings'!E99,'Deals'!E99,'Deals'!E99,'Deals'!E99,'Follow-ups'!I99,"Receipt",'Expenses'!C99),IF(CHOOSE($M$42,'Clients'!H99,'Clients'!H99,'Viewings'!E99,'Deals'!E99,'Deals'!E99,'Deals'!E99,'Follow-ups'!I99,"Receipt",'Expenses'!C99)="","",CHOOSE($M$42,'Clients'!H99,'Clients'!H99,'Viewings'!E99,'Deals'!E99,'Deals'!E99,'Deals'!E99,'Follow-ups'!I99,"Receipt",'Expenses'!C99))))</x:f>
      </x:c>
      <x:c r="G141" s="473" t="str">
        <x:f>IF(B141="","",IF(ISNUMBER(CHOOSE($M$42,"","","",'Deals'!F99,'Deals'!F99,'Deals'!F99,"",'Payments'!D99,'Expenses'!G99)),CHOOSE($M$42,"","","",'Deals'!F99,'Deals'!F99,'Deals'!F99,"",'Payments'!D99,'Expenses'!G99),IF(CHOOSE($M$42,"","","",'Deals'!F99,'Deals'!F99,'Deals'!F99,"",'Payments'!D99,'Expenses'!G99)="","",CHOOSE($M$42,"","","",'Deals'!F99,'Deals'!F99,'Deals'!F99,"",'Payments'!D99,'Expenses'!G99))))</x:f>
      </x:c>
      <x:c r="H141" s="432" t="n">
        <x:f>IF(AND($M$43=1,B141&lt;&gt;"",ISNUMBER(C141),C141&gt;=$G$6,C141&lt;$K$6+1),1,0)</x:f>
        <x:v>0</x:v>
      </x:c>
      <x:c r="I141" s="432" t="str">
        <x:f>IF(H141=0,"",COUNTIFS($H$48:$H$247,1,$C$48:$C$247,"&lt;"&amp;C141)+COUNTIFS($H$48:H141,1,$C$48:C141,C141))</x:f>
      </x:c>
      <x:c r="J141" s="432"/>
      <x:c r="K141" s="432"/>
      <x:c r="L141" s="432"/>
      <x:c r="M141" s="432"/>
      <x:c r="N141" s="432"/>
      <x:c r="O141" s="432"/>
      <x:c r="P141" s="432"/>
      <x:c r="Q141" s="432"/>
    </x:row>
    <x:row r="142" ht="25" customHeight="1">
      <x:c r="A142" s="432"/>
      <x:c r="B142" s="432" t="str">
        <x:f>IF(CHOOSE($M$42,'Clients'!A100,'Clients'!A100,'Viewings'!A100,'Deals'!A100,'Deals'!A100,'Deals'!A100,'Follow-ups'!A100,'Payments'!A100,'Expenses'!A100)="","",CHOOSE($M$42,'Clients'!A100,'Clients'!A100,'Viewings'!A100,'Deals'!A100,'Deals'!A100,'Deals'!A100,'Follow-ups'!A100,'Payments'!A100,'Expenses'!A100))</x:f>
      </x:c>
      <x:c r="C142" s="472" t="str">
        <x:f>IF(B142="","",IF(CHOOSE($M$42,'Clients'!R100,'Clients'!Q100,'Viewings'!D100,'Deals'!X100,'Deals'!Y100,'Deals'!Z100,'Follow-ups'!H100,'Payments'!C100,'Expenses'!B100)="","",CHOOSE($M$42,'Clients'!R100,'Clients'!Q100,'Viewings'!D100,'Deals'!X100,'Deals'!Y100,'Deals'!Z100,'Follow-ups'!H100,'Payments'!C100,'Expenses'!B100)))</x:f>
      </x:c>
      <x:c r="D142" s="432" t="str">
        <x:f>IF(B142="","",IF(ISNUMBER(CHOOSE($M$42,'Clients'!B100,'Clients'!B100,'Viewings'!H100,IF('Deals'!B100="","",IF(COUNTIFS('Clients'!$A$6:$A$205,'Deals'!B100)&lt;&gt;1,"Check Client ID",INDEX('Clients'!$B$6:$B$205,MATCH('Deals'!B100,'Clients'!$A$6:$A$205,0)))),IF('Deals'!B100="","",IF(COUNTIFS('Clients'!$A$6:$A$205,'Deals'!B100)&lt;&gt;1,"Check Client ID",INDEX('Clients'!$B$6:$B$205,MATCH('Deals'!B100,'Clients'!$A$6:$A$205,0)))),IF('Deals'!B100="","",IF(COUNTIFS('Clients'!$A$6:$A$205,'Deals'!B100)&lt;&gt;1,"Check Client ID",INDEX('Clients'!$B$6:$B$205,MATCH('Deals'!B100,'Clients'!$A$6:$A$205,0)))),'Follow-ups'!K100,'Payments'!B100,'Expenses'!D100)),CHOOSE($M$42,'Clients'!B100,'Clients'!B100,'Viewings'!H100,IF('Deals'!B100="","",IF(COUNTIFS('Clients'!$A$6:$A$205,'Deals'!B100)&lt;&gt;1,"Check Client ID",INDEX('Clients'!$B$6:$B$205,MATCH('Deals'!B100,'Clients'!$A$6:$A$205,0)))),IF('Deals'!B100="","",IF(COUNTIFS('Clients'!$A$6:$A$205,'Deals'!B100)&lt;&gt;1,"Check Client ID",INDEX('Clients'!$B$6:$B$205,MATCH('Deals'!B100,'Clients'!$A$6:$A$205,0)))),IF('Deals'!B100="","",IF(COUNTIFS('Clients'!$A$6:$A$205,'Deals'!B100)&lt;&gt;1,"Check Client ID",INDEX('Clients'!$B$6:$B$205,MATCH('Deals'!B100,'Clients'!$A$6:$A$205,0)))),'Follow-ups'!K100,'Payments'!B100,'Expenses'!D100),IF(CHOOSE($M$42,'Clients'!B100,'Clients'!B100,'Viewings'!H100,IF('Deals'!B100="","",IF(COUNTIFS('Clients'!$A$6:$A$205,'Deals'!B100)&lt;&gt;1,"Check Client ID",INDEX('Clients'!$B$6:$B$205,MATCH('Deals'!B100,'Clients'!$A$6:$A$205,0)))),IF('Deals'!B100="","",IF(COUNTIFS('Clients'!$A$6:$A$205,'Deals'!B100)&lt;&gt;1,"Check Client ID",INDEX('Clients'!$B$6:$B$205,MATCH('Deals'!B100,'Clients'!$A$6:$A$205,0)))),IF('Deals'!B100="","",IF(COUNTIFS('Clients'!$A$6:$A$205,'Deals'!B100)&lt;&gt;1,"Check Client ID",INDEX('Clients'!$B$6:$B$205,MATCH('Deals'!B100,'Clients'!$A$6:$A$205,0)))),'Follow-ups'!K100,'Payments'!B100,'Expenses'!D100)="","",CHOOSE($M$42,'Clients'!B100,'Clients'!B100,'Viewings'!H100,IF('Deals'!B100="","",IF(COUNTIFS('Clients'!$A$6:$A$205,'Deals'!B100)&lt;&gt;1,"Check Client ID",INDEX('Clients'!$B$6:$B$205,MATCH('Deals'!B100,'Clients'!$A$6:$A$205,0)))),IF('Deals'!B100="","",IF(COUNTIFS('Clients'!$A$6:$A$205,'Deals'!B100)&lt;&gt;1,"Check Client ID",INDEX('Clients'!$B$6:$B$205,MATCH('Deals'!B100,'Clients'!$A$6:$A$205,0)))),IF('Deals'!B100="","",IF(COUNTIFS('Clients'!$A$6:$A$205,'Deals'!B100)&lt;&gt;1,"Check Client ID",INDEX('Clients'!$B$6:$B$205,MATCH('Deals'!B100,'Clients'!$A$6:$A$205,0)))),'Follow-ups'!K100,'Payments'!B100,'Expenses'!D100))))</x:f>
      </x:c>
      <x:c r="E142" s="432" t="str">
        <x:f>IF(B142="","",IF(ISNUMBER(CHOOSE($M$42,'Clients'!K100,'Clients'!K100,'Viewings'!I100,'Deals'!C100,'Deals'!C100,'Deals'!C100,'Follow-ups'!L100,'Payments'!G100,'Expenses'!F100)),CHOOSE($M$42,'Clients'!K100,'Clients'!K100,'Viewings'!I100,'Deals'!C100,'Deals'!C100,'Deals'!C100,'Follow-ups'!L100,'Payments'!G100,'Expenses'!F100),IF(CHOOSE($M$42,'Clients'!K100,'Clients'!K100,'Viewings'!I100,'Deals'!C100,'Deals'!C100,'Deals'!C100,'Follow-ups'!L100,'Payments'!G100,'Expenses'!F100)="","",CHOOSE($M$42,'Clients'!K100,'Clients'!K100,'Viewings'!I100,'Deals'!C100,'Deals'!C100,'Deals'!C100,'Follow-ups'!L100,'Payments'!G100,'Expenses'!F100))))</x:f>
      </x:c>
      <x:c r="F142" s="432" t="str">
        <x:f>IF(B142="","",IF(ISNUMBER(CHOOSE($M$42,'Clients'!H100,'Clients'!H100,'Viewings'!E100,'Deals'!E100,'Deals'!E100,'Deals'!E100,'Follow-ups'!I100,"Receipt",'Expenses'!C100)),CHOOSE($M$42,'Clients'!H100,'Clients'!H100,'Viewings'!E100,'Deals'!E100,'Deals'!E100,'Deals'!E100,'Follow-ups'!I100,"Receipt",'Expenses'!C100),IF(CHOOSE($M$42,'Clients'!H100,'Clients'!H100,'Viewings'!E100,'Deals'!E100,'Deals'!E100,'Deals'!E100,'Follow-ups'!I100,"Receipt",'Expenses'!C100)="","",CHOOSE($M$42,'Clients'!H100,'Clients'!H100,'Viewings'!E100,'Deals'!E100,'Deals'!E100,'Deals'!E100,'Follow-ups'!I100,"Receipt",'Expenses'!C100))))</x:f>
      </x:c>
      <x:c r="G142" s="473" t="str">
        <x:f>IF(B142="","",IF(ISNUMBER(CHOOSE($M$42,"","","",'Deals'!F100,'Deals'!F100,'Deals'!F100,"",'Payments'!D100,'Expenses'!G100)),CHOOSE($M$42,"","","",'Deals'!F100,'Deals'!F100,'Deals'!F100,"",'Payments'!D100,'Expenses'!G100),IF(CHOOSE($M$42,"","","",'Deals'!F100,'Deals'!F100,'Deals'!F100,"",'Payments'!D100,'Expenses'!G100)="","",CHOOSE($M$42,"","","",'Deals'!F100,'Deals'!F100,'Deals'!F100,"",'Payments'!D100,'Expenses'!G100))))</x:f>
      </x:c>
      <x:c r="H142" s="432" t="n">
        <x:f>IF(AND($M$43=1,B142&lt;&gt;"",ISNUMBER(C142),C142&gt;=$G$6,C142&lt;$K$6+1),1,0)</x:f>
        <x:v>0</x:v>
      </x:c>
      <x:c r="I142" s="432" t="str">
        <x:f>IF(H142=0,"",COUNTIFS($H$48:$H$247,1,$C$48:$C$247,"&lt;"&amp;C142)+COUNTIFS($H$48:H142,1,$C$48:C142,C142))</x:f>
      </x:c>
      <x:c r="J142" s="432"/>
      <x:c r="K142" s="432"/>
      <x:c r="L142" s="432"/>
      <x:c r="M142" s="432"/>
      <x:c r="N142" s="432"/>
      <x:c r="O142" s="432"/>
      <x:c r="P142" s="432"/>
      <x:c r="Q142" s="432"/>
    </x:row>
    <x:row r="143" ht="25" customHeight="1">
      <x:c r="A143" s="432"/>
      <x:c r="B143" s="432" t="str">
        <x:f>IF(CHOOSE($M$42,'Clients'!A101,'Clients'!A101,'Viewings'!A101,'Deals'!A101,'Deals'!A101,'Deals'!A101,'Follow-ups'!A101,'Payments'!A101,'Expenses'!A101)="","",CHOOSE($M$42,'Clients'!A101,'Clients'!A101,'Viewings'!A101,'Deals'!A101,'Deals'!A101,'Deals'!A101,'Follow-ups'!A101,'Payments'!A101,'Expenses'!A101))</x:f>
      </x:c>
      <x:c r="C143" s="472" t="str">
        <x:f>IF(B143="","",IF(CHOOSE($M$42,'Clients'!R101,'Clients'!Q101,'Viewings'!D101,'Deals'!X101,'Deals'!Y101,'Deals'!Z101,'Follow-ups'!H101,'Payments'!C101,'Expenses'!B101)="","",CHOOSE($M$42,'Clients'!R101,'Clients'!Q101,'Viewings'!D101,'Deals'!X101,'Deals'!Y101,'Deals'!Z101,'Follow-ups'!H101,'Payments'!C101,'Expenses'!B101)))</x:f>
      </x:c>
      <x:c r="D143" s="432" t="str">
        <x:f>IF(B143="","",IF(ISNUMBER(CHOOSE($M$42,'Clients'!B101,'Clients'!B101,'Viewings'!H101,IF('Deals'!B101="","",IF(COUNTIFS('Clients'!$A$6:$A$205,'Deals'!B101)&lt;&gt;1,"Check Client ID",INDEX('Clients'!$B$6:$B$205,MATCH('Deals'!B101,'Clients'!$A$6:$A$205,0)))),IF('Deals'!B101="","",IF(COUNTIFS('Clients'!$A$6:$A$205,'Deals'!B101)&lt;&gt;1,"Check Client ID",INDEX('Clients'!$B$6:$B$205,MATCH('Deals'!B101,'Clients'!$A$6:$A$205,0)))),IF('Deals'!B101="","",IF(COUNTIFS('Clients'!$A$6:$A$205,'Deals'!B101)&lt;&gt;1,"Check Client ID",INDEX('Clients'!$B$6:$B$205,MATCH('Deals'!B101,'Clients'!$A$6:$A$205,0)))),'Follow-ups'!K101,'Payments'!B101,'Expenses'!D101)),CHOOSE($M$42,'Clients'!B101,'Clients'!B101,'Viewings'!H101,IF('Deals'!B101="","",IF(COUNTIFS('Clients'!$A$6:$A$205,'Deals'!B101)&lt;&gt;1,"Check Client ID",INDEX('Clients'!$B$6:$B$205,MATCH('Deals'!B101,'Clients'!$A$6:$A$205,0)))),IF('Deals'!B101="","",IF(COUNTIFS('Clients'!$A$6:$A$205,'Deals'!B101)&lt;&gt;1,"Check Client ID",INDEX('Clients'!$B$6:$B$205,MATCH('Deals'!B101,'Clients'!$A$6:$A$205,0)))),IF('Deals'!B101="","",IF(COUNTIFS('Clients'!$A$6:$A$205,'Deals'!B101)&lt;&gt;1,"Check Client ID",INDEX('Clients'!$B$6:$B$205,MATCH('Deals'!B101,'Clients'!$A$6:$A$205,0)))),'Follow-ups'!K101,'Payments'!B101,'Expenses'!D101),IF(CHOOSE($M$42,'Clients'!B101,'Clients'!B101,'Viewings'!H101,IF('Deals'!B101="","",IF(COUNTIFS('Clients'!$A$6:$A$205,'Deals'!B101)&lt;&gt;1,"Check Client ID",INDEX('Clients'!$B$6:$B$205,MATCH('Deals'!B101,'Clients'!$A$6:$A$205,0)))),IF('Deals'!B101="","",IF(COUNTIFS('Clients'!$A$6:$A$205,'Deals'!B101)&lt;&gt;1,"Check Client ID",INDEX('Clients'!$B$6:$B$205,MATCH('Deals'!B101,'Clients'!$A$6:$A$205,0)))),IF('Deals'!B101="","",IF(COUNTIFS('Clients'!$A$6:$A$205,'Deals'!B101)&lt;&gt;1,"Check Client ID",INDEX('Clients'!$B$6:$B$205,MATCH('Deals'!B101,'Clients'!$A$6:$A$205,0)))),'Follow-ups'!K101,'Payments'!B101,'Expenses'!D101)="","",CHOOSE($M$42,'Clients'!B101,'Clients'!B101,'Viewings'!H101,IF('Deals'!B101="","",IF(COUNTIFS('Clients'!$A$6:$A$205,'Deals'!B101)&lt;&gt;1,"Check Client ID",INDEX('Clients'!$B$6:$B$205,MATCH('Deals'!B101,'Clients'!$A$6:$A$205,0)))),IF('Deals'!B101="","",IF(COUNTIFS('Clients'!$A$6:$A$205,'Deals'!B101)&lt;&gt;1,"Check Client ID",INDEX('Clients'!$B$6:$B$205,MATCH('Deals'!B101,'Clients'!$A$6:$A$205,0)))),IF('Deals'!B101="","",IF(COUNTIFS('Clients'!$A$6:$A$205,'Deals'!B101)&lt;&gt;1,"Check Client ID",INDEX('Clients'!$B$6:$B$205,MATCH('Deals'!B101,'Clients'!$A$6:$A$205,0)))),'Follow-ups'!K101,'Payments'!B101,'Expenses'!D101))))</x:f>
      </x:c>
      <x:c r="E143" s="432" t="str">
        <x:f>IF(B143="","",IF(ISNUMBER(CHOOSE($M$42,'Clients'!K101,'Clients'!K101,'Viewings'!I101,'Deals'!C101,'Deals'!C101,'Deals'!C101,'Follow-ups'!L101,'Payments'!G101,'Expenses'!F101)),CHOOSE($M$42,'Clients'!K101,'Clients'!K101,'Viewings'!I101,'Deals'!C101,'Deals'!C101,'Deals'!C101,'Follow-ups'!L101,'Payments'!G101,'Expenses'!F101),IF(CHOOSE($M$42,'Clients'!K101,'Clients'!K101,'Viewings'!I101,'Deals'!C101,'Deals'!C101,'Deals'!C101,'Follow-ups'!L101,'Payments'!G101,'Expenses'!F101)="","",CHOOSE($M$42,'Clients'!K101,'Clients'!K101,'Viewings'!I101,'Deals'!C101,'Deals'!C101,'Deals'!C101,'Follow-ups'!L101,'Payments'!G101,'Expenses'!F101))))</x:f>
      </x:c>
      <x:c r="F143" s="432" t="str">
        <x:f>IF(B143="","",IF(ISNUMBER(CHOOSE($M$42,'Clients'!H101,'Clients'!H101,'Viewings'!E101,'Deals'!E101,'Deals'!E101,'Deals'!E101,'Follow-ups'!I101,"Receipt",'Expenses'!C101)),CHOOSE($M$42,'Clients'!H101,'Clients'!H101,'Viewings'!E101,'Deals'!E101,'Deals'!E101,'Deals'!E101,'Follow-ups'!I101,"Receipt",'Expenses'!C101),IF(CHOOSE($M$42,'Clients'!H101,'Clients'!H101,'Viewings'!E101,'Deals'!E101,'Deals'!E101,'Deals'!E101,'Follow-ups'!I101,"Receipt",'Expenses'!C101)="","",CHOOSE($M$42,'Clients'!H101,'Clients'!H101,'Viewings'!E101,'Deals'!E101,'Deals'!E101,'Deals'!E101,'Follow-ups'!I101,"Receipt",'Expenses'!C101))))</x:f>
      </x:c>
      <x:c r="G143" s="473" t="str">
        <x:f>IF(B143="","",IF(ISNUMBER(CHOOSE($M$42,"","","",'Deals'!F101,'Deals'!F101,'Deals'!F101,"",'Payments'!D101,'Expenses'!G101)),CHOOSE($M$42,"","","",'Deals'!F101,'Deals'!F101,'Deals'!F101,"",'Payments'!D101,'Expenses'!G101),IF(CHOOSE($M$42,"","","",'Deals'!F101,'Deals'!F101,'Deals'!F101,"",'Payments'!D101,'Expenses'!G101)="","",CHOOSE($M$42,"","","",'Deals'!F101,'Deals'!F101,'Deals'!F101,"",'Payments'!D101,'Expenses'!G101))))</x:f>
      </x:c>
      <x:c r="H143" s="432" t="n">
        <x:f>IF(AND($M$43=1,B143&lt;&gt;"",ISNUMBER(C143),C143&gt;=$G$6,C143&lt;$K$6+1),1,0)</x:f>
        <x:v>0</x:v>
      </x:c>
      <x:c r="I143" s="432" t="str">
        <x:f>IF(H143=0,"",COUNTIFS($H$48:$H$247,1,$C$48:$C$247,"&lt;"&amp;C143)+COUNTIFS($H$48:H143,1,$C$48:C143,C143))</x:f>
      </x:c>
      <x:c r="J143" s="432"/>
      <x:c r="K143" s="432"/>
      <x:c r="L143" s="432"/>
      <x:c r="M143" s="432"/>
      <x:c r="N143" s="432"/>
      <x:c r="O143" s="432"/>
      <x:c r="P143" s="432"/>
      <x:c r="Q143" s="432"/>
    </x:row>
    <x:row r="144" ht="25" customHeight="1">
      <x:c r="A144" s="432"/>
      <x:c r="B144" s="432" t="str">
        <x:f>IF(CHOOSE($M$42,'Clients'!A102,'Clients'!A102,'Viewings'!A102,'Deals'!A102,'Deals'!A102,'Deals'!A102,'Follow-ups'!A102,'Payments'!A102,'Expenses'!A102)="","",CHOOSE($M$42,'Clients'!A102,'Clients'!A102,'Viewings'!A102,'Deals'!A102,'Deals'!A102,'Deals'!A102,'Follow-ups'!A102,'Payments'!A102,'Expenses'!A102))</x:f>
      </x:c>
      <x:c r="C144" s="472" t="str">
        <x:f>IF(B144="","",IF(CHOOSE($M$42,'Clients'!R102,'Clients'!Q102,'Viewings'!D102,'Deals'!X102,'Deals'!Y102,'Deals'!Z102,'Follow-ups'!H102,'Payments'!C102,'Expenses'!B102)="","",CHOOSE($M$42,'Clients'!R102,'Clients'!Q102,'Viewings'!D102,'Deals'!X102,'Deals'!Y102,'Deals'!Z102,'Follow-ups'!H102,'Payments'!C102,'Expenses'!B102)))</x:f>
      </x:c>
      <x:c r="D144" s="432" t="str">
        <x:f>IF(B144="","",IF(ISNUMBER(CHOOSE($M$42,'Clients'!B102,'Clients'!B102,'Viewings'!H102,IF('Deals'!B102="","",IF(COUNTIFS('Clients'!$A$6:$A$205,'Deals'!B102)&lt;&gt;1,"Check Client ID",INDEX('Clients'!$B$6:$B$205,MATCH('Deals'!B102,'Clients'!$A$6:$A$205,0)))),IF('Deals'!B102="","",IF(COUNTIFS('Clients'!$A$6:$A$205,'Deals'!B102)&lt;&gt;1,"Check Client ID",INDEX('Clients'!$B$6:$B$205,MATCH('Deals'!B102,'Clients'!$A$6:$A$205,0)))),IF('Deals'!B102="","",IF(COUNTIFS('Clients'!$A$6:$A$205,'Deals'!B102)&lt;&gt;1,"Check Client ID",INDEX('Clients'!$B$6:$B$205,MATCH('Deals'!B102,'Clients'!$A$6:$A$205,0)))),'Follow-ups'!K102,'Payments'!B102,'Expenses'!D102)),CHOOSE($M$42,'Clients'!B102,'Clients'!B102,'Viewings'!H102,IF('Deals'!B102="","",IF(COUNTIFS('Clients'!$A$6:$A$205,'Deals'!B102)&lt;&gt;1,"Check Client ID",INDEX('Clients'!$B$6:$B$205,MATCH('Deals'!B102,'Clients'!$A$6:$A$205,0)))),IF('Deals'!B102="","",IF(COUNTIFS('Clients'!$A$6:$A$205,'Deals'!B102)&lt;&gt;1,"Check Client ID",INDEX('Clients'!$B$6:$B$205,MATCH('Deals'!B102,'Clients'!$A$6:$A$205,0)))),IF('Deals'!B102="","",IF(COUNTIFS('Clients'!$A$6:$A$205,'Deals'!B102)&lt;&gt;1,"Check Client ID",INDEX('Clients'!$B$6:$B$205,MATCH('Deals'!B102,'Clients'!$A$6:$A$205,0)))),'Follow-ups'!K102,'Payments'!B102,'Expenses'!D102),IF(CHOOSE($M$42,'Clients'!B102,'Clients'!B102,'Viewings'!H102,IF('Deals'!B102="","",IF(COUNTIFS('Clients'!$A$6:$A$205,'Deals'!B102)&lt;&gt;1,"Check Client ID",INDEX('Clients'!$B$6:$B$205,MATCH('Deals'!B102,'Clients'!$A$6:$A$205,0)))),IF('Deals'!B102="","",IF(COUNTIFS('Clients'!$A$6:$A$205,'Deals'!B102)&lt;&gt;1,"Check Client ID",INDEX('Clients'!$B$6:$B$205,MATCH('Deals'!B102,'Clients'!$A$6:$A$205,0)))),IF('Deals'!B102="","",IF(COUNTIFS('Clients'!$A$6:$A$205,'Deals'!B102)&lt;&gt;1,"Check Client ID",INDEX('Clients'!$B$6:$B$205,MATCH('Deals'!B102,'Clients'!$A$6:$A$205,0)))),'Follow-ups'!K102,'Payments'!B102,'Expenses'!D102)="","",CHOOSE($M$42,'Clients'!B102,'Clients'!B102,'Viewings'!H102,IF('Deals'!B102="","",IF(COUNTIFS('Clients'!$A$6:$A$205,'Deals'!B102)&lt;&gt;1,"Check Client ID",INDEX('Clients'!$B$6:$B$205,MATCH('Deals'!B102,'Clients'!$A$6:$A$205,0)))),IF('Deals'!B102="","",IF(COUNTIFS('Clients'!$A$6:$A$205,'Deals'!B102)&lt;&gt;1,"Check Client ID",INDEX('Clients'!$B$6:$B$205,MATCH('Deals'!B102,'Clients'!$A$6:$A$205,0)))),IF('Deals'!B102="","",IF(COUNTIFS('Clients'!$A$6:$A$205,'Deals'!B102)&lt;&gt;1,"Check Client ID",INDEX('Clients'!$B$6:$B$205,MATCH('Deals'!B102,'Clients'!$A$6:$A$205,0)))),'Follow-ups'!K102,'Payments'!B102,'Expenses'!D102))))</x:f>
      </x:c>
      <x:c r="E144" s="432" t="str">
        <x:f>IF(B144="","",IF(ISNUMBER(CHOOSE($M$42,'Clients'!K102,'Clients'!K102,'Viewings'!I102,'Deals'!C102,'Deals'!C102,'Deals'!C102,'Follow-ups'!L102,'Payments'!G102,'Expenses'!F102)),CHOOSE($M$42,'Clients'!K102,'Clients'!K102,'Viewings'!I102,'Deals'!C102,'Deals'!C102,'Deals'!C102,'Follow-ups'!L102,'Payments'!G102,'Expenses'!F102),IF(CHOOSE($M$42,'Clients'!K102,'Clients'!K102,'Viewings'!I102,'Deals'!C102,'Deals'!C102,'Deals'!C102,'Follow-ups'!L102,'Payments'!G102,'Expenses'!F102)="","",CHOOSE($M$42,'Clients'!K102,'Clients'!K102,'Viewings'!I102,'Deals'!C102,'Deals'!C102,'Deals'!C102,'Follow-ups'!L102,'Payments'!G102,'Expenses'!F102))))</x:f>
      </x:c>
      <x:c r="F144" s="432" t="str">
        <x:f>IF(B144="","",IF(ISNUMBER(CHOOSE($M$42,'Clients'!H102,'Clients'!H102,'Viewings'!E102,'Deals'!E102,'Deals'!E102,'Deals'!E102,'Follow-ups'!I102,"Receipt",'Expenses'!C102)),CHOOSE($M$42,'Clients'!H102,'Clients'!H102,'Viewings'!E102,'Deals'!E102,'Deals'!E102,'Deals'!E102,'Follow-ups'!I102,"Receipt",'Expenses'!C102),IF(CHOOSE($M$42,'Clients'!H102,'Clients'!H102,'Viewings'!E102,'Deals'!E102,'Deals'!E102,'Deals'!E102,'Follow-ups'!I102,"Receipt",'Expenses'!C102)="","",CHOOSE($M$42,'Clients'!H102,'Clients'!H102,'Viewings'!E102,'Deals'!E102,'Deals'!E102,'Deals'!E102,'Follow-ups'!I102,"Receipt",'Expenses'!C102))))</x:f>
      </x:c>
      <x:c r="G144" s="473" t="str">
        <x:f>IF(B144="","",IF(ISNUMBER(CHOOSE($M$42,"","","",'Deals'!F102,'Deals'!F102,'Deals'!F102,"",'Payments'!D102,'Expenses'!G102)),CHOOSE($M$42,"","","",'Deals'!F102,'Deals'!F102,'Deals'!F102,"",'Payments'!D102,'Expenses'!G102),IF(CHOOSE($M$42,"","","",'Deals'!F102,'Deals'!F102,'Deals'!F102,"",'Payments'!D102,'Expenses'!G102)="","",CHOOSE($M$42,"","","",'Deals'!F102,'Deals'!F102,'Deals'!F102,"",'Payments'!D102,'Expenses'!G102))))</x:f>
      </x:c>
      <x:c r="H144" s="432" t="n">
        <x:f>IF(AND($M$43=1,B144&lt;&gt;"",ISNUMBER(C144),C144&gt;=$G$6,C144&lt;$K$6+1),1,0)</x:f>
        <x:v>0</x:v>
      </x:c>
      <x:c r="I144" s="432" t="str">
        <x:f>IF(H144=0,"",COUNTIFS($H$48:$H$247,1,$C$48:$C$247,"&lt;"&amp;C144)+COUNTIFS($H$48:H144,1,$C$48:C144,C144))</x:f>
      </x:c>
      <x:c r="J144" s="432"/>
      <x:c r="K144" s="432"/>
      <x:c r="L144" s="432"/>
      <x:c r="M144" s="432"/>
      <x:c r="N144" s="432"/>
      <x:c r="O144" s="432"/>
      <x:c r="P144" s="432"/>
      <x:c r="Q144" s="432"/>
    </x:row>
    <x:row r="145" ht="25" customHeight="1">
      <x:c r="A145" s="432"/>
      <x:c r="B145" s="432" t="str">
        <x:f>IF(CHOOSE($M$42,'Clients'!A103,'Clients'!A103,'Viewings'!A103,'Deals'!A103,'Deals'!A103,'Deals'!A103,'Follow-ups'!A103,'Payments'!A103,'Expenses'!A103)="","",CHOOSE($M$42,'Clients'!A103,'Clients'!A103,'Viewings'!A103,'Deals'!A103,'Deals'!A103,'Deals'!A103,'Follow-ups'!A103,'Payments'!A103,'Expenses'!A103))</x:f>
      </x:c>
      <x:c r="C145" s="472" t="str">
        <x:f>IF(B145="","",IF(CHOOSE($M$42,'Clients'!R103,'Clients'!Q103,'Viewings'!D103,'Deals'!X103,'Deals'!Y103,'Deals'!Z103,'Follow-ups'!H103,'Payments'!C103,'Expenses'!B103)="","",CHOOSE($M$42,'Clients'!R103,'Clients'!Q103,'Viewings'!D103,'Deals'!X103,'Deals'!Y103,'Deals'!Z103,'Follow-ups'!H103,'Payments'!C103,'Expenses'!B103)))</x:f>
      </x:c>
      <x:c r="D145" s="432" t="str">
        <x:f>IF(B145="","",IF(ISNUMBER(CHOOSE($M$42,'Clients'!B103,'Clients'!B103,'Viewings'!H103,IF('Deals'!B103="","",IF(COUNTIFS('Clients'!$A$6:$A$205,'Deals'!B103)&lt;&gt;1,"Check Client ID",INDEX('Clients'!$B$6:$B$205,MATCH('Deals'!B103,'Clients'!$A$6:$A$205,0)))),IF('Deals'!B103="","",IF(COUNTIFS('Clients'!$A$6:$A$205,'Deals'!B103)&lt;&gt;1,"Check Client ID",INDEX('Clients'!$B$6:$B$205,MATCH('Deals'!B103,'Clients'!$A$6:$A$205,0)))),IF('Deals'!B103="","",IF(COUNTIFS('Clients'!$A$6:$A$205,'Deals'!B103)&lt;&gt;1,"Check Client ID",INDEX('Clients'!$B$6:$B$205,MATCH('Deals'!B103,'Clients'!$A$6:$A$205,0)))),'Follow-ups'!K103,'Payments'!B103,'Expenses'!D103)),CHOOSE($M$42,'Clients'!B103,'Clients'!B103,'Viewings'!H103,IF('Deals'!B103="","",IF(COUNTIFS('Clients'!$A$6:$A$205,'Deals'!B103)&lt;&gt;1,"Check Client ID",INDEX('Clients'!$B$6:$B$205,MATCH('Deals'!B103,'Clients'!$A$6:$A$205,0)))),IF('Deals'!B103="","",IF(COUNTIFS('Clients'!$A$6:$A$205,'Deals'!B103)&lt;&gt;1,"Check Client ID",INDEX('Clients'!$B$6:$B$205,MATCH('Deals'!B103,'Clients'!$A$6:$A$205,0)))),IF('Deals'!B103="","",IF(COUNTIFS('Clients'!$A$6:$A$205,'Deals'!B103)&lt;&gt;1,"Check Client ID",INDEX('Clients'!$B$6:$B$205,MATCH('Deals'!B103,'Clients'!$A$6:$A$205,0)))),'Follow-ups'!K103,'Payments'!B103,'Expenses'!D103),IF(CHOOSE($M$42,'Clients'!B103,'Clients'!B103,'Viewings'!H103,IF('Deals'!B103="","",IF(COUNTIFS('Clients'!$A$6:$A$205,'Deals'!B103)&lt;&gt;1,"Check Client ID",INDEX('Clients'!$B$6:$B$205,MATCH('Deals'!B103,'Clients'!$A$6:$A$205,0)))),IF('Deals'!B103="","",IF(COUNTIFS('Clients'!$A$6:$A$205,'Deals'!B103)&lt;&gt;1,"Check Client ID",INDEX('Clients'!$B$6:$B$205,MATCH('Deals'!B103,'Clients'!$A$6:$A$205,0)))),IF('Deals'!B103="","",IF(COUNTIFS('Clients'!$A$6:$A$205,'Deals'!B103)&lt;&gt;1,"Check Client ID",INDEX('Clients'!$B$6:$B$205,MATCH('Deals'!B103,'Clients'!$A$6:$A$205,0)))),'Follow-ups'!K103,'Payments'!B103,'Expenses'!D103)="","",CHOOSE($M$42,'Clients'!B103,'Clients'!B103,'Viewings'!H103,IF('Deals'!B103="","",IF(COUNTIFS('Clients'!$A$6:$A$205,'Deals'!B103)&lt;&gt;1,"Check Client ID",INDEX('Clients'!$B$6:$B$205,MATCH('Deals'!B103,'Clients'!$A$6:$A$205,0)))),IF('Deals'!B103="","",IF(COUNTIFS('Clients'!$A$6:$A$205,'Deals'!B103)&lt;&gt;1,"Check Client ID",INDEX('Clients'!$B$6:$B$205,MATCH('Deals'!B103,'Clients'!$A$6:$A$205,0)))),IF('Deals'!B103="","",IF(COUNTIFS('Clients'!$A$6:$A$205,'Deals'!B103)&lt;&gt;1,"Check Client ID",INDEX('Clients'!$B$6:$B$205,MATCH('Deals'!B103,'Clients'!$A$6:$A$205,0)))),'Follow-ups'!K103,'Payments'!B103,'Expenses'!D103))))</x:f>
      </x:c>
      <x:c r="E145" s="432" t="str">
        <x:f>IF(B145="","",IF(ISNUMBER(CHOOSE($M$42,'Clients'!K103,'Clients'!K103,'Viewings'!I103,'Deals'!C103,'Deals'!C103,'Deals'!C103,'Follow-ups'!L103,'Payments'!G103,'Expenses'!F103)),CHOOSE($M$42,'Clients'!K103,'Clients'!K103,'Viewings'!I103,'Deals'!C103,'Deals'!C103,'Deals'!C103,'Follow-ups'!L103,'Payments'!G103,'Expenses'!F103),IF(CHOOSE($M$42,'Clients'!K103,'Clients'!K103,'Viewings'!I103,'Deals'!C103,'Deals'!C103,'Deals'!C103,'Follow-ups'!L103,'Payments'!G103,'Expenses'!F103)="","",CHOOSE($M$42,'Clients'!K103,'Clients'!K103,'Viewings'!I103,'Deals'!C103,'Deals'!C103,'Deals'!C103,'Follow-ups'!L103,'Payments'!G103,'Expenses'!F103))))</x:f>
      </x:c>
      <x:c r="F145" s="432" t="str">
        <x:f>IF(B145="","",IF(ISNUMBER(CHOOSE($M$42,'Clients'!H103,'Clients'!H103,'Viewings'!E103,'Deals'!E103,'Deals'!E103,'Deals'!E103,'Follow-ups'!I103,"Receipt",'Expenses'!C103)),CHOOSE($M$42,'Clients'!H103,'Clients'!H103,'Viewings'!E103,'Deals'!E103,'Deals'!E103,'Deals'!E103,'Follow-ups'!I103,"Receipt",'Expenses'!C103),IF(CHOOSE($M$42,'Clients'!H103,'Clients'!H103,'Viewings'!E103,'Deals'!E103,'Deals'!E103,'Deals'!E103,'Follow-ups'!I103,"Receipt",'Expenses'!C103)="","",CHOOSE($M$42,'Clients'!H103,'Clients'!H103,'Viewings'!E103,'Deals'!E103,'Deals'!E103,'Deals'!E103,'Follow-ups'!I103,"Receipt",'Expenses'!C103))))</x:f>
      </x:c>
      <x:c r="G145" s="473" t="str">
        <x:f>IF(B145="","",IF(ISNUMBER(CHOOSE($M$42,"","","",'Deals'!F103,'Deals'!F103,'Deals'!F103,"",'Payments'!D103,'Expenses'!G103)),CHOOSE($M$42,"","","",'Deals'!F103,'Deals'!F103,'Deals'!F103,"",'Payments'!D103,'Expenses'!G103),IF(CHOOSE($M$42,"","","",'Deals'!F103,'Deals'!F103,'Deals'!F103,"",'Payments'!D103,'Expenses'!G103)="","",CHOOSE($M$42,"","","",'Deals'!F103,'Deals'!F103,'Deals'!F103,"",'Payments'!D103,'Expenses'!G103))))</x:f>
      </x:c>
      <x:c r="H145" s="432" t="n">
        <x:f>IF(AND($M$43=1,B145&lt;&gt;"",ISNUMBER(C145),C145&gt;=$G$6,C145&lt;$K$6+1),1,0)</x:f>
        <x:v>0</x:v>
      </x:c>
      <x:c r="I145" s="432" t="str">
        <x:f>IF(H145=0,"",COUNTIFS($H$48:$H$247,1,$C$48:$C$247,"&lt;"&amp;C145)+COUNTIFS($H$48:H145,1,$C$48:C145,C145))</x:f>
      </x:c>
      <x:c r="J145" s="432"/>
      <x:c r="K145" s="432"/>
      <x:c r="L145" s="432"/>
      <x:c r="M145" s="432"/>
      <x:c r="N145" s="432"/>
      <x:c r="O145" s="432"/>
      <x:c r="P145" s="432"/>
      <x:c r="Q145" s="432"/>
    </x:row>
    <x:row r="146" ht="25" customHeight="1">
      <x:c r="A146" s="432"/>
      <x:c r="B146" s="432" t="str">
        <x:f>IF(CHOOSE($M$42,'Clients'!A104,'Clients'!A104,'Viewings'!A104,'Deals'!A104,'Deals'!A104,'Deals'!A104,'Follow-ups'!A104,'Payments'!A104,'Expenses'!A104)="","",CHOOSE($M$42,'Clients'!A104,'Clients'!A104,'Viewings'!A104,'Deals'!A104,'Deals'!A104,'Deals'!A104,'Follow-ups'!A104,'Payments'!A104,'Expenses'!A104))</x:f>
      </x:c>
      <x:c r="C146" s="472" t="str">
        <x:f>IF(B146="","",IF(CHOOSE($M$42,'Clients'!R104,'Clients'!Q104,'Viewings'!D104,'Deals'!X104,'Deals'!Y104,'Deals'!Z104,'Follow-ups'!H104,'Payments'!C104,'Expenses'!B104)="","",CHOOSE($M$42,'Clients'!R104,'Clients'!Q104,'Viewings'!D104,'Deals'!X104,'Deals'!Y104,'Deals'!Z104,'Follow-ups'!H104,'Payments'!C104,'Expenses'!B104)))</x:f>
      </x:c>
      <x:c r="D146" s="432" t="str">
        <x:f>IF(B146="","",IF(ISNUMBER(CHOOSE($M$42,'Clients'!B104,'Clients'!B104,'Viewings'!H104,IF('Deals'!B104="","",IF(COUNTIFS('Clients'!$A$6:$A$205,'Deals'!B104)&lt;&gt;1,"Check Client ID",INDEX('Clients'!$B$6:$B$205,MATCH('Deals'!B104,'Clients'!$A$6:$A$205,0)))),IF('Deals'!B104="","",IF(COUNTIFS('Clients'!$A$6:$A$205,'Deals'!B104)&lt;&gt;1,"Check Client ID",INDEX('Clients'!$B$6:$B$205,MATCH('Deals'!B104,'Clients'!$A$6:$A$205,0)))),IF('Deals'!B104="","",IF(COUNTIFS('Clients'!$A$6:$A$205,'Deals'!B104)&lt;&gt;1,"Check Client ID",INDEX('Clients'!$B$6:$B$205,MATCH('Deals'!B104,'Clients'!$A$6:$A$205,0)))),'Follow-ups'!K104,'Payments'!B104,'Expenses'!D104)),CHOOSE($M$42,'Clients'!B104,'Clients'!B104,'Viewings'!H104,IF('Deals'!B104="","",IF(COUNTIFS('Clients'!$A$6:$A$205,'Deals'!B104)&lt;&gt;1,"Check Client ID",INDEX('Clients'!$B$6:$B$205,MATCH('Deals'!B104,'Clients'!$A$6:$A$205,0)))),IF('Deals'!B104="","",IF(COUNTIFS('Clients'!$A$6:$A$205,'Deals'!B104)&lt;&gt;1,"Check Client ID",INDEX('Clients'!$B$6:$B$205,MATCH('Deals'!B104,'Clients'!$A$6:$A$205,0)))),IF('Deals'!B104="","",IF(COUNTIFS('Clients'!$A$6:$A$205,'Deals'!B104)&lt;&gt;1,"Check Client ID",INDEX('Clients'!$B$6:$B$205,MATCH('Deals'!B104,'Clients'!$A$6:$A$205,0)))),'Follow-ups'!K104,'Payments'!B104,'Expenses'!D104),IF(CHOOSE($M$42,'Clients'!B104,'Clients'!B104,'Viewings'!H104,IF('Deals'!B104="","",IF(COUNTIFS('Clients'!$A$6:$A$205,'Deals'!B104)&lt;&gt;1,"Check Client ID",INDEX('Clients'!$B$6:$B$205,MATCH('Deals'!B104,'Clients'!$A$6:$A$205,0)))),IF('Deals'!B104="","",IF(COUNTIFS('Clients'!$A$6:$A$205,'Deals'!B104)&lt;&gt;1,"Check Client ID",INDEX('Clients'!$B$6:$B$205,MATCH('Deals'!B104,'Clients'!$A$6:$A$205,0)))),IF('Deals'!B104="","",IF(COUNTIFS('Clients'!$A$6:$A$205,'Deals'!B104)&lt;&gt;1,"Check Client ID",INDEX('Clients'!$B$6:$B$205,MATCH('Deals'!B104,'Clients'!$A$6:$A$205,0)))),'Follow-ups'!K104,'Payments'!B104,'Expenses'!D104)="","",CHOOSE($M$42,'Clients'!B104,'Clients'!B104,'Viewings'!H104,IF('Deals'!B104="","",IF(COUNTIFS('Clients'!$A$6:$A$205,'Deals'!B104)&lt;&gt;1,"Check Client ID",INDEX('Clients'!$B$6:$B$205,MATCH('Deals'!B104,'Clients'!$A$6:$A$205,0)))),IF('Deals'!B104="","",IF(COUNTIFS('Clients'!$A$6:$A$205,'Deals'!B104)&lt;&gt;1,"Check Client ID",INDEX('Clients'!$B$6:$B$205,MATCH('Deals'!B104,'Clients'!$A$6:$A$205,0)))),IF('Deals'!B104="","",IF(COUNTIFS('Clients'!$A$6:$A$205,'Deals'!B104)&lt;&gt;1,"Check Client ID",INDEX('Clients'!$B$6:$B$205,MATCH('Deals'!B104,'Clients'!$A$6:$A$205,0)))),'Follow-ups'!K104,'Payments'!B104,'Expenses'!D104))))</x:f>
      </x:c>
      <x:c r="E146" s="432" t="str">
        <x:f>IF(B146="","",IF(ISNUMBER(CHOOSE($M$42,'Clients'!K104,'Clients'!K104,'Viewings'!I104,'Deals'!C104,'Deals'!C104,'Deals'!C104,'Follow-ups'!L104,'Payments'!G104,'Expenses'!F104)),CHOOSE($M$42,'Clients'!K104,'Clients'!K104,'Viewings'!I104,'Deals'!C104,'Deals'!C104,'Deals'!C104,'Follow-ups'!L104,'Payments'!G104,'Expenses'!F104),IF(CHOOSE($M$42,'Clients'!K104,'Clients'!K104,'Viewings'!I104,'Deals'!C104,'Deals'!C104,'Deals'!C104,'Follow-ups'!L104,'Payments'!G104,'Expenses'!F104)="","",CHOOSE($M$42,'Clients'!K104,'Clients'!K104,'Viewings'!I104,'Deals'!C104,'Deals'!C104,'Deals'!C104,'Follow-ups'!L104,'Payments'!G104,'Expenses'!F104))))</x:f>
      </x:c>
      <x:c r="F146" s="432" t="str">
        <x:f>IF(B146="","",IF(ISNUMBER(CHOOSE($M$42,'Clients'!H104,'Clients'!H104,'Viewings'!E104,'Deals'!E104,'Deals'!E104,'Deals'!E104,'Follow-ups'!I104,"Receipt",'Expenses'!C104)),CHOOSE($M$42,'Clients'!H104,'Clients'!H104,'Viewings'!E104,'Deals'!E104,'Deals'!E104,'Deals'!E104,'Follow-ups'!I104,"Receipt",'Expenses'!C104),IF(CHOOSE($M$42,'Clients'!H104,'Clients'!H104,'Viewings'!E104,'Deals'!E104,'Deals'!E104,'Deals'!E104,'Follow-ups'!I104,"Receipt",'Expenses'!C104)="","",CHOOSE($M$42,'Clients'!H104,'Clients'!H104,'Viewings'!E104,'Deals'!E104,'Deals'!E104,'Deals'!E104,'Follow-ups'!I104,"Receipt",'Expenses'!C104))))</x:f>
      </x:c>
      <x:c r="G146" s="473" t="str">
        <x:f>IF(B146="","",IF(ISNUMBER(CHOOSE($M$42,"","","",'Deals'!F104,'Deals'!F104,'Deals'!F104,"",'Payments'!D104,'Expenses'!G104)),CHOOSE($M$42,"","","",'Deals'!F104,'Deals'!F104,'Deals'!F104,"",'Payments'!D104,'Expenses'!G104),IF(CHOOSE($M$42,"","","",'Deals'!F104,'Deals'!F104,'Deals'!F104,"",'Payments'!D104,'Expenses'!G104)="","",CHOOSE($M$42,"","","",'Deals'!F104,'Deals'!F104,'Deals'!F104,"",'Payments'!D104,'Expenses'!G104))))</x:f>
      </x:c>
      <x:c r="H146" s="432" t="n">
        <x:f>IF(AND($M$43=1,B146&lt;&gt;"",ISNUMBER(C146),C146&gt;=$G$6,C146&lt;$K$6+1),1,0)</x:f>
        <x:v>0</x:v>
      </x:c>
      <x:c r="I146" s="432" t="str">
        <x:f>IF(H146=0,"",COUNTIFS($H$48:$H$247,1,$C$48:$C$247,"&lt;"&amp;C146)+COUNTIFS($H$48:H146,1,$C$48:C146,C146))</x:f>
      </x:c>
      <x:c r="J146" s="432"/>
      <x:c r="K146" s="432"/>
      <x:c r="L146" s="432"/>
      <x:c r="M146" s="432"/>
      <x:c r="N146" s="432"/>
      <x:c r="O146" s="432"/>
      <x:c r="P146" s="432"/>
      <x:c r="Q146" s="432"/>
    </x:row>
    <x:row r="147" ht="25" customHeight="1">
      <x:c r="A147" s="432"/>
      <x:c r="B147" s="432" t="str">
        <x:f>IF(CHOOSE($M$42,'Clients'!A105,'Clients'!A105,'Viewings'!A105,'Deals'!A105,'Deals'!A105,'Deals'!A105,'Follow-ups'!A105,'Payments'!A105,'Expenses'!A105)="","",CHOOSE($M$42,'Clients'!A105,'Clients'!A105,'Viewings'!A105,'Deals'!A105,'Deals'!A105,'Deals'!A105,'Follow-ups'!A105,'Payments'!A105,'Expenses'!A105))</x:f>
      </x:c>
      <x:c r="C147" s="472" t="str">
        <x:f>IF(B147="","",IF(CHOOSE($M$42,'Clients'!R105,'Clients'!Q105,'Viewings'!D105,'Deals'!X105,'Deals'!Y105,'Deals'!Z105,'Follow-ups'!H105,'Payments'!C105,'Expenses'!B105)="","",CHOOSE($M$42,'Clients'!R105,'Clients'!Q105,'Viewings'!D105,'Deals'!X105,'Deals'!Y105,'Deals'!Z105,'Follow-ups'!H105,'Payments'!C105,'Expenses'!B105)))</x:f>
      </x:c>
      <x:c r="D147" s="432" t="str">
        <x:f>IF(B147="","",IF(ISNUMBER(CHOOSE($M$42,'Clients'!B105,'Clients'!B105,'Viewings'!H105,IF('Deals'!B105="","",IF(COUNTIFS('Clients'!$A$6:$A$205,'Deals'!B105)&lt;&gt;1,"Check Client ID",INDEX('Clients'!$B$6:$B$205,MATCH('Deals'!B105,'Clients'!$A$6:$A$205,0)))),IF('Deals'!B105="","",IF(COUNTIFS('Clients'!$A$6:$A$205,'Deals'!B105)&lt;&gt;1,"Check Client ID",INDEX('Clients'!$B$6:$B$205,MATCH('Deals'!B105,'Clients'!$A$6:$A$205,0)))),IF('Deals'!B105="","",IF(COUNTIFS('Clients'!$A$6:$A$205,'Deals'!B105)&lt;&gt;1,"Check Client ID",INDEX('Clients'!$B$6:$B$205,MATCH('Deals'!B105,'Clients'!$A$6:$A$205,0)))),'Follow-ups'!K105,'Payments'!B105,'Expenses'!D105)),CHOOSE($M$42,'Clients'!B105,'Clients'!B105,'Viewings'!H105,IF('Deals'!B105="","",IF(COUNTIFS('Clients'!$A$6:$A$205,'Deals'!B105)&lt;&gt;1,"Check Client ID",INDEX('Clients'!$B$6:$B$205,MATCH('Deals'!B105,'Clients'!$A$6:$A$205,0)))),IF('Deals'!B105="","",IF(COUNTIFS('Clients'!$A$6:$A$205,'Deals'!B105)&lt;&gt;1,"Check Client ID",INDEX('Clients'!$B$6:$B$205,MATCH('Deals'!B105,'Clients'!$A$6:$A$205,0)))),IF('Deals'!B105="","",IF(COUNTIFS('Clients'!$A$6:$A$205,'Deals'!B105)&lt;&gt;1,"Check Client ID",INDEX('Clients'!$B$6:$B$205,MATCH('Deals'!B105,'Clients'!$A$6:$A$205,0)))),'Follow-ups'!K105,'Payments'!B105,'Expenses'!D105),IF(CHOOSE($M$42,'Clients'!B105,'Clients'!B105,'Viewings'!H105,IF('Deals'!B105="","",IF(COUNTIFS('Clients'!$A$6:$A$205,'Deals'!B105)&lt;&gt;1,"Check Client ID",INDEX('Clients'!$B$6:$B$205,MATCH('Deals'!B105,'Clients'!$A$6:$A$205,0)))),IF('Deals'!B105="","",IF(COUNTIFS('Clients'!$A$6:$A$205,'Deals'!B105)&lt;&gt;1,"Check Client ID",INDEX('Clients'!$B$6:$B$205,MATCH('Deals'!B105,'Clients'!$A$6:$A$205,0)))),IF('Deals'!B105="","",IF(COUNTIFS('Clients'!$A$6:$A$205,'Deals'!B105)&lt;&gt;1,"Check Client ID",INDEX('Clients'!$B$6:$B$205,MATCH('Deals'!B105,'Clients'!$A$6:$A$205,0)))),'Follow-ups'!K105,'Payments'!B105,'Expenses'!D105)="","",CHOOSE($M$42,'Clients'!B105,'Clients'!B105,'Viewings'!H105,IF('Deals'!B105="","",IF(COUNTIFS('Clients'!$A$6:$A$205,'Deals'!B105)&lt;&gt;1,"Check Client ID",INDEX('Clients'!$B$6:$B$205,MATCH('Deals'!B105,'Clients'!$A$6:$A$205,0)))),IF('Deals'!B105="","",IF(COUNTIFS('Clients'!$A$6:$A$205,'Deals'!B105)&lt;&gt;1,"Check Client ID",INDEX('Clients'!$B$6:$B$205,MATCH('Deals'!B105,'Clients'!$A$6:$A$205,0)))),IF('Deals'!B105="","",IF(COUNTIFS('Clients'!$A$6:$A$205,'Deals'!B105)&lt;&gt;1,"Check Client ID",INDEX('Clients'!$B$6:$B$205,MATCH('Deals'!B105,'Clients'!$A$6:$A$205,0)))),'Follow-ups'!K105,'Payments'!B105,'Expenses'!D105))))</x:f>
      </x:c>
      <x:c r="E147" s="432" t="str">
        <x:f>IF(B147="","",IF(ISNUMBER(CHOOSE($M$42,'Clients'!K105,'Clients'!K105,'Viewings'!I105,'Deals'!C105,'Deals'!C105,'Deals'!C105,'Follow-ups'!L105,'Payments'!G105,'Expenses'!F105)),CHOOSE($M$42,'Clients'!K105,'Clients'!K105,'Viewings'!I105,'Deals'!C105,'Deals'!C105,'Deals'!C105,'Follow-ups'!L105,'Payments'!G105,'Expenses'!F105),IF(CHOOSE($M$42,'Clients'!K105,'Clients'!K105,'Viewings'!I105,'Deals'!C105,'Deals'!C105,'Deals'!C105,'Follow-ups'!L105,'Payments'!G105,'Expenses'!F105)="","",CHOOSE($M$42,'Clients'!K105,'Clients'!K105,'Viewings'!I105,'Deals'!C105,'Deals'!C105,'Deals'!C105,'Follow-ups'!L105,'Payments'!G105,'Expenses'!F105))))</x:f>
      </x:c>
      <x:c r="F147" s="432" t="str">
        <x:f>IF(B147="","",IF(ISNUMBER(CHOOSE($M$42,'Clients'!H105,'Clients'!H105,'Viewings'!E105,'Deals'!E105,'Deals'!E105,'Deals'!E105,'Follow-ups'!I105,"Receipt",'Expenses'!C105)),CHOOSE($M$42,'Clients'!H105,'Clients'!H105,'Viewings'!E105,'Deals'!E105,'Deals'!E105,'Deals'!E105,'Follow-ups'!I105,"Receipt",'Expenses'!C105),IF(CHOOSE($M$42,'Clients'!H105,'Clients'!H105,'Viewings'!E105,'Deals'!E105,'Deals'!E105,'Deals'!E105,'Follow-ups'!I105,"Receipt",'Expenses'!C105)="","",CHOOSE($M$42,'Clients'!H105,'Clients'!H105,'Viewings'!E105,'Deals'!E105,'Deals'!E105,'Deals'!E105,'Follow-ups'!I105,"Receipt",'Expenses'!C105))))</x:f>
      </x:c>
      <x:c r="G147" s="473" t="str">
        <x:f>IF(B147="","",IF(ISNUMBER(CHOOSE($M$42,"","","",'Deals'!F105,'Deals'!F105,'Deals'!F105,"",'Payments'!D105,'Expenses'!G105)),CHOOSE($M$42,"","","",'Deals'!F105,'Deals'!F105,'Deals'!F105,"",'Payments'!D105,'Expenses'!G105),IF(CHOOSE($M$42,"","","",'Deals'!F105,'Deals'!F105,'Deals'!F105,"",'Payments'!D105,'Expenses'!G105)="","",CHOOSE($M$42,"","","",'Deals'!F105,'Deals'!F105,'Deals'!F105,"",'Payments'!D105,'Expenses'!G105))))</x:f>
      </x:c>
      <x:c r="H147" s="432" t="n">
        <x:f>IF(AND($M$43=1,B147&lt;&gt;"",ISNUMBER(C147),C147&gt;=$G$6,C147&lt;$K$6+1),1,0)</x:f>
        <x:v>0</x:v>
      </x:c>
      <x:c r="I147" s="432" t="str">
        <x:f>IF(H147=0,"",COUNTIFS($H$48:$H$247,1,$C$48:$C$247,"&lt;"&amp;C147)+COUNTIFS($H$48:H147,1,$C$48:C147,C147))</x:f>
      </x:c>
      <x:c r="J147" s="432"/>
      <x:c r="K147" s="432"/>
      <x:c r="L147" s="432"/>
      <x:c r="M147" s="432"/>
      <x:c r="N147" s="432"/>
      <x:c r="O147" s="432"/>
      <x:c r="P147" s="432"/>
      <x:c r="Q147" s="432"/>
    </x:row>
    <x:row r="148" ht="25" customHeight="1">
      <x:c r="A148" s="432"/>
      <x:c r="B148" s="432" t="str">
        <x:f>IF(CHOOSE($M$42,'Clients'!A106,'Clients'!A106,'Viewings'!A106,'Deals'!A106,'Deals'!A106,'Deals'!A106,'Follow-ups'!A106,'Payments'!A106,'Expenses'!A106)="","",CHOOSE($M$42,'Clients'!A106,'Clients'!A106,'Viewings'!A106,'Deals'!A106,'Deals'!A106,'Deals'!A106,'Follow-ups'!A106,'Payments'!A106,'Expenses'!A106))</x:f>
      </x:c>
      <x:c r="C148" s="472" t="str">
        <x:f>IF(B148="","",IF(CHOOSE($M$42,'Clients'!R106,'Clients'!Q106,'Viewings'!D106,'Deals'!X106,'Deals'!Y106,'Deals'!Z106,'Follow-ups'!H106,'Payments'!C106,'Expenses'!B106)="","",CHOOSE($M$42,'Clients'!R106,'Clients'!Q106,'Viewings'!D106,'Deals'!X106,'Deals'!Y106,'Deals'!Z106,'Follow-ups'!H106,'Payments'!C106,'Expenses'!B106)))</x:f>
      </x:c>
      <x:c r="D148" s="432" t="str">
        <x:f>IF(B148="","",IF(ISNUMBER(CHOOSE($M$42,'Clients'!B106,'Clients'!B106,'Viewings'!H106,IF('Deals'!B106="","",IF(COUNTIFS('Clients'!$A$6:$A$205,'Deals'!B106)&lt;&gt;1,"Check Client ID",INDEX('Clients'!$B$6:$B$205,MATCH('Deals'!B106,'Clients'!$A$6:$A$205,0)))),IF('Deals'!B106="","",IF(COUNTIFS('Clients'!$A$6:$A$205,'Deals'!B106)&lt;&gt;1,"Check Client ID",INDEX('Clients'!$B$6:$B$205,MATCH('Deals'!B106,'Clients'!$A$6:$A$205,0)))),IF('Deals'!B106="","",IF(COUNTIFS('Clients'!$A$6:$A$205,'Deals'!B106)&lt;&gt;1,"Check Client ID",INDEX('Clients'!$B$6:$B$205,MATCH('Deals'!B106,'Clients'!$A$6:$A$205,0)))),'Follow-ups'!K106,'Payments'!B106,'Expenses'!D106)),CHOOSE($M$42,'Clients'!B106,'Clients'!B106,'Viewings'!H106,IF('Deals'!B106="","",IF(COUNTIFS('Clients'!$A$6:$A$205,'Deals'!B106)&lt;&gt;1,"Check Client ID",INDEX('Clients'!$B$6:$B$205,MATCH('Deals'!B106,'Clients'!$A$6:$A$205,0)))),IF('Deals'!B106="","",IF(COUNTIFS('Clients'!$A$6:$A$205,'Deals'!B106)&lt;&gt;1,"Check Client ID",INDEX('Clients'!$B$6:$B$205,MATCH('Deals'!B106,'Clients'!$A$6:$A$205,0)))),IF('Deals'!B106="","",IF(COUNTIFS('Clients'!$A$6:$A$205,'Deals'!B106)&lt;&gt;1,"Check Client ID",INDEX('Clients'!$B$6:$B$205,MATCH('Deals'!B106,'Clients'!$A$6:$A$205,0)))),'Follow-ups'!K106,'Payments'!B106,'Expenses'!D106),IF(CHOOSE($M$42,'Clients'!B106,'Clients'!B106,'Viewings'!H106,IF('Deals'!B106="","",IF(COUNTIFS('Clients'!$A$6:$A$205,'Deals'!B106)&lt;&gt;1,"Check Client ID",INDEX('Clients'!$B$6:$B$205,MATCH('Deals'!B106,'Clients'!$A$6:$A$205,0)))),IF('Deals'!B106="","",IF(COUNTIFS('Clients'!$A$6:$A$205,'Deals'!B106)&lt;&gt;1,"Check Client ID",INDEX('Clients'!$B$6:$B$205,MATCH('Deals'!B106,'Clients'!$A$6:$A$205,0)))),IF('Deals'!B106="","",IF(COUNTIFS('Clients'!$A$6:$A$205,'Deals'!B106)&lt;&gt;1,"Check Client ID",INDEX('Clients'!$B$6:$B$205,MATCH('Deals'!B106,'Clients'!$A$6:$A$205,0)))),'Follow-ups'!K106,'Payments'!B106,'Expenses'!D106)="","",CHOOSE($M$42,'Clients'!B106,'Clients'!B106,'Viewings'!H106,IF('Deals'!B106="","",IF(COUNTIFS('Clients'!$A$6:$A$205,'Deals'!B106)&lt;&gt;1,"Check Client ID",INDEX('Clients'!$B$6:$B$205,MATCH('Deals'!B106,'Clients'!$A$6:$A$205,0)))),IF('Deals'!B106="","",IF(COUNTIFS('Clients'!$A$6:$A$205,'Deals'!B106)&lt;&gt;1,"Check Client ID",INDEX('Clients'!$B$6:$B$205,MATCH('Deals'!B106,'Clients'!$A$6:$A$205,0)))),IF('Deals'!B106="","",IF(COUNTIFS('Clients'!$A$6:$A$205,'Deals'!B106)&lt;&gt;1,"Check Client ID",INDEX('Clients'!$B$6:$B$205,MATCH('Deals'!B106,'Clients'!$A$6:$A$205,0)))),'Follow-ups'!K106,'Payments'!B106,'Expenses'!D106))))</x:f>
      </x:c>
      <x:c r="E148" s="432" t="str">
        <x:f>IF(B148="","",IF(ISNUMBER(CHOOSE($M$42,'Clients'!K106,'Clients'!K106,'Viewings'!I106,'Deals'!C106,'Deals'!C106,'Deals'!C106,'Follow-ups'!L106,'Payments'!G106,'Expenses'!F106)),CHOOSE($M$42,'Clients'!K106,'Clients'!K106,'Viewings'!I106,'Deals'!C106,'Deals'!C106,'Deals'!C106,'Follow-ups'!L106,'Payments'!G106,'Expenses'!F106),IF(CHOOSE($M$42,'Clients'!K106,'Clients'!K106,'Viewings'!I106,'Deals'!C106,'Deals'!C106,'Deals'!C106,'Follow-ups'!L106,'Payments'!G106,'Expenses'!F106)="","",CHOOSE($M$42,'Clients'!K106,'Clients'!K106,'Viewings'!I106,'Deals'!C106,'Deals'!C106,'Deals'!C106,'Follow-ups'!L106,'Payments'!G106,'Expenses'!F106))))</x:f>
      </x:c>
      <x:c r="F148" s="432" t="str">
        <x:f>IF(B148="","",IF(ISNUMBER(CHOOSE($M$42,'Clients'!H106,'Clients'!H106,'Viewings'!E106,'Deals'!E106,'Deals'!E106,'Deals'!E106,'Follow-ups'!I106,"Receipt",'Expenses'!C106)),CHOOSE($M$42,'Clients'!H106,'Clients'!H106,'Viewings'!E106,'Deals'!E106,'Deals'!E106,'Deals'!E106,'Follow-ups'!I106,"Receipt",'Expenses'!C106),IF(CHOOSE($M$42,'Clients'!H106,'Clients'!H106,'Viewings'!E106,'Deals'!E106,'Deals'!E106,'Deals'!E106,'Follow-ups'!I106,"Receipt",'Expenses'!C106)="","",CHOOSE($M$42,'Clients'!H106,'Clients'!H106,'Viewings'!E106,'Deals'!E106,'Deals'!E106,'Deals'!E106,'Follow-ups'!I106,"Receipt",'Expenses'!C106))))</x:f>
      </x:c>
      <x:c r="G148" s="473" t="str">
        <x:f>IF(B148="","",IF(ISNUMBER(CHOOSE($M$42,"","","",'Deals'!F106,'Deals'!F106,'Deals'!F106,"",'Payments'!D106,'Expenses'!G106)),CHOOSE($M$42,"","","",'Deals'!F106,'Deals'!F106,'Deals'!F106,"",'Payments'!D106,'Expenses'!G106),IF(CHOOSE($M$42,"","","",'Deals'!F106,'Deals'!F106,'Deals'!F106,"",'Payments'!D106,'Expenses'!G106)="","",CHOOSE($M$42,"","","",'Deals'!F106,'Deals'!F106,'Deals'!F106,"",'Payments'!D106,'Expenses'!G106))))</x:f>
      </x:c>
      <x:c r="H148" s="432" t="n">
        <x:f>IF(AND($M$43=1,B148&lt;&gt;"",ISNUMBER(C148),C148&gt;=$G$6,C148&lt;$K$6+1),1,0)</x:f>
        <x:v>0</x:v>
      </x:c>
      <x:c r="I148" s="432" t="str">
        <x:f>IF(H148=0,"",COUNTIFS($H$48:$H$247,1,$C$48:$C$247,"&lt;"&amp;C148)+COUNTIFS($H$48:H148,1,$C$48:C148,C148))</x:f>
      </x:c>
      <x:c r="J148" s="432"/>
      <x:c r="K148" s="432"/>
      <x:c r="L148" s="432"/>
      <x:c r="M148" s="432"/>
      <x:c r="N148" s="432"/>
      <x:c r="O148" s="432"/>
      <x:c r="P148" s="432"/>
      <x:c r="Q148" s="432"/>
    </x:row>
    <x:row r="149" ht="25" customHeight="1">
      <x:c r="A149" s="432"/>
      <x:c r="B149" s="432" t="str">
        <x:f>IF(CHOOSE($M$42,'Clients'!A107,'Clients'!A107,'Viewings'!A107,'Deals'!A107,'Deals'!A107,'Deals'!A107,'Follow-ups'!A107,'Payments'!A107,'Expenses'!A107)="","",CHOOSE($M$42,'Clients'!A107,'Clients'!A107,'Viewings'!A107,'Deals'!A107,'Deals'!A107,'Deals'!A107,'Follow-ups'!A107,'Payments'!A107,'Expenses'!A107))</x:f>
      </x:c>
      <x:c r="C149" s="472" t="str">
        <x:f>IF(B149="","",IF(CHOOSE($M$42,'Clients'!R107,'Clients'!Q107,'Viewings'!D107,'Deals'!X107,'Deals'!Y107,'Deals'!Z107,'Follow-ups'!H107,'Payments'!C107,'Expenses'!B107)="","",CHOOSE($M$42,'Clients'!R107,'Clients'!Q107,'Viewings'!D107,'Deals'!X107,'Deals'!Y107,'Deals'!Z107,'Follow-ups'!H107,'Payments'!C107,'Expenses'!B107)))</x:f>
      </x:c>
      <x:c r="D149" s="432" t="str">
        <x:f>IF(B149="","",IF(ISNUMBER(CHOOSE($M$42,'Clients'!B107,'Clients'!B107,'Viewings'!H107,IF('Deals'!B107="","",IF(COUNTIFS('Clients'!$A$6:$A$205,'Deals'!B107)&lt;&gt;1,"Check Client ID",INDEX('Clients'!$B$6:$B$205,MATCH('Deals'!B107,'Clients'!$A$6:$A$205,0)))),IF('Deals'!B107="","",IF(COUNTIFS('Clients'!$A$6:$A$205,'Deals'!B107)&lt;&gt;1,"Check Client ID",INDEX('Clients'!$B$6:$B$205,MATCH('Deals'!B107,'Clients'!$A$6:$A$205,0)))),IF('Deals'!B107="","",IF(COUNTIFS('Clients'!$A$6:$A$205,'Deals'!B107)&lt;&gt;1,"Check Client ID",INDEX('Clients'!$B$6:$B$205,MATCH('Deals'!B107,'Clients'!$A$6:$A$205,0)))),'Follow-ups'!K107,'Payments'!B107,'Expenses'!D107)),CHOOSE($M$42,'Clients'!B107,'Clients'!B107,'Viewings'!H107,IF('Deals'!B107="","",IF(COUNTIFS('Clients'!$A$6:$A$205,'Deals'!B107)&lt;&gt;1,"Check Client ID",INDEX('Clients'!$B$6:$B$205,MATCH('Deals'!B107,'Clients'!$A$6:$A$205,0)))),IF('Deals'!B107="","",IF(COUNTIFS('Clients'!$A$6:$A$205,'Deals'!B107)&lt;&gt;1,"Check Client ID",INDEX('Clients'!$B$6:$B$205,MATCH('Deals'!B107,'Clients'!$A$6:$A$205,0)))),IF('Deals'!B107="","",IF(COUNTIFS('Clients'!$A$6:$A$205,'Deals'!B107)&lt;&gt;1,"Check Client ID",INDEX('Clients'!$B$6:$B$205,MATCH('Deals'!B107,'Clients'!$A$6:$A$205,0)))),'Follow-ups'!K107,'Payments'!B107,'Expenses'!D107),IF(CHOOSE($M$42,'Clients'!B107,'Clients'!B107,'Viewings'!H107,IF('Deals'!B107="","",IF(COUNTIFS('Clients'!$A$6:$A$205,'Deals'!B107)&lt;&gt;1,"Check Client ID",INDEX('Clients'!$B$6:$B$205,MATCH('Deals'!B107,'Clients'!$A$6:$A$205,0)))),IF('Deals'!B107="","",IF(COUNTIFS('Clients'!$A$6:$A$205,'Deals'!B107)&lt;&gt;1,"Check Client ID",INDEX('Clients'!$B$6:$B$205,MATCH('Deals'!B107,'Clients'!$A$6:$A$205,0)))),IF('Deals'!B107="","",IF(COUNTIFS('Clients'!$A$6:$A$205,'Deals'!B107)&lt;&gt;1,"Check Client ID",INDEX('Clients'!$B$6:$B$205,MATCH('Deals'!B107,'Clients'!$A$6:$A$205,0)))),'Follow-ups'!K107,'Payments'!B107,'Expenses'!D107)="","",CHOOSE($M$42,'Clients'!B107,'Clients'!B107,'Viewings'!H107,IF('Deals'!B107="","",IF(COUNTIFS('Clients'!$A$6:$A$205,'Deals'!B107)&lt;&gt;1,"Check Client ID",INDEX('Clients'!$B$6:$B$205,MATCH('Deals'!B107,'Clients'!$A$6:$A$205,0)))),IF('Deals'!B107="","",IF(COUNTIFS('Clients'!$A$6:$A$205,'Deals'!B107)&lt;&gt;1,"Check Client ID",INDEX('Clients'!$B$6:$B$205,MATCH('Deals'!B107,'Clients'!$A$6:$A$205,0)))),IF('Deals'!B107="","",IF(COUNTIFS('Clients'!$A$6:$A$205,'Deals'!B107)&lt;&gt;1,"Check Client ID",INDEX('Clients'!$B$6:$B$205,MATCH('Deals'!B107,'Clients'!$A$6:$A$205,0)))),'Follow-ups'!K107,'Payments'!B107,'Expenses'!D107))))</x:f>
      </x:c>
      <x:c r="E149" s="432" t="str">
        <x:f>IF(B149="","",IF(ISNUMBER(CHOOSE($M$42,'Clients'!K107,'Clients'!K107,'Viewings'!I107,'Deals'!C107,'Deals'!C107,'Deals'!C107,'Follow-ups'!L107,'Payments'!G107,'Expenses'!F107)),CHOOSE($M$42,'Clients'!K107,'Clients'!K107,'Viewings'!I107,'Deals'!C107,'Deals'!C107,'Deals'!C107,'Follow-ups'!L107,'Payments'!G107,'Expenses'!F107),IF(CHOOSE($M$42,'Clients'!K107,'Clients'!K107,'Viewings'!I107,'Deals'!C107,'Deals'!C107,'Deals'!C107,'Follow-ups'!L107,'Payments'!G107,'Expenses'!F107)="","",CHOOSE($M$42,'Clients'!K107,'Clients'!K107,'Viewings'!I107,'Deals'!C107,'Deals'!C107,'Deals'!C107,'Follow-ups'!L107,'Payments'!G107,'Expenses'!F107))))</x:f>
      </x:c>
      <x:c r="F149" s="432" t="str">
        <x:f>IF(B149="","",IF(ISNUMBER(CHOOSE($M$42,'Clients'!H107,'Clients'!H107,'Viewings'!E107,'Deals'!E107,'Deals'!E107,'Deals'!E107,'Follow-ups'!I107,"Receipt",'Expenses'!C107)),CHOOSE($M$42,'Clients'!H107,'Clients'!H107,'Viewings'!E107,'Deals'!E107,'Deals'!E107,'Deals'!E107,'Follow-ups'!I107,"Receipt",'Expenses'!C107),IF(CHOOSE($M$42,'Clients'!H107,'Clients'!H107,'Viewings'!E107,'Deals'!E107,'Deals'!E107,'Deals'!E107,'Follow-ups'!I107,"Receipt",'Expenses'!C107)="","",CHOOSE($M$42,'Clients'!H107,'Clients'!H107,'Viewings'!E107,'Deals'!E107,'Deals'!E107,'Deals'!E107,'Follow-ups'!I107,"Receipt",'Expenses'!C107))))</x:f>
      </x:c>
      <x:c r="G149" s="473" t="str">
        <x:f>IF(B149="","",IF(ISNUMBER(CHOOSE($M$42,"","","",'Deals'!F107,'Deals'!F107,'Deals'!F107,"",'Payments'!D107,'Expenses'!G107)),CHOOSE($M$42,"","","",'Deals'!F107,'Deals'!F107,'Deals'!F107,"",'Payments'!D107,'Expenses'!G107),IF(CHOOSE($M$42,"","","",'Deals'!F107,'Deals'!F107,'Deals'!F107,"",'Payments'!D107,'Expenses'!G107)="","",CHOOSE($M$42,"","","",'Deals'!F107,'Deals'!F107,'Deals'!F107,"",'Payments'!D107,'Expenses'!G107))))</x:f>
      </x:c>
      <x:c r="H149" s="432" t="n">
        <x:f>IF(AND($M$43=1,B149&lt;&gt;"",ISNUMBER(C149),C149&gt;=$G$6,C149&lt;$K$6+1),1,0)</x:f>
        <x:v>0</x:v>
      </x:c>
      <x:c r="I149" s="432" t="str">
        <x:f>IF(H149=0,"",COUNTIFS($H$48:$H$247,1,$C$48:$C$247,"&lt;"&amp;C149)+COUNTIFS($H$48:H149,1,$C$48:C149,C149))</x:f>
      </x:c>
      <x:c r="J149" s="432"/>
      <x:c r="K149" s="432"/>
      <x:c r="L149" s="432"/>
      <x:c r="M149" s="432"/>
      <x:c r="N149" s="432"/>
      <x:c r="O149" s="432"/>
      <x:c r="P149" s="432"/>
      <x:c r="Q149" s="432"/>
    </x:row>
    <x:row r="150" ht="25" customHeight="1">
      <x:c r="A150" s="432"/>
      <x:c r="B150" s="432" t="str">
        <x:f>IF(CHOOSE($M$42,'Clients'!A108,'Clients'!A108,'Viewings'!A108,'Deals'!A108,'Deals'!A108,'Deals'!A108,'Follow-ups'!A108,'Payments'!A108,'Expenses'!A108)="","",CHOOSE($M$42,'Clients'!A108,'Clients'!A108,'Viewings'!A108,'Deals'!A108,'Deals'!A108,'Deals'!A108,'Follow-ups'!A108,'Payments'!A108,'Expenses'!A108))</x:f>
      </x:c>
      <x:c r="C150" s="472" t="str">
        <x:f>IF(B150="","",IF(CHOOSE($M$42,'Clients'!R108,'Clients'!Q108,'Viewings'!D108,'Deals'!X108,'Deals'!Y108,'Deals'!Z108,'Follow-ups'!H108,'Payments'!C108,'Expenses'!B108)="","",CHOOSE($M$42,'Clients'!R108,'Clients'!Q108,'Viewings'!D108,'Deals'!X108,'Deals'!Y108,'Deals'!Z108,'Follow-ups'!H108,'Payments'!C108,'Expenses'!B108)))</x:f>
      </x:c>
      <x:c r="D150" s="432" t="str">
        <x:f>IF(B150="","",IF(ISNUMBER(CHOOSE($M$42,'Clients'!B108,'Clients'!B108,'Viewings'!H108,IF('Deals'!B108="","",IF(COUNTIFS('Clients'!$A$6:$A$205,'Deals'!B108)&lt;&gt;1,"Check Client ID",INDEX('Clients'!$B$6:$B$205,MATCH('Deals'!B108,'Clients'!$A$6:$A$205,0)))),IF('Deals'!B108="","",IF(COUNTIFS('Clients'!$A$6:$A$205,'Deals'!B108)&lt;&gt;1,"Check Client ID",INDEX('Clients'!$B$6:$B$205,MATCH('Deals'!B108,'Clients'!$A$6:$A$205,0)))),IF('Deals'!B108="","",IF(COUNTIFS('Clients'!$A$6:$A$205,'Deals'!B108)&lt;&gt;1,"Check Client ID",INDEX('Clients'!$B$6:$B$205,MATCH('Deals'!B108,'Clients'!$A$6:$A$205,0)))),'Follow-ups'!K108,'Payments'!B108,'Expenses'!D108)),CHOOSE($M$42,'Clients'!B108,'Clients'!B108,'Viewings'!H108,IF('Deals'!B108="","",IF(COUNTIFS('Clients'!$A$6:$A$205,'Deals'!B108)&lt;&gt;1,"Check Client ID",INDEX('Clients'!$B$6:$B$205,MATCH('Deals'!B108,'Clients'!$A$6:$A$205,0)))),IF('Deals'!B108="","",IF(COUNTIFS('Clients'!$A$6:$A$205,'Deals'!B108)&lt;&gt;1,"Check Client ID",INDEX('Clients'!$B$6:$B$205,MATCH('Deals'!B108,'Clients'!$A$6:$A$205,0)))),IF('Deals'!B108="","",IF(COUNTIFS('Clients'!$A$6:$A$205,'Deals'!B108)&lt;&gt;1,"Check Client ID",INDEX('Clients'!$B$6:$B$205,MATCH('Deals'!B108,'Clients'!$A$6:$A$205,0)))),'Follow-ups'!K108,'Payments'!B108,'Expenses'!D108),IF(CHOOSE($M$42,'Clients'!B108,'Clients'!B108,'Viewings'!H108,IF('Deals'!B108="","",IF(COUNTIFS('Clients'!$A$6:$A$205,'Deals'!B108)&lt;&gt;1,"Check Client ID",INDEX('Clients'!$B$6:$B$205,MATCH('Deals'!B108,'Clients'!$A$6:$A$205,0)))),IF('Deals'!B108="","",IF(COUNTIFS('Clients'!$A$6:$A$205,'Deals'!B108)&lt;&gt;1,"Check Client ID",INDEX('Clients'!$B$6:$B$205,MATCH('Deals'!B108,'Clients'!$A$6:$A$205,0)))),IF('Deals'!B108="","",IF(COUNTIFS('Clients'!$A$6:$A$205,'Deals'!B108)&lt;&gt;1,"Check Client ID",INDEX('Clients'!$B$6:$B$205,MATCH('Deals'!B108,'Clients'!$A$6:$A$205,0)))),'Follow-ups'!K108,'Payments'!B108,'Expenses'!D108)="","",CHOOSE($M$42,'Clients'!B108,'Clients'!B108,'Viewings'!H108,IF('Deals'!B108="","",IF(COUNTIFS('Clients'!$A$6:$A$205,'Deals'!B108)&lt;&gt;1,"Check Client ID",INDEX('Clients'!$B$6:$B$205,MATCH('Deals'!B108,'Clients'!$A$6:$A$205,0)))),IF('Deals'!B108="","",IF(COUNTIFS('Clients'!$A$6:$A$205,'Deals'!B108)&lt;&gt;1,"Check Client ID",INDEX('Clients'!$B$6:$B$205,MATCH('Deals'!B108,'Clients'!$A$6:$A$205,0)))),IF('Deals'!B108="","",IF(COUNTIFS('Clients'!$A$6:$A$205,'Deals'!B108)&lt;&gt;1,"Check Client ID",INDEX('Clients'!$B$6:$B$205,MATCH('Deals'!B108,'Clients'!$A$6:$A$205,0)))),'Follow-ups'!K108,'Payments'!B108,'Expenses'!D108))))</x:f>
      </x:c>
      <x:c r="E150" s="432" t="str">
        <x:f>IF(B150="","",IF(ISNUMBER(CHOOSE($M$42,'Clients'!K108,'Clients'!K108,'Viewings'!I108,'Deals'!C108,'Deals'!C108,'Deals'!C108,'Follow-ups'!L108,'Payments'!G108,'Expenses'!F108)),CHOOSE($M$42,'Clients'!K108,'Clients'!K108,'Viewings'!I108,'Deals'!C108,'Deals'!C108,'Deals'!C108,'Follow-ups'!L108,'Payments'!G108,'Expenses'!F108),IF(CHOOSE($M$42,'Clients'!K108,'Clients'!K108,'Viewings'!I108,'Deals'!C108,'Deals'!C108,'Deals'!C108,'Follow-ups'!L108,'Payments'!G108,'Expenses'!F108)="","",CHOOSE($M$42,'Clients'!K108,'Clients'!K108,'Viewings'!I108,'Deals'!C108,'Deals'!C108,'Deals'!C108,'Follow-ups'!L108,'Payments'!G108,'Expenses'!F108))))</x:f>
      </x:c>
      <x:c r="F150" s="432" t="str">
        <x:f>IF(B150="","",IF(ISNUMBER(CHOOSE($M$42,'Clients'!H108,'Clients'!H108,'Viewings'!E108,'Deals'!E108,'Deals'!E108,'Deals'!E108,'Follow-ups'!I108,"Receipt",'Expenses'!C108)),CHOOSE($M$42,'Clients'!H108,'Clients'!H108,'Viewings'!E108,'Deals'!E108,'Deals'!E108,'Deals'!E108,'Follow-ups'!I108,"Receipt",'Expenses'!C108),IF(CHOOSE($M$42,'Clients'!H108,'Clients'!H108,'Viewings'!E108,'Deals'!E108,'Deals'!E108,'Deals'!E108,'Follow-ups'!I108,"Receipt",'Expenses'!C108)="","",CHOOSE($M$42,'Clients'!H108,'Clients'!H108,'Viewings'!E108,'Deals'!E108,'Deals'!E108,'Deals'!E108,'Follow-ups'!I108,"Receipt",'Expenses'!C108))))</x:f>
      </x:c>
      <x:c r="G150" s="473" t="str">
        <x:f>IF(B150="","",IF(ISNUMBER(CHOOSE($M$42,"","","",'Deals'!F108,'Deals'!F108,'Deals'!F108,"",'Payments'!D108,'Expenses'!G108)),CHOOSE($M$42,"","","",'Deals'!F108,'Deals'!F108,'Deals'!F108,"",'Payments'!D108,'Expenses'!G108),IF(CHOOSE($M$42,"","","",'Deals'!F108,'Deals'!F108,'Deals'!F108,"",'Payments'!D108,'Expenses'!G108)="","",CHOOSE($M$42,"","","",'Deals'!F108,'Deals'!F108,'Deals'!F108,"",'Payments'!D108,'Expenses'!G108))))</x:f>
      </x:c>
      <x:c r="H150" s="432" t="n">
        <x:f>IF(AND($M$43=1,B150&lt;&gt;"",ISNUMBER(C150),C150&gt;=$G$6,C150&lt;$K$6+1),1,0)</x:f>
        <x:v>0</x:v>
      </x:c>
      <x:c r="I150" s="432" t="str">
        <x:f>IF(H150=0,"",COUNTIFS($H$48:$H$247,1,$C$48:$C$247,"&lt;"&amp;C150)+COUNTIFS($H$48:H150,1,$C$48:C150,C150))</x:f>
      </x:c>
      <x:c r="J150" s="432"/>
      <x:c r="K150" s="432"/>
      <x:c r="L150" s="432"/>
      <x:c r="M150" s="432"/>
      <x:c r="N150" s="432"/>
      <x:c r="O150" s="432"/>
      <x:c r="P150" s="432"/>
      <x:c r="Q150" s="432"/>
    </x:row>
    <x:row r="151" ht="25" customHeight="1">
      <x:c r="A151" s="432"/>
      <x:c r="B151" s="432" t="str">
        <x:f>IF(CHOOSE($M$42,'Clients'!A109,'Clients'!A109,'Viewings'!A109,'Deals'!A109,'Deals'!A109,'Deals'!A109,'Follow-ups'!A109,'Payments'!A109,'Expenses'!A109)="","",CHOOSE($M$42,'Clients'!A109,'Clients'!A109,'Viewings'!A109,'Deals'!A109,'Deals'!A109,'Deals'!A109,'Follow-ups'!A109,'Payments'!A109,'Expenses'!A109))</x:f>
      </x:c>
      <x:c r="C151" s="472" t="str">
        <x:f>IF(B151="","",IF(CHOOSE($M$42,'Clients'!R109,'Clients'!Q109,'Viewings'!D109,'Deals'!X109,'Deals'!Y109,'Deals'!Z109,'Follow-ups'!H109,'Payments'!C109,'Expenses'!B109)="","",CHOOSE($M$42,'Clients'!R109,'Clients'!Q109,'Viewings'!D109,'Deals'!X109,'Deals'!Y109,'Deals'!Z109,'Follow-ups'!H109,'Payments'!C109,'Expenses'!B109)))</x:f>
      </x:c>
      <x:c r="D151" s="432" t="str">
        <x:f>IF(B151="","",IF(ISNUMBER(CHOOSE($M$42,'Clients'!B109,'Clients'!B109,'Viewings'!H109,IF('Deals'!B109="","",IF(COUNTIFS('Clients'!$A$6:$A$205,'Deals'!B109)&lt;&gt;1,"Check Client ID",INDEX('Clients'!$B$6:$B$205,MATCH('Deals'!B109,'Clients'!$A$6:$A$205,0)))),IF('Deals'!B109="","",IF(COUNTIFS('Clients'!$A$6:$A$205,'Deals'!B109)&lt;&gt;1,"Check Client ID",INDEX('Clients'!$B$6:$B$205,MATCH('Deals'!B109,'Clients'!$A$6:$A$205,0)))),IF('Deals'!B109="","",IF(COUNTIFS('Clients'!$A$6:$A$205,'Deals'!B109)&lt;&gt;1,"Check Client ID",INDEX('Clients'!$B$6:$B$205,MATCH('Deals'!B109,'Clients'!$A$6:$A$205,0)))),'Follow-ups'!K109,'Payments'!B109,'Expenses'!D109)),CHOOSE($M$42,'Clients'!B109,'Clients'!B109,'Viewings'!H109,IF('Deals'!B109="","",IF(COUNTIFS('Clients'!$A$6:$A$205,'Deals'!B109)&lt;&gt;1,"Check Client ID",INDEX('Clients'!$B$6:$B$205,MATCH('Deals'!B109,'Clients'!$A$6:$A$205,0)))),IF('Deals'!B109="","",IF(COUNTIFS('Clients'!$A$6:$A$205,'Deals'!B109)&lt;&gt;1,"Check Client ID",INDEX('Clients'!$B$6:$B$205,MATCH('Deals'!B109,'Clients'!$A$6:$A$205,0)))),IF('Deals'!B109="","",IF(COUNTIFS('Clients'!$A$6:$A$205,'Deals'!B109)&lt;&gt;1,"Check Client ID",INDEX('Clients'!$B$6:$B$205,MATCH('Deals'!B109,'Clients'!$A$6:$A$205,0)))),'Follow-ups'!K109,'Payments'!B109,'Expenses'!D109),IF(CHOOSE($M$42,'Clients'!B109,'Clients'!B109,'Viewings'!H109,IF('Deals'!B109="","",IF(COUNTIFS('Clients'!$A$6:$A$205,'Deals'!B109)&lt;&gt;1,"Check Client ID",INDEX('Clients'!$B$6:$B$205,MATCH('Deals'!B109,'Clients'!$A$6:$A$205,0)))),IF('Deals'!B109="","",IF(COUNTIFS('Clients'!$A$6:$A$205,'Deals'!B109)&lt;&gt;1,"Check Client ID",INDEX('Clients'!$B$6:$B$205,MATCH('Deals'!B109,'Clients'!$A$6:$A$205,0)))),IF('Deals'!B109="","",IF(COUNTIFS('Clients'!$A$6:$A$205,'Deals'!B109)&lt;&gt;1,"Check Client ID",INDEX('Clients'!$B$6:$B$205,MATCH('Deals'!B109,'Clients'!$A$6:$A$205,0)))),'Follow-ups'!K109,'Payments'!B109,'Expenses'!D109)="","",CHOOSE($M$42,'Clients'!B109,'Clients'!B109,'Viewings'!H109,IF('Deals'!B109="","",IF(COUNTIFS('Clients'!$A$6:$A$205,'Deals'!B109)&lt;&gt;1,"Check Client ID",INDEX('Clients'!$B$6:$B$205,MATCH('Deals'!B109,'Clients'!$A$6:$A$205,0)))),IF('Deals'!B109="","",IF(COUNTIFS('Clients'!$A$6:$A$205,'Deals'!B109)&lt;&gt;1,"Check Client ID",INDEX('Clients'!$B$6:$B$205,MATCH('Deals'!B109,'Clients'!$A$6:$A$205,0)))),IF('Deals'!B109="","",IF(COUNTIFS('Clients'!$A$6:$A$205,'Deals'!B109)&lt;&gt;1,"Check Client ID",INDEX('Clients'!$B$6:$B$205,MATCH('Deals'!B109,'Clients'!$A$6:$A$205,0)))),'Follow-ups'!K109,'Payments'!B109,'Expenses'!D109))))</x:f>
      </x:c>
      <x:c r="E151" s="432" t="str">
        <x:f>IF(B151="","",IF(ISNUMBER(CHOOSE($M$42,'Clients'!K109,'Clients'!K109,'Viewings'!I109,'Deals'!C109,'Deals'!C109,'Deals'!C109,'Follow-ups'!L109,'Payments'!G109,'Expenses'!F109)),CHOOSE($M$42,'Clients'!K109,'Clients'!K109,'Viewings'!I109,'Deals'!C109,'Deals'!C109,'Deals'!C109,'Follow-ups'!L109,'Payments'!G109,'Expenses'!F109),IF(CHOOSE($M$42,'Clients'!K109,'Clients'!K109,'Viewings'!I109,'Deals'!C109,'Deals'!C109,'Deals'!C109,'Follow-ups'!L109,'Payments'!G109,'Expenses'!F109)="","",CHOOSE($M$42,'Clients'!K109,'Clients'!K109,'Viewings'!I109,'Deals'!C109,'Deals'!C109,'Deals'!C109,'Follow-ups'!L109,'Payments'!G109,'Expenses'!F109))))</x:f>
      </x:c>
      <x:c r="F151" s="432" t="str">
        <x:f>IF(B151="","",IF(ISNUMBER(CHOOSE($M$42,'Clients'!H109,'Clients'!H109,'Viewings'!E109,'Deals'!E109,'Deals'!E109,'Deals'!E109,'Follow-ups'!I109,"Receipt",'Expenses'!C109)),CHOOSE($M$42,'Clients'!H109,'Clients'!H109,'Viewings'!E109,'Deals'!E109,'Deals'!E109,'Deals'!E109,'Follow-ups'!I109,"Receipt",'Expenses'!C109),IF(CHOOSE($M$42,'Clients'!H109,'Clients'!H109,'Viewings'!E109,'Deals'!E109,'Deals'!E109,'Deals'!E109,'Follow-ups'!I109,"Receipt",'Expenses'!C109)="","",CHOOSE($M$42,'Clients'!H109,'Clients'!H109,'Viewings'!E109,'Deals'!E109,'Deals'!E109,'Deals'!E109,'Follow-ups'!I109,"Receipt",'Expenses'!C109))))</x:f>
      </x:c>
      <x:c r="G151" s="473" t="str">
        <x:f>IF(B151="","",IF(ISNUMBER(CHOOSE($M$42,"","","",'Deals'!F109,'Deals'!F109,'Deals'!F109,"",'Payments'!D109,'Expenses'!G109)),CHOOSE($M$42,"","","",'Deals'!F109,'Deals'!F109,'Deals'!F109,"",'Payments'!D109,'Expenses'!G109),IF(CHOOSE($M$42,"","","",'Deals'!F109,'Deals'!F109,'Deals'!F109,"",'Payments'!D109,'Expenses'!G109)="","",CHOOSE($M$42,"","","",'Deals'!F109,'Deals'!F109,'Deals'!F109,"",'Payments'!D109,'Expenses'!G109))))</x:f>
      </x:c>
      <x:c r="H151" s="432" t="n">
        <x:f>IF(AND($M$43=1,B151&lt;&gt;"",ISNUMBER(C151),C151&gt;=$G$6,C151&lt;$K$6+1),1,0)</x:f>
        <x:v>0</x:v>
      </x:c>
      <x:c r="I151" s="432" t="str">
        <x:f>IF(H151=0,"",COUNTIFS($H$48:$H$247,1,$C$48:$C$247,"&lt;"&amp;C151)+COUNTIFS($H$48:H151,1,$C$48:C151,C151))</x:f>
      </x:c>
      <x:c r="J151" s="432"/>
      <x:c r="K151" s="432"/>
      <x:c r="L151" s="432"/>
      <x:c r="M151" s="432"/>
      <x:c r="N151" s="432"/>
      <x:c r="O151" s="432"/>
      <x:c r="P151" s="432"/>
      <x:c r="Q151" s="432"/>
    </x:row>
    <x:row r="152" ht="25" customHeight="1">
      <x:c r="A152" s="432"/>
      <x:c r="B152" s="432" t="str">
        <x:f>IF(CHOOSE($M$42,'Clients'!A110,'Clients'!A110,'Viewings'!A110,'Deals'!A110,'Deals'!A110,'Deals'!A110,'Follow-ups'!A110,'Payments'!A110,'Expenses'!A110)="","",CHOOSE($M$42,'Clients'!A110,'Clients'!A110,'Viewings'!A110,'Deals'!A110,'Deals'!A110,'Deals'!A110,'Follow-ups'!A110,'Payments'!A110,'Expenses'!A110))</x:f>
      </x:c>
      <x:c r="C152" s="472" t="str">
        <x:f>IF(B152="","",IF(CHOOSE($M$42,'Clients'!R110,'Clients'!Q110,'Viewings'!D110,'Deals'!X110,'Deals'!Y110,'Deals'!Z110,'Follow-ups'!H110,'Payments'!C110,'Expenses'!B110)="","",CHOOSE($M$42,'Clients'!R110,'Clients'!Q110,'Viewings'!D110,'Deals'!X110,'Deals'!Y110,'Deals'!Z110,'Follow-ups'!H110,'Payments'!C110,'Expenses'!B110)))</x:f>
      </x:c>
      <x:c r="D152" s="432" t="str">
        <x:f>IF(B152="","",IF(ISNUMBER(CHOOSE($M$42,'Clients'!B110,'Clients'!B110,'Viewings'!H110,IF('Deals'!B110="","",IF(COUNTIFS('Clients'!$A$6:$A$205,'Deals'!B110)&lt;&gt;1,"Check Client ID",INDEX('Clients'!$B$6:$B$205,MATCH('Deals'!B110,'Clients'!$A$6:$A$205,0)))),IF('Deals'!B110="","",IF(COUNTIFS('Clients'!$A$6:$A$205,'Deals'!B110)&lt;&gt;1,"Check Client ID",INDEX('Clients'!$B$6:$B$205,MATCH('Deals'!B110,'Clients'!$A$6:$A$205,0)))),IF('Deals'!B110="","",IF(COUNTIFS('Clients'!$A$6:$A$205,'Deals'!B110)&lt;&gt;1,"Check Client ID",INDEX('Clients'!$B$6:$B$205,MATCH('Deals'!B110,'Clients'!$A$6:$A$205,0)))),'Follow-ups'!K110,'Payments'!B110,'Expenses'!D110)),CHOOSE($M$42,'Clients'!B110,'Clients'!B110,'Viewings'!H110,IF('Deals'!B110="","",IF(COUNTIFS('Clients'!$A$6:$A$205,'Deals'!B110)&lt;&gt;1,"Check Client ID",INDEX('Clients'!$B$6:$B$205,MATCH('Deals'!B110,'Clients'!$A$6:$A$205,0)))),IF('Deals'!B110="","",IF(COUNTIFS('Clients'!$A$6:$A$205,'Deals'!B110)&lt;&gt;1,"Check Client ID",INDEX('Clients'!$B$6:$B$205,MATCH('Deals'!B110,'Clients'!$A$6:$A$205,0)))),IF('Deals'!B110="","",IF(COUNTIFS('Clients'!$A$6:$A$205,'Deals'!B110)&lt;&gt;1,"Check Client ID",INDEX('Clients'!$B$6:$B$205,MATCH('Deals'!B110,'Clients'!$A$6:$A$205,0)))),'Follow-ups'!K110,'Payments'!B110,'Expenses'!D110),IF(CHOOSE($M$42,'Clients'!B110,'Clients'!B110,'Viewings'!H110,IF('Deals'!B110="","",IF(COUNTIFS('Clients'!$A$6:$A$205,'Deals'!B110)&lt;&gt;1,"Check Client ID",INDEX('Clients'!$B$6:$B$205,MATCH('Deals'!B110,'Clients'!$A$6:$A$205,0)))),IF('Deals'!B110="","",IF(COUNTIFS('Clients'!$A$6:$A$205,'Deals'!B110)&lt;&gt;1,"Check Client ID",INDEX('Clients'!$B$6:$B$205,MATCH('Deals'!B110,'Clients'!$A$6:$A$205,0)))),IF('Deals'!B110="","",IF(COUNTIFS('Clients'!$A$6:$A$205,'Deals'!B110)&lt;&gt;1,"Check Client ID",INDEX('Clients'!$B$6:$B$205,MATCH('Deals'!B110,'Clients'!$A$6:$A$205,0)))),'Follow-ups'!K110,'Payments'!B110,'Expenses'!D110)="","",CHOOSE($M$42,'Clients'!B110,'Clients'!B110,'Viewings'!H110,IF('Deals'!B110="","",IF(COUNTIFS('Clients'!$A$6:$A$205,'Deals'!B110)&lt;&gt;1,"Check Client ID",INDEX('Clients'!$B$6:$B$205,MATCH('Deals'!B110,'Clients'!$A$6:$A$205,0)))),IF('Deals'!B110="","",IF(COUNTIFS('Clients'!$A$6:$A$205,'Deals'!B110)&lt;&gt;1,"Check Client ID",INDEX('Clients'!$B$6:$B$205,MATCH('Deals'!B110,'Clients'!$A$6:$A$205,0)))),IF('Deals'!B110="","",IF(COUNTIFS('Clients'!$A$6:$A$205,'Deals'!B110)&lt;&gt;1,"Check Client ID",INDEX('Clients'!$B$6:$B$205,MATCH('Deals'!B110,'Clients'!$A$6:$A$205,0)))),'Follow-ups'!K110,'Payments'!B110,'Expenses'!D110))))</x:f>
      </x:c>
      <x:c r="E152" s="432" t="str">
        <x:f>IF(B152="","",IF(ISNUMBER(CHOOSE($M$42,'Clients'!K110,'Clients'!K110,'Viewings'!I110,'Deals'!C110,'Deals'!C110,'Deals'!C110,'Follow-ups'!L110,'Payments'!G110,'Expenses'!F110)),CHOOSE($M$42,'Clients'!K110,'Clients'!K110,'Viewings'!I110,'Deals'!C110,'Deals'!C110,'Deals'!C110,'Follow-ups'!L110,'Payments'!G110,'Expenses'!F110),IF(CHOOSE($M$42,'Clients'!K110,'Clients'!K110,'Viewings'!I110,'Deals'!C110,'Deals'!C110,'Deals'!C110,'Follow-ups'!L110,'Payments'!G110,'Expenses'!F110)="","",CHOOSE($M$42,'Clients'!K110,'Clients'!K110,'Viewings'!I110,'Deals'!C110,'Deals'!C110,'Deals'!C110,'Follow-ups'!L110,'Payments'!G110,'Expenses'!F110))))</x:f>
      </x:c>
      <x:c r="F152" s="432" t="str">
        <x:f>IF(B152="","",IF(ISNUMBER(CHOOSE($M$42,'Clients'!H110,'Clients'!H110,'Viewings'!E110,'Deals'!E110,'Deals'!E110,'Deals'!E110,'Follow-ups'!I110,"Receipt",'Expenses'!C110)),CHOOSE($M$42,'Clients'!H110,'Clients'!H110,'Viewings'!E110,'Deals'!E110,'Deals'!E110,'Deals'!E110,'Follow-ups'!I110,"Receipt",'Expenses'!C110),IF(CHOOSE($M$42,'Clients'!H110,'Clients'!H110,'Viewings'!E110,'Deals'!E110,'Deals'!E110,'Deals'!E110,'Follow-ups'!I110,"Receipt",'Expenses'!C110)="","",CHOOSE($M$42,'Clients'!H110,'Clients'!H110,'Viewings'!E110,'Deals'!E110,'Deals'!E110,'Deals'!E110,'Follow-ups'!I110,"Receipt",'Expenses'!C110))))</x:f>
      </x:c>
      <x:c r="G152" s="473" t="str">
        <x:f>IF(B152="","",IF(ISNUMBER(CHOOSE($M$42,"","","",'Deals'!F110,'Deals'!F110,'Deals'!F110,"",'Payments'!D110,'Expenses'!G110)),CHOOSE($M$42,"","","",'Deals'!F110,'Deals'!F110,'Deals'!F110,"",'Payments'!D110,'Expenses'!G110),IF(CHOOSE($M$42,"","","",'Deals'!F110,'Deals'!F110,'Deals'!F110,"",'Payments'!D110,'Expenses'!G110)="","",CHOOSE($M$42,"","","",'Deals'!F110,'Deals'!F110,'Deals'!F110,"",'Payments'!D110,'Expenses'!G110))))</x:f>
      </x:c>
      <x:c r="H152" s="432" t="n">
        <x:f>IF(AND($M$43=1,B152&lt;&gt;"",ISNUMBER(C152),C152&gt;=$G$6,C152&lt;$K$6+1),1,0)</x:f>
        <x:v>0</x:v>
      </x:c>
      <x:c r="I152" s="432" t="str">
        <x:f>IF(H152=0,"",COUNTIFS($H$48:$H$247,1,$C$48:$C$247,"&lt;"&amp;C152)+COUNTIFS($H$48:H152,1,$C$48:C152,C152))</x:f>
      </x:c>
      <x:c r="J152" s="432"/>
      <x:c r="K152" s="432"/>
      <x:c r="L152" s="432"/>
      <x:c r="M152" s="432"/>
      <x:c r="N152" s="432"/>
      <x:c r="O152" s="432"/>
      <x:c r="P152" s="432"/>
      <x:c r="Q152" s="432"/>
    </x:row>
    <x:row r="153" ht="25" customHeight="1">
      <x:c r="A153" s="432"/>
      <x:c r="B153" s="432" t="str">
        <x:f>IF(CHOOSE($M$42,'Clients'!A111,'Clients'!A111,'Viewings'!A111,'Deals'!A111,'Deals'!A111,'Deals'!A111,'Follow-ups'!A111,'Payments'!A111,'Expenses'!A111)="","",CHOOSE($M$42,'Clients'!A111,'Clients'!A111,'Viewings'!A111,'Deals'!A111,'Deals'!A111,'Deals'!A111,'Follow-ups'!A111,'Payments'!A111,'Expenses'!A111))</x:f>
      </x:c>
      <x:c r="C153" s="472" t="str">
        <x:f>IF(B153="","",IF(CHOOSE($M$42,'Clients'!R111,'Clients'!Q111,'Viewings'!D111,'Deals'!X111,'Deals'!Y111,'Deals'!Z111,'Follow-ups'!H111,'Payments'!C111,'Expenses'!B111)="","",CHOOSE($M$42,'Clients'!R111,'Clients'!Q111,'Viewings'!D111,'Deals'!X111,'Deals'!Y111,'Deals'!Z111,'Follow-ups'!H111,'Payments'!C111,'Expenses'!B111)))</x:f>
      </x:c>
      <x:c r="D153" s="432" t="str">
        <x:f>IF(B153="","",IF(ISNUMBER(CHOOSE($M$42,'Clients'!B111,'Clients'!B111,'Viewings'!H111,IF('Deals'!B111="","",IF(COUNTIFS('Clients'!$A$6:$A$205,'Deals'!B111)&lt;&gt;1,"Check Client ID",INDEX('Clients'!$B$6:$B$205,MATCH('Deals'!B111,'Clients'!$A$6:$A$205,0)))),IF('Deals'!B111="","",IF(COUNTIFS('Clients'!$A$6:$A$205,'Deals'!B111)&lt;&gt;1,"Check Client ID",INDEX('Clients'!$B$6:$B$205,MATCH('Deals'!B111,'Clients'!$A$6:$A$205,0)))),IF('Deals'!B111="","",IF(COUNTIFS('Clients'!$A$6:$A$205,'Deals'!B111)&lt;&gt;1,"Check Client ID",INDEX('Clients'!$B$6:$B$205,MATCH('Deals'!B111,'Clients'!$A$6:$A$205,0)))),'Follow-ups'!K111,'Payments'!B111,'Expenses'!D111)),CHOOSE($M$42,'Clients'!B111,'Clients'!B111,'Viewings'!H111,IF('Deals'!B111="","",IF(COUNTIFS('Clients'!$A$6:$A$205,'Deals'!B111)&lt;&gt;1,"Check Client ID",INDEX('Clients'!$B$6:$B$205,MATCH('Deals'!B111,'Clients'!$A$6:$A$205,0)))),IF('Deals'!B111="","",IF(COUNTIFS('Clients'!$A$6:$A$205,'Deals'!B111)&lt;&gt;1,"Check Client ID",INDEX('Clients'!$B$6:$B$205,MATCH('Deals'!B111,'Clients'!$A$6:$A$205,0)))),IF('Deals'!B111="","",IF(COUNTIFS('Clients'!$A$6:$A$205,'Deals'!B111)&lt;&gt;1,"Check Client ID",INDEX('Clients'!$B$6:$B$205,MATCH('Deals'!B111,'Clients'!$A$6:$A$205,0)))),'Follow-ups'!K111,'Payments'!B111,'Expenses'!D111),IF(CHOOSE($M$42,'Clients'!B111,'Clients'!B111,'Viewings'!H111,IF('Deals'!B111="","",IF(COUNTIFS('Clients'!$A$6:$A$205,'Deals'!B111)&lt;&gt;1,"Check Client ID",INDEX('Clients'!$B$6:$B$205,MATCH('Deals'!B111,'Clients'!$A$6:$A$205,0)))),IF('Deals'!B111="","",IF(COUNTIFS('Clients'!$A$6:$A$205,'Deals'!B111)&lt;&gt;1,"Check Client ID",INDEX('Clients'!$B$6:$B$205,MATCH('Deals'!B111,'Clients'!$A$6:$A$205,0)))),IF('Deals'!B111="","",IF(COUNTIFS('Clients'!$A$6:$A$205,'Deals'!B111)&lt;&gt;1,"Check Client ID",INDEX('Clients'!$B$6:$B$205,MATCH('Deals'!B111,'Clients'!$A$6:$A$205,0)))),'Follow-ups'!K111,'Payments'!B111,'Expenses'!D111)="","",CHOOSE($M$42,'Clients'!B111,'Clients'!B111,'Viewings'!H111,IF('Deals'!B111="","",IF(COUNTIFS('Clients'!$A$6:$A$205,'Deals'!B111)&lt;&gt;1,"Check Client ID",INDEX('Clients'!$B$6:$B$205,MATCH('Deals'!B111,'Clients'!$A$6:$A$205,0)))),IF('Deals'!B111="","",IF(COUNTIFS('Clients'!$A$6:$A$205,'Deals'!B111)&lt;&gt;1,"Check Client ID",INDEX('Clients'!$B$6:$B$205,MATCH('Deals'!B111,'Clients'!$A$6:$A$205,0)))),IF('Deals'!B111="","",IF(COUNTIFS('Clients'!$A$6:$A$205,'Deals'!B111)&lt;&gt;1,"Check Client ID",INDEX('Clients'!$B$6:$B$205,MATCH('Deals'!B111,'Clients'!$A$6:$A$205,0)))),'Follow-ups'!K111,'Payments'!B111,'Expenses'!D111))))</x:f>
      </x:c>
      <x:c r="E153" s="432" t="str">
        <x:f>IF(B153="","",IF(ISNUMBER(CHOOSE($M$42,'Clients'!K111,'Clients'!K111,'Viewings'!I111,'Deals'!C111,'Deals'!C111,'Deals'!C111,'Follow-ups'!L111,'Payments'!G111,'Expenses'!F111)),CHOOSE($M$42,'Clients'!K111,'Clients'!K111,'Viewings'!I111,'Deals'!C111,'Deals'!C111,'Deals'!C111,'Follow-ups'!L111,'Payments'!G111,'Expenses'!F111),IF(CHOOSE($M$42,'Clients'!K111,'Clients'!K111,'Viewings'!I111,'Deals'!C111,'Deals'!C111,'Deals'!C111,'Follow-ups'!L111,'Payments'!G111,'Expenses'!F111)="","",CHOOSE($M$42,'Clients'!K111,'Clients'!K111,'Viewings'!I111,'Deals'!C111,'Deals'!C111,'Deals'!C111,'Follow-ups'!L111,'Payments'!G111,'Expenses'!F111))))</x:f>
      </x:c>
      <x:c r="F153" s="432" t="str">
        <x:f>IF(B153="","",IF(ISNUMBER(CHOOSE($M$42,'Clients'!H111,'Clients'!H111,'Viewings'!E111,'Deals'!E111,'Deals'!E111,'Deals'!E111,'Follow-ups'!I111,"Receipt",'Expenses'!C111)),CHOOSE($M$42,'Clients'!H111,'Clients'!H111,'Viewings'!E111,'Deals'!E111,'Deals'!E111,'Deals'!E111,'Follow-ups'!I111,"Receipt",'Expenses'!C111),IF(CHOOSE($M$42,'Clients'!H111,'Clients'!H111,'Viewings'!E111,'Deals'!E111,'Deals'!E111,'Deals'!E111,'Follow-ups'!I111,"Receipt",'Expenses'!C111)="","",CHOOSE($M$42,'Clients'!H111,'Clients'!H111,'Viewings'!E111,'Deals'!E111,'Deals'!E111,'Deals'!E111,'Follow-ups'!I111,"Receipt",'Expenses'!C111))))</x:f>
      </x:c>
      <x:c r="G153" s="473" t="str">
        <x:f>IF(B153="","",IF(ISNUMBER(CHOOSE($M$42,"","","",'Deals'!F111,'Deals'!F111,'Deals'!F111,"",'Payments'!D111,'Expenses'!G111)),CHOOSE($M$42,"","","",'Deals'!F111,'Deals'!F111,'Deals'!F111,"",'Payments'!D111,'Expenses'!G111),IF(CHOOSE($M$42,"","","",'Deals'!F111,'Deals'!F111,'Deals'!F111,"",'Payments'!D111,'Expenses'!G111)="","",CHOOSE($M$42,"","","",'Deals'!F111,'Deals'!F111,'Deals'!F111,"",'Payments'!D111,'Expenses'!G111))))</x:f>
      </x:c>
      <x:c r="H153" s="432" t="n">
        <x:f>IF(AND($M$43=1,B153&lt;&gt;"",ISNUMBER(C153),C153&gt;=$G$6,C153&lt;$K$6+1),1,0)</x:f>
        <x:v>0</x:v>
      </x:c>
      <x:c r="I153" s="432" t="str">
        <x:f>IF(H153=0,"",COUNTIFS($H$48:$H$247,1,$C$48:$C$247,"&lt;"&amp;C153)+COUNTIFS($H$48:H153,1,$C$48:C153,C153))</x:f>
      </x:c>
      <x:c r="J153" s="432"/>
      <x:c r="K153" s="432"/>
      <x:c r="L153" s="432"/>
      <x:c r="M153" s="432"/>
      <x:c r="N153" s="432"/>
      <x:c r="O153" s="432"/>
      <x:c r="P153" s="432"/>
      <x:c r="Q153" s="432"/>
    </x:row>
    <x:row r="154" ht="25" customHeight="1">
      <x:c r="A154" s="432"/>
      <x:c r="B154" s="432" t="str">
        <x:f>IF(CHOOSE($M$42,'Clients'!A112,'Clients'!A112,'Viewings'!A112,'Deals'!A112,'Deals'!A112,'Deals'!A112,'Follow-ups'!A112,'Payments'!A112,'Expenses'!A112)="","",CHOOSE($M$42,'Clients'!A112,'Clients'!A112,'Viewings'!A112,'Deals'!A112,'Deals'!A112,'Deals'!A112,'Follow-ups'!A112,'Payments'!A112,'Expenses'!A112))</x:f>
      </x:c>
      <x:c r="C154" s="472" t="str">
        <x:f>IF(B154="","",IF(CHOOSE($M$42,'Clients'!R112,'Clients'!Q112,'Viewings'!D112,'Deals'!X112,'Deals'!Y112,'Deals'!Z112,'Follow-ups'!H112,'Payments'!C112,'Expenses'!B112)="","",CHOOSE($M$42,'Clients'!R112,'Clients'!Q112,'Viewings'!D112,'Deals'!X112,'Deals'!Y112,'Deals'!Z112,'Follow-ups'!H112,'Payments'!C112,'Expenses'!B112)))</x:f>
      </x:c>
      <x:c r="D154" s="432" t="str">
        <x:f>IF(B154="","",IF(ISNUMBER(CHOOSE($M$42,'Clients'!B112,'Clients'!B112,'Viewings'!H112,IF('Deals'!B112="","",IF(COUNTIFS('Clients'!$A$6:$A$205,'Deals'!B112)&lt;&gt;1,"Check Client ID",INDEX('Clients'!$B$6:$B$205,MATCH('Deals'!B112,'Clients'!$A$6:$A$205,0)))),IF('Deals'!B112="","",IF(COUNTIFS('Clients'!$A$6:$A$205,'Deals'!B112)&lt;&gt;1,"Check Client ID",INDEX('Clients'!$B$6:$B$205,MATCH('Deals'!B112,'Clients'!$A$6:$A$205,0)))),IF('Deals'!B112="","",IF(COUNTIFS('Clients'!$A$6:$A$205,'Deals'!B112)&lt;&gt;1,"Check Client ID",INDEX('Clients'!$B$6:$B$205,MATCH('Deals'!B112,'Clients'!$A$6:$A$205,0)))),'Follow-ups'!K112,'Payments'!B112,'Expenses'!D112)),CHOOSE($M$42,'Clients'!B112,'Clients'!B112,'Viewings'!H112,IF('Deals'!B112="","",IF(COUNTIFS('Clients'!$A$6:$A$205,'Deals'!B112)&lt;&gt;1,"Check Client ID",INDEX('Clients'!$B$6:$B$205,MATCH('Deals'!B112,'Clients'!$A$6:$A$205,0)))),IF('Deals'!B112="","",IF(COUNTIFS('Clients'!$A$6:$A$205,'Deals'!B112)&lt;&gt;1,"Check Client ID",INDEX('Clients'!$B$6:$B$205,MATCH('Deals'!B112,'Clients'!$A$6:$A$205,0)))),IF('Deals'!B112="","",IF(COUNTIFS('Clients'!$A$6:$A$205,'Deals'!B112)&lt;&gt;1,"Check Client ID",INDEX('Clients'!$B$6:$B$205,MATCH('Deals'!B112,'Clients'!$A$6:$A$205,0)))),'Follow-ups'!K112,'Payments'!B112,'Expenses'!D112),IF(CHOOSE($M$42,'Clients'!B112,'Clients'!B112,'Viewings'!H112,IF('Deals'!B112="","",IF(COUNTIFS('Clients'!$A$6:$A$205,'Deals'!B112)&lt;&gt;1,"Check Client ID",INDEX('Clients'!$B$6:$B$205,MATCH('Deals'!B112,'Clients'!$A$6:$A$205,0)))),IF('Deals'!B112="","",IF(COUNTIFS('Clients'!$A$6:$A$205,'Deals'!B112)&lt;&gt;1,"Check Client ID",INDEX('Clients'!$B$6:$B$205,MATCH('Deals'!B112,'Clients'!$A$6:$A$205,0)))),IF('Deals'!B112="","",IF(COUNTIFS('Clients'!$A$6:$A$205,'Deals'!B112)&lt;&gt;1,"Check Client ID",INDEX('Clients'!$B$6:$B$205,MATCH('Deals'!B112,'Clients'!$A$6:$A$205,0)))),'Follow-ups'!K112,'Payments'!B112,'Expenses'!D112)="","",CHOOSE($M$42,'Clients'!B112,'Clients'!B112,'Viewings'!H112,IF('Deals'!B112="","",IF(COUNTIFS('Clients'!$A$6:$A$205,'Deals'!B112)&lt;&gt;1,"Check Client ID",INDEX('Clients'!$B$6:$B$205,MATCH('Deals'!B112,'Clients'!$A$6:$A$205,0)))),IF('Deals'!B112="","",IF(COUNTIFS('Clients'!$A$6:$A$205,'Deals'!B112)&lt;&gt;1,"Check Client ID",INDEX('Clients'!$B$6:$B$205,MATCH('Deals'!B112,'Clients'!$A$6:$A$205,0)))),IF('Deals'!B112="","",IF(COUNTIFS('Clients'!$A$6:$A$205,'Deals'!B112)&lt;&gt;1,"Check Client ID",INDEX('Clients'!$B$6:$B$205,MATCH('Deals'!B112,'Clients'!$A$6:$A$205,0)))),'Follow-ups'!K112,'Payments'!B112,'Expenses'!D112))))</x:f>
      </x:c>
      <x:c r="E154" s="432" t="str">
        <x:f>IF(B154="","",IF(ISNUMBER(CHOOSE($M$42,'Clients'!K112,'Clients'!K112,'Viewings'!I112,'Deals'!C112,'Deals'!C112,'Deals'!C112,'Follow-ups'!L112,'Payments'!G112,'Expenses'!F112)),CHOOSE($M$42,'Clients'!K112,'Clients'!K112,'Viewings'!I112,'Deals'!C112,'Deals'!C112,'Deals'!C112,'Follow-ups'!L112,'Payments'!G112,'Expenses'!F112),IF(CHOOSE($M$42,'Clients'!K112,'Clients'!K112,'Viewings'!I112,'Deals'!C112,'Deals'!C112,'Deals'!C112,'Follow-ups'!L112,'Payments'!G112,'Expenses'!F112)="","",CHOOSE($M$42,'Clients'!K112,'Clients'!K112,'Viewings'!I112,'Deals'!C112,'Deals'!C112,'Deals'!C112,'Follow-ups'!L112,'Payments'!G112,'Expenses'!F112))))</x:f>
      </x:c>
      <x:c r="F154" s="432" t="str">
        <x:f>IF(B154="","",IF(ISNUMBER(CHOOSE($M$42,'Clients'!H112,'Clients'!H112,'Viewings'!E112,'Deals'!E112,'Deals'!E112,'Deals'!E112,'Follow-ups'!I112,"Receipt",'Expenses'!C112)),CHOOSE($M$42,'Clients'!H112,'Clients'!H112,'Viewings'!E112,'Deals'!E112,'Deals'!E112,'Deals'!E112,'Follow-ups'!I112,"Receipt",'Expenses'!C112),IF(CHOOSE($M$42,'Clients'!H112,'Clients'!H112,'Viewings'!E112,'Deals'!E112,'Deals'!E112,'Deals'!E112,'Follow-ups'!I112,"Receipt",'Expenses'!C112)="","",CHOOSE($M$42,'Clients'!H112,'Clients'!H112,'Viewings'!E112,'Deals'!E112,'Deals'!E112,'Deals'!E112,'Follow-ups'!I112,"Receipt",'Expenses'!C112))))</x:f>
      </x:c>
      <x:c r="G154" s="473" t="str">
        <x:f>IF(B154="","",IF(ISNUMBER(CHOOSE($M$42,"","","",'Deals'!F112,'Deals'!F112,'Deals'!F112,"",'Payments'!D112,'Expenses'!G112)),CHOOSE($M$42,"","","",'Deals'!F112,'Deals'!F112,'Deals'!F112,"",'Payments'!D112,'Expenses'!G112),IF(CHOOSE($M$42,"","","",'Deals'!F112,'Deals'!F112,'Deals'!F112,"",'Payments'!D112,'Expenses'!G112)="","",CHOOSE($M$42,"","","",'Deals'!F112,'Deals'!F112,'Deals'!F112,"",'Payments'!D112,'Expenses'!G112))))</x:f>
      </x:c>
      <x:c r="H154" s="432" t="n">
        <x:f>IF(AND($M$43=1,B154&lt;&gt;"",ISNUMBER(C154),C154&gt;=$G$6,C154&lt;$K$6+1),1,0)</x:f>
        <x:v>0</x:v>
      </x:c>
      <x:c r="I154" s="432" t="str">
        <x:f>IF(H154=0,"",COUNTIFS($H$48:$H$247,1,$C$48:$C$247,"&lt;"&amp;C154)+COUNTIFS($H$48:H154,1,$C$48:C154,C154))</x:f>
      </x:c>
      <x:c r="J154" s="432"/>
      <x:c r="K154" s="432"/>
      <x:c r="L154" s="432"/>
      <x:c r="M154" s="432"/>
      <x:c r="N154" s="432"/>
      <x:c r="O154" s="432"/>
      <x:c r="P154" s="432"/>
      <x:c r="Q154" s="432"/>
    </x:row>
    <x:row r="155" ht="25" customHeight="1">
      <x:c r="A155" s="432"/>
      <x:c r="B155" s="432" t="str">
        <x:f>IF(CHOOSE($M$42,'Clients'!A113,'Clients'!A113,'Viewings'!A113,'Deals'!A113,'Deals'!A113,'Deals'!A113,'Follow-ups'!A113,'Payments'!A113,'Expenses'!A113)="","",CHOOSE($M$42,'Clients'!A113,'Clients'!A113,'Viewings'!A113,'Deals'!A113,'Deals'!A113,'Deals'!A113,'Follow-ups'!A113,'Payments'!A113,'Expenses'!A113))</x:f>
      </x:c>
      <x:c r="C155" s="472" t="str">
        <x:f>IF(B155="","",IF(CHOOSE($M$42,'Clients'!R113,'Clients'!Q113,'Viewings'!D113,'Deals'!X113,'Deals'!Y113,'Deals'!Z113,'Follow-ups'!H113,'Payments'!C113,'Expenses'!B113)="","",CHOOSE($M$42,'Clients'!R113,'Clients'!Q113,'Viewings'!D113,'Deals'!X113,'Deals'!Y113,'Deals'!Z113,'Follow-ups'!H113,'Payments'!C113,'Expenses'!B113)))</x:f>
      </x:c>
      <x:c r="D155" s="432" t="str">
        <x:f>IF(B155="","",IF(ISNUMBER(CHOOSE($M$42,'Clients'!B113,'Clients'!B113,'Viewings'!H113,IF('Deals'!B113="","",IF(COUNTIFS('Clients'!$A$6:$A$205,'Deals'!B113)&lt;&gt;1,"Check Client ID",INDEX('Clients'!$B$6:$B$205,MATCH('Deals'!B113,'Clients'!$A$6:$A$205,0)))),IF('Deals'!B113="","",IF(COUNTIFS('Clients'!$A$6:$A$205,'Deals'!B113)&lt;&gt;1,"Check Client ID",INDEX('Clients'!$B$6:$B$205,MATCH('Deals'!B113,'Clients'!$A$6:$A$205,0)))),IF('Deals'!B113="","",IF(COUNTIFS('Clients'!$A$6:$A$205,'Deals'!B113)&lt;&gt;1,"Check Client ID",INDEX('Clients'!$B$6:$B$205,MATCH('Deals'!B113,'Clients'!$A$6:$A$205,0)))),'Follow-ups'!K113,'Payments'!B113,'Expenses'!D113)),CHOOSE($M$42,'Clients'!B113,'Clients'!B113,'Viewings'!H113,IF('Deals'!B113="","",IF(COUNTIFS('Clients'!$A$6:$A$205,'Deals'!B113)&lt;&gt;1,"Check Client ID",INDEX('Clients'!$B$6:$B$205,MATCH('Deals'!B113,'Clients'!$A$6:$A$205,0)))),IF('Deals'!B113="","",IF(COUNTIFS('Clients'!$A$6:$A$205,'Deals'!B113)&lt;&gt;1,"Check Client ID",INDEX('Clients'!$B$6:$B$205,MATCH('Deals'!B113,'Clients'!$A$6:$A$205,0)))),IF('Deals'!B113="","",IF(COUNTIFS('Clients'!$A$6:$A$205,'Deals'!B113)&lt;&gt;1,"Check Client ID",INDEX('Clients'!$B$6:$B$205,MATCH('Deals'!B113,'Clients'!$A$6:$A$205,0)))),'Follow-ups'!K113,'Payments'!B113,'Expenses'!D113),IF(CHOOSE($M$42,'Clients'!B113,'Clients'!B113,'Viewings'!H113,IF('Deals'!B113="","",IF(COUNTIFS('Clients'!$A$6:$A$205,'Deals'!B113)&lt;&gt;1,"Check Client ID",INDEX('Clients'!$B$6:$B$205,MATCH('Deals'!B113,'Clients'!$A$6:$A$205,0)))),IF('Deals'!B113="","",IF(COUNTIFS('Clients'!$A$6:$A$205,'Deals'!B113)&lt;&gt;1,"Check Client ID",INDEX('Clients'!$B$6:$B$205,MATCH('Deals'!B113,'Clients'!$A$6:$A$205,0)))),IF('Deals'!B113="","",IF(COUNTIFS('Clients'!$A$6:$A$205,'Deals'!B113)&lt;&gt;1,"Check Client ID",INDEX('Clients'!$B$6:$B$205,MATCH('Deals'!B113,'Clients'!$A$6:$A$205,0)))),'Follow-ups'!K113,'Payments'!B113,'Expenses'!D113)="","",CHOOSE($M$42,'Clients'!B113,'Clients'!B113,'Viewings'!H113,IF('Deals'!B113="","",IF(COUNTIFS('Clients'!$A$6:$A$205,'Deals'!B113)&lt;&gt;1,"Check Client ID",INDEX('Clients'!$B$6:$B$205,MATCH('Deals'!B113,'Clients'!$A$6:$A$205,0)))),IF('Deals'!B113="","",IF(COUNTIFS('Clients'!$A$6:$A$205,'Deals'!B113)&lt;&gt;1,"Check Client ID",INDEX('Clients'!$B$6:$B$205,MATCH('Deals'!B113,'Clients'!$A$6:$A$205,0)))),IF('Deals'!B113="","",IF(COUNTIFS('Clients'!$A$6:$A$205,'Deals'!B113)&lt;&gt;1,"Check Client ID",INDEX('Clients'!$B$6:$B$205,MATCH('Deals'!B113,'Clients'!$A$6:$A$205,0)))),'Follow-ups'!K113,'Payments'!B113,'Expenses'!D113))))</x:f>
      </x:c>
      <x:c r="E155" s="432" t="str">
        <x:f>IF(B155="","",IF(ISNUMBER(CHOOSE($M$42,'Clients'!K113,'Clients'!K113,'Viewings'!I113,'Deals'!C113,'Deals'!C113,'Deals'!C113,'Follow-ups'!L113,'Payments'!G113,'Expenses'!F113)),CHOOSE($M$42,'Clients'!K113,'Clients'!K113,'Viewings'!I113,'Deals'!C113,'Deals'!C113,'Deals'!C113,'Follow-ups'!L113,'Payments'!G113,'Expenses'!F113),IF(CHOOSE($M$42,'Clients'!K113,'Clients'!K113,'Viewings'!I113,'Deals'!C113,'Deals'!C113,'Deals'!C113,'Follow-ups'!L113,'Payments'!G113,'Expenses'!F113)="","",CHOOSE($M$42,'Clients'!K113,'Clients'!K113,'Viewings'!I113,'Deals'!C113,'Deals'!C113,'Deals'!C113,'Follow-ups'!L113,'Payments'!G113,'Expenses'!F113))))</x:f>
      </x:c>
      <x:c r="F155" s="432" t="str">
        <x:f>IF(B155="","",IF(ISNUMBER(CHOOSE($M$42,'Clients'!H113,'Clients'!H113,'Viewings'!E113,'Deals'!E113,'Deals'!E113,'Deals'!E113,'Follow-ups'!I113,"Receipt",'Expenses'!C113)),CHOOSE($M$42,'Clients'!H113,'Clients'!H113,'Viewings'!E113,'Deals'!E113,'Deals'!E113,'Deals'!E113,'Follow-ups'!I113,"Receipt",'Expenses'!C113),IF(CHOOSE($M$42,'Clients'!H113,'Clients'!H113,'Viewings'!E113,'Deals'!E113,'Deals'!E113,'Deals'!E113,'Follow-ups'!I113,"Receipt",'Expenses'!C113)="","",CHOOSE($M$42,'Clients'!H113,'Clients'!H113,'Viewings'!E113,'Deals'!E113,'Deals'!E113,'Deals'!E113,'Follow-ups'!I113,"Receipt",'Expenses'!C113))))</x:f>
      </x:c>
      <x:c r="G155" s="473" t="str">
        <x:f>IF(B155="","",IF(ISNUMBER(CHOOSE($M$42,"","","",'Deals'!F113,'Deals'!F113,'Deals'!F113,"",'Payments'!D113,'Expenses'!G113)),CHOOSE($M$42,"","","",'Deals'!F113,'Deals'!F113,'Deals'!F113,"",'Payments'!D113,'Expenses'!G113),IF(CHOOSE($M$42,"","","",'Deals'!F113,'Deals'!F113,'Deals'!F113,"",'Payments'!D113,'Expenses'!G113)="","",CHOOSE($M$42,"","","",'Deals'!F113,'Deals'!F113,'Deals'!F113,"",'Payments'!D113,'Expenses'!G113))))</x:f>
      </x:c>
      <x:c r="H155" s="432" t="n">
        <x:f>IF(AND($M$43=1,B155&lt;&gt;"",ISNUMBER(C155),C155&gt;=$G$6,C155&lt;$K$6+1),1,0)</x:f>
        <x:v>0</x:v>
      </x:c>
      <x:c r="I155" s="432" t="str">
        <x:f>IF(H155=0,"",COUNTIFS($H$48:$H$247,1,$C$48:$C$247,"&lt;"&amp;C155)+COUNTIFS($H$48:H155,1,$C$48:C155,C155))</x:f>
      </x:c>
      <x:c r="J155" s="432"/>
      <x:c r="K155" s="432"/>
      <x:c r="L155" s="432"/>
      <x:c r="M155" s="432"/>
      <x:c r="N155" s="432"/>
      <x:c r="O155" s="432"/>
      <x:c r="P155" s="432"/>
      <x:c r="Q155" s="432"/>
    </x:row>
    <x:row r="156" ht="25" customHeight="1">
      <x:c r="A156" s="432"/>
      <x:c r="B156" s="432" t="str">
        <x:f>IF(CHOOSE($M$42,'Clients'!A114,'Clients'!A114,'Viewings'!A114,'Deals'!A114,'Deals'!A114,'Deals'!A114,'Follow-ups'!A114,'Payments'!A114,'Expenses'!A114)="","",CHOOSE($M$42,'Clients'!A114,'Clients'!A114,'Viewings'!A114,'Deals'!A114,'Deals'!A114,'Deals'!A114,'Follow-ups'!A114,'Payments'!A114,'Expenses'!A114))</x:f>
      </x:c>
      <x:c r="C156" s="472" t="str">
        <x:f>IF(B156="","",IF(CHOOSE($M$42,'Clients'!R114,'Clients'!Q114,'Viewings'!D114,'Deals'!X114,'Deals'!Y114,'Deals'!Z114,'Follow-ups'!H114,'Payments'!C114,'Expenses'!B114)="","",CHOOSE($M$42,'Clients'!R114,'Clients'!Q114,'Viewings'!D114,'Deals'!X114,'Deals'!Y114,'Deals'!Z114,'Follow-ups'!H114,'Payments'!C114,'Expenses'!B114)))</x:f>
      </x:c>
      <x:c r="D156" s="432" t="str">
        <x:f>IF(B156="","",IF(ISNUMBER(CHOOSE($M$42,'Clients'!B114,'Clients'!B114,'Viewings'!H114,IF('Deals'!B114="","",IF(COUNTIFS('Clients'!$A$6:$A$205,'Deals'!B114)&lt;&gt;1,"Check Client ID",INDEX('Clients'!$B$6:$B$205,MATCH('Deals'!B114,'Clients'!$A$6:$A$205,0)))),IF('Deals'!B114="","",IF(COUNTIFS('Clients'!$A$6:$A$205,'Deals'!B114)&lt;&gt;1,"Check Client ID",INDEX('Clients'!$B$6:$B$205,MATCH('Deals'!B114,'Clients'!$A$6:$A$205,0)))),IF('Deals'!B114="","",IF(COUNTIFS('Clients'!$A$6:$A$205,'Deals'!B114)&lt;&gt;1,"Check Client ID",INDEX('Clients'!$B$6:$B$205,MATCH('Deals'!B114,'Clients'!$A$6:$A$205,0)))),'Follow-ups'!K114,'Payments'!B114,'Expenses'!D114)),CHOOSE($M$42,'Clients'!B114,'Clients'!B114,'Viewings'!H114,IF('Deals'!B114="","",IF(COUNTIFS('Clients'!$A$6:$A$205,'Deals'!B114)&lt;&gt;1,"Check Client ID",INDEX('Clients'!$B$6:$B$205,MATCH('Deals'!B114,'Clients'!$A$6:$A$205,0)))),IF('Deals'!B114="","",IF(COUNTIFS('Clients'!$A$6:$A$205,'Deals'!B114)&lt;&gt;1,"Check Client ID",INDEX('Clients'!$B$6:$B$205,MATCH('Deals'!B114,'Clients'!$A$6:$A$205,0)))),IF('Deals'!B114="","",IF(COUNTIFS('Clients'!$A$6:$A$205,'Deals'!B114)&lt;&gt;1,"Check Client ID",INDEX('Clients'!$B$6:$B$205,MATCH('Deals'!B114,'Clients'!$A$6:$A$205,0)))),'Follow-ups'!K114,'Payments'!B114,'Expenses'!D114),IF(CHOOSE($M$42,'Clients'!B114,'Clients'!B114,'Viewings'!H114,IF('Deals'!B114="","",IF(COUNTIFS('Clients'!$A$6:$A$205,'Deals'!B114)&lt;&gt;1,"Check Client ID",INDEX('Clients'!$B$6:$B$205,MATCH('Deals'!B114,'Clients'!$A$6:$A$205,0)))),IF('Deals'!B114="","",IF(COUNTIFS('Clients'!$A$6:$A$205,'Deals'!B114)&lt;&gt;1,"Check Client ID",INDEX('Clients'!$B$6:$B$205,MATCH('Deals'!B114,'Clients'!$A$6:$A$205,0)))),IF('Deals'!B114="","",IF(COUNTIFS('Clients'!$A$6:$A$205,'Deals'!B114)&lt;&gt;1,"Check Client ID",INDEX('Clients'!$B$6:$B$205,MATCH('Deals'!B114,'Clients'!$A$6:$A$205,0)))),'Follow-ups'!K114,'Payments'!B114,'Expenses'!D114)="","",CHOOSE($M$42,'Clients'!B114,'Clients'!B114,'Viewings'!H114,IF('Deals'!B114="","",IF(COUNTIFS('Clients'!$A$6:$A$205,'Deals'!B114)&lt;&gt;1,"Check Client ID",INDEX('Clients'!$B$6:$B$205,MATCH('Deals'!B114,'Clients'!$A$6:$A$205,0)))),IF('Deals'!B114="","",IF(COUNTIFS('Clients'!$A$6:$A$205,'Deals'!B114)&lt;&gt;1,"Check Client ID",INDEX('Clients'!$B$6:$B$205,MATCH('Deals'!B114,'Clients'!$A$6:$A$205,0)))),IF('Deals'!B114="","",IF(COUNTIFS('Clients'!$A$6:$A$205,'Deals'!B114)&lt;&gt;1,"Check Client ID",INDEX('Clients'!$B$6:$B$205,MATCH('Deals'!B114,'Clients'!$A$6:$A$205,0)))),'Follow-ups'!K114,'Payments'!B114,'Expenses'!D114))))</x:f>
      </x:c>
      <x:c r="E156" s="432" t="str">
        <x:f>IF(B156="","",IF(ISNUMBER(CHOOSE($M$42,'Clients'!K114,'Clients'!K114,'Viewings'!I114,'Deals'!C114,'Deals'!C114,'Deals'!C114,'Follow-ups'!L114,'Payments'!G114,'Expenses'!F114)),CHOOSE($M$42,'Clients'!K114,'Clients'!K114,'Viewings'!I114,'Deals'!C114,'Deals'!C114,'Deals'!C114,'Follow-ups'!L114,'Payments'!G114,'Expenses'!F114),IF(CHOOSE($M$42,'Clients'!K114,'Clients'!K114,'Viewings'!I114,'Deals'!C114,'Deals'!C114,'Deals'!C114,'Follow-ups'!L114,'Payments'!G114,'Expenses'!F114)="","",CHOOSE($M$42,'Clients'!K114,'Clients'!K114,'Viewings'!I114,'Deals'!C114,'Deals'!C114,'Deals'!C114,'Follow-ups'!L114,'Payments'!G114,'Expenses'!F114))))</x:f>
      </x:c>
      <x:c r="F156" s="432" t="str">
        <x:f>IF(B156="","",IF(ISNUMBER(CHOOSE($M$42,'Clients'!H114,'Clients'!H114,'Viewings'!E114,'Deals'!E114,'Deals'!E114,'Deals'!E114,'Follow-ups'!I114,"Receipt",'Expenses'!C114)),CHOOSE($M$42,'Clients'!H114,'Clients'!H114,'Viewings'!E114,'Deals'!E114,'Deals'!E114,'Deals'!E114,'Follow-ups'!I114,"Receipt",'Expenses'!C114),IF(CHOOSE($M$42,'Clients'!H114,'Clients'!H114,'Viewings'!E114,'Deals'!E114,'Deals'!E114,'Deals'!E114,'Follow-ups'!I114,"Receipt",'Expenses'!C114)="","",CHOOSE($M$42,'Clients'!H114,'Clients'!H114,'Viewings'!E114,'Deals'!E114,'Deals'!E114,'Deals'!E114,'Follow-ups'!I114,"Receipt",'Expenses'!C114))))</x:f>
      </x:c>
      <x:c r="G156" s="473" t="str">
        <x:f>IF(B156="","",IF(ISNUMBER(CHOOSE($M$42,"","","",'Deals'!F114,'Deals'!F114,'Deals'!F114,"",'Payments'!D114,'Expenses'!G114)),CHOOSE($M$42,"","","",'Deals'!F114,'Deals'!F114,'Deals'!F114,"",'Payments'!D114,'Expenses'!G114),IF(CHOOSE($M$42,"","","",'Deals'!F114,'Deals'!F114,'Deals'!F114,"",'Payments'!D114,'Expenses'!G114)="","",CHOOSE($M$42,"","","",'Deals'!F114,'Deals'!F114,'Deals'!F114,"",'Payments'!D114,'Expenses'!G114))))</x:f>
      </x:c>
      <x:c r="H156" s="432" t="n">
        <x:f>IF(AND($M$43=1,B156&lt;&gt;"",ISNUMBER(C156),C156&gt;=$G$6,C156&lt;$K$6+1),1,0)</x:f>
        <x:v>0</x:v>
      </x:c>
      <x:c r="I156" s="432" t="str">
        <x:f>IF(H156=0,"",COUNTIFS($H$48:$H$247,1,$C$48:$C$247,"&lt;"&amp;C156)+COUNTIFS($H$48:H156,1,$C$48:C156,C156))</x:f>
      </x:c>
      <x:c r="J156" s="432"/>
      <x:c r="K156" s="432"/>
      <x:c r="L156" s="432"/>
      <x:c r="M156" s="432"/>
      <x:c r="N156" s="432"/>
      <x:c r="O156" s="432"/>
      <x:c r="P156" s="432"/>
      <x:c r="Q156" s="432"/>
    </x:row>
    <x:row r="157" ht="25" customHeight="1">
      <x:c r="A157" s="432"/>
      <x:c r="B157" s="432" t="str">
        <x:f>IF(CHOOSE($M$42,'Clients'!A115,'Clients'!A115,'Viewings'!A115,'Deals'!A115,'Deals'!A115,'Deals'!A115,'Follow-ups'!A115,'Payments'!A115,'Expenses'!A115)="","",CHOOSE($M$42,'Clients'!A115,'Clients'!A115,'Viewings'!A115,'Deals'!A115,'Deals'!A115,'Deals'!A115,'Follow-ups'!A115,'Payments'!A115,'Expenses'!A115))</x:f>
      </x:c>
      <x:c r="C157" s="472" t="str">
        <x:f>IF(B157="","",IF(CHOOSE($M$42,'Clients'!R115,'Clients'!Q115,'Viewings'!D115,'Deals'!X115,'Deals'!Y115,'Deals'!Z115,'Follow-ups'!H115,'Payments'!C115,'Expenses'!B115)="","",CHOOSE($M$42,'Clients'!R115,'Clients'!Q115,'Viewings'!D115,'Deals'!X115,'Deals'!Y115,'Deals'!Z115,'Follow-ups'!H115,'Payments'!C115,'Expenses'!B115)))</x:f>
      </x:c>
      <x:c r="D157" s="432" t="str">
        <x:f>IF(B157="","",IF(ISNUMBER(CHOOSE($M$42,'Clients'!B115,'Clients'!B115,'Viewings'!H115,IF('Deals'!B115="","",IF(COUNTIFS('Clients'!$A$6:$A$205,'Deals'!B115)&lt;&gt;1,"Check Client ID",INDEX('Clients'!$B$6:$B$205,MATCH('Deals'!B115,'Clients'!$A$6:$A$205,0)))),IF('Deals'!B115="","",IF(COUNTIFS('Clients'!$A$6:$A$205,'Deals'!B115)&lt;&gt;1,"Check Client ID",INDEX('Clients'!$B$6:$B$205,MATCH('Deals'!B115,'Clients'!$A$6:$A$205,0)))),IF('Deals'!B115="","",IF(COUNTIFS('Clients'!$A$6:$A$205,'Deals'!B115)&lt;&gt;1,"Check Client ID",INDEX('Clients'!$B$6:$B$205,MATCH('Deals'!B115,'Clients'!$A$6:$A$205,0)))),'Follow-ups'!K115,'Payments'!B115,'Expenses'!D115)),CHOOSE($M$42,'Clients'!B115,'Clients'!B115,'Viewings'!H115,IF('Deals'!B115="","",IF(COUNTIFS('Clients'!$A$6:$A$205,'Deals'!B115)&lt;&gt;1,"Check Client ID",INDEX('Clients'!$B$6:$B$205,MATCH('Deals'!B115,'Clients'!$A$6:$A$205,0)))),IF('Deals'!B115="","",IF(COUNTIFS('Clients'!$A$6:$A$205,'Deals'!B115)&lt;&gt;1,"Check Client ID",INDEX('Clients'!$B$6:$B$205,MATCH('Deals'!B115,'Clients'!$A$6:$A$205,0)))),IF('Deals'!B115="","",IF(COUNTIFS('Clients'!$A$6:$A$205,'Deals'!B115)&lt;&gt;1,"Check Client ID",INDEX('Clients'!$B$6:$B$205,MATCH('Deals'!B115,'Clients'!$A$6:$A$205,0)))),'Follow-ups'!K115,'Payments'!B115,'Expenses'!D115),IF(CHOOSE($M$42,'Clients'!B115,'Clients'!B115,'Viewings'!H115,IF('Deals'!B115="","",IF(COUNTIFS('Clients'!$A$6:$A$205,'Deals'!B115)&lt;&gt;1,"Check Client ID",INDEX('Clients'!$B$6:$B$205,MATCH('Deals'!B115,'Clients'!$A$6:$A$205,0)))),IF('Deals'!B115="","",IF(COUNTIFS('Clients'!$A$6:$A$205,'Deals'!B115)&lt;&gt;1,"Check Client ID",INDEX('Clients'!$B$6:$B$205,MATCH('Deals'!B115,'Clients'!$A$6:$A$205,0)))),IF('Deals'!B115="","",IF(COUNTIFS('Clients'!$A$6:$A$205,'Deals'!B115)&lt;&gt;1,"Check Client ID",INDEX('Clients'!$B$6:$B$205,MATCH('Deals'!B115,'Clients'!$A$6:$A$205,0)))),'Follow-ups'!K115,'Payments'!B115,'Expenses'!D115)="","",CHOOSE($M$42,'Clients'!B115,'Clients'!B115,'Viewings'!H115,IF('Deals'!B115="","",IF(COUNTIFS('Clients'!$A$6:$A$205,'Deals'!B115)&lt;&gt;1,"Check Client ID",INDEX('Clients'!$B$6:$B$205,MATCH('Deals'!B115,'Clients'!$A$6:$A$205,0)))),IF('Deals'!B115="","",IF(COUNTIFS('Clients'!$A$6:$A$205,'Deals'!B115)&lt;&gt;1,"Check Client ID",INDEX('Clients'!$B$6:$B$205,MATCH('Deals'!B115,'Clients'!$A$6:$A$205,0)))),IF('Deals'!B115="","",IF(COUNTIFS('Clients'!$A$6:$A$205,'Deals'!B115)&lt;&gt;1,"Check Client ID",INDEX('Clients'!$B$6:$B$205,MATCH('Deals'!B115,'Clients'!$A$6:$A$205,0)))),'Follow-ups'!K115,'Payments'!B115,'Expenses'!D115))))</x:f>
      </x:c>
      <x:c r="E157" s="432" t="str">
        <x:f>IF(B157="","",IF(ISNUMBER(CHOOSE($M$42,'Clients'!K115,'Clients'!K115,'Viewings'!I115,'Deals'!C115,'Deals'!C115,'Deals'!C115,'Follow-ups'!L115,'Payments'!G115,'Expenses'!F115)),CHOOSE($M$42,'Clients'!K115,'Clients'!K115,'Viewings'!I115,'Deals'!C115,'Deals'!C115,'Deals'!C115,'Follow-ups'!L115,'Payments'!G115,'Expenses'!F115),IF(CHOOSE($M$42,'Clients'!K115,'Clients'!K115,'Viewings'!I115,'Deals'!C115,'Deals'!C115,'Deals'!C115,'Follow-ups'!L115,'Payments'!G115,'Expenses'!F115)="","",CHOOSE($M$42,'Clients'!K115,'Clients'!K115,'Viewings'!I115,'Deals'!C115,'Deals'!C115,'Deals'!C115,'Follow-ups'!L115,'Payments'!G115,'Expenses'!F115))))</x:f>
      </x:c>
      <x:c r="F157" s="432" t="str">
        <x:f>IF(B157="","",IF(ISNUMBER(CHOOSE($M$42,'Clients'!H115,'Clients'!H115,'Viewings'!E115,'Deals'!E115,'Deals'!E115,'Deals'!E115,'Follow-ups'!I115,"Receipt",'Expenses'!C115)),CHOOSE($M$42,'Clients'!H115,'Clients'!H115,'Viewings'!E115,'Deals'!E115,'Deals'!E115,'Deals'!E115,'Follow-ups'!I115,"Receipt",'Expenses'!C115),IF(CHOOSE($M$42,'Clients'!H115,'Clients'!H115,'Viewings'!E115,'Deals'!E115,'Deals'!E115,'Deals'!E115,'Follow-ups'!I115,"Receipt",'Expenses'!C115)="","",CHOOSE($M$42,'Clients'!H115,'Clients'!H115,'Viewings'!E115,'Deals'!E115,'Deals'!E115,'Deals'!E115,'Follow-ups'!I115,"Receipt",'Expenses'!C115))))</x:f>
      </x:c>
      <x:c r="G157" s="473" t="str">
        <x:f>IF(B157="","",IF(ISNUMBER(CHOOSE($M$42,"","","",'Deals'!F115,'Deals'!F115,'Deals'!F115,"",'Payments'!D115,'Expenses'!G115)),CHOOSE($M$42,"","","",'Deals'!F115,'Deals'!F115,'Deals'!F115,"",'Payments'!D115,'Expenses'!G115),IF(CHOOSE($M$42,"","","",'Deals'!F115,'Deals'!F115,'Deals'!F115,"",'Payments'!D115,'Expenses'!G115)="","",CHOOSE($M$42,"","","",'Deals'!F115,'Deals'!F115,'Deals'!F115,"",'Payments'!D115,'Expenses'!G115))))</x:f>
      </x:c>
      <x:c r="H157" s="432" t="n">
        <x:f>IF(AND($M$43=1,B157&lt;&gt;"",ISNUMBER(C157),C157&gt;=$G$6,C157&lt;$K$6+1),1,0)</x:f>
        <x:v>0</x:v>
      </x:c>
      <x:c r="I157" s="432" t="str">
        <x:f>IF(H157=0,"",COUNTIFS($H$48:$H$247,1,$C$48:$C$247,"&lt;"&amp;C157)+COUNTIFS($H$48:H157,1,$C$48:C157,C157))</x:f>
      </x:c>
      <x:c r="J157" s="432"/>
      <x:c r="K157" s="432"/>
      <x:c r="L157" s="432"/>
      <x:c r="M157" s="432"/>
      <x:c r="N157" s="432"/>
      <x:c r="O157" s="432"/>
      <x:c r="P157" s="432"/>
      <x:c r="Q157" s="432"/>
    </x:row>
    <x:row r="158" ht="25" customHeight="1">
      <x:c r="A158" s="432"/>
      <x:c r="B158" s="432" t="str">
        <x:f>IF(CHOOSE($M$42,'Clients'!A116,'Clients'!A116,'Viewings'!A116,'Deals'!A116,'Deals'!A116,'Deals'!A116,'Follow-ups'!A116,'Payments'!A116,'Expenses'!A116)="","",CHOOSE($M$42,'Clients'!A116,'Clients'!A116,'Viewings'!A116,'Deals'!A116,'Deals'!A116,'Deals'!A116,'Follow-ups'!A116,'Payments'!A116,'Expenses'!A116))</x:f>
      </x:c>
      <x:c r="C158" s="472" t="str">
        <x:f>IF(B158="","",IF(CHOOSE($M$42,'Clients'!R116,'Clients'!Q116,'Viewings'!D116,'Deals'!X116,'Deals'!Y116,'Deals'!Z116,'Follow-ups'!H116,'Payments'!C116,'Expenses'!B116)="","",CHOOSE($M$42,'Clients'!R116,'Clients'!Q116,'Viewings'!D116,'Deals'!X116,'Deals'!Y116,'Deals'!Z116,'Follow-ups'!H116,'Payments'!C116,'Expenses'!B116)))</x:f>
      </x:c>
      <x:c r="D158" s="432" t="str">
        <x:f>IF(B158="","",IF(ISNUMBER(CHOOSE($M$42,'Clients'!B116,'Clients'!B116,'Viewings'!H116,IF('Deals'!B116="","",IF(COUNTIFS('Clients'!$A$6:$A$205,'Deals'!B116)&lt;&gt;1,"Check Client ID",INDEX('Clients'!$B$6:$B$205,MATCH('Deals'!B116,'Clients'!$A$6:$A$205,0)))),IF('Deals'!B116="","",IF(COUNTIFS('Clients'!$A$6:$A$205,'Deals'!B116)&lt;&gt;1,"Check Client ID",INDEX('Clients'!$B$6:$B$205,MATCH('Deals'!B116,'Clients'!$A$6:$A$205,0)))),IF('Deals'!B116="","",IF(COUNTIFS('Clients'!$A$6:$A$205,'Deals'!B116)&lt;&gt;1,"Check Client ID",INDEX('Clients'!$B$6:$B$205,MATCH('Deals'!B116,'Clients'!$A$6:$A$205,0)))),'Follow-ups'!K116,'Payments'!B116,'Expenses'!D116)),CHOOSE($M$42,'Clients'!B116,'Clients'!B116,'Viewings'!H116,IF('Deals'!B116="","",IF(COUNTIFS('Clients'!$A$6:$A$205,'Deals'!B116)&lt;&gt;1,"Check Client ID",INDEX('Clients'!$B$6:$B$205,MATCH('Deals'!B116,'Clients'!$A$6:$A$205,0)))),IF('Deals'!B116="","",IF(COUNTIFS('Clients'!$A$6:$A$205,'Deals'!B116)&lt;&gt;1,"Check Client ID",INDEX('Clients'!$B$6:$B$205,MATCH('Deals'!B116,'Clients'!$A$6:$A$205,0)))),IF('Deals'!B116="","",IF(COUNTIFS('Clients'!$A$6:$A$205,'Deals'!B116)&lt;&gt;1,"Check Client ID",INDEX('Clients'!$B$6:$B$205,MATCH('Deals'!B116,'Clients'!$A$6:$A$205,0)))),'Follow-ups'!K116,'Payments'!B116,'Expenses'!D116),IF(CHOOSE($M$42,'Clients'!B116,'Clients'!B116,'Viewings'!H116,IF('Deals'!B116="","",IF(COUNTIFS('Clients'!$A$6:$A$205,'Deals'!B116)&lt;&gt;1,"Check Client ID",INDEX('Clients'!$B$6:$B$205,MATCH('Deals'!B116,'Clients'!$A$6:$A$205,0)))),IF('Deals'!B116="","",IF(COUNTIFS('Clients'!$A$6:$A$205,'Deals'!B116)&lt;&gt;1,"Check Client ID",INDEX('Clients'!$B$6:$B$205,MATCH('Deals'!B116,'Clients'!$A$6:$A$205,0)))),IF('Deals'!B116="","",IF(COUNTIFS('Clients'!$A$6:$A$205,'Deals'!B116)&lt;&gt;1,"Check Client ID",INDEX('Clients'!$B$6:$B$205,MATCH('Deals'!B116,'Clients'!$A$6:$A$205,0)))),'Follow-ups'!K116,'Payments'!B116,'Expenses'!D116)="","",CHOOSE($M$42,'Clients'!B116,'Clients'!B116,'Viewings'!H116,IF('Deals'!B116="","",IF(COUNTIFS('Clients'!$A$6:$A$205,'Deals'!B116)&lt;&gt;1,"Check Client ID",INDEX('Clients'!$B$6:$B$205,MATCH('Deals'!B116,'Clients'!$A$6:$A$205,0)))),IF('Deals'!B116="","",IF(COUNTIFS('Clients'!$A$6:$A$205,'Deals'!B116)&lt;&gt;1,"Check Client ID",INDEX('Clients'!$B$6:$B$205,MATCH('Deals'!B116,'Clients'!$A$6:$A$205,0)))),IF('Deals'!B116="","",IF(COUNTIFS('Clients'!$A$6:$A$205,'Deals'!B116)&lt;&gt;1,"Check Client ID",INDEX('Clients'!$B$6:$B$205,MATCH('Deals'!B116,'Clients'!$A$6:$A$205,0)))),'Follow-ups'!K116,'Payments'!B116,'Expenses'!D116))))</x:f>
      </x:c>
      <x:c r="E158" s="432" t="str">
        <x:f>IF(B158="","",IF(ISNUMBER(CHOOSE($M$42,'Clients'!K116,'Clients'!K116,'Viewings'!I116,'Deals'!C116,'Deals'!C116,'Deals'!C116,'Follow-ups'!L116,'Payments'!G116,'Expenses'!F116)),CHOOSE($M$42,'Clients'!K116,'Clients'!K116,'Viewings'!I116,'Deals'!C116,'Deals'!C116,'Deals'!C116,'Follow-ups'!L116,'Payments'!G116,'Expenses'!F116),IF(CHOOSE($M$42,'Clients'!K116,'Clients'!K116,'Viewings'!I116,'Deals'!C116,'Deals'!C116,'Deals'!C116,'Follow-ups'!L116,'Payments'!G116,'Expenses'!F116)="","",CHOOSE($M$42,'Clients'!K116,'Clients'!K116,'Viewings'!I116,'Deals'!C116,'Deals'!C116,'Deals'!C116,'Follow-ups'!L116,'Payments'!G116,'Expenses'!F116))))</x:f>
      </x:c>
      <x:c r="F158" s="432" t="str">
        <x:f>IF(B158="","",IF(ISNUMBER(CHOOSE($M$42,'Clients'!H116,'Clients'!H116,'Viewings'!E116,'Deals'!E116,'Deals'!E116,'Deals'!E116,'Follow-ups'!I116,"Receipt",'Expenses'!C116)),CHOOSE($M$42,'Clients'!H116,'Clients'!H116,'Viewings'!E116,'Deals'!E116,'Deals'!E116,'Deals'!E116,'Follow-ups'!I116,"Receipt",'Expenses'!C116),IF(CHOOSE($M$42,'Clients'!H116,'Clients'!H116,'Viewings'!E116,'Deals'!E116,'Deals'!E116,'Deals'!E116,'Follow-ups'!I116,"Receipt",'Expenses'!C116)="","",CHOOSE($M$42,'Clients'!H116,'Clients'!H116,'Viewings'!E116,'Deals'!E116,'Deals'!E116,'Deals'!E116,'Follow-ups'!I116,"Receipt",'Expenses'!C116))))</x:f>
      </x:c>
      <x:c r="G158" s="473" t="str">
        <x:f>IF(B158="","",IF(ISNUMBER(CHOOSE($M$42,"","","",'Deals'!F116,'Deals'!F116,'Deals'!F116,"",'Payments'!D116,'Expenses'!G116)),CHOOSE($M$42,"","","",'Deals'!F116,'Deals'!F116,'Deals'!F116,"",'Payments'!D116,'Expenses'!G116),IF(CHOOSE($M$42,"","","",'Deals'!F116,'Deals'!F116,'Deals'!F116,"",'Payments'!D116,'Expenses'!G116)="","",CHOOSE($M$42,"","","",'Deals'!F116,'Deals'!F116,'Deals'!F116,"",'Payments'!D116,'Expenses'!G116))))</x:f>
      </x:c>
      <x:c r="H158" s="432" t="n">
        <x:f>IF(AND($M$43=1,B158&lt;&gt;"",ISNUMBER(C158),C158&gt;=$G$6,C158&lt;$K$6+1),1,0)</x:f>
        <x:v>0</x:v>
      </x:c>
      <x:c r="I158" s="432" t="str">
        <x:f>IF(H158=0,"",COUNTIFS($H$48:$H$247,1,$C$48:$C$247,"&lt;"&amp;C158)+COUNTIFS($H$48:H158,1,$C$48:C158,C158))</x:f>
      </x:c>
      <x:c r="J158" s="432"/>
      <x:c r="K158" s="432"/>
      <x:c r="L158" s="432"/>
      <x:c r="M158" s="432"/>
      <x:c r="N158" s="432"/>
      <x:c r="O158" s="432"/>
      <x:c r="P158" s="432"/>
      <x:c r="Q158" s="432"/>
    </x:row>
    <x:row r="159" ht="25" customHeight="1">
      <x:c r="A159" s="432"/>
      <x:c r="B159" s="432" t="str">
        <x:f>IF(CHOOSE($M$42,'Clients'!A117,'Clients'!A117,'Viewings'!A117,'Deals'!A117,'Deals'!A117,'Deals'!A117,'Follow-ups'!A117,'Payments'!A117,'Expenses'!A117)="","",CHOOSE($M$42,'Clients'!A117,'Clients'!A117,'Viewings'!A117,'Deals'!A117,'Deals'!A117,'Deals'!A117,'Follow-ups'!A117,'Payments'!A117,'Expenses'!A117))</x:f>
      </x:c>
      <x:c r="C159" s="472" t="str">
        <x:f>IF(B159="","",IF(CHOOSE($M$42,'Clients'!R117,'Clients'!Q117,'Viewings'!D117,'Deals'!X117,'Deals'!Y117,'Deals'!Z117,'Follow-ups'!H117,'Payments'!C117,'Expenses'!B117)="","",CHOOSE($M$42,'Clients'!R117,'Clients'!Q117,'Viewings'!D117,'Deals'!X117,'Deals'!Y117,'Deals'!Z117,'Follow-ups'!H117,'Payments'!C117,'Expenses'!B117)))</x:f>
      </x:c>
      <x:c r="D159" s="432" t="str">
        <x:f>IF(B159="","",IF(ISNUMBER(CHOOSE($M$42,'Clients'!B117,'Clients'!B117,'Viewings'!H117,IF('Deals'!B117="","",IF(COUNTIFS('Clients'!$A$6:$A$205,'Deals'!B117)&lt;&gt;1,"Check Client ID",INDEX('Clients'!$B$6:$B$205,MATCH('Deals'!B117,'Clients'!$A$6:$A$205,0)))),IF('Deals'!B117="","",IF(COUNTIFS('Clients'!$A$6:$A$205,'Deals'!B117)&lt;&gt;1,"Check Client ID",INDEX('Clients'!$B$6:$B$205,MATCH('Deals'!B117,'Clients'!$A$6:$A$205,0)))),IF('Deals'!B117="","",IF(COUNTIFS('Clients'!$A$6:$A$205,'Deals'!B117)&lt;&gt;1,"Check Client ID",INDEX('Clients'!$B$6:$B$205,MATCH('Deals'!B117,'Clients'!$A$6:$A$205,0)))),'Follow-ups'!K117,'Payments'!B117,'Expenses'!D117)),CHOOSE($M$42,'Clients'!B117,'Clients'!B117,'Viewings'!H117,IF('Deals'!B117="","",IF(COUNTIFS('Clients'!$A$6:$A$205,'Deals'!B117)&lt;&gt;1,"Check Client ID",INDEX('Clients'!$B$6:$B$205,MATCH('Deals'!B117,'Clients'!$A$6:$A$205,0)))),IF('Deals'!B117="","",IF(COUNTIFS('Clients'!$A$6:$A$205,'Deals'!B117)&lt;&gt;1,"Check Client ID",INDEX('Clients'!$B$6:$B$205,MATCH('Deals'!B117,'Clients'!$A$6:$A$205,0)))),IF('Deals'!B117="","",IF(COUNTIFS('Clients'!$A$6:$A$205,'Deals'!B117)&lt;&gt;1,"Check Client ID",INDEX('Clients'!$B$6:$B$205,MATCH('Deals'!B117,'Clients'!$A$6:$A$205,0)))),'Follow-ups'!K117,'Payments'!B117,'Expenses'!D117),IF(CHOOSE($M$42,'Clients'!B117,'Clients'!B117,'Viewings'!H117,IF('Deals'!B117="","",IF(COUNTIFS('Clients'!$A$6:$A$205,'Deals'!B117)&lt;&gt;1,"Check Client ID",INDEX('Clients'!$B$6:$B$205,MATCH('Deals'!B117,'Clients'!$A$6:$A$205,0)))),IF('Deals'!B117="","",IF(COUNTIFS('Clients'!$A$6:$A$205,'Deals'!B117)&lt;&gt;1,"Check Client ID",INDEX('Clients'!$B$6:$B$205,MATCH('Deals'!B117,'Clients'!$A$6:$A$205,0)))),IF('Deals'!B117="","",IF(COUNTIFS('Clients'!$A$6:$A$205,'Deals'!B117)&lt;&gt;1,"Check Client ID",INDEX('Clients'!$B$6:$B$205,MATCH('Deals'!B117,'Clients'!$A$6:$A$205,0)))),'Follow-ups'!K117,'Payments'!B117,'Expenses'!D117)="","",CHOOSE($M$42,'Clients'!B117,'Clients'!B117,'Viewings'!H117,IF('Deals'!B117="","",IF(COUNTIFS('Clients'!$A$6:$A$205,'Deals'!B117)&lt;&gt;1,"Check Client ID",INDEX('Clients'!$B$6:$B$205,MATCH('Deals'!B117,'Clients'!$A$6:$A$205,0)))),IF('Deals'!B117="","",IF(COUNTIFS('Clients'!$A$6:$A$205,'Deals'!B117)&lt;&gt;1,"Check Client ID",INDEX('Clients'!$B$6:$B$205,MATCH('Deals'!B117,'Clients'!$A$6:$A$205,0)))),IF('Deals'!B117="","",IF(COUNTIFS('Clients'!$A$6:$A$205,'Deals'!B117)&lt;&gt;1,"Check Client ID",INDEX('Clients'!$B$6:$B$205,MATCH('Deals'!B117,'Clients'!$A$6:$A$205,0)))),'Follow-ups'!K117,'Payments'!B117,'Expenses'!D117))))</x:f>
      </x:c>
      <x:c r="E159" s="432" t="str">
        <x:f>IF(B159="","",IF(ISNUMBER(CHOOSE($M$42,'Clients'!K117,'Clients'!K117,'Viewings'!I117,'Deals'!C117,'Deals'!C117,'Deals'!C117,'Follow-ups'!L117,'Payments'!G117,'Expenses'!F117)),CHOOSE($M$42,'Clients'!K117,'Clients'!K117,'Viewings'!I117,'Deals'!C117,'Deals'!C117,'Deals'!C117,'Follow-ups'!L117,'Payments'!G117,'Expenses'!F117),IF(CHOOSE($M$42,'Clients'!K117,'Clients'!K117,'Viewings'!I117,'Deals'!C117,'Deals'!C117,'Deals'!C117,'Follow-ups'!L117,'Payments'!G117,'Expenses'!F117)="","",CHOOSE($M$42,'Clients'!K117,'Clients'!K117,'Viewings'!I117,'Deals'!C117,'Deals'!C117,'Deals'!C117,'Follow-ups'!L117,'Payments'!G117,'Expenses'!F117))))</x:f>
      </x:c>
      <x:c r="F159" s="432" t="str">
        <x:f>IF(B159="","",IF(ISNUMBER(CHOOSE($M$42,'Clients'!H117,'Clients'!H117,'Viewings'!E117,'Deals'!E117,'Deals'!E117,'Deals'!E117,'Follow-ups'!I117,"Receipt",'Expenses'!C117)),CHOOSE($M$42,'Clients'!H117,'Clients'!H117,'Viewings'!E117,'Deals'!E117,'Deals'!E117,'Deals'!E117,'Follow-ups'!I117,"Receipt",'Expenses'!C117),IF(CHOOSE($M$42,'Clients'!H117,'Clients'!H117,'Viewings'!E117,'Deals'!E117,'Deals'!E117,'Deals'!E117,'Follow-ups'!I117,"Receipt",'Expenses'!C117)="","",CHOOSE($M$42,'Clients'!H117,'Clients'!H117,'Viewings'!E117,'Deals'!E117,'Deals'!E117,'Deals'!E117,'Follow-ups'!I117,"Receipt",'Expenses'!C117))))</x:f>
      </x:c>
      <x:c r="G159" s="473" t="str">
        <x:f>IF(B159="","",IF(ISNUMBER(CHOOSE($M$42,"","","",'Deals'!F117,'Deals'!F117,'Deals'!F117,"",'Payments'!D117,'Expenses'!G117)),CHOOSE($M$42,"","","",'Deals'!F117,'Deals'!F117,'Deals'!F117,"",'Payments'!D117,'Expenses'!G117),IF(CHOOSE($M$42,"","","",'Deals'!F117,'Deals'!F117,'Deals'!F117,"",'Payments'!D117,'Expenses'!G117)="","",CHOOSE($M$42,"","","",'Deals'!F117,'Deals'!F117,'Deals'!F117,"",'Payments'!D117,'Expenses'!G117))))</x:f>
      </x:c>
      <x:c r="H159" s="432" t="n">
        <x:f>IF(AND($M$43=1,B159&lt;&gt;"",ISNUMBER(C159),C159&gt;=$G$6,C159&lt;$K$6+1),1,0)</x:f>
        <x:v>0</x:v>
      </x:c>
      <x:c r="I159" s="432" t="str">
        <x:f>IF(H159=0,"",COUNTIFS($H$48:$H$247,1,$C$48:$C$247,"&lt;"&amp;C159)+COUNTIFS($H$48:H159,1,$C$48:C159,C159))</x:f>
      </x:c>
      <x:c r="J159" s="432"/>
      <x:c r="K159" s="432"/>
      <x:c r="L159" s="432"/>
      <x:c r="M159" s="432"/>
      <x:c r="N159" s="432"/>
      <x:c r="O159" s="432"/>
      <x:c r="P159" s="432"/>
      <x:c r="Q159" s="432"/>
    </x:row>
    <x:row r="160" ht="25" customHeight="1">
      <x:c r="A160" s="432"/>
      <x:c r="B160" s="432" t="str">
        <x:f>IF(CHOOSE($M$42,'Clients'!A118,'Clients'!A118,'Viewings'!A118,'Deals'!A118,'Deals'!A118,'Deals'!A118,'Follow-ups'!A118,'Payments'!A118,'Expenses'!A118)="","",CHOOSE($M$42,'Clients'!A118,'Clients'!A118,'Viewings'!A118,'Deals'!A118,'Deals'!A118,'Deals'!A118,'Follow-ups'!A118,'Payments'!A118,'Expenses'!A118))</x:f>
      </x:c>
      <x:c r="C160" s="472" t="str">
        <x:f>IF(B160="","",IF(CHOOSE($M$42,'Clients'!R118,'Clients'!Q118,'Viewings'!D118,'Deals'!X118,'Deals'!Y118,'Deals'!Z118,'Follow-ups'!H118,'Payments'!C118,'Expenses'!B118)="","",CHOOSE($M$42,'Clients'!R118,'Clients'!Q118,'Viewings'!D118,'Deals'!X118,'Deals'!Y118,'Deals'!Z118,'Follow-ups'!H118,'Payments'!C118,'Expenses'!B118)))</x:f>
      </x:c>
      <x:c r="D160" s="432" t="str">
        <x:f>IF(B160="","",IF(ISNUMBER(CHOOSE($M$42,'Clients'!B118,'Clients'!B118,'Viewings'!H118,IF('Deals'!B118="","",IF(COUNTIFS('Clients'!$A$6:$A$205,'Deals'!B118)&lt;&gt;1,"Check Client ID",INDEX('Clients'!$B$6:$B$205,MATCH('Deals'!B118,'Clients'!$A$6:$A$205,0)))),IF('Deals'!B118="","",IF(COUNTIFS('Clients'!$A$6:$A$205,'Deals'!B118)&lt;&gt;1,"Check Client ID",INDEX('Clients'!$B$6:$B$205,MATCH('Deals'!B118,'Clients'!$A$6:$A$205,0)))),IF('Deals'!B118="","",IF(COUNTIFS('Clients'!$A$6:$A$205,'Deals'!B118)&lt;&gt;1,"Check Client ID",INDEX('Clients'!$B$6:$B$205,MATCH('Deals'!B118,'Clients'!$A$6:$A$205,0)))),'Follow-ups'!K118,'Payments'!B118,'Expenses'!D118)),CHOOSE($M$42,'Clients'!B118,'Clients'!B118,'Viewings'!H118,IF('Deals'!B118="","",IF(COUNTIFS('Clients'!$A$6:$A$205,'Deals'!B118)&lt;&gt;1,"Check Client ID",INDEX('Clients'!$B$6:$B$205,MATCH('Deals'!B118,'Clients'!$A$6:$A$205,0)))),IF('Deals'!B118="","",IF(COUNTIFS('Clients'!$A$6:$A$205,'Deals'!B118)&lt;&gt;1,"Check Client ID",INDEX('Clients'!$B$6:$B$205,MATCH('Deals'!B118,'Clients'!$A$6:$A$205,0)))),IF('Deals'!B118="","",IF(COUNTIFS('Clients'!$A$6:$A$205,'Deals'!B118)&lt;&gt;1,"Check Client ID",INDEX('Clients'!$B$6:$B$205,MATCH('Deals'!B118,'Clients'!$A$6:$A$205,0)))),'Follow-ups'!K118,'Payments'!B118,'Expenses'!D118),IF(CHOOSE($M$42,'Clients'!B118,'Clients'!B118,'Viewings'!H118,IF('Deals'!B118="","",IF(COUNTIFS('Clients'!$A$6:$A$205,'Deals'!B118)&lt;&gt;1,"Check Client ID",INDEX('Clients'!$B$6:$B$205,MATCH('Deals'!B118,'Clients'!$A$6:$A$205,0)))),IF('Deals'!B118="","",IF(COUNTIFS('Clients'!$A$6:$A$205,'Deals'!B118)&lt;&gt;1,"Check Client ID",INDEX('Clients'!$B$6:$B$205,MATCH('Deals'!B118,'Clients'!$A$6:$A$205,0)))),IF('Deals'!B118="","",IF(COUNTIFS('Clients'!$A$6:$A$205,'Deals'!B118)&lt;&gt;1,"Check Client ID",INDEX('Clients'!$B$6:$B$205,MATCH('Deals'!B118,'Clients'!$A$6:$A$205,0)))),'Follow-ups'!K118,'Payments'!B118,'Expenses'!D118)="","",CHOOSE($M$42,'Clients'!B118,'Clients'!B118,'Viewings'!H118,IF('Deals'!B118="","",IF(COUNTIFS('Clients'!$A$6:$A$205,'Deals'!B118)&lt;&gt;1,"Check Client ID",INDEX('Clients'!$B$6:$B$205,MATCH('Deals'!B118,'Clients'!$A$6:$A$205,0)))),IF('Deals'!B118="","",IF(COUNTIFS('Clients'!$A$6:$A$205,'Deals'!B118)&lt;&gt;1,"Check Client ID",INDEX('Clients'!$B$6:$B$205,MATCH('Deals'!B118,'Clients'!$A$6:$A$205,0)))),IF('Deals'!B118="","",IF(COUNTIFS('Clients'!$A$6:$A$205,'Deals'!B118)&lt;&gt;1,"Check Client ID",INDEX('Clients'!$B$6:$B$205,MATCH('Deals'!B118,'Clients'!$A$6:$A$205,0)))),'Follow-ups'!K118,'Payments'!B118,'Expenses'!D118))))</x:f>
      </x:c>
      <x:c r="E160" s="432" t="str">
        <x:f>IF(B160="","",IF(ISNUMBER(CHOOSE($M$42,'Clients'!K118,'Clients'!K118,'Viewings'!I118,'Deals'!C118,'Deals'!C118,'Deals'!C118,'Follow-ups'!L118,'Payments'!G118,'Expenses'!F118)),CHOOSE($M$42,'Clients'!K118,'Clients'!K118,'Viewings'!I118,'Deals'!C118,'Deals'!C118,'Deals'!C118,'Follow-ups'!L118,'Payments'!G118,'Expenses'!F118),IF(CHOOSE($M$42,'Clients'!K118,'Clients'!K118,'Viewings'!I118,'Deals'!C118,'Deals'!C118,'Deals'!C118,'Follow-ups'!L118,'Payments'!G118,'Expenses'!F118)="","",CHOOSE($M$42,'Clients'!K118,'Clients'!K118,'Viewings'!I118,'Deals'!C118,'Deals'!C118,'Deals'!C118,'Follow-ups'!L118,'Payments'!G118,'Expenses'!F118))))</x:f>
      </x:c>
      <x:c r="F160" s="432" t="str">
        <x:f>IF(B160="","",IF(ISNUMBER(CHOOSE($M$42,'Clients'!H118,'Clients'!H118,'Viewings'!E118,'Deals'!E118,'Deals'!E118,'Deals'!E118,'Follow-ups'!I118,"Receipt",'Expenses'!C118)),CHOOSE($M$42,'Clients'!H118,'Clients'!H118,'Viewings'!E118,'Deals'!E118,'Deals'!E118,'Deals'!E118,'Follow-ups'!I118,"Receipt",'Expenses'!C118),IF(CHOOSE($M$42,'Clients'!H118,'Clients'!H118,'Viewings'!E118,'Deals'!E118,'Deals'!E118,'Deals'!E118,'Follow-ups'!I118,"Receipt",'Expenses'!C118)="","",CHOOSE($M$42,'Clients'!H118,'Clients'!H118,'Viewings'!E118,'Deals'!E118,'Deals'!E118,'Deals'!E118,'Follow-ups'!I118,"Receipt",'Expenses'!C118))))</x:f>
      </x:c>
      <x:c r="G160" s="473" t="str">
        <x:f>IF(B160="","",IF(ISNUMBER(CHOOSE($M$42,"","","",'Deals'!F118,'Deals'!F118,'Deals'!F118,"",'Payments'!D118,'Expenses'!G118)),CHOOSE($M$42,"","","",'Deals'!F118,'Deals'!F118,'Deals'!F118,"",'Payments'!D118,'Expenses'!G118),IF(CHOOSE($M$42,"","","",'Deals'!F118,'Deals'!F118,'Deals'!F118,"",'Payments'!D118,'Expenses'!G118)="","",CHOOSE($M$42,"","","",'Deals'!F118,'Deals'!F118,'Deals'!F118,"",'Payments'!D118,'Expenses'!G118))))</x:f>
      </x:c>
      <x:c r="H160" s="432" t="n">
        <x:f>IF(AND($M$43=1,B160&lt;&gt;"",ISNUMBER(C160),C160&gt;=$G$6,C160&lt;$K$6+1),1,0)</x:f>
        <x:v>0</x:v>
      </x:c>
      <x:c r="I160" s="432" t="str">
        <x:f>IF(H160=0,"",COUNTIFS($H$48:$H$247,1,$C$48:$C$247,"&lt;"&amp;C160)+COUNTIFS($H$48:H160,1,$C$48:C160,C160))</x:f>
      </x:c>
      <x:c r="J160" s="432"/>
      <x:c r="K160" s="432"/>
      <x:c r="L160" s="432"/>
      <x:c r="M160" s="432"/>
      <x:c r="N160" s="432"/>
      <x:c r="O160" s="432"/>
      <x:c r="P160" s="432"/>
      <x:c r="Q160" s="432"/>
    </x:row>
    <x:row r="161" ht="25" customHeight="1">
      <x:c r="A161" s="432"/>
      <x:c r="B161" s="432" t="str">
        <x:f>IF(CHOOSE($M$42,'Clients'!A119,'Clients'!A119,'Viewings'!A119,'Deals'!A119,'Deals'!A119,'Deals'!A119,'Follow-ups'!A119,'Payments'!A119,'Expenses'!A119)="","",CHOOSE($M$42,'Clients'!A119,'Clients'!A119,'Viewings'!A119,'Deals'!A119,'Deals'!A119,'Deals'!A119,'Follow-ups'!A119,'Payments'!A119,'Expenses'!A119))</x:f>
      </x:c>
      <x:c r="C161" s="472" t="str">
        <x:f>IF(B161="","",IF(CHOOSE($M$42,'Clients'!R119,'Clients'!Q119,'Viewings'!D119,'Deals'!X119,'Deals'!Y119,'Deals'!Z119,'Follow-ups'!H119,'Payments'!C119,'Expenses'!B119)="","",CHOOSE($M$42,'Clients'!R119,'Clients'!Q119,'Viewings'!D119,'Deals'!X119,'Deals'!Y119,'Deals'!Z119,'Follow-ups'!H119,'Payments'!C119,'Expenses'!B119)))</x:f>
      </x:c>
      <x:c r="D161" s="432" t="str">
        <x:f>IF(B161="","",IF(ISNUMBER(CHOOSE($M$42,'Clients'!B119,'Clients'!B119,'Viewings'!H119,IF('Deals'!B119="","",IF(COUNTIFS('Clients'!$A$6:$A$205,'Deals'!B119)&lt;&gt;1,"Check Client ID",INDEX('Clients'!$B$6:$B$205,MATCH('Deals'!B119,'Clients'!$A$6:$A$205,0)))),IF('Deals'!B119="","",IF(COUNTIFS('Clients'!$A$6:$A$205,'Deals'!B119)&lt;&gt;1,"Check Client ID",INDEX('Clients'!$B$6:$B$205,MATCH('Deals'!B119,'Clients'!$A$6:$A$205,0)))),IF('Deals'!B119="","",IF(COUNTIFS('Clients'!$A$6:$A$205,'Deals'!B119)&lt;&gt;1,"Check Client ID",INDEX('Clients'!$B$6:$B$205,MATCH('Deals'!B119,'Clients'!$A$6:$A$205,0)))),'Follow-ups'!K119,'Payments'!B119,'Expenses'!D119)),CHOOSE($M$42,'Clients'!B119,'Clients'!B119,'Viewings'!H119,IF('Deals'!B119="","",IF(COUNTIFS('Clients'!$A$6:$A$205,'Deals'!B119)&lt;&gt;1,"Check Client ID",INDEX('Clients'!$B$6:$B$205,MATCH('Deals'!B119,'Clients'!$A$6:$A$205,0)))),IF('Deals'!B119="","",IF(COUNTIFS('Clients'!$A$6:$A$205,'Deals'!B119)&lt;&gt;1,"Check Client ID",INDEX('Clients'!$B$6:$B$205,MATCH('Deals'!B119,'Clients'!$A$6:$A$205,0)))),IF('Deals'!B119="","",IF(COUNTIFS('Clients'!$A$6:$A$205,'Deals'!B119)&lt;&gt;1,"Check Client ID",INDEX('Clients'!$B$6:$B$205,MATCH('Deals'!B119,'Clients'!$A$6:$A$205,0)))),'Follow-ups'!K119,'Payments'!B119,'Expenses'!D119),IF(CHOOSE($M$42,'Clients'!B119,'Clients'!B119,'Viewings'!H119,IF('Deals'!B119="","",IF(COUNTIFS('Clients'!$A$6:$A$205,'Deals'!B119)&lt;&gt;1,"Check Client ID",INDEX('Clients'!$B$6:$B$205,MATCH('Deals'!B119,'Clients'!$A$6:$A$205,0)))),IF('Deals'!B119="","",IF(COUNTIFS('Clients'!$A$6:$A$205,'Deals'!B119)&lt;&gt;1,"Check Client ID",INDEX('Clients'!$B$6:$B$205,MATCH('Deals'!B119,'Clients'!$A$6:$A$205,0)))),IF('Deals'!B119="","",IF(COUNTIFS('Clients'!$A$6:$A$205,'Deals'!B119)&lt;&gt;1,"Check Client ID",INDEX('Clients'!$B$6:$B$205,MATCH('Deals'!B119,'Clients'!$A$6:$A$205,0)))),'Follow-ups'!K119,'Payments'!B119,'Expenses'!D119)="","",CHOOSE($M$42,'Clients'!B119,'Clients'!B119,'Viewings'!H119,IF('Deals'!B119="","",IF(COUNTIFS('Clients'!$A$6:$A$205,'Deals'!B119)&lt;&gt;1,"Check Client ID",INDEX('Clients'!$B$6:$B$205,MATCH('Deals'!B119,'Clients'!$A$6:$A$205,0)))),IF('Deals'!B119="","",IF(COUNTIFS('Clients'!$A$6:$A$205,'Deals'!B119)&lt;&gt;1,"Check Client ID",INDEX('Clients'!$B$6:$B$205,MATCH('Deals'!B119,'Clients'!$A$6:$A$205,0)))),IF('Deals'!B119="","",IF(COUNTIFS('Clients'!$A$6:$A$205,'Deals'!B119)&lt;&gt;1,"Check Client ID",INDEX('Clients'!$B$6:$B$205,MATCH('Deals'!B119,'Clients'!$A$6:$A$205,0)))),'Follow-ups'!K119,'Payments'!B119,'Expenses'!D119))))</x:f>
      </x:c>
      <x:c r="E161" s="432" t="str">
        <x:f>IF(B161="","",IF(ISNUMBER(CHOOSE($M$42,'Clients'!K119,'Clients'!K119,'Viewings'!I119,'Deals'!C119,'Deals'!C119,'Deals'!C119,'Follow-ups'!L119,'Payments'!G119,'Expenses'!F119)),CHOOSE($M$42,'Clients'!K119,'Clients'!K119,'Viewings'!I119,'Deals'!C119,'Deals'!C119,'Deals'!C119,'Follow-ups'!L119,'Payments'!G119,'Expenses'!F119),IF(CHOOSE($M$42,'Clients'!K119,'Clients'!K119,'Viewings'!I119,'Deals'!C119,'Deals'!C119,'Deals'!C119,'Follow-ups'!L119,'Payments'!G119,'Expenses'!F119)="","",CHOOSE($M$42,'Clients'!K119,'Clients'!K119,'Viewings'!I119,'Deals'!C119,'Deals'!C119,'Deals'!C119,'Follow-ups'!L119,'Payments'!G119,'Expenses'!F119))))</x:f>
      </x:c>
      <x:c r="F161" s="432" t="str">
        <x:f>IF(B161="","",IF(ISNUMBER(CHOOSE($M$42,'Clients'!H119,'Clients'!H119,'Viewings'!E119,'Deals'!E119,'Deals'!E119,'Deals'!E119,'Follow-ups'!I119,"Receipt",'Expenses'!C119)),CHOOSE($M$42,'Clients'!H119,'Clients'!H119,'Viewings'!E119,'Deals'!E119,'Deals'!E119,'Deals'!E119,'Follow-ups'!I119,"Receipt",'Expenses'!C119),IF(CHOOSE($M$42,'Clients'!H119,'Clients'!H119,'Viewings'!E119,'Deals'!E119,'Deals'!E119,'Deals'!E119,'Follow-ups'!I119,"Receipt",'Expenses'!C119)="","",CHOOSE($M$42,'Clients'!H119,'Clients'!H119,'Viewings'!E119,'Deals'!E119,'Deals'!E119,'Deals'!E119,'Follow-ups'!I119,"Receipt",'Expenses'!C119))))</x:f>
      </x:c>
      <x:c r="G161" s="473" t="str">
        <x:f>IF(B161="","",IF(ISNUMBER(CHOOSE($M$42,"","","",'Deals'!F119,'Deals'!F119,'Deals'!F119,"",'Payments'!D119,'Expenses'!G119)),CHOOSE($M$42,"","","",'Deals'!F119,'Deals'!F119,'Deals'!F119,"",'Payments'!D119,'Expenses'!G119),IF(CHOOSE($M$42,"","","",'Deals'!F119,'Deals'!F119,'Deals'!F119,"",'Payments'!D119,'Expenses'!G119)="","",CHOOSE($M$42,"","","",'Deals'!F119,'Deals'!F119,'Deals'!F119,"",'Payments'!D119,'Expenses'!G119))))</x:f>
      </x:c>
      <x:c r="H161" s="432" t="n">
        <x:f>IF(AND($M$43=1,B161&lt;&gt;"",ISNUMBER(C161),C161&gt;=$G$6,C161&lt;$K$6+1),1,0)</x:f>
        <x:v>0</x:v>
      </x:c>
      <x:c r="I161" s="432" t="str">
        <x:f>IF(H161=0,"",COUNTIFS($H$48:$H$247,1,$C$48:$C$247,"&lt;"&amp;C161)+COUNTIFS($H$48:H161,1,$C$48:C161,C161))</x:f>
      </x:c>
      <x:c r="J161" s="432"/>
      <x:c r="K161" s="432"/>
      <x:c r="L161" s="432"/>
      <x:c r="M161" s="432"/>
      <x:c r="N161" s="432"/>
      <x:c r="O161" s="432"/>
      <x:c r="P161" s="432"/>
      <x:c r="Q161" s="432"/>
    </x:row>
    <x:row r="162" ht="25" customHeight="1">
      <x:c r="A162" s="432"/>
      <x:c r="B162" s="432" t="str">
        <x:f>IF(CHOOSE($M$42,'Clients'!A120,'Clients'!A120,'Viewings'!A120,'Deals'!A120,'Deals'!A120,'Deals'!A120,'Follow-ups'!A120,'Payments'!A120,'Expenses'!A120)="","",CHOOSE($M$42,'Clients'!A120,'Clients'!A120,'Viewings'!A120,'Deals'!A120,'Deals'!A120,'Deals'!A120,'Follow-ups'!A120,'Payments'!A120,'Expenses'!A120))</x:f>
      </x:c>
      <x:c r="C162" s="472" t="str">
        <x:f>IF(B162="","",IF(CHOOSE($M$42,'Clients'!R120,'Clients'!Q120,'Viewings'!D120,'Deals'!X120,'Deals'!Y120,'Deals'!Z120,'Follow-ups'!H120,'Payments'!C120,'Expenses'!B120)="","",CHOOSE($M$42,'Clients'!R120,'Clients'!Q120,'Viewings'!D120,'Deals'!X120,'Deals'!Y120,'Deals'!Z120,'Follow-ups'!H120,'Payments'!C120,'Expenses'!B120)))</x:f>
      </x:c>
      <x:c r="D162" s="432" t="str">
        <x:f>IF(B162="","",IF(ISNUMBER(CHOOSE($M$42,'Clients'!B120,'Clients'!B120,'Viewings'!H120,IF('Deals'!B120="","",IF(COUNTIFS('Clients'!$A$6:$A$205,'Deals'!B120)&lt;&gt;1,"Check Client ID",INDEX('Clients'!$B$6:$B$205,MATCH('Deals'!B120,'Clients'!$A$6:$A$205,0)))),IF('Deals'!B120="","",IF(COUNTIFS('Clients'!$A$6:$A$205,'Deals'!B120)&lt;&gt;1,"Check Client ID",INDEX('Clients'!$B$6:$B$205,MATCH('Deals'!B120,'Clients'!$A$6:$A$205,0)))),IF('Deals'!B120="","",IF(COUNTIFS('Clients'!$A$6:$A$205,'Deals'!B120)&lt;&gt;1,"Check Client ID",INDEX('Clients'!$B$6:$B$205,MATCH('Deals'!B120,'Clients'!$A$6:$A$205,0)))),'Follow-ups'!K120,'Payments'!B120,'Expenses'!D120)),CHOOSE($M$42,'Clients'!B120,'Clients'!B120,'Viewings'!H120,IF('Deals'!B120="","",IF(COUNTIFS('Clients'!$A$6:$A$205,'Deals'!B120)&lt;&gt;1,"Check Client ID",INDEX('Clients'!$B$6:$B$205,MATCH('Deals'!B120,'Clients'!$A$6:$A$205,0)))),IF('Deals'!B120="","",IF(COUNTIFS('Clients'!$A$6:$A$205,'Deals'!B120)&lt;&gt;1,"Check Client ID",INDEX('Clients'!$B$6:$B$205,MATCH('Deals'!B120,'Clients'!$A$6:$A$205,0)))),IF('Deals'!B120="","",IF(COUNTIFS('Clients'!$A$6:$A$205,'Deals'!B120)&lt;&gt;1,"Check Client ID",INDEX('Clients'!$B$6:$B$205,MATCH('Deals'!B120,'Clients'!$A$6:$A$205,0)))),'Follow-ups'!K120,'Payments'!B120,'Expenses'!D120),IF(CHOOSE($M$42,'Clients'!B120,'Clients'!B120,'Viewings'!H120,IF('Deals'!B120="","",IF(COUNTIFS('Clients'!$A$6:$A$205,'Deals'!B120)&lt;&gt;1,"Check Client ID",INDEX('Clients'!$B$6:$B$205,MATCH('Deals'!B120,'Clients'!$A$6:$A$205,0)))),IF('Deals'!B120="","",IF(COUNTIFS('Clients'!$A$6:$A$205,'Deals'!B120)&lt;&gt;1,"Check Client ID",INDEX('Clients'!$B$6:$B$205,MATCH('Deals'!B120,'Clients'!$A$6:$A$205,0)))),IF('Deals'!B120="","",IF(COUNTIFS('Clients'!$A$6:$A$205,'Deals'!B120)&lt;&gt;1,"Check Client ID",INDEX('Clients'!$B$6:$B$205,MATCH('Deals'!B120,'Clients'!$A$6:$A$205,0)))),'Follow-ups'!K120,'Payments'!B120,'Expenses'!D120)="","",CHOOSE($M$42,'Clients'!B120,'Clients'!B120,'Viewings'!H120,IF('Deals'!B120="","",IF(COUNTIFS('Clients'!$A$6:$A$205,'Deals'!B120)&lt;&gt;1,"Check Client ID",INDEX('Clients'!$B$6:$B$205,MATCH('Deals'!B120,'Clients'!$A$6:$A$205,0)))),IF('Deals'!B120="","",IF(COUNTIFS('Clients'!$A$6:$A$205,'Deals'!B120)&lt;&gt;1,"Check Client ID",INDEX('Clients'!$B$6:$B$205,MATCH('Deals'!B120,'Clients'!$A$6:$A$205,0)))),IF('Deals'!B120="","",IF(COUNTIFS('Clients'!$A$6:$A$205,'Deals'!B120)&lt;&gt;1,"Check Client ID",INDEX('Clients'!$B$6:$B$205,MATCH('Deals'!B120,'Clients'!$A$6:$A$205,0)))),'Follow-ups'!K120,'Payments'!B120,'Expenses'!D120))))</x:f>
      </x:c>
      <x:c r="E162" s="432" t="str">
        <x:f>IF(B162="","",IF(ISNUMBER(CHOOSE($M$42,'Clients'!K120,'Clients'!K120,'Viewings'!I120,'Deals'!C120,'Deals'!C120,'Deals'!C120,'Follow-ups'!L120,'Payments'!G120,'Expenses'!F120)),CHOOSE($M$42,'Clients'!K120,'Clients'!K120,'Viewings'!I120,'Deals'!C120,'Deals'!C120,'Deals'!C120,'Follow-ups'!L120,'Payments'!G120,'Expenses'!F120),IF(CHOOSE($M$42,'Clients'!K120,'Clients'!K120,'Viewings'!I120,'Deals'!C120,'Deals'!C120,'Deals'!C120,'Follow-ups'!L120,'Payments'!G120,'Expenses'!F120)="","",CHOOSE($M$42,'Clients'!K120,'Clients'!K120,'Viewings'!I120,'Deals'!C120,'Deals'!C120,'Deals'!C120,'Follow-ups'!L120,'Payments'!G120,'Expenses'!F120))))</x:f>
      </x:c>
      <x:c r="F162" s="432" t="str">
        <x:f>IF(B162="","",IF(ISNUMBER(CHOOSE($M$42,'Clients'!H120,'Clients'!H120,'Viewings'!E120,'Deals'!E120,'Deals'!E120,'Deals'!E120,'Follow-ups'!I120,"Receipt",'Expenses'!C120)),CHOOSE($M$42,'Clients'!H120,'Clients'!H120,'Viewings'!E120,'Deals'!E120,'Deals'!E120,'Deals'!E120,'Follow-ups'!I120,"Receipt",'Expenses'!C120),IF(CHOOSE($M$42,'Clients'!H120,'Clients'!H120,'Viewings'!E120,'Deals'!E120,'Deals'!E120,'Deals'!E120,'Follow-ups'!I120,"Receipt",'Expenses'!C120)="","",CHOOSE($M$42,'Clients'!H120,'Clients'!H120,'Viewings'!E120,'Deals'!E120,'Deals'!E120,'Deals'!E120,'Follow-ups'!I120,"Receipt",'Expenses'!C120))))</x:f>
      </x:c>
      <x:c r="G162" s="473" t="str">
        <x:f>IF(B162="","",IF(ISNUMBER(CHOOSE($M$42,"","","",'Deals'!F120,'Deals'!F120,'Deals'!F120,"",'Payments'!D120,'Expenses'!G120)),CHOOSE($M$42,"","","",'Deals'!F120,'Deals'!F120,'Deals'!F120,"",'Payments'!D120,'Expenses'!G120),IF(CHOOSE($M$42,"","","",'Deals'!F120,'Deals'!F120,'Deals'!F120,"",'Payments'!D120,'Expenses'!G120)="","",CHOOSE($M$42,"","","",'Deals'!F120,'Deals'!F120,'Deals'!F120,"",'Payments'!D120,'Expenses'!G120))))</x:f>
      </x:c>
      <x:c r="H162" s="432" t="n">
        <x:f>IF(AND($M$43=1,B162&lt;&gt;"",ISNUMBER(C162),C162&gt;=$G$6,C162&lt;$K$6+1),1,0)</x:f>
        <x:v>0</x:v>
      </x:c>
      <x:c r="I162" s="432" t="str">
        <x:f>IF(H162=0,"",COUNTIFS($H$48:$H$247,1,$C$48:$C$247,"&lt;"&amp;C162)+COUNTIFS($H$48:H162,1,$C$48:C162,C162))</x:f>
      </x:c>
      <x:c r="J162" s="432"/>
      <x:c r="K162" s="432"/>
      <x:c r="L162" s="432"/>
      <x:c r="M162" s="432"/>
      <x:c r="N162" s="432"/>
      <x:c r="O162" s="432"/>
      <x:c r="P162" s="432"/>
      <x:c r="Q162" s="432"/>
    </x:row>
    <x:row r="163" ht="25" customHeight="1">
      <x:c r="A163" s="432"/>
      <x:c r="B163" s="432" t="str">
        <x:f>IF(CHOOSE($M$42,'Clients'!A121,'Clients'!A121,'Viewings'!A121,'Deals'!A121,'Deals'!A121,'Deals'!A121,'Follow-ups'!A121,'Payments'!A121,'Expenses'!A121)="","",CHOOSE($M$42,'Clients'!A121,'Clients'!A121,'Viewings'!A121,'Deals'!A121,'Deals'!A121,'Deals'!A121,'Follow-ups'!A121,'Payments'!A121,'Expenses'!A121))</x:f>
      </x:c>
      <x:c r="C163" s="472" t="str">
        <x:f>IF(B163="","",IF(CHOOSE($M$42,'Clients'!R121,'Clients'!Q121,'Viewings'!D121,'Deals'!X121,'Deals'!Y121,'Deals'!Z121,'Follow-ups'!H121,'Payments'!C121,'Expenses'!B121)="","",CHOOSE($M$42,'Clients'!R121,'Clients'!Q121,'Viewings'!D121,'Deals'!X121,'Deals'!Y121,'Deals'!Z121,'Follow-ups'!H121,'Payments'!C121,'Expenses'!B121)))</x:f>
      </x:c>
      <x:c r="D163" s="432" t="str">
        <x:f>IF(B163="","",IF(ISNUMBER(CHOOSE($M$42,'Clients'!B121,'Clients'!B121,'Viewings'!H121,IF('Deals'!B121="","",IF(COUNTIFS('Clients'!$A$6:$A$205,'Deals'!B121)&lt;&gt;1,"Check Client ID",INDEX('Clients'!$B$6:$B$205,MATCH('Deals'!B121,'Clients'!$A$6:$A$205,0)))),IF('Deals'!B121="","",IF(COUNTIFS('Clients'!$A$6:$A$205,'Deals'!B121)&lt;&gt;1,"Check Client ID",INDEX('Clients'!$B$6:$B$205,MATCH('Deals'!B121,'Clients'!$A$6:$A$205,0)))),IF('Deals'!B121="","",IF(COUNTIFS('Clients'!$A$6:$A$205,'Deals'!B121)&lt;&gt;1,"Check Client ID",INDEX('Clients'!$B$6:$B$205,MATCH('Deals'!B121,'Clients'!$A$6:$A$205,0)))),'Follow-ups'!K121,'Payments'!B121,'Expenses'!D121)),CHOOSE($M$42,'Clients'!B121,'Clients'!B121,'Viewings'!H121,IF('Deals'!B121="","",IF(COUNTIFS('Clients'!$A$6:$A$205,'Deals'!B121)&lt;&gt;1,"Check Client ID",INDEX('Clients'!$B$6:$B$205,MATCH('Deals'!B121,'Clients'!$A$6:$A$205,0)))),IF('Deals'!B121="","",IF(COUNTIFS('Clients'!$A$6:$A$205,'Deals'!B121)&lt;&gt;1,"Check Client ID",INDEX('Clients'!$B$6:$B$205,MATCH('Deals'!B121,'Clients'!$A$6:$A$205,0)))),IF('Deals'!B121="","",IF(COUNTIFS('Clients'!$A$6:$A$205,'Deals'!B121)&lt;&gt;1,"Check Client ID",INDEX('Clients'!$B$6:$B$205,MATCH('Deals'!B121,'Clients'!$A$6:$A$205,0)))),'Follow-ups'!K121,'Payments'!B121,'Expenses'!D121),IF(CHOOSE($M$42,'Clients'!B121,'Clients'!B121,'Viewings'!H121,IF('Deals'!B121="","",IF(COUNTIFS('Clients'!$A$6:$A$205,'Deals'!B121)&lt;&gt;1,"Check Client ID",INDEX('Clients'!$B$6:$B$205,MATCH('Deals'!B121,'Clients'!$A$6:$A$205,0)))),IF('Deals'!B121="","",IF(COUNTIFS('Clients'!$A$6:$A$205,'Deals'!B121)&lt;&gt;1,"Check Client ID",INDEX('Clients'!$B$6:$B$205,MATCH('Deals'!B121,'Clients'!$A$6:$A$205,0)))),IF('Deals'!B121="","",IF(COUNTIFS('Clients'!$A$6:$A$205,'Deals'!B121)&lt;&gt;1,"Check Client ID",INDEX('Clients'!$B$6:$B$205,MATCH('Deals'!B121,'Clients'!$A$6:$A$205,0)))),'Follow-ups'!K121,'Payments'!B121,'Expenses'!D121)="","",CHOOSE($M$42,'Clients'!B121,'Clients'!B121,'Viewings'!H121,IF('Deals'!B121="","",IF(COUNTIFS('Clients'!$A$6:$A$205,'Deals'!B121)&lt;&gt;1,"Check Client ID",INDEX('Clients'!$B$6:$B$205,MATCH('Deals'!B121,'Clients'!$A$6:$A$205,0)))),IF('Deals'!B121="","",IF(COUNTIFS('Clients'!$A$6:$A$205,'Deals'!B121)&lt;&gt;1,"Check Client ID",INDEX('Clients'!$B$6:$B$205,MATCH('Deals'!B121,'Clients'!$A$6:$A$205,0)))),IF('Deals'!B121="","",IF(COUNTIFS('Clients'!$A$6:$A$205,'Deals'!B121)&lt;&gt;1,"Check Client ID",INDEX('Clients'!$B$6:$B$205,MATCH('Deals'!B121,'Clients'!$A$6:$A$205,0)))),'Follow-ups'!K121,'Payments'!B121,'Expenses'!D121))))</x:f>
      </x:c>
      <x:c r="E163" s="432" t="str">
        <x:f>IF(B163="","",IF(ISNUMBER(CHOOSE($M$42,'Clients'!K121,'Clients'!K121,'Viewings'!I121,'Deals'!C121,'Deals'!C121,'Deals'!C121,'Follow-ups'!L121,'Payments'!G121,'Expenses'!F121)),CHOOSE($M$42,'Clients'!K121,'Clients'!K121,'Viewings'!I121,'Deals'!C121,'Deals'!C121,'Deals'!C121,'Follow-ups'!L121,'Payments'!G121,'Expenses'!F121),IF(CHOOSE($M$42,'Clients'!K121,'Clients'!K121,'Viewings'!I121,'Deals'!C121,'Deals'!C121,'Deals'!C121,'Follow-ups'!L121,'Payments'!G121,'Expenses'!F121)="","",CHOOSE($M$42,'Clients'!K121,'Clients'!K121,'Viewings'!I121,'Deals'!C121,'Deals'!C121,'Deals'!C121,'Follow-ups'!L121,'Payments'!G121,'Expenses'!F121))))</x:f>
      </x:c>
      <x:c r="F163" s="432" t="str">
        <x:f>IF(B163="","",IF(ISNUMBER(CHOOSE($M$42,'Clients'!H121,'Clients'!H121,'Viewings'!E121,'Deals'!E121,'Deals'!E121,'Deals'!E121,'Follow-ups'!I121,"Receipt",'Expenses'!C121)),CHOOSE($M$42,'Clients'!H121,'Clients'!H121,'Viewings'!E121,'Deals'!E121,'Deals'!E121,'Deals'!E121,'Follow-ups'!I121,"Receipt",'Expenses'!C121),IF(CHOOSE($M$42,'Clients'!H121,'Clients'!H121,'Viewings'!E121,'Deals'!E121,'Deals'!E121,'Deals'!E121,'Follow-ups'!I121,"Receipt",'Expenses'!C121)="","",CHOOSE($M$42,'Clients'!H121,'Clients'!H121,'Viewings'!E121,'Deals'!E121,'Deals'!E121,'Deals'!E121,'Follow-ups'!I121,"Receipt",'Expenses'!C121))))</x:f>
      </x:c>
      <x:c r="G163" s="473" t="str">
        <x:f>IF(B163="","",IF(ISNUMBER(CHOOSE($M$42,"","","",'Deals'!F121,'Deals'!F121,'Deals'!F121,"",'Payments'!D121,'Expenses'!G121)),CHOOSE($M$42,"","","",'Deals'!F121,'Deals'!F121,'Deals'!F121,"",'Payments'!D121,'Expenses'!G121),IF(CHOOSE($M$42,"","","",'Deals'!F121,'Deals'!F121,'Deals'!F121,"",'Payments'!D121,'Expenses'!G121)="","",CHOOSE($M$42,"","","",'Deals'!F121,'Deals'!F121,'Deals'!F121,"",'Payments'!D121,'Expenses'!G121))))</x:f>
      </x:c>
      <x:c r="H163" s="432" t="n">
        <x:f>IF(AND($M$43=1,B163&lt;&gt;"",ISNUMBER(C163),C163&gt;=$G$6,C163&lt;$K$6+1),1,0)</x:f>
        <x:v>0</x:v>
      </x:c>
      <x:c r="I163" s="432" t="str">
        <x:f>IF(H163=0,"",COUNTIFS($H$48:$H$247,1,$C$48:$C$247,"&lt;"&amp;C163)+COUNTIFS($H$48:H163,1,$C$48:C163,C163))</x:f>
      </x:c>
      <x:c r="J163" s="432"/>
      <x:c r="K163" s="432"/>
      <x:c r="L163" s="432"/>
      <x:c r="M163" s="432"/>
      <x:c r="N163" s="432"/>
      <x:c r="O163" s="432"/>
      <x:c r="P163" s="432"/>
      <x:c r="Q163" s="432"/>
    </x:row>
    <x:row r="164" ht="25" customHeight="1">
      <x:c r="A164" s="432"/>
      <x:c r="B164" s="432" t="str">
        <x:f>IF(CHOOSE($M$42,'Clients'!A122,'Clients'!A122,'Viewings'!A122,'Deals'!A122,'Deals'!A122,'Deals'!A122,'Follow-ups'!A122,'Payments'!A122,'Expenses'!A122)="","",CHOOSE($M$42,'Clients'!A122,'Clients'!A122,'Viewings'!A122,'Deals'!A122,'Deals'!A122,'Deals'!A122,'Follow-ups'!A122,'Payments'!A122,'Expenses'!A122))</x:f>
      </x:c>
      <x:c r="C164" s="472" t="str">
        <x:f>IF(B164="","",IF(CHOOSE($M$42,'Clients'!R122,'Clients'!Q122,'Viewings'!D122,'Deals'!X122,'Deals'!Y122,'Deals'!Z122,'Follow-ups'!H122,'Payments'!C122,'Expenses'!B122)="","",CHOOSE($M$42,'Clients'!R122,'Clients'!Q122,'Viewings'!D122,'Deals'!X122,'Deals'!Y122,'Deals'!Z122,'Follow-ups'!H122,'Payments'!C122,'Expenses'!B122)))</x:f>
      </x:c>
      <x:c r="D164" s="432" t="str">
        <x:f>IF(B164="","",IF(ISNUMBER(CHOOSE($M$42,'Clients'!B122,'Clients'!B122,'Viewings'!H122,IF('Deals'!B122="","",IF(COUNTIFS('Clients'!$A$6:$A$205,'Deals'!B122)&lt;&gt;1,"Check Client ID",INDEX('Clients'!$B$6:$B$205,MATCH('Deals'!B122,'Clients'!$A$6:$A$205,0)))),IF('Deals'!B122="","",IF(COUNTIFS('Clients'!$A$6:$A$205,'Deals'!B122)&lt;&gt;1,"Check Client ID",INDEX('Clients'!$B$6:$B$205,MATCH('Deals'!B122,'Clients'!$A$6:$A$205,0)))),IF('Deals'!B122="","",IF(COUNTIFS('Clients'!$A$6:$A$205,'Deals'!B122)&lt;&gt;1,"Check Client ID",INDEX('Clients'!$B$6:$B$205,MATCH('Deals'!B122,'Clients'!$A$6:$A$205,0)))),'Follow-ups'!K122,'Payments'!B122,'Expenses'!D122)),CHOOSE($M$42,'Clients'!B122,'Clients'!B122,'Viewings'!H122,IF('Deals'!B122="","",IF(COUNTIFS('Clients'!$A$6:$A$205,'Deals'!B122)&lt;&gt;1,"Check Client ID",INDEX('Clients'!$B$6:$B$205,MATCH('Deals'!B122,'Clients'!$A$6:$A$205,0)))),IF('Deals'!B122="","",IF(COUNTIFS('Clients'!$A$6:$A$205,'Deals'!B122)&lt;&gt;1,"Check Client ID",INDEX('Clients'!$B$6:$B$205,MATCH('Deals'!B122,'Clients'!$A$6:$A$205,0)))),IF('Deals'!B122="","",IF(COUNTIFS('Clients'!$A$6:$A$205,'Deals'!B122)&lt;&gt;1,"Check Client ID",INDEX('Clients'!$B$6:$B$205,MATCH('Deals'!B122,'Clients'!$A$6:$A$205,0)))),'Follow-ups'!K122,'Payments'!B122,'Expenses'!D122),IF(CHOOSE($M$42,'Clients'!B122,'Clients'!B122,'Viewings'!H122,IF('Deals'!B122="","",IF(COUNTIFS('Clients'!$A$6:$A$205,'Deals'!B122)&lt;&gt;1,"Check Client ID",INDEX('Clients'!$B$6:$B$205,MATCH('Deals'!B122,'Clients'!$A$6:$A$205,0)))),IF('Deals'!B122="","",IF(COUNTIFS('Clients'!$A$6:$A$205,'Deals'!B122)&lt;&gt;1,"Check Client ID",INDEX('Clients'!$B$6:$B$205,MATCH('Deals'!B122,'Clients'!$A$6:$A$205,0)))),IF('Deals'!B122="","",IF(COUNTIFS('Clients'!$A$6:$A$205,'Deals'!B122)&lt;&gt;1,"Check Client ID",INDEX('Clients'!$B$6:$B$205,MATCH('Deals'!B122,'Clients'!$A$6:$A$205,0)))),'Follow-ups'!K122,'Payments'!B122,'Expenses'!D122)="","",CHOOSE($M$42,'Clients'!B122,'Clients'!B122,'Viewings'!H122,IF('Deals'!B122="","",IF(COUNTIFS('Clients'!$A$6:$A$205,'Deals'!B122)&lt;&gt;1,"Check Client ID",INDEX('Clients'!$B$6:$B$205,MATCH('Deals'!B122,'Clients'!$A$6:$A$205,0)))),IF('Deals'!B122="","",IF(COUNTIFS('Clients'!$A$6:$A$205,'Deals'!B122)&lt;&gt;1,"Check Client ID",INDEX('Clients'!$B$6:$B$205,MATCH('Deals'!B122,'Clients'!$A$6:$A$205,0)))),IF('Deals'!B122="","",IF(COUNTIFS('Clients'!$A$6:$A$205,'Deals'!B122)&lt;&gt;1,"Check Client ID",INDEX('Clients'!$B$6:$B$205,MATCH('Deals'!B122,'Clients'!$A$6:$A$205,0)))),'Follow-ups'!K122,'Payments'!B122,'Expenses'!D122))))</x:f>
      </x:c>
      <x:c r="E164" s="432" t="str">
        <x:f>IF(B164="","",IF(ISNUMBER(CHOOSE($M$42,'Clients'!K122,'Clients'!K122,'Viewings'!I122,'Deals'!C122,'Deals'!C122,'Deals'!C122,'Follow-ups'!L122,'Payments'!G122,'Expenses'!F122)),CHOOSE($M$42,'Clients'!K122,'Clients'!K122,'Viewings'!I122,'Deals'!C122,'Deals'!C122,'Deals'!C122,'Follow-ups'!L122,'Payments'!G122,'Expenses'!F122),IF(CHOOSE($M$42,'Clients'!K122,'Clients'!K122,'Viewings'!I122,'Deals'!C122,'Deals'!C122,'Deals'!C122,'Follow-ups'!L122,'Payments'!G122,'Expenses'!F122)="","",CHOOSE($M$42,'Clients'!K122,'Clients'!K122,'Viewings'!I122,'Deals'!C122,'Deals'!C122,'Deals'!C122,'Follow-ups'!L122,'Payments'!G122,'Expenses'!F122))))</x:f>
      </x:c>
      <x:c r="F164" s="432" t="str">
        <x:f>IF(B164="","",IF(ISNUMBER(CHOOSE($M$42,'Clients'!H122,'Clients'!H122,'Viewings'!E122,'Deals'!E122,'Deals'!E122,'Deals'!E122,'Follow-ups'!I122,"Receipt",'Expenses'!C122)),CHOOSE($M$42,'Clients'!H122,'Clients'!H122,'Viewings'!E122,'Deals'!E122,'Deals'!E122,'Deals'!E122,'Follow-ups'!I122,"Receipt",'Expenses'!C122),IF(CHOOSE($M$42,'Clients'!H122,'Clients'!H122,'Viewings'!E122,'Deals'!E122,'Deals'!E122,'Deals'!E122,'Follow-ups'!I122,"Receipt",'Expenses'!C122)="","",CHOOSE($M$42,'Clients'!H122,'Clients'!H122,'Viewings'!E122,'Deals'!E122,'Deals'!E122,'Deals'!E122,'Follow-ups'!I122,"Receipt",'Expenses'!C122))))</x:f>
      </x:c>
      <x:c r="G164" s="473" t="str">
        <x:f>IF(B164="","",IF(ISNUMBER(CHOOSE($M$42,"","","",'Deals'!F122,'Deals'!F122,'Deals'!F122,"",'Payments'!D122,'Expenses'!G122)),CHOOSE($M$42,"","","",'Deals'!F122,'Deals'!F122,'Deals'!F122,"",'Payments'!D122,'Expenses'!G122),IF(CHOOSE($M$42,"","","",'Deals'!F122,'Deals'!F122,'Deals'!F122,"",'Payments'!D122,'Expenses'!G122)="","",CHOOSE($M$42,"","","",'Deals'!F122,'Deals'!F122,'Deals'!F122,"",'Payments'!D122,'Expenses'!G122))))</x:f>
      </x:c>
      <x:c r="H164" s="432" t="n">
        <x:f>IF(AND($M$43=1,B164&lt;&gt;"",ISNUMBER(C164),C164&gt;=$G$6,C164&lt;$K$6+1),1,0)</x:f>
        <x:v>0</x:v>
      </x:c>
      <x:c r="I164" s="432" t="str">
        <x:f>IF(H164=0,"",COUNTIFS($H$48:$H$247,1,$C$48:$C$247,"&lt;"&amp;C164)+COUNTIFS($H$48:H164,1,$C$48:C164,C164))</x:f>
      </x:c>
      <x:c r="J164" s="432"/>
      <x:c r="K164" s="432"/>
      <x:c r="L164" s="432"/>
      <x:c r="M164" s="432"/>
      <x:c r="N164" s="432"/>
      <x:c r="O164" s="432"/>
      <x:c r="P164" s="432"/>
      <x:c r="Q164" s="432"/>
    </x:row>
    <x:row r="165" ht="25" customHeight="1">
      <x:c r="A165" s="432"/>
      <x:c r="B165" s="432" t="str">
        <x:f>IF(CHOOSE($M$42,'Clients'!A123,'Clients'!A123,'Viewings'!A123,'Deals'!A123,'Deals'!A123,'Deals'!A123,'Follow-ups'!A123,'Payments'!A123,'Expenses'!A123)="","",CHOOSE($M$42,'Clients'!A123,'Clients'!A123,'Viewings'!A123,'Deals'!A123,'Deals'!A123,'Deals'!A123,'Follow-ups'!A123,'Payments'!A123,'Expenses'!A123))</x:f>
      </x:c>
      <x:c r="C165" s="472" t="str">
        <x:f>IF(B165="","",IF(CHOOSE($M$42,'Clients'!R123,'Clients'!Q123,'Viewings'!D123,'Deals'!X123,'Deals'!Y123,'Deals'!Z123,'Follow-ups'!H123,'Payments'!C123,'Expenses'!B123)="","",CHOOSE($M$42,'Clients'!R123,'Clients'!Q123,'Viewings'!D123,'Deals'!X123,'Deals'!Y123,'Deals'!Z123,'Follow-ups'!H123,'Payments'!C123,'Expenses'!B123)))</x:f>
      </x:c>
      <x:c r="D165" s="432" t="str">
        <x:f>IF(B165="","",IF(ISNUMBER(CHOOSE($M$42,'Clients'!B123,'Clients'!B123,'Viewings'!H123,IF('Deals'!B123="","",IF(COUNTIFS('Clients'!$A$6:$A$205,'Deals'!B123)&lt;&gt;1,"Check Client ID",INDEX('Clients'!$B$6:$B$205,MATCH('Deals'!B123,'Clients'!$A$6:$A$205,0)))),IF('Deals'!B123="","",IF(COUNTIFS('Clients'!$A$6:$A$205,'Deals'!B123)&lt;&gt;1,"Check Client ID",INDEX('Clients'!$B$6:$B$205,MATCH('Deals'!B123,'Clients'!$A$6:$A$205,0)))),IF('Deals'!B123="","",IF(COUNTIFS('Clients'!$A$6:$A$205,'Deals'!B123)&lt;&gt;1,"Check Client ID",INDEX('Clients'!$B$6:$B$205,MATCH('Deals'!B123,'Clients'!$A$6:$A$205,0)))),'Follow-ups'!K123,'Payments'!B123,'Expenses'!D123)),CHOOSE($M$42,'Clients'!B123,'Clients'!B123,'Viewings'!H123,IF('Deals'!B123="","",IF(COUNTIFS('Clients'!$A$6:$A$205,'Deals'!B123)&lt;&gt;1,"Check Client ID",INDEX('Clients'!$B$6:$B$205,MATCH('Deals'!B123,'Clients'!$A$6:$A$205,0)))),IF('Deals'!B123="","",IF(COUNTIFS('Clients'!$A$6:$A$205,'Deals'!B123)&lt;&gt;1,"Check Client ID",INDEX('Clients'!$B$6:$B$205,MATCH('Deals'!B123,'Clients'!$A$6:$A$205,0)))),IF('Deals'!B123="","",IF(COUNTIFS('Clients'!$A$6:$A$205,'Deals'!B123)&lt;&gt;1,"Check Client ID",INDEX('Clients'!$B$6:$B$205,MATCH('Deals'!B123,'Clients'!$A$6:$A$205,0)))),'Follow-ups'!K123,'Payments'!B123,'Expenses'!D123),IF(CHOOSE($M$42,'Clients'!B123,'Clients'!B123,'Viewings'!H123,IF('Deals'!B123="","",IF(COUNTIFS('Clients'!$A$6:$A$205,'Deals'!B123)&lt;&gt;1,"Check Client ID",INDEX('Clients'!$B$6:$B$205,MATCH('Deals'!B123,'Clients'!$A$6:$A$205,0)))),IF('Deals'!B123="","",IF(COUNTIFS('Clients'!$A$6:$A$205,'Deals'!B123)&lt;&gt;1,"Check Client ID",INDEX('Clients'!$B$6:$B$205,MATCH('Deals'!B123,'Clients'!$A$6:$A$205,0)))),IF('Deals'!B123="","",IF(COUNTIFS('Clients'!$A$6:$A$205,'Deals'!B123)&lt;&gt;1,"Check Client ID",INDEX('Clients'!$B$6:$B$205,MATCH('Deals'!B123,'Clients'!$A$6:$A$205,0)))),'Follow-ups'!K123,'Payments'!B123,'Expenses'!D123)="","",CHOOSE($M$42,'Clients'!B123,'Clients'!B123,'Viewings'!H123,IF('Deals'!B123="","",IF(COUNTIFS('Clients'!$A$6:$A$205,'Deals'!B123)&lt;&gt;1,"Check Client ID",INDEX('Clients'!$B$6:$B$205,MATCH('Deals'!B123,'Clients'!$A$6:$A$205,0)))),IF('Deals'!B123="","",IF(COUNTIFS('Clients'!$A$6:$A$205,'Deals'!B123)&lt;&gt;1,"Check Client ID",INDEX('Clients'!$B$6:$B$205,MATCH('Deals'!B123,'Clients'!$A$6:$A$205,0)))),IF('Deals'!B123="","",IF(COUNTIFS('Clients'!$A$6:$A$205,'Deals'!B123)&lt;&gt;1,"Check Client ID",INDEX('Clients'!$B$6:$B$205,MATCH('Deals'!B123,'Clients'!$A$6:$A$205,0)))),'Follow-ups'!K123,'Payments'!B123,'Expenses'!D123))))</x:f>
      </x:c>
      <x:c r="E165" s="432" t="str">
        <x:f>IF(B165="","",IF(ISNUMBER(CHOOSE($M$42,'Clients'!K123,'Clients'!K123,'Viewings'!I123,'Deals'!C123,'Deals'!C123,'Deals'!C123,'Follow-ups'!L123,'Payments'!G123,'Expenses'!F123)),CHOOSE($M$42,'Clients'!K123,'Clients'!K123,'Viewings'!I123,'Deals'!C123,'Deals'!C123,'Deals'!C123,'Follow-ups'!L123,'Payments'!G123,'Expenses'!F123),IF(CHOOSE($M$42,'Clients'!K123,'Clients'!K123,'Viewings'!I123,'Deals'!C123,'Deals'!C123,'Deals'!C123,'Follow-ups'!L123,'Payments'!G123,'Expenses'!F123)="","",CHOOSE($M$42,'Clients'!K123,'Clients'!K123,'Viewings'!I123,'Deals'!C123,'Deals'!C123,'Deals'!C123,'Follow-ups'!L123,'Payments'!G123,'Expenses'!F123))))</x:f>
      </x:c>
      <x:c r="F165" s="432" t="str">
        <x:f>IF(B165="","",IF(ISNUMBER(CHOOSE($M$42,'Clients'!H123,'Clients'!H123,'Viewings'!E123,'Deals'!E123,'Deals'!E123,'Deals'!E123,'Follow-ups'!I123,"Receipt",'Expenses'!C123)),CHOOSE($M$42,'Clients'!H123,'Clients'!H123,'Viewings'!E123,'Deals'!E123,'Deals'!E123,'Deals'!E123,'Follow-ups'!I123,"Receipt",'Expenses'!C123),IF(CHOOSE($M$42,'Clients'!H123,'Clients'!H123,'Viewings'!E123,'Deals'!E123,'Deals'!E123,'Deals'!E123,'Follow-ups'!I123,"Receipt",'Expenses'!C123)="","",CHOOSE($M$42,'Clients'!H123,'Clients'!H123,'Viewings'!E123,'Deals'!E123,'Deals'!E123,'Deals'!E123,'Follow-ups'!I123,"Receipt",'Expenses'!C123))))</x:f>
      </x:c>
      <x:c r="G165" s="473" t="str">
        <x:f>IF(B165="","",IF(ISNUMBER(CHOOSE($M$42,"","","",'Deals'!F123,'Deals'!F123,'Deals'!F123,"",'Payments'!D123,'Expenses'!G123)),CHOOSE($M$42,"","","",'Deals'!F123,'Deals'!F123,'Deals'!F123,"",'Payments'!D123,'Expenses'!G123),IF(CHOOSE($M$42,"","","",'Deals'!F123,'Deals'!F123,'Deals'!F123,"",'Payments'!D123,'Expenses'!G123)="","",CHOOSE($M$42,"","","",'Deals'!F123,'Deals'!F123,'Deals'!F123,"",'Payments'!D123,'Expenses'!G123))))</x:f>
      </x:c>
      <x:c r="H165" s="432" t="n">
        <x:f>IF(AND($M$43=1,B165&lt;&gt;"",ISNUMBER(C165),C165&gt;=$G$6,C165&lt;$K$6+1),1,0)</x:f>
        <x:v>0</x:v>
      </x:c>
      <x:c r="I165" s="432" t="str">
        <x:f>IF(H165=0,"",COUNTIFS($H$48:$H$247,1,$C$48:$C$247,"&lt;"&amp;C165)+COUNTIFS($H$48:H165,1,$C$48:C165,C165))</x:f>
      </x:c>
      <x:c r="J165" s="432"/>
      <x:c r="K165" s="432"/>
      <x:c r="L165" s="432"/>
      <x:c r="M165" s="432"/>
      <x:c r="N165" s="432"/>
      <x:c r="O165" s="432"/>
      <x:c r="P165" s="432"/>
      <x:c r="Q165" s="432"/>
    </x:row>
    <x:row r="166" ht="25" customHeight="1">
      <x:c r="A166" s="432"/>
      <x:c r="B166" s="432" t="str">
        <x:f>IF(CHOOSE($M$42,'Clients'!A124,'Clients'!A124,'Viewings'!A124,'Deals'!A124,'Deals'!A124,'Deals'!A124,'Follow-ups'!A124,'Payments'!A124,'Expenses'!A124)="","",CHOOSE($M$42,'Clients'!A124,'Clients'!A124,'Viewings'!A124,'Deals'!A124,'Deals'!A124,'Deals'!A124,'Follow-ups'!A124,'Payments'!A124,'Expenses'!A124))</x:f>
      </x:c>
      <x:c r="C166" s="472" t="str">
        <x:f>IF(B166="","",IF(CHOOSE($M$42,'Clients'!R124,'Clients'!Q124,'Viewings'!D124,'Deals'!X124,'Deals'!Y124,'Deals'!Z124,'Follow-ups'!H124,'Payments'!C124,'Expenses'!B124)="","",CHOOSE($M$42,'Clients'!R124,'Clients'!Q124,'Viewings'!D124,'Deals'!X124,'Deals'!Y124,'Deals'!Z124,'Follow-ups'!H124,'Payments'!C124,'Expenses'!B124)))</x:f>
      </x:c>
      <x:c r="D166" s="432" t="str">
        <x:f>IF(B166="","",IF(ISNUMBER(CHOOSE($M$42,'Clients'!B124,'Clients'!B124,'Viewings'!H124,IF('Deals'!B124="","",IF(COUNTIFS('Clients'!$A$6:$A$205,'Deals'!B124)&lt;&gt;1,"Check Client ID",INDEX('Clients'!$B$6:$B$205,MATCH('Deals'!B124,'Clients'!$A$6:$A$205,0)))),IF('Deals'!B124="","",IF(COUNTIFS('Clients'!$A$6:$A$205,'Deals'!B124)&lt;&gt;1,"Check Client ID",INDEX('Clients'!$B$6:$B$205,MATCH('Deals'!B124,'Clients'!$A$6:$A$205,0)))),IF('Deals'!B124="","",IF(COUNTIFS('Clients'!$A$6:$A$205,'Deals'!B124)&lt;&gt;1,"Check Client ID",INDEX('Clients'!$B$6:$B$205,MATCH('Deals'!B124,'Clients'!$A$6:$A$205,0)))),'Follow-ups'!K124,'Payments'!B124,'Expenses'!D124)),CHOOSE($M$42,'Clients'!B124,'Clients'!B124,'Viewings'!H124,IF('Deals'!B124="","",IF(COUNTIFS('Clients'!$A$6:$A$205,'Deals'!B124)&lt;&gt;1,"Check Client ID",INDEX('Clients'!$B$6:$B$205,MATCH('Deals'!B124,'Clients'!$A$6:$A$205,0)))),IF('Deals'!B124="","",IF(COUNTIFS('Clients'!$A$6:$A$205,'Deals'!B124)&lt;&gt;1,"Check Client ID",INDEX('Clients'!$B$6:$B$205,MATCH('Deals'!B124,'Clients'!$A$6:$A$205,0)))),IF('Deals'!B124="","",IF(COUNTIFS('Clients'!$A$6:$A$205,'Deals'!B124)&lt;&gt;1,"Check Client ID",INDEX('Clients'!$B$6:$B$205,MATCH('Deals'!B124,'Clients'!$A$6:$A$205,0)))),'Follow-ups'!K124,'Payments'!B124,'Expenses'!D124),IF(CHOOSE($M$42,'Clients'!B124,'Clients'!B124,'Viewings'!H124,IF('Deals'!B124="","",IF(COUNTIFS('Clients'!$A$6:$A$205,'Deals'!B124)&lt;&gt;1,"Check Client ID",INDEX('Clients'!$B$6:$B$205,MATCH('Deals'!B124,'Clients'!$A$6:$A$205,0)))),IF('Deals'!B124="","",IF(COUNTIFS('Clients'!$A$6:$A$205,'Deals'!B124)&lt;&gt;1,"Check Client ID",INDEX('Clients'!$B$6:$B$205,MATCH('Deals'!B124,'Clients'!$A$6:$A$205,0)))),IF('Deals'!B124="","",IF(COUNTIFS('Clients'!$A$6:$A$205,'Deals'!B124)&lt;&gt;1,"Check Client ID",INDEX('Clients'!$B$6:$B$205,MATCH('Deals'!B124,'Clients'!$A$6:$A$205,0)))),'Follow-ups'!K124,'Payments'!B124,'Expenses'!D124)="","",CHOOSE($M$42,'Clients'!B124,'Clients'!B124,'Viewings'!H124,IF('Deals'!B124="","",IF(COUNTIFS('Clients'!$A$6:$A$205,'Deals'!B124)&lt;&gt;1,"Check Client ID",INDEX('Clients'!$B$6:$B$205,MATCH('Deals'!B124,'Clients'!$A$6:$A$205,0)))),IF('Deals'!B124="","",IF(COUNTIFS('Clients'!$A$6:$A$205,'Deals'!B124)&lt;&gt;1,"Check Client ID",INDEX('Clients'!$B$6:$B$205,MATCH('Deals'!B124,'Clients'!$A$6:$A$205,0)))),IF('Deals'!B124="","",IF(COUNTIFS('Clients'!$A$6:$A$205,'Deals'!B124)&lt;&gt;1,"Check Client ID",INDEX('Clients'!$B$6:$B$205,MATCH('Deals'!B124,'Clients'!$A$6:$A$205,0)))),'Follow-ups'!K124,'Payments'!B124,'Expenses'!D124))))</x:f>
      </x:c>
      <x:c r="E166" s="432" t="str">
        <x:f>IF(B166="","",IF(ISNUMBER(CHOOSE($M$42,'Clients'!K124,'Clients'!K124,'Viewings'!I124,'Deals'!C124,'Deals'!C124,'Deals'!C124,'Follow-ups'!L124,'Payments'!G124,'Expenses'!F124)),CHOOSE($M$42,'Clients'!K124,'Clients'!K124,'Viewings'!I124,'Deals'!C124,'Deals'!C124,'Deals'!C124,'Follow-ups'!L124,'Payments'!G124,'Expenses'!F124),IF(CHOOSE($M$42,'Clients'!K124,'Clients'!K124,'Viewings'!I124,'Deals'!C124,'Deals'!C124,'Deals'!C124,'Follow-ups'!L124,'Payments'!G124,'Expenses'!F124)="","",CHOOSE($M$42,'Clients'!K124,'Clients'!K124,'Viewings'!I124,'Deals'!C124,'Deals'!C124,'Deals'!C124,'Follow-ups'!L124,'Payments'!G124,'Expenses'!F124))))</x:f>
      </x:c>
      <x:c r="F166" s="432" t="str">
        <x:f>IF(B166="","",IF(ISNUMBER(CHOOSE($M$42,'Clients'!H124,'Clients'!H124,'Viewings'!E124,'Deals'!E124,'Deals'!E124,'Deals'!E124,'Follow-ups'!I124,"Receipt",'Expenses'!C124)),CHOOSE($M$42,'Clients'!H124,'Clients'!H124,'Viewings'!E124,'Deals'!E124,'Deals'!E124,'Deals'!E124,'Follow-ups'!I124,"Receipt",'Expenses'!C124),IF(CHOOSE($M$42,'Clients'!H124,'Clients'!H124,'Viewings'!E124,'Deals'!E124,'Deals'!E124,'Deals'!E124,'Follow-ups'!I124,"Receipt",'Expenses'!C124)="","",CHOOSE($M$42,'Clients'!H124,'Clients'!H124,'Viewings'!E124,'Deals'!E124,'Deals'!E124,'Deals'!E124,'Follow-ups'!I124,"Receipt",'Expenses'!C124))))</x:f>
      </x:c>
      <x:c r="G166" s="473" t="str">
        <x:f>IF(B166="","",IF(ISNUMBER(CHOOSE($M$42,"","","",'Deals'!F124,'Deals'!F124,'Deals'!F124,"",'Payments'!D124,'Expenses'!G124)),CHOOSE($M$42,"","","",'Deals'!F124,'Deals'!F124,'Deals'!F124,"",'Payments'!D124,'Expenses'!G124),IF(CHOOSE($M$42,"","","",'Deals'!F124,'Deals'!F124,'Deals'!F124,"",'Payments'!D124,'Expenses'!G124)="","",CHOOSE($M$42,"","","",'Deals'!F124,'Deals'!F124,'Deals'!F124,"",'Payments'!D124,'Expenses'!G124))))</x:f>
      </x:c>
      <x:c r="H166" s="432" t="n">
        <x:f>IF(AND($M$43=1,B166&lt;&gt;"",ISNUMBER(C166),C166&gt;=$G$6,C166&lt;$K$6+1),1,0)</x:f>
        <x:v>0</x:v>
      </x:c>
      <x:c r="I166" s="432" t="str">
        <x:f>IF(H166=0,"",COUNTIFS($H$48:$H$247,1,$C$48:$C$247,"&lt;"&amp;C166)+COUNTIFS($H$48:H166,1,$C$48:C166,C166))</x:f>
      </x:c>
      <x:c r="J166" s="432"/>
      <x:c r="K166" s="432"/>
      <x:c r="L166" s="432"/>
      <x:c r="M166" s="432"/>
      <x:c r="N166" s="432"/>
      <x:c r="O166" s="432"/>
      <x:c r="P166" s="432"/>
      <x:c r="Q166" s="432"/>
    </x:row>
    <x:row r="167" ht="25" customHeight="1">
      <x:c r="A167" s="432"/>
      <x:c r="B167" s="432" t="str">
        <x:f>IF(CHOOSE($M$42,'Clients'!A125,'Clients'!A125,'Viewings'!A125,'Deals'!A125,'Deals'!A125,'Deals'!A125,'Follow-ups'!A125,'Payments'!A125,'Expenses'!A125)="","",CHOOSE($M$42,'Clients'!A125,'Clients'!A125,'Viewings'!A125,'Deals'!A125,'Deals'!A125,'Deals'!A125,'Follow-ups'!A125,'Payments'!A125,'Expenses'!A125))</x:f>
      </x:c>
      <x:c r="C167" s="472" t="str">
        <x:f>IF(B167="","",IF(CHOOSE($M$42,'Clients'!R125,'Clients'!Q125,'Viewings'!D125,'Deals'!X125,'Deals'!Y125,'Deals'!Z125,'Follow-ups'!H125,'Payments'!C125,'Expenses'!B125)="","",CHOOSE($M$42,'Clients'!R125,'Clients'!Q125,'Viewings'!D125,'Deals'!X125,'Deals'!Y125,'Deals'!Z125,'Follow-ups'!H125,'Payments'!C125,'Expenses'!B125)))</x:f>
      </x:c>
      <x:c r="D167" s="432" t="str">
        <x:f>IF(B167="","",IF(ISNUMBER(CHOOSE($M$42,'Clients'!B125,'Clients'!B125,'Viewings'!H125,IF('Deals'!B125="","",IF(COUNTIFS('Clients'!$A$6:$A$205,'Deals'!B125)&lt;&gt;1,"Check Client ID",INDEX('Clients'!$B$6:$B$205,MATCH('Deals'!B125,'Clients'!$A$6:$A$205,0)))),IF('Deals'!B125="","",IF(COUNTIFS('Clients'!$A$6:$A$205,'Deals'!B125)&lt;&gt;1,"Check Client ID",INDEX('Clients'!$B$6:$B$205,MATCH('Deals'!B125,'Clients'!$A$6:$A$205,0)))),IF('Deals'!B125="","",IF(COUNTIFS('Clients'!$A$6:$A$205,'Deals'!B125)&lt;&gt;1,"Check Client ID",INDEX('Clients'!$B$6:$B$205,MATCH('Deals'!B125,'Clients'!$A$6:$A$205,0)))),'Follow-ups'!K125,'Payments'!B125,'Expenses'!D125)),CHOOSE($M$42,'Clients'!B125,'Clients'!B125,'Viewings'!H125,IF('Deals'!B125="","",IF(COUNTIFS('Clients'!$A$6:$A$205,'Deals'!B125)&lt;&gt;1,"Check Client ID",INDEX('Clients'!$B$6:$B$205,MATCH('Deals'!B125,'Clients'!$A$6:$A$205,0)))),IF('Deals'!B125="","",IF(COUNTIFS('Clients'!$A$6:$A$205,'Deals'!B125)&lt;&gt;1,"Check Client ID",INDEX('Clients'!$B$6:$B$205,MATCH('Deals'!B125,'Clients'!$A$6:$A$205,0)))),IF('Deals'!B125="","",IF(COUNTIFS('Clients'!$A$6:$A$205,'Deals'!B125)&lt;&gt;1,"Check Client ID",INDEX('Clients'!$B$6:$B$205,MATCH('Deals'!B125,'Clients'!$A$6:$A$205,0)))),'Follow-ups'!K125,'Payments'!B125,'Expenses'!D125),IF(CHOOSE($M$42,'Clients'!B125,'Clients'!B125,'Viewings'!H125,IF('Deals'!B125="","",IF(COUNTIFS('Clients'!$A$6:$A$205,'Deals'!B125)&lt;&gt;1,"Check Client ID",INDEX('Clients'!$B$6:$B$205,MATCH('Deals'!B125,'Clients'!$A$6:$A$205,0)))),IF('Deals'!B125="","",IF(COUNTIFS('Clients'!$A$6:$A$205,'Deals'!B125)&lt;&gt;1,"Check Client ID",INDEX('Clients'!$B$6:$B$205,MATCH('Deals'!B125,'Clients'!$A$6:$A$205,0)))),IF('Deals'!B125="","",IF(COUNTIFS('Clients'!$A$6:$A$205,'Deals'!B125)&lt;&gt;1,"Check Client ID",INDEX('Clients'!$B$6:$B$205,MATCH('Deals'!B125,'Clients'!$A$6:$A$205,0)))),'Follow-ups'!K125,'Payments'!B125,'Expenses'!D125)="","",CHOOSE($M$42,'Clients'!B125,'Clients'!B125,'Viewings'!H125,IF('Deals'!B125="","",IF(COUNTIFS('Clients'!$A$6:$A$205,'Deals'!B125)&lt;&gt;1,"Check Client ID",INDEX('Clients'!$B$6:$B$205,MATCH('Deals'!B125,'Clients'!$A$6:$A$205,0)))),IF('Deals'!B125="","",IF(COUNTIFS('Clients'!$A$6:$A$205,'Deals'!B125)&lt;&gt;1,"Check Client ID",INDEX('Clients'!$B$6:$B$205,MATCH('Deals'!B125,'Clients'!$A$6:$A$205,0)))),IF('Deals'!B125="","",IF(COUNTIFS('Clients'!$A$6:$A$205,'Deals'!B125)&lt;&gt;1,"Check Client ID",INDEX('Clients'!$B$6:$B$205,MATCH('Deals'!B125,'Clients'!$A$6:$A$205,0)))),'Follow-ups'!K125,'Payments'!B125,'Expenses'!D125))))</x:f>
      </x:c>
      <x:c r="E167" s="432" t="str">
        <x:f>IF(B167="","",IF(ISNUMBER(CHOOSE($M$42,'Clients'!K125,'Clients'!K125,'Viewings'!I125,'Deals'!C125,'Deals'!C125,'Deals'!C125,'Follow-ups'!L125,'Payments'!G125,'Expenses'!F125)),CHOOSE($M$42,'Clients'!K125,'Clients'!K125,'Viewings'!I125,'Deals'!C125,'Deals'!C125,'Deals'!C125,'Follow-ups'!L125,'Payments'!G125,'Expenses'!F125),IF(CHOOSE($M$42,'Clients'!K125,'Clients'!K125,'Viewings'!I125,'Deals'!C125,'Deals'!C125,'Deals'!C125,'Follow-ups'!L125,'Payments'!G125,'Expenses'!F125)="","",CHOOSE($M$42,'Clients'!K125,'Clients'!K125,'Viewings'!I125,'Deals'!C125,'Deals'!C125,'Deals'!C125,'Follow-ups'!L125,'Payments'!G125,'Expenses'!F125))))</x:f>
      </x:c>
      <x:c r="F167" s="432" t="str">
        <x:f>IF(B167="","",IF(ISNUMBER(CHOOSE($M$42,'Clients'!H125,'Clients'!H125,'Viewings'!E125,'Deals'!E125,'Deals'!E125,'Deals'!E125,'Follow-ups'!I125,"Receipt",'Expenses'!C125)),CHOOSE($M$42,'Clients'!H125,'Clients'!H125,'Viewings'!E125,'Deals'!E125,'Deals'!E125,'Deals'!E125,'Follow-ups'!I125,"Receipt",'Expenses'!C125),IF(CHOOSE($M$42,'Clients'!H125,'Clients'!H125,'Viewings'!E125,'Deals'!E125,'Deals'!E125,'Deals'!E125,'Follow-ups'!I125,"Receipt",'Expenses'!C125)="","",CHOOSE($M$42,'Clients'!H125,'Clients'!H125,'Viewings'!E125,'Deals'!E125,'Deals'!E125,'Deals'!E125,'Follow-ups'!I125,"Receipt",'Expenses'!C125))))</x:f>
      </x:c>
      <x:c r="G167" s="473" t="str">
        <x:f>IF(B167="","",IF(ISNUMBER(CHOOSE($M$42,"","","",'Deals'!F125,'Deals'!F125,'Deals'!F125,"",'Payments'!D125,'Expenses'!G125)),CHOOSE($M$42,"","","",'Deals'!F125,'Deals'!F125,'Deals'!F125,"",'Payments'!D125,'Expenses'!G125),IF(CHOOSE($M$42,"","","",'Deals'!F125,'Deals'!F125,'Deals'!F125,"",'Payments'!D125,'Expenses'!G125)="","",CHOOSE($M$42,"","","",'Deals'!F125,'Deals'!F125,'Deals'!F125,"",'Payments'!D125,'Expenses'!G125))))</x:f>
      </x:c>
      <x:c r="H167" s="432" t="n">
        <x:f>IF(AND($M$43=1,B167&lt;&gt;"",ISNUMBER(C167),C167&gt;=$G$6,C167&lt;$K$6+1),1,0)</x:f>
        <x:v>0</x:v>
      </x:c>
      <x:c r="I167" s="432" t="str">
        <x:f>IF(H167=0,"",COUNTIFS($H$48:$H$247,1,$C$48:$C$247,"&lt;"&amp;C167)+COUNTIFS($H$48:H167,1,$C$48:C167,C167))</x:f>
      </x:c>
      <x:c r="J167" s="432"/>
      <x:c r="K167" s="432"/>
      <x:c r="L167" s="432"/>
      <x:c r="M167" s="432"/>
      <x:c r="N167" s="432"/>
      <x:c r="O167" s="432"/>
      <x:c r="P167" s="432"/>
      <x:c r="Q167" s="432"/>
    </x:row>
    <x:row r="168" ht="25" customHeight="1">
      <x:c r="A168" s="432"/>
      <x:c r="B168" s="432" t="str">
        <x:f>IF(CHOOSE($M$42,'Clients'!A126,'Clients'!A126,'Viewings'!A126,'Deals'!A126,'Deals'!A126,'Deals'!A126,'Follow-ups'!A126,'Payments'!A126,'Expenses'!A126)="","",CHOOSE($M$42,'Clients'!A126,'Clients'!A126,'Viewings'!A126,'Deals'!A126,'Deals'!A126,'Deals'!A126,'Follow-ups'!A126,'Payments'!A126,'Expenses'!A126))</x:f>
      </x:c>
      <x:c r="C168" s="472" t="str">
        <x:f>IF(B168="","",IF(CHOOSE($M$42,'Clients'!R126,'Clients'!Q126,'Viewings'!D126,'Deals'!X126,'Deals'!Y126,'Deals'!Z126,'Follow-ups'!H126,'Payments'!C126,'Expenses'!B126)="","",CHOOSE($M$42,'Clients'!R126,'Clients'!Q126,'Viewings'!D126,'Deals'!X126,'Deals'!Y126,'Deals'!Z126,'Follow-ups'!H126,'Payments'!C126,'Expenses'!B126)))</x:f>
      </x:c>
      <x:c r="D168" s="432" t="str">
        <x:f>IF(B168="","",IF(ISNUMBER(CHOOSE($M$42,'Clients'!B126,'Clients'!B126,'Viewings'!H126,IF('Deals'!B126="","",IF(COUNTIFS('Clients'!$A$6:$A$205,'Deals'!B126)&lt;&gt;1,"Check Client ID",INDEX('Clients'!$B$6:$B$205,MATCH('Deals'!B126,'Clients'!$A$6:$A$205,0)))),IF('Deals'!B126="","",IF(COUNTIFS('Clients'!$A$6:$A$205,'Deals'!B126)&lt;&gt;1,"Check Client ID",INDEX('Clients'!$B$6:$B$205,MATCH('Deals'!B126,'Clients'!$A$6:$A$205,0)))),IF('Deals'!B126="","",IF(COUNTIFS('Clients'!$A$6:$A$205,'Deals'!B126)&lt;&gt;1,"Check Client ID",INDEX('Clients'!$B$6:$B$205,MATCH('Deals'!B126,'Clients'!$A$6:$A$205,0)))),'Follow-ups'!K126,'Payments'!B126,'Expenses'!D126)),CHOOSE($M$42,'Clients'!B126,'Clients'!B126,'Viewings'!H126,IF('Deals'!B126="","",IF(COUNTIFS('Clients'!$A$6:$A$205,'Deals'!B126)&lt;&gt;1,"Check Client ID",INDEX('Clients'!$B$6:$B$205,MATCH('Deals'!B126,'Clients'!$A$6:$A$205,0)))),IF('Deals'!B126="","",IF(COUNTIFS('Clients'!$A$6:$A$205,'Deals'!B126)&lt;&gt;1,"Check Client ID",INDEX('Clients'!$B$6:$B$205,MATCH('Deals'!B126,'Clients'!$A$6:$A$205,0)))),IF('Deals'!B126="","",IF(COUNTIFS('Clients'!$A$6:$A$205,'Deals'!B126)&lt;&gt;1,"Check Client ID",INDEX('Clients'!$B$6:$B$205,MATCH('Deals'!B126,'Clients'!$A$6:$A$205,0)))),'Follow-ups'!K126,'Payments'!B126,'Expenses'!D126),IF(CHOOSE($M$42,'Clients'!B126,'Clients'!B126,'Viewings'!H126,IF('Deals'!B126="","",IF(COUNTIFS('Clients'!$A$6:$A$205,'Deals'!B126)&lt;&gt;1,"Check Client ID",INDEX('Clients'!$B$6:$B$205,MATCH('Deals'!B126,'Clients'!$A$6:$A$205,0)))),IF('Deals'!B126="","",IF(COUNTIFS('Clients'!$A$6:$A$205,'Deals'!B126)&lt;&gt;1,"Check Client ID",INDEX('Clients'!$B$6:$B$205,MATCH('Deals'!B126,'Clients'!$A$6:$A$205,0)))),IF('Deals'!B126="","",IF(COUNTIFS('Clients'!$A$6:$A$205,'Deals'!B126)&lt;&gt;1,"Check Client ID",INDEX('Clients'!$B$6:$B$205,MATCH('Deals'!B126,'Clients'!$A$6:$A$205,0)))),'Follow-ups'!K126,'Payments'!B126,'Expenses'!D126)="","",CHOOSE($M$42,'Clients'!B126,'Clients'!B126,'Viewings'!H126,IF('Deals'!B126="","",IF(COUNTIFS('Clients'!$A$6:$A$205,'Deals'!B126)&lt;&gt;1,"Check Client ID",INDEX('Clients'!$B$6:$B$205,MATCH('Deals'!B126,'Clients'!$A$6:$A$205,0)))),IF('Deals'!B126="","",IF(COUNTIFS('Clients'!$A$6:$A$205,'Deals'!B126)&lt;&gt;1,"Check Client ID",INDEX('Clients'!$B$6:$B$205,MATCH('Deals'!B126,'Clients'!$A$6:$A$205,0)))),IF('Deals'!B126="","",IF(COUNTIFS('Clients'!$A$6:$A$205,'Deals'!B126)&lt;&gt;1,"Check Client ID",INDEX('Clients'!$B$6:$B$205,MATCH('Deals'!B126,'Clients'!$A$6:$A$205,0)))),'Follow-ups'!K126,'Payments'!B126,'Expenses'!D126))))</x:f>
      </x:c>
      <x:c r="E168" s="432" t="str">
        <x:f>IF(B168="","",IF(ISNUMBER(CHOOSE($M$42,'Clients'!K126,'Clients'!K126,'Viewings'!I126,'Deals'!C126,'Deals'!C126,'Deals'!C126,'Follow-ups'!L126,'Payments'!G126,'Expenses'!F126)),CHOOSE($M$42,'Clients'!K126,'Clients'!K126,'Viewings'!I126,'Deals'!C126,'Deals'!C126,'Deals'!C126,'Follow-ups'!L126,'Payments'!G126,'Expenses'!F126),IF(CHOOSE($M$42,'Clients'!K126,'Clients'!K126,'Viewings'!I126,'Deals'!C126,'Deals'!C126,'Deals'!C126,'Follow-ups'!L126,'Payments'!G126,'Expenses'!F126)="","",CHOOSE($M$42,'Clients'!K126,'Clients'!K126,'Viewings'!I126,'Deals'!C126,'Deals'!C126,'Deals'!C126,'Follow-ups'!L126,'Payments'!G126,'Expenses'!F126))))</x:f>
      </x:c>
      <x:c r="F168" s="432" t="str">
        <x:f>IF(B168="","",IF(ISNUMBER(CHOOSE($M$42,'Clients'!H126,'Clients'!H126,'Viewings'!E126,'Deals'!E126,'Deals'!E126,'Deals'!E126,'Follow-ups'!I126,"Receipt",'Expenses'!C126)),CHOOSE($M$42,'Clients'!H126,'Clients'!H126,'Viewings'!E126,'Deals'!E126,'Deals'!E126,'Deals'!E126,'Follow-ups'!I126,"Receipt",'Expenses'!C126),IF(CHOOSE($M$42,'Clients'!H126,'Clients'!H126,'Viewings'!E126,'Deals'!E126,'Deals'!E126,'Deals'!E126,'Follow-ups'!I126,"Receipt",'Expenses'!C126)="","",CHOOSE($M$42,'Clients'!H126,'Clients'!H126,'Viewings'!E126,'Deals'!E126,'Deals'!E126,'Deals'!E126,'Follow-ups'!I126,"Receipt",'Expenses'!C126))))</x:f>
      </x:c>
      <x:c r="G168" s="473" t="str">
        <x:f>IF(B168="","",IF(ISNUMBER(CHOOSE($M$42,"","","",'Deals'!F126,'Deals'!F126,'Deals'!F126,"",'Payments'!D126,'Expenses'!G126)),CHOOSE($M$42,"","","",'Deals'!F126,'Deals'!F126,'Deals'!F126,"",'Payments'!D126,'Expenses'!G126),IF(CHOOSE($M$42,"","","",'Deals'!F126,'Deals'!F126,'Deals'!F126,"",'Payments'!D126,'Expenses'!G126)="","",CHOOSE($M$42,"","","",'Deals'!F126,'Deals'!F126,'Deals'!F126,"",'Payments'!D126,'Expenses'!G126))))</x:f>
      </x:c>
      <x:c r="H168" s="432" t="n">
        <x:f>IF(AND($M$43=1,B168&lt;&gt;"",ISNUMBER(C168),C168&gt;=$G$6,C168&lt;$K$6+1),1,0)</x:f>
        <x:v>0</x:v>
      </x:c>
      <x:c r="I168" s="432" t="str">
        <x:f>IF(H168=0,"",COUNTIFS($H$48:$H$247,1,$C$48:$C$247,"&lt;"&amp;C168)+COUNTIFS($H$48:H168,1,$C$48:C168,C168))</x:f>
      </x:c>
      <x:c r="J168" s="432"/>
      <x:c r="K168" s="432"/>
      <x:c r="L168" s="432"/>
      <x:c r="M168" s="432"/>
      <x:c r="N168" s="432"/>
      <x:c r="O168" s="432"/>
      <x:c r="P168" s="432"/>
      <x:c r="Q168" s="432"/>
    </x:row>
    <x:row r="169" ht="25" customHeight="1">
      <x:c r="A169" s="432"/>
      <x:c r="B169" s="432" t="str">
        <x:f>IF(CHOOSE($M$42,'Clients'!A127,'Clients'!A127,'Viewings'!A127,'Deals'!A127,'Deals'!A127,'Deals'!A127,'Follow-ups'!A127,'Payments'!A127,'Expenses'!A127)="","",CHOOSE($M$42,'Clients'!A127,'Clients'!A127,'Viewings'!A127,'Deals'!A127,'Deals'!A127,'Deals'!A127,'Follow-ups'!A127,'Payments'!A127,'Expenses'!A127))</x:f>
      </x:c>
      <x:c r="C169" s="472" t="str">
        <x:f>IF(B169="","",IF(CHOOSE($M$42,'Clients'!R127,'Clients'!Q127,'Viewings'!D127,'Deals'!X127,'Deals'!Y127,'Deals'!Z127,'Follow-ups'!H127,'Payments'!C127,'Expenses'!B127)="","",CHOOSE($M$42,'Clients'!R127,'Clients'!Q127,'Viewings'!D127,'Deals'!X127,'Deals'!Y127,'Deals'!Z127,'Follow-ups'!H127,'Payments'!C127,'Expenses'!B127)))</x:f>
      </x:c>
      <x:c r="D169" s="432" t="str">
        <x:f>IF(B169="","",IF(ISNUMBER(CHOOSE($M$42,'Clients'!B127,'Clients'!B127,'Viewings'!H127,IF('Deals'!B127="","",IF(COUNTIFS('Clients'!$A$6:$A$205,'Deals'!B127)&lt;&gt;1,"Check Client ID",INDEX('Clients'!$B$6:$B$205,MATCH('Deals'!B127,'Clients'!$A$6:$A$205,0)))),IF('Deals'!B127="","",IF(COUNTIFS('Clients'!$A$6:$A$205,'Deals'!B127)&lt;&gt;1,"Check Client ID",INDEX('Clients'!$B$6:$B$205,MATCH('Deals'!B127,'Clients'!$A$6:$A$205,0)))),IF('Deals'!B127="","",IF(COUNTIFS('Clients'!$A$6:$A$205,'Deals'!B127)&lt;&gt;1,"Check Client ID",INDEX('Clients'!$B$6:$B$205,MATCH('Deals'!B127,'Clients'!$A$6:$A$205,0)))),'Follow-ups'!K127,'Payments'!B127,'Expenses'!D127)),CHOOSE($M$42,'Clients'!B127,'Clients'!B127,'Viewings'!H127,IF('Deals'!B127="","",IF(COUNTIFS('Clients'!$A$6:$A$205,'Deals'!B127)&lt;&gt;1,"Check Client ID",INDEX('Clients'!$B$6:$B$205,MATCH('Deals'!B127,'Clients'!$A$6:$A$205,0)))),IF('Deals'!B127="","",IF(COUNTIFS('Clients'!$A$6:$A$205,'Deals'!B127)&lt;&gt;1,"Check Client ID",INDEX('Clients'!$B$6:$B$205,MATCH('Deals'!B127,'Clients'!$A$6:$A$205,0)))),IF('Deals'!B127="","",IF(COUNTIFS('Clients'!$A$6:$A$205,'Deals'!B127)&lt;&gt;1,"Check Client ID",INDEX('Clients'!$B$6:$B$205,MATCH('Deals'!B127,'Clients'!$A$6:$A$205,0)))),'Follow-ups'!K127,'Payments'!B127,'Expenses'!D127),IF(CHOOSE($M$42,'Clients'!B127,'Clients'!B127,'Viewings'!H127,IF('Deals'!B127="","",IF(COUNTIFS('Clients'!$A$6:$A$205,'Deals'!B127)&lt;&gt;1,"Check Client ID",INDEX('Clients'!$B$6:$B$205,MATCH('Deals'!B127,'Clients'!$A$6:$A$205,0)))),IF('Deals'!B127="","",IF(COUNTIFS('Clients'!$A$6:$A$205,'Deals'!B127)&lt;&gt;1,"Check Client ID",INDEX('Clients'!$B$6:$B$205,MATCH('Deals'!B127,'Clients'!$A$6:$A$205,0)))),IF('Deals'!B127="","",IF(COUNTIFS('Clients'!$A$6:$A$205,'Deals'!B127)&lt;&gt;1,"Check Client ID",INDEX('Clients'!$B$6:$B$205,MATCH('Deals'!B127,'Clients'!$A$6:$A$205,0)))),'Follow-ups'!K127,'Payments'!B127,'Expenses'!D127)="","",CHOOSE($M$42,'Clients'!B127,'Clients'!B127,'Viewings'!H127,IF('Deals'!B127="","",IF(COUNTIFS('Clients'!$A$6:$A$205,'Deals'!B127)&lt;&gt;1,"Check Client ID",INDEX('Clients'!$B$6:$B$205,MATCH('Deals'!B127,'Clients'!$A$6:$A$205,0)))),IF('Deals'!B127="","",IF(COUNTIFS('Clients'!$A$6:$A$205,'Deals'!B127)&lt;&gt;1,"Check Client ID",INDEX('Clients'!$B$6:$B$205,MATCH('Deals'!B127,'Clients'!$A$6:$A$205,0)))),IF('Deals'!B127="","",IF(COUNTIFS('Clients'!$A$6:$A$205,'Deals'!B127)&lt;&gt;1,"Check Client ID",INDEX('Clients'!$B$6:$B$205,MATCH('Deals'!B127,'Clients'!$A$6:$A$205,0)))),'Follow-ups'!K127,'Payments'!B127,'Expenses'!D127))))</x:f>
      </x:c>
      <x:c r="E169" s="432" t="str">
        <x:f>IF(B169="","",IF(ISNUMBER(CHOOSE($M$42,'Clients'!K127,'Clients'!K127,'Viewings'!I127,'Deals'!C127,'Deals'!C127,'Deals'!C127,'Follow-ups'!L127,'Payments'!G127,'Expenses'!F127)),CHOOSE($M$42,'Clients'!K127,'Clients'!K127,'Viewings'!I127,'Deals'!C127,'Deals'!C127,'Deals'!C127,'Follow-ups'!L127,'Payments'!G127,'Expenses'!F127),IF(CHOOSE($M$42,'Clients'!K127,'Clients'!K127,'Viewings'!I127,'Deals'!C127,'Deals'!C127,'Deals'!C127,'Follow-ups'!L127,'Payments'!G127,'Expenses'!F127)="","",CHOOSE($M$42,'Clients'!K127,'Clients'!K127,'Viewings'!I127,'Deals'!C127,'Deals'!C127,'Deals'!C127,'Follow-ups'!L127,'Payments'!G127,'Expenses'!F127))))</x:f>
      </x:c>
      <x:c r="F169" s="432" t="str">
        <x:f>IF(B169="","",IF(ISNUMBER(CHOOSE($M$42,'Clients'!H127,'Clients'!H127,'Viewings'!E127,'Deals'!E127,'Deals'!E127,'Deals'!E127,'Follow-ups'!I127,"Receipt",'Expenses'!C127)),CHOOSE($M$42,'Clients'!H127,'Clients'!H127,'Viewings'!E127,'Deals'!E127,'Deals'!E127,'Deals'!E127,'Follow-ups'!I127,"Receipt",'Expenses'!C127),IF(CHOOSE($M$42,'Clients'!H127,'Clients'!H127,'Viewings'!E127,'Deals'!E127,'Deals'!E127,'Deals'!E127,'Follow-ups'!I127,"Receipt",'Expenses'!C127)="","",CHOOSE($M$42,'Clients'!H127,'Clients'!H127,'Viewings'!E127,'Deals'!E127,'Deals'!E127,'Deals'!E127,'Follow-ups'!I127,"Receipt",'Expenses'!C127))))</x:f>
      </x:c>
      <x:c r="G169" s="473" t="str">
        <x:f>IF(B169="","",IF(ISNUMBER(CHOOSE($M$42,"","","",'Deals'!F127,'Deals'!F127,'Deals'!F127,"",'Payments'!D127,'Expenses'!G127)),CHOOSE($M$42,"","","",'Deals'!F127,'Deals'!F127,'Deals'!F127,"",'Payments'!D127,'Expenses'!G127),IF(CHOOSE($M$42,"","","",'Deals'!F127,'Deals'!F127,'Deals'!F127,"",'Payments'!D127,'Expenses'!G127)="","",CHOOSE($M$42,"","","",'Deals'!F127,'Deals'!F127,'Deals'!F127,"",'Payments'!D127,'Expenses'!G127))))</x:f>
      </x:c>
      <x:c r="H169" s="432" t="n">
        <x:f>IF(AND($M$43=1,B169&lt;&gt;"",ISNUMBER(C169),C169&gt;=$G$6,C169&lt;$K$6+1),1,0)</x:f>
        <x:v>0</x:v>
      </x:c>
      <x:c r="I169" s="432" t="str">
        <x:f>IF(H169=0,"",COUNTIFS($H$48:$H$247,1,$C$48:$C$247,"&lt;"&amp;C169)+COUNTIFS($H$48:H169,1,$C$48:C169,C169))</x:f>
      </x:c>
      <x:c r="J169" s="432"/>
      <x:c r="K169" s="432"/>
      <x:c r="L169" s="432"/>
      <x:c r="M169" s="432"/>
      <x:c r="N169" s="432"/>
      <x:c r="O169" s="432"/>
      <x:c r="P169" s="432"/>
      <x:c r="Q169" s="432"/>
    </x:row>
    <x:row r="170" ht="25" customHeight="1">
      <x:c r="A170" s="432"/>
      <x:c r="B170" s="432" t="str">
        <x:f>IF(CHOOSE($M$42,'Clients'!A128,'Clients'!A128,'Viewings'!A128,'Deals'!A128,'Deals'!A128,'Deals'!A128,'Follow-ups'!A128,'Payments'!A128,'Expenses'!A128)="","",CHOOSE($M$42,'Clients'!A128,'Clients'!A128,'Viewings'!A128,'Deals'!A128,'Deals'!A128,'Deals'!A128,'Follow-ups'!A128,'Payments'!A128,'Expenses'!A128))</x:f>
      </x:c>
      <x:c r="C170" s="472" t="str">
        <x:f>IF(B170="","",IF(CHOOSE($M$42,'Clients'!R128,'Clients'!Q128,'Viewings'!D128,'Deals'!X128,'Deals'!Y128,'Deals'!Z128,'Follow-ups'!H128,'Payments'!C128,'Expenses'!B128)="","",CHOOSE($M$42,'Clients'!R128,'Clients'!Q128,'Viewings'!D128,'Deals'!X128,'Deals'!Y128,'Deals'!Z128,'Follow-ups'!H128,'Payments'!C128,'Expenses'!B128)))</x:f>
      </x:c>
      <x:c r="D170" s="432" t="str">
        <x:f>IF(B170="","",IF(ISNUMBER(CHOOSE($M$42,'Clients'!B128,'Clients'!B128,'Viewings'!H128,IF('Deals'!B128="","",IF(COUNTIFS('Clients'!$A$6:$A$205,'Deals'!B128)&lt;&gt;1,"Check Client ID",INDEX('Clients'!$B$6:$B$205,MATCH('Deals'!B128,'Clients'!$A$6:$A$205,0)))),IF('Deals'!B128="","",IF(COUNTIFS('Clients'!$A$6:$A$205,'Deals'!B128)&lt;&gt;1,"Check Client ID",INDEX('Clients'!$B$6:$B$205,MATCH('Deals'!B128,'Clients'!$A$6:$A$205,0)))),IF('Deals'!B128="","",IF(COUNTIFS('Clients'!$A$6:$A$205,'Deals'!B128)&lt;&gt;1,"Check Client ID",INDEX('Clients'!$B$6:$B$205,MATCH('Deals'!B128,'Clients'!$A$6:$A$205,0)))),'Follow-ups'!K128,'Payments'!B128,'Expenses'!D128)),CHOOSE($M$42,'Clients'!B128,'Clients'!B128,'Viewings'!H128,IF('Deals'!B128="","",IF(COUNTIFS('Clients'!$A$6:$A$205,'Deals'!B128)&lt;&gt;1,"Check Client ID",INDEX('Clients'!$B$6:$B$205,MATCH('Deals'!B128,'Clients'!$A$6:$A$205,0)))),IF('Deals'!B128="","",IF(COUNTIFS('Clients'!$A$6:$A$205,'Deals'!B128)&lt;&gt;1,"Check Client ID",INDEX('Clients'!$B$6:$B$205,MATCH('Deals'!B128,'Clients'!$A$6:$A$205,0)))),IF('Deals'!B128="","",IF(COUNTIFS('Clients'!$A$6:$A$205,'Deals'!B128)&lt;&gt;1,"Check Client ID",INDEX('Clients'!$B$6:$B$205,MATCH('Deals'!B128,'Clients'!$A$6:$A$205,0)))),'Follow-ups'!K128,'Payments'!B128,'Expenses'!D128),IF(CHOOSE($M$42,'Clients'!B128,'Clients'!B128,'Viewings'!H128,IF('Deals'!B128="","",IF(COUNTIFS('Clients'!$A$6:$A$205,'Deals'!B128)&lt;&gt;1,"Check Client ID",INDEX('Clients'!$B$6:$B$205,MATCH('Deals'!B128,'Clients'!$A$6:$A$205,0)))),IF('Deals'!B128="","",IF(COUNTIFS('Clients'!$A$6:$A$205,'Deals'!B128)&lt;&gt;1,"Check Client ID",INDEX('Clients'!$B$6:$B$205,MATCH('Deals'!B128,'Clients'!$A$6:$A$205,0)))),IF('Deals'!B128="","",IF(COUNTIFS('Clients'!$A$6:$A$205,'Deals'!B128)&lt;&gt;1,"Check Client ID",INDEX('Clients'!$B$6:$B$205,MATCH('Deals'!B128,'Clients'!$A$6:$A$205,0)))),'Follow-ups'!K128,'Payments'!B128,'Expenses'!D128)="","",CHOOSE($M$42,'Clients'!B128,'Clients'!B128,'Viewings'!H128,IF('Deals'!B128="","",IF(COUNTIFS('Clients'!$A$6:$A$205,'Deals'!B128)&lt;&gt;1,"Check Client ID",INDEX('Clients'!$B$6:$B$205,MATCH('Deals'!B128,'Clients'!$A$6:$A$205,0)))),IF('Deals'!B128="","",IF(COUNTIFS('Clients'!$A$6:$A$205,'Deals'!B128)&lt;&gt;1,"Check Client ID",INDEX('Clients'!$B$6:$B$205,MATCH('Deals'!B128,'Clients'!$A$6:$A$205,0)))),IF('Deals'!B128="","",IF(COUNTIFS('Clients'!$A$6:$A$205,'Deals'!B128)&lt;&gt;1,"Check Client ID",INDEX('Clients'!$B$6:$B$205,MATCH('Deals'!B128,'Clients'!$A$6:$A$205,0)))),'Follow-ups'!K128,'Payments'!B128,'Expenses'!D128))))</x:f>
      </x:c>
      <x:c r="E170" s="432" t="str">
        <x:f>IF(B170="","",IF(ISNUMBER(CHOOSE($M$42,'Clients'!K128,'Clients'!K128,'Viewings'!I128,'Deals'!C128,'Deals'!C128,'Deals'!C128,'Follow-ups'!L128,'Payments'!G128,'Expenses'!F128)),CHOOSE($M$42,'Clients'!K128,'Clients'!K128,'Viewings'!I128,'Deals'!C128,'Deals'!C128,'Deals'!C128,'Follow-ups'!L128,'Payments'!G128,'Expenses'!F128),IF(CHOOSE($M$42,'Clients'!K128,'Clients'!K128,'Viewings'!I128,'Deals'!C128,'Deals'!C128,'Deals'!C128,'Follow-ups'!L128,'Payments'!G128,'Expenses'!F128)="","",CHOOSE($M$42,'Clients'!K128,'Clients'!K128,'Viewings'!I128,'Deals'!C128,'Deals'!C128,'Deals'!C128,'Follow-ups'!L128,'Payments'!G128,'Expenses'!F128))))</x:f>
      </x:c>
      <x:c r="F170" s="432" t="str">
        <x:f>IF(B170="","",IF(ISNUMBER(CHOOSE($M$42,'Clients'!H128,'Clients'!H128,'Viewings'!E128,'Deals'!E128,'Deals'!E128,'Deals'!E128,'Follow-ups'!I128,"Receipt",'Expenses'!C128)),CHOOSE($M$42,'Clients'!H128,'Clients'!H128,'Viewings'!E128,'Deals'!E128,'Deals'!E128,'Deals'!E128,'Follow-ups'!I128,"Receipt",'Expenses'!C128),IF(CHOOSE($M$42,'Clients'!H128,'Clients'!H128,'Viewings'!E128,'Deals'!E128,'Deals'!E128,'Deals'!E128,'Follow-ups'!I128,"Receipt",'Expenses'!C128)="","",CHOOSE($M$42,'Clients'!H128,'Clients'!H128,'Viewings'!E128,'Deals'!E128,'Deals'!E128,'Deals'!E128,'Follow-ups'!I128,"Receipt",'Expenses'!C128))))</x:f>
      </x:c>
      <x:c r="G170" s="473" t="str">
        <x:f>IF(B170="","",IF(ISNUMBER(CHOOSE($M$42,"","","",'Deals'!F128,'Deals'!F128,'Deals'!F128,"",'Payments'!D128,'Expenses'!G128)),CHOOSE($M$42,"","","",'Deals'!F128,'Deals'!F128,'Deals'!F128,"",'Payments'!D128,'Expenses'!G128),IF(CHOOSE($M$42,"","","",'Deals'!F128,'Deals'!F128,'Deals'!F128,"",'Payments'!D128,'Expenses'!G128)="","",CHOOSE($M$42,"","","",'Deals'!F128,'Deals'!F128,'Deals'!F128,"",'Payments'!D128,'Expenses'!G128))))</x:f>
      </x:c>
      <x:c r="H170" s="432" t="n">
        <x:f>IF(AND($M$43=1,B170&lt;&gt;"",ISNUMBER(C170),C170&gt;=$G$6,C170&lt;$K$6+1),1,0)</x:f>
        <x:v>0</x:v>
      </x:c>
      <x:c r="I170" s="432" t="str">
        <x:f>IF(H170=0,"",COUNTIFS($H$48:$H$247,1,$C$48:$C$247,"&lt;"&amp;C170)+COUNTIFS($H$48:H170,1,$C$48:C170,C170))</x:f>
      </x:c>
      <x:c r="J170" s="432"/>
      <x:c r="K170" s="432"/>
      <x:c r="L170" s="432"/>
      <x:c r="M170" s="432"/>
      <x:c r="N170" s="432"/>
      <x:c r="O170" s="432"/>
      <x:c r="P170" s="432"/>
      <x:c r="Q170" s="432"/>
    </x:row>
    <x:row r="171" ht="25" customHeight="1">
      <x:c r="A171" s="432"/>
      <x:c r="B171" s="432" t="str">
        <x:f>IF(CHOOSE($M$42,'Clients'!A129,'Clients'!A129,'Viewings'!A129,'Deals'!A129,'Deals'!A129,'Deals'!A129,'Follow-ups'!A129,'Payments'!A129,'Expenses'!A129)="","",CHOOSE($M$42,'Clients'!A129,'Clients'!A129,'Viewings'!A129,'Deals'!A129,'Deals'!A129,'Deals'!A129,'Follow-ups'!A129,'Payments'!A129,'Expenses'!A129))</x:f>
      </x:c>
      <x:c r="C171" s="472" t="str">
        <x:f>IF(B171="","",IF(CHOOSE($M$42,'Clients'!R129,'Clients'!Q129,'Viewings'!D129,'Deals'!X129,'Deals'!Y129,'Deals'!Z129,'Follow-ups'!H129,'Payments'!C129,'Expenses'!B129)="","",CHOOSE($M$42,'Clients'!R129,'Clients'!Q129,'Viewings'!D129,'Deals'!X129,'Deals'!Y129,'Deals'!Z129,'Follow-ups'!H129,'Payments'!C129,'Expenses'!B129)))</x:f>
      </x:c>
      <x:c r="D171" s="432" t="str">
        <x:f>IF(B171="","",IF(ISNUMBER(CHOOSE($M$42,'Clients'!B129,'Clients'!B129,'Viewings'!H129,IF('Deals'!B129="","",IF(COUNTIFS('Clients'!$A$6:$A$205,'Deals'!B129)&lt;&gt;1,"Check Client ID",INDEX('Clients'!$B$6:$B$205,MATCH('Deals'!B129,'Clients'!$A$6:$A$205,0)))),IF('Deals'!B129="","",IF(COUNTIFS('Clients'!$A$6:$A$205,'Deals'!B129)&lt;&gt;1,"Check Client ID",INDEX('Clients'!$B$6:$B$205,MATCH('Deals'!B129,'Clients'!$A$6:$A$205,0)))),IF('Deals'!B129="","",IF(COUNTIFS('Clients'!$A$6:$A$205,'Deals'!B129)&lt;&gt;1,"Check Client ID",INDEX('Clients'!$B$6:$B$205,MATCH('Deals'!B129,'Clients'!$A$6:$A$205,0)))),'Follow-ups'!K129,'Payments'!B129,'Expenses'!D129)),CHOOSE($M$42,'Clients'!B129,'Clients'!B129,'Viewings'!H129,IF('Deals'!B129="","",IF(COUNTIFS('Clients'!$A$6:$A$205,'Deals'!B129)&lt;&gt;1,"Check Client ID",INDEX('Clients'!$B$6:$B$205,MATCH('Deals'!B129,'Clients'!$A$6:$A$205,0)))),IF('Deals'!B129="","",IF(COUNTIFS('Clients'!$A$6:$A$205,'Deals'!B129)&lt;&gt;1,"Check Client ID",INDEX('Clients'!$B$6:$B$205,MATCH('Deals'!B129,'Clients'!$A$6:$A$205,0)))),IF('Deals'!B129="","",IF(COUNTIFS('Clients'!$A$6:$A$205,'Deals'!B129)&lt;&gt;1,"Check Client ID",INDEX('Clients'!$B$6:$B$205,MATCH('Deals'!B129,'Clients'!$A$6:$A$205,0)))),'Follow-ups'!K129,'Payments'!B129,'Expenses'!D129),IF(CHOOSE($M$42,'Clients'!B129,'Clients'!B129,'Viewings'!H129,IF('Deals'!B129="","",IF(COUNTIFS('Clients'!$A$6:$A$205,'Deals'!B129)&lt;&gt;1,"Check Client ID",INDEX('Clients'!$B$6:$B$205,MATCH('Deals'!B129,'Clients'!$A$6:$A$205,0)))),IF('Deals'!B129="","",IF(COUNTIFS('Clients'!$A$6:$A$205,'Deals'!B129)&lt;&gt;1,"Check Client ID",INDEX('Clients'!$B$6:$B$205,MATCH('Deals'!B129,'Clients'!$A$6:$A$205,0)))),IF('Deals'!B129="","",IF(COUNTIFS('Clients'!$A$6:$A$205,'Deals'!B129)&lt;&gt;1,"Check Client ID",INDEX('Clients'!$B$6:$B$205,MATCH('Deals'!B129,'Clients'!$A$6:$A$205,0)))),'Follow-ups'!K129,'Payments'!B129,'Expenses'!D129)="","",CHOOSE($M$42,'Clients'!B129,'Clients'!B129,'Viewings'!H129,IF('Deals'!B129="","",IF(COUNTIFS('Clients'!$A$6:$A$205,'Deals'!B129)&lt;&gt;1,"Check Client ID",INDEX('Clients'!$B$6:$B$205,MATCH('Deals'!B129,'Clients'!$A$6:$A$205,0)))),IF('Deals'!B129="","",IF(COUNTIFS('Clients'!$A$6:$A$205,'Deals'!B129)&lt;&gt;1,"Check Client ID",INDEX('Clients'!$B$6:$B$205,MATCH('Deals'!B129,'Clients'!$A$6:$A$205,0)))),IF('Deals'!B129="","",IF(COUNTIFS('Clients'!$A$6:$A$205,'Deals'!B129)&lt;&gt;1,"Check Client ID",INDEX('Clients'!$B$6:$B$205,MATCH('Deals'!B129,'Clients'!$A$6:$A$205,0)))),'Follow-ups'!K129,'Payments'!B129,'Expenses'!D129))))</x:f>
      </x:c>
      <x:c r="E171" s="432" t="str">
        <x:f>IF(B171="","",IF(ISNUMBER(CHOOSE($M$42,'Clients'!K129,'Clients'!K129,'Viewings'!I129,'Deals'!C129,'Deals'!C129,'Deals'!C129,'Follow-ups'!L129,'Payments'!G129,'Expenses'!F129)),CHOOSE($M$42,'Clients'!K129,'Clients'!K129,'Viewings'!I129,'Deals'!C129,'Deals'!C129,'Deals'!C129,'Follow-ups'!L129,'Payments'!G129,'Expenses'!F129),IF(CHOOSE($M$42,'Clients'!K129,'Clients'!K129,'Viewings'!I129,'Deals'!C129,'Deals'!C129,'Deals'!C129,'Follow-ups'!L129,'Payments'!G129,'Expenses'!F129)="","",CHOOSE($M$42,'Clients'!K129,'Clients'!K129,'Viewings'!I129,'Deals'!C129,'Deals'!C129,'Deals'!C129,'Follow-ups'!L129,'Payments'!G129,'Expenses'!F129))))</x:f>
      </x:c>
      <x:c r="F171" s="432" t="str">
        <x:f>IF(B171="","",IF(ISNUMBER(CHOOSE($M$42,'Clients'!H129,'Clients'!H129,'Viewings'!E129,'Deals'!E129,'Deals'!E129,'Deals'!E129,'Follow-ups'!I129,"Receipt",'Expenses'!C129)),CHOOSE($M$42,'Clients'!H129,'Clients'!H129,'Viewings'!E129,'Deals'!E129,'Deals'!E129,'Deals'!E129,'Follow-ups'!I129,"Receipt",'Expenses'!C129),IF(CHOOSE($M$42,'Clients'!H129,'Clients'!H129,'Viewings'!E129,'Deals'!E129,'Deals'!E129,'Deals'!E129,'Follow-ups'!I129,"Receipt",'Expenses'!C129)="","",CHOOSE($M$42,'Clients'!H129,'Clients'!H129,'Viewings'!E129,'Deals'!E129,'Deals'!E129,'Deals'!E129,'Follow-ups'!I129,"Receipt",'Expenses'!C129))))</x:f>
      </x:c>
      <x:c r="G171" s="473" t="str">
        <x:f>IF(B171="","",IF(ISNUMBER(CHOOSE($M$42,"","","",'Deals'!F129,'Deals'!F129,'Deals'!F129,"",'Payments'!D129,'Expenses'!G129)),CHOOSE($M$42,"","","",'Deals'!F129,'Deals'!F129,'Deals'!F129,"",'Payments'!D129,'Expenses'!G129),IF(CHOOSE($M$42,"","","",'Deals'!F129,'Deals'!F129,'Deals'!F129,"",'Payments'!D129,'Expenses'!G129)="","",CHOOSE($M$42,"","","",'Deals'!F129,'Deals'!F129,'Deals'!F129,"",'Payments'!D129,'Expenses'!G129))))</x:f>
      </x:c>
      <x:c r="H171" s="432" t="n">
        <x:f>IF(AND($M$43=1,B171&lt;&gt;"",ISNUMBER(C171),C171&gt;=$G$6,C171&lt;$K$6+1),1,0)</x:f>
        <x:v>0</x:v>
      </x:c>
      <x:c r="I171" s="432" t="str">
        <x:f>IF(H171=0,"",COUNTIFS($H$48:$H$247,1,$C$48:$C$247,"&lt;"&amp;C171)+COUNTIFS($H$48:H171,1,$C$48:C171,C171))</x:f>
      </x:c>
      <x:c r="J171" s="432"/>
      <x:c r="K171" s="432"/>
      <x:c r="L171" s="432"/>
      <x:c r="M171" s="432"/>
      <x:c r="N171" s="432"/>
      <x:c r="O171" s="432"/>
      <x:c r="P171" s="432"/>
      <x:c r="Q171" s="432"/>
    </x:row>
    <x:row r="172" ht="25" customHeight="1">
      <x:c r="A172" s="432"/>
      <x:c r="B172" s="432" t="str">
        <x:f>IF(CHOOSE($M$42,'Clients'!A130,'Clients'!A130,'Viewings'!A130,'Deals'!A130,'Deals'!A130,'Deals'!A130,'Follow-ups'!A130,'Payments'!A130,'Expenses'!A130)="","",CHOOSE($M$42,'Clients'!A130,'Clients'!A130,'Viewings'!A130,'Deals'!A130,'Deals'!A130,'Deals'!A130,'Follow-ups'!A130,'Payments'!A130,'Expenses'!A130))</x:f>
      </x:c>
      <x:c r="C172" s="472" t="str">
        <x:f>IF(B172="","",IF(CHOOSE($M$42,'Clients'!R130,'Clients'!Q130,'Viewings'!D130,'Deals'!X130,'Deals'!Y130,'Deals'!Z130,'Follow-ups'!H130,'Payments'!C130,'Expenses'!B130)="","",CHOOSE($M$42,'Clients'!R130,'Clients'!Q130,'Viewings'!D130,'Deals'!X130,'Deals'!Y130,'Deals'!Z130,'Follow-ups'!H130,'Payments'!C130,'Expenses'!B130)))</x:f>
      </x:c>
      <x:c r="D172" s="432" t="str">
        <x:f>IF(B172="","",IF(ISNUMBER(CHOOSE($M$42,'Clients'!B130,'Clients'!B130,'Viewings'!H130,IF('Deals'!B130="","",IF(COUNTIFS('Clients'!$A$6:$A$205,'Deals'!B130)&lt;&gt;1,"Check Client ID",INDEX('Clients'!$B$6:$B$205,MATCH('Deals'!B130,'Clients'!$A$6:$A$205,0)))),IF('Deals'!B130="","",IF(COUNTIFS('Clients'!$A$6:$A$205,'Deals'!B130)&lt;&gt;1,"Check Client ID",INDEX('Clients'!$B$6:$B$205,MATCH('Deals'!B130,'Clients'!$A$6:$A$205,0)))),IF('Deals'!B130="","",IF(COUNTIFS('Clients'!$A$6:$A$205,'Deals'!B130)&lt;&gt;1,"Check Client ID",INDEX('Clients'!$B$6:$B$205,MATCH('Deals'!B130,'Clients'!$A$6:$A$205,0)))),'Follow-ups'!K130,'Payments'!B130,'Expenses'!D130)),CHOOSE($M$42,'Clients'!B130,'Clients'!B130,'Viewings'!H130,IF('Deals'!B130="","",IF(COUNTIFS('Clients'!$A$6:$A$205,'Deals'!B130)&lt;&gt;1,"Check Client ID",INDEX('Clients'!$B$6:$B$205,MATCH('Deals'!B130,'Clients'!$A$6:$A$205,0)))),IF('Deals'!B130="","",IF(COUNTIFS('Clients'!$A$6:$A$205,'Deals'!B130)&lt;&gt;1,"Check Client ID",INDEX('Clients'!$B$6:$B$205,MATCH('Deals'!B130,'Clients'!$A$6:$A$205,0)))),IF('Deals'!B130="","",IF(COUNTIFS('Clients'!$A$6:$A$205,'Deals'!B130)&lt;&gt;1,"Check Client ID",INDEX('Clients'!$B$6:$B$205,MATCH('Deals'!B130,'Clients'!$A$6:$A$205,0)))),'Follow-ups'!K130,'Payments'!B130,'Expenses'!D130),IF(CHOOSE($M$42,'Clients'!B130,'Clients'!B130,'Viewings'!H130,IF('Deals'!B130="","",IF(COUNTIFS('Clients'!$A$6:$A$205,'Deals'!B130)&lt;&gt;1,"Check Client ID",INDEX('Clients'!$B$6:$B$205,MATCH('Deals'!B130,'Clients'!$A$6:$A$205,0)))),IF('Deals'!B130="","",IF(COUNTIFS('Clients'!$A$6:$A$205,'Deals'!B130)&lt;&gt;1,"Check Client ID",INDEX('Clients'!$B$6:$B$205,MATCH('Deals'!B130,'Clients'!$A$6:$A$205,0)))),IF('Deals'!B130="","",IF(COUNTIFS('Clients'!$A$6:$A$205,'Deals'!B130)&lt;&gt;1,"Check Client ID",INDEX('Clients'!$B$6:$B$205,MATCH('Deals'!B130,'Clients'!$A$6:$A$205,0)))),'Follow-ups'!K130,'Payments'!B130,'Expenses'!D130)="","",CHOOSE($M$42,'Clients'!B130,'Clients'!B130,'Viewings'!H130,IF('Deals'!B130="","",IF(COUNTIFS('Clients'!$A$6:$A$205,'Deals'!B130)&lt;&gt;1,"Check Client ID",INDEX('Clients'!$B$6:$B$205,MATCH('Deals'!B130,'Clients'!$A$6:$A$205,0)))),IF('Deals'!B130="","",IF(COUNTIFS('Clients'!$A$6:$A$205,'Deals'!B130)&lt;&gt;1,"Check Client ID",INDEX('Clients'!$B$6:$B$205,MATCH('Deals'!B130,'Clients'!$A$6:$A$205,0)))),IF('Deals'!B130="","",IF(COUNTIFS('Clients'!$A$6:$A$205,'Deals'!B130)&lt;&gt;1,"Check Client ID",INDEX('Clients'!$B$6:$B$205,MATCH('Deals'!B130,'Clients'!$A$6:$A$205,0)))),'Follow-ups'!K130,'Payments'!B130,'Expenses'!D130))))</x:f>
      </x:c>
      <x:c r="E172" s="432" t="str">
        <x:f>IF(B172="","",IF(ISNUMBER(CHOOSE($M$42,'Clients'!K130,'Clients'!K130,'Viewings'!I130,'Deals'!C130,'Deals'!C130,'Deals'!C130,'Follow-ups'!L130,'Payments'!G130,'Expenses'!F130)),CHOOSE($M$42,'Clients'!K130,'Clients'!K130,'Viewings'!I130,'Deals'!C130,'Deals'!C130,'Deals'!C130,'Follow-ups'!L130,'Payments'!G130,'Expenses'!F130),IF(CHOOSE($M$42,'Clients'!K130,'Clients'!K130,'Viewings'!I130,'Deals'!C130,'Deals'!C130,'Deals'!C130,'Follow-ups'!L130,'Payments'!G130,'Expenses'!F130)="","",CHOOSE($M$42,'Clients'!K130,'Clients'!K130,'Viewings'!I130,'Deals'!C130,'Deals'!C130,'Deals'!C130,'Follow-ups'!L130,'Payments'!G130,'Expenses'!F130))))</x:f>
      </x:c>
      <x:c r="F172" s="432" t="str">
        <x:f>IF(B172="","",IF(ISNUMBER(CHOOSE($M$42,'Clients'!H130,'Clients'!H130,'Viewings'!E130,'Deals'!E130,'Deals'!E130,'Deals'!E130,'Follow-ups'!I130,"Receipt",'Expenses'!C130)),CHOOSE($M$42,'Clients'!H130,'Clients'!H130,'Viewings'!E130,'Deals'!E130,'Deals'!E130,'Deals'!E130,'Follow-ups'!I130,"Receipt",'Expenses'!C130),IF(CHOOSE($M$42,'Clients'!H130,'Clients'!H130,'Viewings'!E130,'Deals'!E130,'Deals'!E130,'Deals'!E130,'Follow-ups'!I130,"Receipt",'Expenses'!C130)="","",CHOOSE($M$42,'Clients'!H130,'Clients'!H130,'Viewings'!E130,'Deals'!E130,'Deals'!E130,'Deals'!E130,'Follow-ups'!I130,"Receipt",'Expenses'!C130))))</x:f>
      </x:c>
      <x:c r="G172" s="473" t="str">
        <x:f>IF(B172="","",IF(ISNUMBER(CHOOSE($M$42,"","","",'Deals'!F130,'Deals'!F130,'Deals'!F130,"",'Payments'!D130,'Expenses'!G130)),CHOOSE($M$42,"","","",'Deals'!F130,'Deals'!F130,'Deals'!F130,"",'Payments'!D130,'Expenses'!G130),IF(CHOOSE($M$42,"","","",'Deals'!F130,'Deals'!F130,'Deals'!F130,"",'Payments'!D130,'Expenses'!G130)="","",CHOOSE($M$42,"","","",'Deals'!F130,'Deals'!F130,'Deals'!F130,"",'Payments'!D130,'Expenses'!G130))))</x:f>
      </x:c>
      <x:c r="H172" s="432" t="n">
        <x:f>IF(AND($M$43=1,B172&lt;&gt;"",ISNUMBER(C172),C172&gt;=$G$6,C172&lt;$K$6+1),1,0)</x:f>
        <x:v>0</x:v>
      </x:c>
      <x:c r="I172" s="432" t="str">
        <x:f>IF(H172=0,"",COUNTIFS($H$48:$H$247,1,$C$48:$C$247,"&lt;"&amp;C172)+COUNTIFS($H$48:H172,1,$C$48:C172,C172))</x:f>
      </x:c>
      <x:c r="J172" s="432"/>
      <x:c r="K172" s="432"/>
      <x:c r="L172" s="432"/>
      <x:c r="M172" s="432"/>
      <x:c r="N172" s="432"/>
      <x:c r="O172" s="432"/>
      <x:c r="P172" s="432"/>
      <x:c r="Q172" s="432"/>
    </x:row>
    <x:row r="173" ht="25" customHeight="1">
      <x:c r="A173" s="432"/>
      <x:c r="B173" s="432" t="str">
        <x:f>IF(CHOOSE($M$42,'Clients'!A131,'Clients'!A131,'Viewings'!A131,'Deals'!A131,'Deals'!A131,'Deals'!A131,'Follow-ups'!A131,'Payments'!A131,'Expenses'!A131)="","",CHOOSE($M$42,'Clients'!A131,'Clients'!A131,'Viewings'!A131,'Deals'!A131,'Deals'!A131,'Deals'!A131,'Follow-ups'!A131,'Payments'!A131,'Expenses'!A131))</x:f>
      </x:c>
      <x:c r="C173" s="472" t="str">
        <x:f>IF(B173="","",IF(CHOOSE($M$42,'Clients'!R131,'Clients'!Q131,'Viewings'!D131,'Deals'!X131,'Deals'!Y131,'Deals'!Z131,'Follow-ups'!H131,'Payments'!C131,'Expenses'!B131)="","",CHOOSE($M$42,'Clients'!R131,'Clients'!Q131,'Viewings'!D131,'Deals'!X131,'Deals'!Y131,'Deals'!Z131,'Follow-ups'!H131,'Payments'!C131,'Expenses'!B131)))</x:f>
      </x:c>
      <x:c r="D173" s="432" t="str">
        <x:f>IF(B173="","",IF(ISNUMBER(CHOOSE($M$42,'Clients'!B131,'Clients'!B131,'Viewings'!H131,IF('Deals'!B131="","",IF(COUNTIFS('Clients'!$A$6:$A$205,'Deals'!B131)&lt;&gt;1,"Check Client ID",INDEX('Clients'!$B$6:$B$205,MATCH('Deals'!B131,'Clients'!$A$6:$A$205,0)))),IF('Deals'!B131="","",IF(COUNTIFS('Clients'!$A$6:$A$205,'Deals'!B131)&lt;&gt;1,"Check Client ID",INDEX('Clients'!$B$6:$B$205,MATCH('Deals'!B131,'Clients'!$A$6:$A$205,0)))),IF('Deals'!B131="","",IF(COUNTIFS('Clients'!$A$6:$A$205,'Deals'!B131)&lt;&gt;1,"Check Client ID",INDEX('Clients'!$B$6:$B$205,MATCH('Deals'!B131,'Clients'!$A$6:$A$205,0)))),'Follow-ups'!K131,'Payments'!B131,'Expenses'!D131)),CHOOSE($M$42,'Clients'!B131,'Clients'!B131,'Viewings'!H131,IF('Deals'!B131="","",IF(COUNTIFS('Clients'!$A$6:$A$205,'Deals'!B131)&lt;&gt;1,"Check Client ID",INDEX('Clients'!$B$6:$B$205,MATCH('Deals'!B131,'Clients'!$A$6:$A$205,0)))),IF('Deals'!B131="","",IF(COUNTIFS('Clients'!$A$6:$A$205,'Deals'!B131)&lt;&gt;1,"Check Client ID",INDEX('Clients'!$B$6:$B$205,MATCH('Deals'!B131,'Clients'!$A$6:$A$205,0)))),IF('Deals'!B131="","",IF(COUNTIFS('Clients'!$A$6:$A$205,'Deals'!B131)&lt;&gt;1,"Check Client ID",INDEX('Clients'!$B$6:$B$205,MATCH('Deals'!B131,'Clients'!$A$6:$A$205,0)))),'Follow-ups'!K131,'Payments'!B131,'Expenses'!D131),IF(CHOOSE($M$42,'Clients'!B131,'Clients'!B131,'Viewings'!H131,IF('Deals'!B131="","",IF(COUNTIFS('Clients'!$A$6:$A$205,'Deals'!B131)&lt;&gt;1,"Check Client ID",INDEX('Clients'!$B$6:$B$205,MATCH('Deals'!B131,'Clients'!$A$6:$A$205,0)))),IF('Deals'!B131="","",IF(COUNTIFS('Clients'!$A$6:$A$205,'Deals'!B131)&lt;&gt;1,"Check Client ID",INDEX('Clients'!$B$6:$B$205,MATCH('Deals'!B131,'Clients'!$A$6:$A$205,0)))),IF('Deals'!B131="","",IF(COUNTIFS('Clients'!$A$6:$A$205,'Deals'!B131)&lt;&gt;1,"Check Client ID",INDEX('Clients'!$B$6:$B$205,MATCH('Deals'!B131,'Clients'!$A$6:$A$205,0)))),'Follow-ups'!K131,'Payments'!B131,'Expenses'!D131)="","",CHOOSE($M$42,'Clients'!B131,'Clients'!B131,'Viewings'!H131,IF('Deals'!B131="","",IF(COUNTIFS('Clients'!$A$6:$A$205,'Deals'!B131)&lt;&gt;1,"Check Client ID",INDEX('Clients'!$B$6:$B$205,MATCH('Deals'!B131,'Clients'!$A$6:$A$205,0)))),IF('Deals'!B131="","",IF(COUNTIFS('Clients'!$A$6:$A$205,'Deals'!B131)&lt;&gt;1,"Check Client ID",INDEX('Clients'!$B$6:$B$205,MATCH('Deals'!B131,'Clients'!$A$6:$A$205,0)))),IF('Deals'!B131="","",IF(COUNTIFS('Clients'!$A$6:$A$205,'Deals'!B131)&lt;&gt;1,"Check Client ID",INDEX('Clients'!$B$6:$B$205,MATCH('Deals'!B131,'Clients'!$A$6:$A$205,0)))),'Follow-ups'!K131,'Payments'!B131,'Expenses'!D131))))</x:f>
      </x:c>
      <x:c r="E173" s="432" t="str">
        <x:f>IF(B173="","",IF(ISNUMBER(CHOOSE($M$42,'Clients'!K131,'Clients'!K131,'Viewings'!I131,'Deals'!C131,'Deals'!C131,'Deals'!C131,'Follow-ups'!L131,'Payments'!G131,'Expenses'!F131)),CHOOSE($M$42,'Clients'!K131,'Clients'!K131,'Viewings'!I131,'Deals'!C131,'Deals'!C131,'Deals'!C131,'Follow-ups'!L131,'Payments'!G131,'Expenses'!F131),IF(CHOOSE($M$42,'Clients'!K131,'Clients'!K131,'Viewings'!I131,'Deals'!C131,'Deals'!C131,'Deals'!C131,'Follow-ups'!L131,'Payments'!G131,'Expenses'!F131)="","",CHOOSE($M$42,'Clients'!K131,'Clients'!K131,'Viewings'!I131,'Deals'!C131,'Deals'!C131,'Deals'!C131,'Follow-ups'!L131,'Payments'!G131,'Expenses'!F131))))</x:f>
      </x:c>
      <x:c r="F173" s="432" t="str">
        <x:f>IF(B173="","",IF(ISNUMBER(CHOOSE($M$42,'Clients'!H131,'Clients'!H131,'Viewings'!E131,'Deals'!E131,'Deals'!E131,'Deals'!E131,'Follow-ups'!I131,"Receipt",'Expenses'!C131)),CHOOSE($M$42,'Clients'!H131,'Clients'!H131,'Viewings'!E131,'Deals'!E131,'Deals'!E131,'Deals'!E131,'Follow-ups'!I131,"Receipt",'Expenses'!C131),IF(CHOOSE($M$42,'Clients'!H131,'Clients'!H131,'Viewings'!E131,'Deals'!E131,'Deals'!E131,'Deals'!E131,'Follow-ups'!I131,"Receipt",'Expenses'!C131)="","",CHOOSE($M$42,'Clients'!H131,'Clients'!H131,'Viewings'!E131,'Deals'!E131,'Deals'!E131,'Deals'!E131,'Follow-ups'!I131,"Receipt",'Expenses'!C131))))</x:f>
      </x:c>
      <x:c r="G173" s="473" t="str">
        <x:f>IF(B173="","",IF(ISNUMBER(CHOOSE($M$42,"","","",'Deals'!F131,'Deals'!F131,'Deals'!F131,"",'Payments'!D131,'Expenses'!G131)),CHOOSE($M$42,"","","",'Deals'!F131,'Deals'!F131,'Deals'!F131,"",'Payments'!D131,'Expenses'!G131),IF(CHOOSE($M$42,"","","",'Deals'!F131,'Deals'!F131,'Deals'!F131,"",'Payments'!D131,'Expenses'!G131)="","",CHOOSE($M$42,"","","",'Deals'!F131,'Deals'!F131,'Deals'!F131,"",'Payments'!D131,'Expenses'!G131))))</x:f>
      </x:c>
      <x:c r="H173" s="432" t="n">
        <x:f>IF(AND($M$43=1,B173&lt;&gt;"",ISNUMBER(C173),C173&gt;=$G$6,C173&lt;$K$6+1),1,0)</x:f>
        <x:v>0</x:v>
      </x:c>
      <x:c r="I173" s="432" t="str">
        <x:f>IF(H173=0,"",COUNTIFS($H$48:$H$247,1,$C$48:$C$247,"&lt;"&amp;C173)+COUNTIFS($H$48:H173,1,$C$48:C173,C173))</x:f>
      </x:c>
      <x:c r="J173" s="432"/>
      <x:c r="K173" s="432"/>
      <x:c r="L173" s="432"/>
      <x:c r="M173" s="432"/>
      <x:c r="N173" s="432"/>
      <x:c r="O173" s="432"/>
      <x:c r="P173" s="432"/>
      <x:c r="Q173" s="432"/>
    </x:row>
    <x:row r="174" ht="25" customHeight="1">
      <x:c r="A174" s="432"/>
      <x:c r="B174" s="432" t="str">
        <x:f>IF(CHOOSE($M$42,'Clients'!A132,'Clients'!A132,'Viewings'!A132,'Deals'!A132,'Deals'!A132,'Deals'!A132,'Follow-ups'!A132,'Payments'!A132,'Expenses'!A132)="","",CHOOSE($M$42,'Clients'!A132,'Clients'!A132,'Viewings'!A132,'Deals'!A132,'Deals'!A132,'Deals'!A132,'Follow-ups'!A132,'Payments'!A132,'Expenses'!A132))</x:f>
      </x:c>
      <x:c r="C174" s="472" t="str">
        <x:f>IF(B174="","",IF(CHOOSE($M$42,'Clients'!R132,'Clients'!Q132,'Viewings'!D132,'Deals'!X132,'Deals'!Y132,'Deals'!Z132,'Follow-ups'!H132,'Payments'!C132,'Expenses'!B132)="","",CHOOSE($M$42,'Clients'!R132,'Clients'!Q132,'Viewings'!D132,'Deals'!X132,'Deals'!Y132,'Deals'!Z132,'Follow-ups'!H132,'Payments'!C132,'Expenses'!B132)))</x:f>
      </x:c>
      <x:c r="D174" s="432" t="str">
        <x:f>IF(B174="","",IF(ISNUMBER(CHOOSE($M$42,'Clients'!B132,'Clients'!B132,'Viewings'!H132,IF('Deals'!B132="","",IF(COUNTIFS('Clients'!$A$6:$A$205,'Deals'!B132)&lt;&gt;1,"Check Client ID",INDEX('Clients'!$B$6:$B$205,MATCH('Deals'!B132,'Clients'!$A$6:$A$205,0)))),IF('Deals'!B132="","",IF(COUNTIFS('Clients'!$A$6:$A$205,'Deals'!B132)&lt;&gt;1,"Check Client ID",INDEX('Clients'!$B$6:$B$205,MATCH('Deals'!B132,'Clients'!$A$6:$A$205,0)))),IF('Deals'!B132="","",IF(COUNTIFS('Clients'!$A$6:$A$205,'Deals'!B132)&lt;&gt;1,"Check Client ID",INDEX('Clients'!$B$6:$B$205,MATCH('Deals'!B132,'Clients'!$A$6:$A$205,0)))),'Follow-ups'!K132,'Payments'!B132,'Expenses'!D132)),CHOOSE($M$42,'Clients'!B132,'Clients'!B132,'Viewings'!H132,IF('Deals'!B132="","",IF(COUNTIFS('Clients'!$A$6:$A$205,'Deals'!B132)&lt;&gt;1,"Check Client ID",INDEX('Clients'!$B$6:$B$205,MATCH('Deals'!B132,'Clients'!$A$6:$A$205,0)))),IF('Deals'!B132="","",IF(COUNTIFS('Clients'!$A$6:$A$205,'Deals'!B132)&lt;&gt;1,"Check Client ID",INDEX('Clients'!$B$6:$B$205,MATCH('Deals'!B132,'Clients'!$A$6:$A$205,0)))),IF('Deals'!B132="","",IF(COUNTIFS('Clients'!$A$6:$A$205,'Deals'!B132)&lt;&gt;1,"Check Client ID",INDEX('Clients'!$B$6:$B$205,MATCH('Deals'!B132,'Clients'!$A$6:$A$205,0)))),'Follow-ups'!K132,'Payments'!B132,'Expenses'!D132),IF(CHOOSE($M$42,'Clients'!B132,'Clients'!B132,'Viewings'!H132,IF('Deals'!B132="","",IF(COUNTIFS('Clients'!$A$6:$A$205,'Deals'!B132)&lt;&gt;1,"Check Client ID",INDEX('Clients'!$B$6:$B$205,MATCH('Deals'!B132,'Clients'!$A$6:$A$205,0)))),IF('Deals'!B132="","",IF(COUNTIFS('Clients'!$A$6:$A$205,'Deals'!B132)&lt;&gt;1,"Check Client ID",INDEX('Clients'!$B$6:$B$205,MATCH('Deals'!B132,'Clients'!$A$6:$A$205,0)))),IF('Deals'!B132="","",IF(COUNTIFS('Clients'!$A$6:$A$205,'Deals'!B132)&lt;&gt;1,"Check Client ID",INDEX('Clients'!$B$6:$B$205,MATCH('Deals'!B132,'Clients'!$A$6:$A$205,0)))),'Follow-ups'!K132,'Payments'!B132,'Expenses'!D132)="","",CHOOSE($M$42,'Clients'!B132,'Clients'!B132,'Viewings'!H132,IF('Deals'!B132="","",IF(COUNTIFS('Clients'!$A$6:$A$205,'Deals'!B132)&lt;&gt;1,"Check Client ID",INDEX('Clients'!$B$6:$B$205,MATCH('Deals'!B132,'Clients'!$A$6:$A$205,0)))),IF('Deals'!B132="","",IF(COUNTIFS('Clients'!$A$6:$A$205,'Deals'!B132)&lt;&gt;1,"Check Client ID",INDEX('Clients'!$B$6:$B$205,MATCH('Deals'!B132,'Clients'!$A$6:$A$205,0)))),IF('Deals'!B132="","",IF(COUNTIFS('Clients'!$A$6:$A$205,'Deals'!B132)&lt;&gt;1,"Check Client ID",INDEX('Clients'!$B$6:$B$205,MATCH('Deals'!B132,'Clients'!$A$6:$A$205,0)))),'Follow-ups'!K132,'Payments'!B132,'Expenses'!D132))))</x:f>
      </x:c>
      <x:c r="E174" s="432" t="str">
        <x:f>IF(B174="","",IF(ISNUMBER(CHOOSE($M$42,'Clients'!K132,'Clients'!K132,'Viewings'!I132,'Deals'!C132,'Deals'!C132,'Deals'!C132,'Follow-ups'!L132,'Payments'!G132,'Expenses'!F132)),CHOOSE($M$42,'Clients'!K132,'Clients'!K132,'Viewings'!I132,'Deals'!C132,'Deals'!C132,'Deals'!C132,'Follow-ups'!L132,'Payments'!G132,'Expenses'!F132),IF(CHOOSE($M$42,'Clients'!K132,'Clients'!K132,'Viewings'!I132,'Deals'!C132,'Deals'!C132,'Deals'!C132,'Follow-ups'!L132,'Payments'!G132,'Expenses'!F132)="","",CHOOSE($M$42,'Clients'!K132,'Clients'!K132,'Viewings'!I132,'Deals'!C132,'Deals'!C132,'Deals'!C132,'Follow-ups'!L132,'Payments'!G132,'Expenses'!F132))))</x:f>
      </x:c>
      <x:c r="F174" s="432" t="str">
        <x:f>IF(B174="","",IF(ISNUMBER(CHOOSE($M$42,'Clients'!H132,'Clients'!H132,'Viewings'!E132,'Deals'!E132,'Deals'!E132,'Deals'!E132,'Follow-ups'!I132,"Receipt",'Expenses'!C132)),CHOOSE($M$42,'Clients'!H132,'Clients'!H132,'Viewings'!E132,'Deals'!E132,'Deals'!E132,'Deals'!E132,'Follow-ups'!I132,"Receipt",'Expenses'!C132),IF(CHOOSE($M$42,'Clients'!H132,'Clients'!H132,'Viewings'!E132,'Deals'!E132,'Deals'!E132,'Deals'!E132,'Follow-ups'!I132,"Receipt",'Expenses'!C132)="","",CHOOSE($M$42,'Clients'!H132,'Clients'!H132,'Viewings'!E132,'Deals'!E132,'Deals'!E132,'Deals'!E132,'Follow-ups'!I132,"Receipt",'Expenses'!C132))))</x:f>
      </x:c>
      <x:c r="G174" s="473" t="str">
        <x:f>IF(B174="","",IF(ISNUMBER(CHOOSE($M$42,"","","",'Deals'!F132,'Deals'!F132,'Deals'!F132,"",'Payments'!D132,'Expenses'!G132)),CHOOSE($M$42,"","","",'Deals'!F132,'Deals'!F132,'Deals'!F132,"",'Payments'!D132,'Expenses'!G132),IF(CHOOSE($M$42,"","","",'Deals'!F132,'Deals'!F132,'Deals'!F132,"",'Payments'!D132,'Expenses'!G132)="","",CHOOSE($M$42,"","","",'Deals'!F132,'Deals'!F132,'Deals'!F132,"",'Payments'!D132,'Expenses'!G132))))</x:f>
      </x:c>
      <x:c r="H174" s="432" t="n">
        <x:f>IF(AND($M$43=1,B174&lt;&gt;"",ISNUMBER(C174),C174&gt;=$G$6,C174&lt;$K$6+1),1,0)</x:f>
        <x:v>0</x:v>
      </x:c>
      <x:c r="I174" s="432" t="str">
        <x:f>IF(H174=0,"",COUNTIFS($H$48:$H$247,1,$C$48:$C$247,"&lt;"&amp;C174)+COUNTIFS($H$48:H174,1,$C$48:C174,C174))</x:f>
      </x:c>
      <x:c r="J174" s="432"/>
      <x:c r="K174" s="432"/>
      <x:c r="L174" s="432"/>
      <x:c r="M174" s="432"/>
      <x:c r="N174" s="432"/>
      <x:c r="O174" s="432"/>
      <x:c r="P174" s="432"/>
      <x:c r="Q174" s="432"/>
    </x:row>
    <x:row r="175" ht="25" customHeight="1">
      <x:c r="A175" s="432"/>
      <x:c r="B175" s="432" t="str">
        <x:f>IF(CHOOSE($M$42,'Clients'!A133,'Clients'!A133,'Viewings'!A133,'Deals'!A133,'Deals'!A133,'Deals'!A133,'Follow-ups'!A133,'Payments'!A133,'Expenses'!A133)="","",CHOOSE($M$42,'Clients'!A133,'Clients'!A133,'Viewings'!A133,'Deals'!A133,'Deals'!A133,'Deals'!A133,'Follow-ups'!A133,'Payments'!A133,'Expenses'!A133))</x:f>
      </x:c>
      <x:c r="C175" s="472" t="str">
        <x:f>IF(B175="","",IF(CHOOSE($M$42,'Clients'!R133,'Clients'!Q133,'Viewings'!D133,'Deals'!X133,'Deals'!Y133,'Deals'!Z133,'Follow-ups'!H133,'Payments'!C133,'Expenses'!B133)="","",CHOOSE($M$42,'Clients'!R133,'Clients'!Q133,'Viewings'!D133,'Deals'!X133,'Deals'!Y133,'Deals'!Z133,'Follow-ups'!H133,'Payments'!C133,'Expenses'!B133)))</x:f>
      </x:c>
      <x:c r="D175" s="432" t="str">
        <x:f>IF(B175="","",IF(ISNUMBER(CHOOSE($M$42,'Clients'!B133,'Clients'!B133,'Viewings'!H133,IF('Deals'!B133="","",IF(COUNTIFS('Clients'!$A$6:$A$205,'Deals'!B133)&lt;&gt;1,"Check Client ID",INDEX('Clients'!$B$6:$B$205,MATCH('Deals'!B133,'Clients'!$A$6:$A$205,0)))),IF('Deals'!B133="","",IF(COUNTIFS('Clients'!$A$6:$A$205,'Deals'!B133)&lt;&gt;1,"Check Client ID",INDEX('Clients'!$B$6:$B$205,MATCH('Deals'!B133,'Clients'!$A$6:$A$205,0)))),IF('Deals'!B133="","",IF(COUNTIFS('Clients'!$A$6:$A$205,'Deals'!B133)&lt;&gt;1,"Check Client ID",INDEX('Clients'!$B$6:$B$205,MATCH('Deals'!B133,'Clients'!$A$6:$A$205,0)))),'Follow-ups'!K133,'Payments'!B133,'Expenses'!D133)),CHOOSE($M$42,'Clients'!B133,'Clients'!B133,'Viewings'!H133,IF('Deals'!B133="","",IF(COUNTIFS('Clients'!$A$6:$A$205,'Deals'!B133)&lt;&gt;1,"Check Client ID",INDEX('Clients'!$B$6:$B$205,MATCH('Deals'!B133,'Clients'!$A$6:$A$205,0)))),IF('Deals'!B133="","",IF(COUNTIFS('Clients'!$A$6:$A$205,'Deals'!B133)&lt;&gt;1,"Check Client ID",INDEX('Clients'!$B$6:$B$205,MATCH('Deals'!B133,'Clients'!$A$6:$A$205,0)))),IF('Deals'!B133="","",IF(COUNTIFS('Clients'!$A$6:$A$205,'Deals'!B133)&lt;&gt;1,"Check Client ID",INDEX('Clients'!$B$6:$B$205,MATCH('Deals'!B133,'Clients'!$A$6:$A$205,0)))),'Follow-ups'!K133,'Payments'!B133,'Expenses'!D133),IF(CHOOSE($M$42,'Clients'!B133,'Clients'!B133,'Viewings'!H133,IF('Deals'!B133="","",IF(COUNTIFS('Clients'!$A$6:$A$205,'Deals'!B133)&lt;&gt;1,"Check Client ID",INDEX('Clients'!$B$6:$B$205,MATCH('Deals'!B133,'Clients'!$A$6:$A$205,0)))),IF('Deals'!B133="","",IF(COUNTIFS('Clients'!$A$6:$A$205,'Deals'!B133)&lt;&gt;1,"Check Client ID",INDEX('Clients'!$B$6:$B$205,MATCH('Deals'!B133,'Clients'!$A$6:$A$205,0)))),IF('Deals'!B133="","",IF(COUNTIFS('Clients'!$A$6:$A$205,'Deals'!B133)&lt;&gt;1,"Check Client ID",INDEX('Clients'!$B$6:$B$205,MATCH('Deals'!B133,'Clients'!$A$6:$A$205,0)))),'Follow-ups'!K133,'Payments'!B133,'Expenses'!D133)="","",CHOOSE($M$42,'Clients'!B133,'Clients'!B133,'Viewings'!H133,IF('Deals'!B133="","",IF(COUNTIFS('Clients'!$A$6:$A$205,'Deals'!B133)&lt;&gt;1,"Check Client ID",INDEX('Clients'!$B$6:$B$205,MATCH('Deals'!B133,'Clients'!$A$6:$A$205,0)))),IF('Deals'!B133="","",IF(COUNTIFS('Clients'!$A$6:$A$205,'Deals'!B133)&lt;&gt;1,"Check Client ID",INDEX('Clients'!$B$6:$B$205,MATCH('Deals'!B133,'Clients'!$A$6:$A$205,0)))),IF('Deals'!B133="","",IF(COUNTIFS('Clients'!$A$6:$A$205,'Deals'!B133)&lt;&gt;1,"Check Client ID",INDEX('Clients'!$B$6:$B$205,MATCH('Deals'!B133,'Clients'!$A$6:$A$205,0)))),'Follow-ups'!K133,'Payments'!B133,'Expenses'!D133))))</x:f>
      </x:c>
      <x:c r="E175" s="432" t="str">
        <x:f>IF(B175="","",IF(ISNUMBER(CHOOSE($M$42,'Clients'!K133,'Clients'!K133,'Viewings'!I133,'Deals'!C133,'Deals'!C133,'Deals'!C133,'Follow-ups'!L133,'Payments'!G133,'Expenses'!F133)),CHOOSE($M$42,'Clients'!K133,'Clients'!K133,'Viewings'!I133,'Deals'!C133,'Deals'!C133,'Deals'!C133,'Follow-ups'!L133,'Payments'!G133,'Expenses'!F133),IF(CHOOSE($M$42,'Clients'!K133,'Clients'!K133,'Viewings'!I133,'Deals'!C133,'Deals'!C133,'Deals'!C133,'Follow-ups'!L133,'Payments'!G133,'Expenses'!F133)="","",CHOOSE($M$42,'Clients'!K133,'Clients'!K133,'Viewings'!I133,'Deals'!C133,'Deals'!C133,'Deals'!C133,'Follow-ups'!L133,'Payments'!G133,'Expenses'!F133))))</x:f>
      </x:c>
      <x:c r="F175" s="432" t="str">
        <x:f>IF(B175="","",IF(ISNUMBER(CHOOSE($M$42,'Clients'!H133,'Clients'!H133,'Viewings'!E133,'Deals'!E133,'Deals'!E133,'Deals'!E133,'Follow-ups'!I133,"Receipt",'Expenses'!C133)),CHOOSE($M$42,'Clients'!H133,'Clients'!H133,'Viewings'!E133,'Deals'!E133,'Deals'!E133,'Deals'!E133,'Follow-ups'!I133,"Receipt",'Expenses'!C133),IF(CHOOSE($M$42,'Clients'!H133,'Clients'!H133,'Viewings'!E133,'Deals'!E133,'Deals'!E133,'Deals'!E133,'Follow-ups'!I133,"Receipt",'Expenses'!C133)="","",CHOOSE($M$42,'Clients'!H133,'Clients'!H133,'Viewings'!E133,'Deals'!E133,'Deals'!E133,'Deals'!E133,'Follow-ups'!I133,"Receipt",'Expenses'!C133))))</x:f>
      </x:c>
      <x:c r="G175" s="473" t="str">
        <x:f>IF(B175="","",IF(ISNUMBER(CHOOSE($M$42,"","","",'Deals'!F133,'Deals'!F133,'Deals'!F133,"",'Payments'!D133,'Expenses'!G133)),CHOOSE($M$42,"","","",'Deals'!F133,'Deals'!F133,'Deals'!F133,"",'Payments'!D133,'Expenses'!G133),IF(CHOOSE($M$42,"","","",'Deals'!F133,'Deals'!F133,'Deals'!F133,"",'Payments'!D133,'Expenses'!G133)="","",CHOOSE($M$42,"","","",'Deals'!F133,'Deals'!F133,'Deals'!F133,"",'Payments'!D133,'Expenses'!G133))))</x:f>
      </x:c>
      <x:c r="H175" s="432" t="n">
        <x:f>IF(AND($M$43=1,B175&lt;&gt;"",ISNUMBER(C175),C175&gt;=$G$6,C175&lt;$K$6+1),1,0)</x:f>
        <x:v>0</x:v>
      </x:c>
      <x:c r="I175" s="432" t="str">
        <x:f>IF(H175=0,"",COUNTIFS($H$48:$H$247,1,$C$48:$C$247,"&lt;"&amp;C175)+COUNTIFS($H$48:H175,1,$C$48:C175,C175))</x:f>
      </x:c>
      <x:c r="J175" s="432"/>
      <x:c r="K175" s="432"/>
      <x:c r="L175" s="432"/>
      <x:c r="M175" s="432"/>
      <x:c r="N175" s="432"/>
      <x:c r="O175" s="432"/>
      <x:c r="P175" s="432"/>
      <x:c r="Q175" s="432"/>
    </x:row>
    <x:row r="176" ht="25" customHeight="1">
      <x:c r="A176" s="432"/>
      <x:c r="B176" s="432" t="str">
        <x:f>IF(CHOOSE($M$42,'Clients'!A134,'Clients'!A134,'Viewings'!A134,'Deals'!A134,'Deals'!A134,'Deals'!A134,'Follow-ups'!A134,'Payments'!A134,'Expenses'!A134)="","",CHOOSE($M$42,'Clients'!A134,'Clients'!A134,'Viewings'!A134,'Deals'!A134,'Deals'!A134,'Deals'!A134,'Follow-ups'!A134,'Payments'!A134,'Expenses'!A134))</x:f>
      </x:c>
      <x:c r="C176" s="472" t="str">
        <x:f>IF(B176="","",IF(CHOOSE($M$42,'Clients'!R134,'Clients'!Q134,'Viewings'!D134,'Deals'!X134,'Deals'!Y134,'Deals'!Z134,'Follow-ups'!H134,'Payments'!C134,'Expenses'!B134)="","",CHOOSE($M$42,'Clients'!R134,'Clients'!Q134,'Viewings'!D134,'Deals'!X134,'Deals'!Y134,'Deals'!Z134,'Follow-ups'!H134,'Payments'!C134,'Expenses'!B134)))</x:f>
      </x:c>
      <x:c r="D176" s="432" t="str">
        <x:f>IF(B176="","",IF(ISNUMBER(CHOOSE($M$42,'Clients'!B134,'Clients'!B134,'Viewings'!H134,IF('Deals'!B134="","",IF(COUNTIFS('Clients'!$A$6:$A$205,'Deals'!B134)&lt;&gt;1,"Check Client ID",INDEX('Clients'!$B$6:$B$205,MATCH('Deals'!B134,'Clients'!$A$6:$A$205,0)))),IF('Deals'!B134="","",IF(COUNTIFS('Clients'!$A$6:$A$205,'Deals'!B134)&lt;&gt;1,"Check Client ID",INDEX('Clients'!$B$6:$B$205,MATCH('Deals'!B134,'Clients'!$A$6:$A$205,0)))),IF('Deals'!B134="","",IF(COUNTIFS('Clients'!$A$6:$A$205,'Deals'!B134)&lt;&gt;1,"Check Client ID",INDEX('Clients'!$B$6:$B$205,MATCH('Deals'!B134,'Clients'!$A$6:$A$205,0)))),'Follow-ups'!K134,'Payments'!B134,'Expenses'!D134)),CHOOSE($M$42,'Clients'!B134,'Clients'!B134,'Viewings'!H134,IF('Deals'!B134="","",IF(COUNTIFS('Clients'!$A$6:$A$205,'Deals'!B134)&lt;&gt;1,"Check Client ID",INDEX('Clients'!$B$6:$B$205,MATCH('Deals'!B134,'Clients'!$A$6:$A$205,0)))),IF('Deals'!B134="","",IF(COUNTIFS('Clients'!$A$6:$A$205,'Deals'!B134)&lt;&gt;1,"Check Client ID",INDEX('Clients'!$B$6:$B$205,MATCH('Deals'!B134,'Clients'!$A$6:$A$205,0)))),IF('Deals'!B134="","",IF(COUNTIFS('Clients'!$A$6:$A$205,'Deals'!B134)&lt;&gt;1,"Check Client ID",INDEX('Clients'!$B$6:$B$205,MATCH('Deals'!B134,'Clients'!$A$6:$A$205,0)))),'Follow-ups'!K134,'Payments'!B134,'Expenses'!D134),IF(CHOOSE($M$42,'Clients'!B134,'Clients'!B134,'Viewings'!H134,IF('Deals'!B134="","",IF(COUNTIFS('Clients'!$A$6:$A$205,'Deals'!B134)&lt;&gt;1,"Check Client ID",INDEX('Clients'!$B$6:$B$205,MATCH('Deals'!B134,'Clients'!$A$6:$A$205,0)))),IF('Deals'!B134="","",IF(COUNTIFS('Clients'!$A$6:$A$205,'Deals'!B134)&lt;&gt;1,"Check Client ID",INDEX('Clients'!$B$6:$B$205,MATCH('Deals'!B134,'Clients'!$A$6:$A$205,0)))),IF('Deals'!B134="","",IF(COUNTIFS('Clients'!$A$6:$A$205,'Deals'!B134)&lt;&gt;1,"Check Client ID",INDEX('Clients'!$B$6:$B$205,MATCH('Deals'!B134,'Clients'!$A$6:$A$205,0)))),'Follow-ups'!K134,'Payments'!B134,'Expenses'!D134)="","",CHOOSE($M$42,'Clients'!B134,'Clients'!B134,'Viewings'!H134,IF('Deals'!B134="","",IF(COUNTIFS('Clients'!$A$6:$A$205,'Deals'!B134)&lt;&gt;1,"Check Client ID",INDEX('Clients'!$B$6:$B$205,MATCH('Deals'!B134,'Clients'!$A$6:$A$205,0)))),IF('Deals'!B134="","",IF(COUNTIFS('Clients'!$A$6:$A$205,'Deals'!B134)&lt;&gt;1,"Check Client ID",INDEX('Clients'!$B$6:$B$205,MATCH('Deals'!B134,'Clients'!$A$6:$A$205,0)))),IF('Deals'!B134="","",IF(COUNTIFS('Clients'!$A$6:$A$205,'Deals'!B134)&lt;&gt;1,"Check Client ID",INDEX('Clients'!$B$6:$B$205,MATCH('Deals'!B134,'Clients'!$A$6:$A$205,0)))),'Follow-ups'!K134,'Payments'!B134,'Expenses'!D134))))</x:f>
      </x:c>
      <x:c r="E176" s="432" t="str">
        <x:f>IF(B176="","",IF(ISNUMBER(CHOOSE($M$42,'Clients'!K134,'Clients'!K134,'Viewings'!I134,'Deals'!C134,'Deals'!C134,'Deals'!C134,'Follow-ups'!L134,'Payments'!G134,'Expenses'!F134)),CHOOSE($M$42,'Clients'!K134,'Clients'!K134,'Viewings'!I134,'Deals'!C134,'Deals'!C134,'Deals'!C134,'Follow-ups'!L134,'Payments'!G134,'Expenses'!F134),IF(CHOOSE($M$42,'Clients'!K134,'Clients'!K134,'Viewings'!I134,'Deals'!C134,'Deals'!C134,'Deals'!C134,'Follow-ups'!L134,'Payments'!G134,'Expenses'!F134)="","",CHOOSE($M$42,'Clients'!K134,'Clients'!K134,'Viewings'!I134,'Deals'!C134,'Deals'!C134,'Deals'!C134,'Follow-ups'!L134,'Payments'!G134,'Expenses'!F134))))</x:f>
      </x:c>
      <x:c r="F176" s="432" t="str">
        <x:f>IF(B176="","",IF(ISNUMBER(CHOOSE($M$42,'Clients'!H134,'Clients'!H134,'Viewings'!E134,'Deals'!E134,'Deals'!E134,'Deals'!E134,'Follow-ups'!I134,"Receipt",'Expenses'!C134)),CHOOSE($M$42,'Clients'!H134,'Clients'!H134,'Viewings'!E134,'Deals'!E134,'Deals'!E134,'Deals'!E134,'Follow-ups'!I134,"Receipt",'Expenses'!C134),IF(CHOOSE($M$42,'Clients'!H134,'Clients'!H134,'Viewings'!E134,'Deals'!E134,'Deals'!E134,'Deals'!E134,'Follow-ups'!I134,"Receipt",'Expenses'!C134)="","",CHOOSE($M$42,'Clients'!H134,'Clients'!H134,'Viewings'!E134,'Deals'!E134,'Deals'!E134,'Deals'!E134,'Follow-ups'!I134,"Receipt",'Expenses'!C134))))</x:f>
      </x:c>
      <x:c r="G176" s="473" t="str">
        <x:f>IF(B176="","",IF(ISNUMBER(CHOOSE($M$42,"","","",'Deals'!F134,'Deals'!F134,'Deals'!F134,"",'Payments'!D134,'Expenses'!G134)),CHOOSE($M$42,"","","",'Deals'!F134,'Deals'!F134,'Deals'!F134,"",'Payments'!D134,'Expenses'!G134),IF(CHOOSE($M$42,"","","",'Deals'!F134,'Deals'!F134,'Deals'!F134,"",'Payments'!D134,'Expenses'!G134)="","",CHOOSE($M$42,"","","",'Deals'!F134,'Deals'!F134,'Deals'!F134,"",'Payments'!D134,'Expenses'!G134))))</x:f>
      </x:c>
      <x:c r="H176" s="432" t="n">
        <x:f>IF(AND($M$43=1,B176&lt;&gt;"",ISNUMBER(C176),C176&gt;=$G$6,C176&lt;$K$6+1),1,0)</x:f>
        <x:v>0</x:v>
      </x:c>
      <x:c r="I176" s="432" t="str">
        <x:f>IF(H176=0,"",COUNTIFS($H$48:$H$247,1,$C$48:$C$247,"&lt;"&amp;C176)+COUNTIFS($H$48:H176,1,$C$48:C176,C176))</x:f>
      </x:c>
      <x:c r="J176" s="432"/>
      <x:c r="K176" s="432"/>
      <x:c r="L176" s="432"/>
      <x:c r="M176" s="432"/>
      <x:c r="N176" s="432"/>
      <x:c r="O176" s="432"/>
      <x:c r="P176" s="432"/>
      <x:c r="Q176" s="432"/>
    </x:row>
    <x:row r="177" ht="25" customHeight="1">
      <x:c r="A177" s="432"/>
      <x:c r="B177" s="432" t="str">
        <x:f>IF(CHOOSE($M$42,'Clients'!A135,'Clients'!A135,'Viewings'!A135,'Deals'!A135,'Deals'!A135,'Deals'!A135,'Follow-ups'!A135,'Payments'!A135,'Expenses'!A135)="","",CHOOSE($M$42,'Clients'!A135,'Clients'!A135,'Viewings'!A135,'Deals'!A135,'Deals'!A135,'Deals'!A135,'Follow-ups'!A135,'Payments'!A135,'Expenses'!A135))</x:f>
      </x:c>
      <x:c r="C177" s="472" t="str">
        <x:f>IF(B177="","",IF(CHOOSE($M$42,'Clients'!R135,'Clients'!Q135,'Viewings'!D135,'Deals'!X135,'Deals'!Y135,'Deals'!Z135,'Follow-ups'!H135,'Payments'!C135,'Expenses'!B135)="","",CHOOSE($M$42,'Clients'!R135,'Clients'!Q135,'Viewings'!D135,'Deals'!X135,'Deals'!Y135,'Deals'!Z135,'Follow-ups'!H135,'Payments'!C135,'Expenses'!B135)))</x:f>
      </x:c>
      <x:c r="D177" s="432" t="str">
        <x:f>IF(B177="","",IF(ISNUMBER(CHOOSE($M$42,'Clients'!B135,'Clients'!B135,'Viewings'!H135,IF('Deals'!B135="","",IF(COUNTIFS('Clients'!$A$6:$A$205,'Deals'!B135)&lt;&gt;1,"Check Client ID",INDEX('Clients'!$B$6:$B$205,MATCH('Deals'!B135,'Clients'!$A$6:$A$205,0)))),IF('Deals'!B135="","",IF(COUNTIFS('Clients'!$A$6:$A$205,'Deals'!B135)&lt;&gt;1,"Check Client ID",INDEX('Clients'!$B$6:$B$205,MATCH('Deals'!B135,'Clients'!$A$6:$A$205,0)))),IF('Deals'!B135="","",IF(COUNTIFS('Clients'!$A$6:$A$205,'Deals'!B135)&lt;&gt;1,"Check Client ID",INDEX('Clients'!$B$6:$B$205,MATCH('Deals'!B135,'Clients'!$A$6:$A$205,0)))),'Follow-ups'!K135,'Payments'!B135,'Expenses'!D135)),CHOOSE($M$42,'Clients'!B135,'Clients'!B135,'Viewings'!H135,IF('Deals'!B135="","",IF(COUNTIFS('Clients'!$A$6:$A$205,'Deals'!B135)&lt;&gt;1,"Check Client ID",INDEX('Clients'!$B$6:$B$205,MATCH('Deals'!B135,'Clients'!$A$6:$A$205,0)))),IF('Deals'!B135="","",IF(COUNTIFS('Clients'!$A$6:$A$205,'Deals'!B135)&lt;&gt;1,"Check Client ID",INDEX('Clients'!$B$6:$B$205,MATCH('Deals'!B135,'Clients'!$A$6:$A$205,0)))),IF('Deals'!B135="","",IF(COUNTIFS('Clients'!$A$6:$A$205,'Deals'!B135)&lt;&gt;1,"Check Client ID",INDEX('Clients'!$B$6:$B$205,MATCH('Deals'!B135,'Clients'!$A$6:$A$205,0)))),'Follow-ups'!K135,'Payments'!B135,'Expenses'!D135),IF(CHOOSE($M$42,'Clients'!B135,'Clients'!B135,'Viewings'!H135,IF('Deals'!B135="","",IF(COUNTIFS('Clients'!$A$6:$A$205,'Deals'!B135)&lt;&gt;1,"Check Client ID",INDEX('Clients'!$B$6:$B$205,MATCH('Deals'!B135,'Clients'!$A$6:$A$205,0)))),IF('Deals'!B135="","",IF(COUNTIFS('Clients'!$A$6:$A$205,'Deals'!B135)&lt;&gt;1,"Check Client ID",INDEX('Clients'!$B$6:$B$205,MATCH('Deals'!B135,'Clients'!$A$6:$A$205,0)))),IF('Deals'!B135="","",IF(COUNTIFS('Clients'!$A$6:$A$205,'Deals'!B135)&lt;&gt;1,"Check Client ID",INDEX('Clients'!$B$6:$B$205,MATCH('Deals'!B135,'Clients'!$A$6:$A$205,0)))),'Follow-ups'!K135,'Payments'!B135,'Expenses'!D135)="","",CHOOSE($M$42,'Clients'!B135,'Clients'!B135,'Viewings'!H135,IF('Deals'!B135="","",IF(COUNTIFS('Clients'!$A$6:$A$205,'Deals'!B135)&lt;&gt;1,"Check Client ID",INDEX('Clients'!$B$6:$B$205,MATCH('Deals'!B135,'Clients'!$A$6:$A$205,0)))),IF('Deals'!B135="","",IF(COUNTIFS('Clients'!$A$6:$A$205,'Deals'!B135)&lt;&gt;1,"Check Client ID",INDEX('Clients'!$B$6:$B$205,MATCH('Deals'!B135,'Clients'!$A$6:$A$205,0)))),IF('Deals'!B135="","",IF(COUNTIFS('Clients'!$A$6:$A$205,'Deals'!B135)&lt;&gt;1,"Check Client ID",INDEX('Clients'!$B$6:$B$205,MATCH('Deals'!B135,'Clients'!$A$6:$A$205,0)))),'Follow-ups'!K135,'Payments'!B135,'Expenses'!D135))))</x:f>
      </x:c>
      <x:c r="E177" s="432" t="str">
        <x:f>IF(B177="","",IF(ISNUMBER(CHOOSE($M$42,'Clients'!K135,'Clients'!K135,'Viewings'!I135,'Deals'!C135,'Deals'!C135,'Deals'!C135,'Follow-ups'!L135,'Payments'!G135,'Expenses'!F135)),CHOOSE($M$42,'Clients'!K135,'Clients'!K135,'Viewings'!I135,'Deals'!C135,'Deals'!C135,'Deals'!C135,'Follow-ups'!L135,'Payments'!G135,'Expenses'!F135),IF(CHOOSE($M$42,'Clients'!K135,'Clients'!K135,'Viewings'!I135,'Deals'!C135,'Deals'!C135,'Deals'!C135,'Follow-ups'!L135,'Payments'!G135,'Expenses'!F135)="","",CHOOSE($M$42,'Clients'!K135,'Clients'!K135,'Viewings'!I135,'Deals'!C135,'Deals'!C135,'Deals'!C135,'Follow-ups'!L135,'Payments'!G135,'Expenses'!F135))))</x:f>
      </x:c>
      <x:c r="F177" s="432" t="str">
        <x:f>IF(B177="","",IF(ISNUMBER(CHOOSE($M$42,'Clients'!H135,'Clients'!H135,'Viewings'!E135,'Deals'!E135,'Deals'!E135,'Deals'!E135,'Follow-ups'!I135,"Receipt",'Expenses'!C135)),CHOOSE($M$42,'Clients'!H135,'Clients'!H135,'Viewings'!E135,'Deals'!E135,'Deals'!E135,'Deals'!E135,'Follow-ups'!I135,"Receipt",'Expenses'!C135),IF(CHOOSE($M$42,'Clients'!H135,'Clients'!H135,'Viewings'!E135,'Deals'!E135,'Deals'!E135,'Deals'!E135,'Follow-ups'!I135,"Receipt",'Expenses'!C135)="","",CHOOSE($M$42,'Clients'!H135,'Clients'!H135,'Viewings'!E135,'Deals'!E135,'Deals'!E135,'Deals'!E135,'Follow-ups'!I135,"Receipt",'Expenses'!C135))))</x:f>
      </x:c>
      <x:c r="G177" s="473" t="str">
        <x:f>IF(B177="","",IF(ISNUMBER(CHOOSE($M$42,"","","",'Deals'!F135,'Deals'!F135,'Deals'!F135,"",'Payments'!D135,'Expenses'!G135)),CHOOSE($M$42,"","","",'Deals'!F135,'Deals'!F135,'Deals'!F135,"",'Payments'!D135,'Expenses'!G135),IF(CHOOSE($M$42,"","","",'Deals'!F135,'Deals'!F135,'Deals'!F135,"",'Payments'!D135,'Expenses'!G135)="","",CHOOSE($M$42,"","","",'Deals'!F135,'Deals'!F135,'Deals'!F135,"",'Payments'!D135,'Expenses'!G135))))</x:f>
      </x:c>
      <x:c r="H177" s="432" t="n">
        <x:f>IF(AND($M$43=1,B177&lt;&gt;"",ISNUMBER(C177),C177&gt;=$G$6,C177&lt;$K$6+1),1,0)</x:f>
        <x:v>0</x:v>
      </x:c>
      <x:c r="I177" s="432" t="str">
        <x:f>IF(H177=0,"",COUNTIFS($H$48:$H$247,1,$C$48:$C$247,"&lt;"&amp;C177)+COUNTIFS($H$48:H177,1,$C$48:C177,C177))</x:f>
      </x:c>
      <x:c r="J177" s="432"/>
      <x:c r="K177" s="432"/>
      <x:c r="L177" s="432"/>
      <x:c r="M177" s="432"/>
      <x:c r="N177" s="432"/>
      <x:c r="O177" s="432"/>
      <x:c r="P177" s="432"/>
      <x:c r="Q177" s="432"/>
    </x:row>
    <x:row r="178" ht="25" customHeight="1">
      <x:c r="A178" s="432"/>
      <x:c r="B178" s="432" t="str">
        <x:f>IF(CHOOSE($M$42,'Clients'!A136,'Clients'!A136,'Viewings'!A136,'Deals'!A136,'Deals'!A136,'Deals'!A136,'Follow-ups'!A136,'Payments'!A136,'Expenses'!A136)="","",CHOOSE($M$42,'Clients'!A136,'Clients'!A136,'Viewings'!A136,'Deals'!A136,'Deals'!A136,'Deals'!A136,'Follow-ups'!A136,'Payments'!A136,'Expenses'!A136))</x:f>
      </x:c>
      <x:c r="C178" s="472" t="str">
        <x:f>IF(B178="","",IF(CHOOSE($M$42,'Clients'!R136,'Clients'!Q136,'Viewings'!D136,'Deals'!X136,'Deals'!Y136,'Deals'!Z136,'Follow-ups'!H136,'Payments'!C136,'Expenses'!B136)="","",CHOOSE($M$42,'Clients'!R136,'Clients'!Q136,'Viewings'!D136,'Deals'!X136,'Deals'!Y136,'Deals'!Z136,'Follow-ups'!H136,'Payments'!C136,'Expenses'!B136)))</x:f>
      </x:c>
      <x:c r="D178" s="432" t="str">
        <x:f>IF(B178="","",IF(ISNUMBER(CHOOSE($M$42,'Clients'!B136,'Clients'!B136,'Viewings'!H136,IF('Deals'!B136="","",IF(COUNTIFS('Clients'!$A$6:$A$205,'Deals'!B136)&lt;&gt;1,"Check Client ID",INDEX('Clients'!$B$6:$B$205,MATCH('Deals'!B136,'Clients'!$A$6:$A$205,0)))),IF('Deals'!B136="","",IF(COUNTIFS('Clients'!$A$6:$A$205,'Deals'!B136)&lt;&gt;1,"Check Client ID",INDEX('Clients'!$B$6:$B$205,MATCH('Deals'!B136,'Clients'!$A$6:$A$205,0)))),IF('Deals'!B136="","",IF(COUNTIFS('Clients'!$A$6:$A$205,'Deals'!B136)&lt;&gt;1,"Check Client ID",INDEX('Clients'!$B$6:$B$205,MATCH('Deals'!B136,'Clients'!$A$6:$A$205,0)))),'Follow-ups'!K136,'Payments'!B136,'Expenses'!D136)),CHOOSE($M$42,'Clients'!B136,'Clients'!B136,'Viewings'!H136,IF('Deals'!B136="","",IF(COUNTIFS('Clients'!$A$6:$A$205,'Deals'!B136)&lt;&gt;1,"Check Client ID",INDEX('Clients'!$B$6:$B$205,MATCH('Deals'!B136,'Clients'!$A$6:$A$205,0)))),IF('Deals'!B136="","",IF(COUNTIFS('Clients'!$A$6:$A$205,'Deals'!B136)&lt;&gt;1,"Check Client ID",INDEX('Clients'!$B$6:$B$205,MATCH('Deals'!B136,'Clients'!$A$6:$A$205,0)))),IF('Deals'!B136="","",IF(COUNTIFS('Clients'!$A$6:$A$205,'Deals'!B136)&lt;&gt;1,"Check Client ID",INDEX('Clients'!$B$6:$B$205,MATCH('Deals'!B136,'Clients'!$A$6:$A$205,0)))),'Follow-ups'!K136,'Payments'!B136,'Expenses'!D136),IF(CHOOSE($M$42,'Clients'!B136,'Clients'!B136,'Viewings'!H136,IF('Deals'!B136="","",IF(COUNTIFS('Clients'!$A$6:$A$205,'Deals'!B136)&lt;&gt;1,"Check Client ID",INDEX('Clients'!$B$6:$B$205,MATCH('Deals'!B136,'Clients'!$A$6:$A$205,0)))),IF('Deals'!B136="","",IF(COUNTIFS('Clients'!$A$6:$A$205,'Deals'!B136)&lt;&gt;1,"Check Client ID",INDEX('Clients'!$B$6:$B$205,MATCH('Deals'!B136,'Clients'!$A$6:$A$205,0)))),IF('Deals'!B136="","",IF(COUNTIFS('Clients'!$A$6:$A$205,'Deals'!B136)&lt;&gt;1,"Check Client ID",INDEX('Clients'!$B$6:$B$205,MATCH('Deals'!B136,'Clients'!$A$6:$A$205,0)))),'Follow-ups'!K136,'Payments'!B136,'Expenses'!D136)="","",CHOOSE($M$42,'Clients'!B136,'Clients'!B136,'Viewings'!H136,IF('Deals'!B136="","",IF(COUNTIFS('Clients'!$A$6:$A$205,'Deals'!B136)&lt;&gt;1,"Check Client ID",INDEX('Clients'!$B$6:$B$205,MATCH('Deals'!B136,'Clients'!$A$6:$A$205,0)))),IF('Deals'!B136="","",IF(COUNTIFS('Clients'!$A$6:$A$205,'Deals'!B136)&lt;&gt;1,"Check Client ID",INDEX('Clients'!$B$6:$B$205,MATCH('Deals'!B136,'Clients'!$A$6:$A$205,0)))),IF('Deals'!B136="","",IF(COUNTIFS('Clients'!$A$6:$A$205,'Deals'!B136)&lt;&gt;1,"Check Client ID",INDEX('Clients'!$B$6:$B$205,MATCH('Deals'!B136,'Clients'!$A$6:$A$205,0)))),'Follow-ups'!K136,'Payments'!B136,'Expenses'!D136))))</x:f>
      </x:c>
      <x:c r="E178" s="432" t="str">
        <x:f>IF(B178="","",IF(ISNUMBER(CHOOSE($M$42,'Clients'!K136,'Clients'!K136,'Viewings'!I136,'Deals'!C136,'Deals'!C136,'Deals'!C136,'Follow-ups'!L136,'Payments'!G136,'Expenses'!F136)),CHOOSE($M$42,'Clients'!K136,'Clients'!K136,'Viewings'!I136,'Deals'!C136,'Deals'!C136,'Deals'!C136,'Follow-ups'!L136,'Payments'!G136,'Expenses'!F136),IF(CHOOSE($M$42,'Clients'!K136,'Clients'!K136,'Viewings'!I136,'Deals'!C136,'Deals'!C136,'Deals'!C136,'Follow-ups'!L136,'Payments'!G136,'Expenses'!F136)="","",CHOOSE($M$42,'Clients'!K136,'Clients'!K136,'Viewings'!I136,'Deals'!C136,'Deals'!C136,'Deals'!C136,'Follow-ups'!L136,'Payments'!G136,'Expenses'!F136))))</x:f>
      </x:c>
      <x:c r="F178" s="432" t="str">
        <x:f>IF(B178="","",IF(ISNUMBER(CHOOSE($M$42,'Clients'!H136,'Clients'!H136,'Viewings'!E136,'Deals'!E136,'Deals'!E136,'Deals'!E136,'Follow-ups'!I136,"Receipt",'Expenses'!C136)),CHOOSE($M$42,'Clients'!H136,'Clients'!H136,'Viewings'!E136,'Deals'!E136,'Deals'!E136,'Deals'!E136,'Follow-ups'!I136,"Receipt",'Expenses'!C136),IF(CHOOSE($M$42,'Clients'!H136,'Clients'!H136,'Viewings'!E136,'Deals'!E136,'Deals'!E136,'Deals'!E136,'Follow-ups'!I136,"Receipt",'Expenses'!C136)="","",CHOOSE($M$42,'Clients'!H136,'Clients'!H136,'Viewings'!E136,'Deals'!E136,'Deals'!E136,'Deals'!E136,'Follow-ups'!I136,"Receipt",'Expenses'!C136))))</x:f>
      </x:c>
      <x:c r="G178" s="473" t="str">
        <x:f>IF(B178="","",IF(ISNUMBER(CHOOSE($M$42,"","","",'Deals'!F136,'Deals'!F136,'Deals'!F136,"",'Payments'!D136,'Expenses'!G136)),CHOOSE($M$42,"","","",'Deals'!F136,'Deals'!F136,'Deals'!F136,"",'Payments'!D136,'Expenses'!G136),IF(CHOOSE($M$42,"","","",'Deals'!F136,'Deals'!F136,'Deals'!F136,"",'Payments'!D136,'Expenses'!G136)="","",CHOOSE($M$42,"","","",'Deals'!F136,'Deals'!F136,'Deals'!F136,"",'Payments'!D136,'Expenses'!G136))))</x:f>
      </x:c>
      <x:c r="H178" s="432" t="n">
        <x:f>IF(AND($M$43=1,B178&lt;&gt;"",ISNUMBER(C178),C178&gt;=$G$6,C178&lt;$K$6+1),1,0)</x:f>
        <x:v>0</x:v>
      </x:c>
      <x:c r="I178" s="432" t="str">
        <x:f>IF(H178=0,"",COUNTIFS($H$48:$H$247,1,$C$48:$C$247,"&lt;"&amp;C178)+COUNTIFS($H$48:H178,1,$C$48:C178,C178))</x:f>
      </x:c>
      <x:c r="J178" s="432"/>
      <x:c r="K178" s="432"/>
      <x:c r="L178" s="432"/>
      <x:c r="M178" s="432"/>
      <x:c r="N178" s="432"/>
      <x:c r="O178" s="432"/>
      <x:c r="P178" s="432"/>
      <x:c r="Q178" s="432"/>
    </x:row>
    <x:row r="179" ht="25" customHeight="1">
      <x:c r="A179" s="432"/>
      <x:c r="B179" s="432" t="str">
        <x:f>IF(CHOOSE($M$42,'Clients'!A137,'Clients'!A137,'Viewings'!A137,'Deals'!A137,'Deals'!A137,'Deals'!A137,'Follow-ups'!A137,'Payments'!A137,'Expenses'!A137)="","",CHOOSE($M$42,'Clients'!A137,'Clients'!A137,'Viewings'!A137,'Deals'!A137,'Deals'!A137,'Deals'!A137,'Follow-ups'!A137,'Payments'!A137,'Expenses'!A137))</x:f>
      </x:c>
      <x:c r="C179" s="472" t="str">
        <x:f>IF(B179="","",IF(CHOOSE($M$42,'Clients'!R137,'Clients'!Q137,'Viewings'!D137,'Deals'!X137,'Deals'!Y137,'Deals'!Z137,'Follow-ups'!H137,'Payments'!C137,'Expenses'!B137)="","",CHOOSE($M$42,'Clients'!R137,'Clients'!Q137,'Viewings'!D137,'Deals'!X137,'Deals'!Y137,'Deals'!Z137,'Follow-ups'!H137,'Payments'!C137,'Expenses'!B137)))</x:f>
      </x:c>
      <x:c r="D179" s="432" t="str">
        <x:f>IF(B179="","",IF(ISNUMBER(CHOOSE($M$42,'Clients'!B137,'Clients'!B137,'Viewings'!H137,IF('Deals'!B137="","",IF(COUNTIFS('Clients'!$A$6:$A$205,'Deals'!B137)&lt;&gt;1,"Check Client ID",INDEX('Clients'!$B$6:$B$205,MATCH('Deals'!B137,'Clients'!$A$6:$A$205,0)))),IF('Deals'!B137="","",IF(COUNTIFS('Clients'!$A$6:$A$205,'Deals'!B137)&lt;&gt;1,"Check Client ID",INDEX('Clients'!$B$6:$B$205,MATCH('Deals'!B137,'Clients'!$A$6:$A$205,0)))),IF('Deals'!B137="","",IF(COUNTIFS('Clients'!$A$6:$A$205,'Deals'!B137)&lt;&gt;1,"Check Client ID",INDEX('Clients'!$B$6:$B$205,MATCH('Deals'!B137,'Clients'!$A$6:$A$205,0)))),'Follow-ups'!K137,'Payments'!B137,'Expenses'!D137)),CHOOSE($M$42,'Clients'!B137,'Clients'!B137,'Viewings'!H137,IF('Deals'!B137="","",IF(COUNTIFS('Clients'!$A$6:$A$205,'Deals'!B137)&lt;&gt;1,"Check Client ID",INDEX('Clients'!$B$6:$B$205,MATCH('Deals'!B137,'Clients'!$A$6:$A$205,0)))),IF('Deals'!B137="","",IF(COUNTIFS('Clients'!$A$6:$A$205,'Deals'!B137)&lt;&gt;1,"Check Client ID",INDEX('Clients'!$B$6:$B$205,MATCH('Deals'!B137,'Clients'!$A$6:$A$205,0)))),IF('Deals'!B137="","",IF(COUNTIFS('Clients'!$A$6:$A$205,'Deals'!B137)&lt;&gt;1,"Check Client ID",INDEX('Clients'!$B$6:$B$205,MATCH('Deals'!B137,'Clients'!$A$6:$A$205,0)))),'Follow-ups'!K137,'Payments'!B137,'Expenses'!D137),IF(CHOOSE($M$42,'Clients'!B137,'Clients'!B137,'Viewings'!H137,IF('Deals'!B137="","",IF(COUNTIFS('Clients'!$A$6:$A$205,'Deals'!B137)&lt;&gt;1,"Check Client ID",INDEX('Clients'!$B$6:$B$205,MATCH('Deals'!B137,'Clients'!$A$6:$A$205,0)))),IF('Deals'!B137="","",IF(COUNTIFS('Clients'!$A$6:$A$205,'Deals'!B137)&lt;&gt;1,"Check Client ID",INDEX('Clients'!$B$6:$B$205,MATCH('Deals'!B137,'Clients'!$A$6:$A$205,0)))),IF('Deals'!B137="","",IF(COUNTIFS('Clients'!$A$6:$A$205,'Deals'!B137)&lt;&gt;1,"Check Client ID",INDEX('Clients'!$B$6:$B$205,MATCH('Deals'!B137,'Clients'!$A$6:$A$205,0)))),'Follow-ups'!K137,'Payments'!B137,'Expenses'!D137)="","",CHOOSE($M$42,'Clients'!B137,'Clients'!B137,'Viewings'!H137,IF('Deals'!B137="","",IF(COUNTIFS('Clients'!$A$6:$A$205,'Deals'!B137)&lt;&gt;1,"Check Client ID",INDEX('Clients'!$B$6:$B$205,MATCH('Deals'!B137,'Clients'!$A$6:$A$205,0)))),IF('Deals'!B137="","",IF(COUNTIFS('Clients'!$A$6:$A$205,'Deals'!B137)&lt;&gt;1,"Check Client ID",INDEX('Clients'!$B$6:$B$205,MATCH('Deals'!B137,'Clients'!$A$6:$A$205,0)))),IF('Deals'!B137="","",IF(COUNTIFS('Clients'!$A$6:$A$205,'Deals'!B137)&lt;&gt;1,"Check Client ID",INDEX('Clients'!$B$6:$B$205,MATCH('Deals'!B137,'Clients'!$A$6:$A$205,0)))),'Follow-ups'!K137,'Payments'!B137,'Expenses'!D137))))</x:f>
      </x:c>
      <x:c r="E179" s="432" t="str">
        <x:f>IF(B179="","",IF(ISNUMBER(CHOOSE($M$42,'Clients'!K137,'Clients'!K137,'Viewings'!I137,'Deals'!C137,'Deals'!C137,'Deals'!C137,'Follow-ups'!L137,'Payments'!G137,'Expenses'!F137)),CHOOSE($M$42,'Clients'!K137,'Clients'!K137,'Viewings'!I137,'Deals'!C137,'Deals'!C137,'Deals'!C137,'Follow-ups'!L137,'Payments'!G137,'Expenses'!F137),IF(CHOOSE($M$42,'Clients'!K137,'Clients'!K137,'Viewings'!I137,'Deals'!C137,'Deals'!C137,'Deals'!C137,'Follow-ups'!L137,'Payments'!G137,'Expenses'!F137)="","",CHOOSE($M$42,'Clients'!K137,'Clients'!K137,'Viewings'!I137,'Deals'!C137,'Deals'!C137,'Deals'!C137,'Follow-ups'!L137,'Payments'!G137,'Expenses'!F137))))</x:f>
      </x:c>
      <x:c r="F179" s="432" t="str">
        <x:f>IF(B179="","",IF(ISNUMBER(CHOOSE($M$42,'Clients'!H137,'Clients'!H137,'Viewings'!E137,'Deals'!E137,'Deals'!E137,'Deals'!E137,'Follow-ups'!I137,"Receipt",'Expenses'!C137)),CHOOSE($M$42,'Clients'!H137,'Clients'!H137,'Viewings'!E137,'Deals'!E137,'Deals'!E137,'Deals'!E137,'Follow-ups'!I137,"Receipt",'Expenses'!C137),IF(CHOOSE($M$42,'Clients'!H137,'Clients'!H137,'Viewings'!E137,'Deals'!E137,'Deals'!E137,'Deals'!E137,'Follow-ups'!I137,"Receipt",'Expenses'!C137)="","",CHOOSE($M$42,'Clients'!H137,'Clients'!H137,'Viewings'!E137,'Deals'!E137,'Deals'!E137,'Deals'!E137,'Follow-ups'!I137,"Receipt",'Expenses'!C137))))</x:f>
      </x:c>
      <x:c r="G179" s="473" t="str">
        <x:f>IF(B179="","",IF(ISNUMBER(CHOOSE($M$42,"","","",'Deals'!F137,'Deals'!F137,'Deals'!F137,"",'Payments'!D137,'Expenses'!G137)),CHOOSE($M$42,"","","",'Deals'!F137,'Deals'!F137,'Deals'!F137,"",'Payments'!D137,'Expenses'!G137),IF(CHOOSE($M$42,"","","",'Deals'!F137,'Deals'!F137,'Deals'!F137,"",'Payments'!D137,'Expenses'!G137)="","",CHOOSE($M$42,"","","",'Deals'!F137,'Deals'!F137,'Deals'!F137,"",'Payments'!D137,'Expenses'!G137))))</x:f>
      </x:c>
      <x:c r="H179" s="432" t="n">
        <x:f>IF(AND($M$43=1,B179&lt;&gt;"",ISNUMBER(C179),C179&gt;=$G$6,C179&lt;$K$6+1),1,0)</x:f>
        <x:v>0</x:v>
      </x:c>
      <x:c r="I179" s="432" t="str">
        <x:f>IF(H179=0,"",COUNTIFS($H$48:$H$247,1,$C$48:$C$247,"&lt;"&amp;C179)+COUNTIFS($H$48:H179,1,$C$48:C179,C179))</x:f>
      </x:c>
      <x:c r="J179" s="432"/>
      <x:c r="K179" s="432"/>
      <x:c r="L179" s="432"/>
      <x:c r="M179" s="432"/>
      <x:c r="N179" s="432"/>
      <x:c r="O179" s="432"/>
      <x:c r="P179" s="432"/>
      <x:c r="Q179" s="432"/>
    </x:row>
    <x:row r="180" ht="25" customHeight="1">
      <x:c r="A180" s="432"/>
      <x:c r="B180" s="432" t="str">
        <x:f>IF(CHOOSE($M$42,'Clients'!A138,'Clients'!A138,'Viewings'!A138,'Deals'!A138,'Deals'!A138,'Deals'!A138,'Follow-ups'!A138,'Payments'!A138,'Expenses'!A138)="","",CHOOSE($M$42,'Clients'!A138,'Clients'!A138,'Viewings'!A138,'Deals'!A138,'Deals'!A138,'Deals'!A138,'Follow-ups'!A138,'Payments'!A138,'Expenses'!A138))</x:f>
      </x:c>
      <x:c r="C180" s="472" t="str">
        <x:f>IF(B180="","",IF(CHOOSE($M$42,'Clients'!R138,'Clients'!Q138,'Viewings'!D138,'Deals'!X138,'Deals'!Y138,'Deals'!Z138,'Follow-ups'!H138,'Payments'!C138,'Expenses'!B138)="","",CHOOSE($M$42,'Clients'!R138,'Clients'!Q138,'Viewings'!D138,'Deals'!X138,'Deals'!Y138,'Deals'!Z138,'Follow-ups'!H138,'Payments'!C138,'Expenses'!B138)))</x:f>
      </x:c>
      <x:c r="D180" s="432" t="str">
        <x:f>IF(B180="","",IF(ISNUMBER(CHOOSE($M$42,'Clients'!B138,'Clients'!B138,'Viewings'!H138,IF('Deals'!B138="","",IF(COUNTIFS('Clients'!$A$6:$A$205,'Deals'!B138)&lt;&gt;1,"Check Client ID",INDEX('Clients'!$B$6:$B$205,MATCH('Deals'!B138,'Clients'!$A$6:$A$205,0)))),IF('Deals'!B138="","",IF(COUNTIFS('Clients'!$A$6:$A$205,'Deals'!B138)&lt;&gt;1,"Check Client ID",INDEX('Clients'!$B$6:$B$205,MATCH('Deals'!B138,'Clients'!$A$6:$A$205,0)))),IF('Deals'!B138="","",IF(COUNTIFS('Clients'!$A$6:$A$205,'Deals'!B138)&lt;&gt;1,"Check Client ID",INDEX('Clients'!$B$6:$B$205,MATCH('Deals'!B138,'Clients'!$A$6:$A$205,0)))),'Follow-ups'!K138,'Payments'!B138,'Expenses'!D138)),CHOOSE($M$42,'Clients'!B138,'Clients'!B138,'Viewings'!H138,IF('Deals'!B138="","",IF(COUNTIFS('Clients'!$A$6:$A$205,'Deals'!B138)&lt;&gt;1,"Check Client ID",INDEX('Clients'!$B$6:$B$205,MATCH('Deals'!B138,'Clients'!$A$6:$A$205,0)))),IF('Deals'!B138="","",IF(COUNTIFS('Clients'!$A$6:$A$205,'Deals'!B138)&lt;&gt;1,"Check Client ID",INDEX('Clients'!$B$6:$B$205,MATCH('Deals'!B138,'Clients'!$A$6:$A$205,0)))),IF('Deals'!B138="","",IF(COUNTIFS('Clients'!$A$6:$A$205,'Deals'!B138)&lt;&gt;1,"Check Client ID",INDEX('Clients'!$B$6:$B$205,MATCH('Deals'!B138,'Clients'!$A$6:$A$205,0)))),'Follow-ups'!K138,'Payments'!B138,'Expenses'!D138),IF(CHOOSE($M$42,'Clients'!B138,'Clients'!B138,'Viewings'!H138,IF('Deals'!B138="","",IF(COUNTIFS('Clients'!$A$6:$A$205,'Deals'!B138)&lt;&gt;1,"Check Client ID",INDEX('Clients'!$B$6:$B$205,MATCH('Deals'!B138,'Clients'!$A$6:$A$205,0)))),IF('Deals'!B138="","",IF(COUNTIFS('Clients'!$A$6:$A$205,'Deals'!B138)&lt;&gt;1,"Check Client ID",INDEX('Clients'!$B$6:$B$205,MATCH('Deals'!B138,'Clients'!$A$6:$A$205,0)))),IF('Deals'!B138="","",IF(COUNTIFS('Clients'!$A$6:$A$205,'Deals'!B138)&lt;&gt;1,"Check Client ID",INDEX('Clients'!$B$6:$B$205,MATCH('Deals'!B138,'Clients'!$A$6:$A$205,0)))),'Follow-ups'!K138,'Payments'!B138,'Expenses'!D138)="","",CHOOSE($M$42,'Clients'!B138,'Clients'!B138,'Viewings'!H138,IF('Deals'!B138="","",IF(COUNTIFS('Clients'!$A$6:$A$205,'Deals'!B138)&lt;&gt;1,"Check Client ID",INDEX('Clients'!$B$6:$B$205,MATCH('Deals'!B138,'Clients'!$A$6:$A$205,0)))),IF('Deals'!B138="","",IF(COUNTIFS('Clients'!$A$6:$A$205,'Deals'!B138)&lt;&gt;1,"Check Client ID",INDEX('Clients'!$B$6:$B$205,MATCH('Deals'!B138,'Clients'!$A$6:$A$205,0)))),IF('Deals'!B138="","",IF(COUNTIFS('Clients'!$A$6:$A$205,'Deals'!B138)&lt;&gt;1,"Check Client ID",INDEX('Clients'!$B$6:$B$205,MATCH('Deals'!B138,'Clients'!$A$6:$A$205,0)))),'Follow-ups'!K138,'Payments'!B138,'Expenses'!D138))))</x:f>
      </x:c>
      <x:c r="E180" s="432" t="str">
        <x:f>IF(B180="","",IF(ISNUMBER(CHOOSE($M$42,'Clients'!K138,'Clients'!K138,'Viewings'!I138,'Deals'!C138,'Deals'!C138,'Deals'!C138,'Follow-ups'!L138,'Payments'!G138,'Expenses'!F138)),CHOOSE($M$42,'Clients'!K138,'Clients'!K138,'Viewings'!I138,'Deals'!C138,'Deals'!C138,'Deals'!C138,'Follow-ups'!L138,'Payments'!G138,'Expenses'!F138),IF(CHOOSE($M$42,'Clients'!K138,'Clients'!K138,'Viewings'!I138,'Deals'!C138,'Deals'!C138,'Deals'!C138,'Follow-ups'!L138,'Payments'!G138,'Expenses'!F138)="","",CHOOSE($M$42,'Clients'!K138,'Clients'!K138,'Viewings'!I138,'Deals'!C138,'Deals'!C138,'Deals'!C138,'Follow-ups'!L138,'Payments'!G138,'Expenses'!F138))))</x:f>
      </x:c>
      <x:c r="F180" s="432" t="str">
        <x:f>IF(B180="","",IF(ISNUMBER(CHOOSE($M$42,'Clients'!H138,'Clients'!H138,'Viewings'!E138,'Deals'!E138,'Deals'!E138,'Deals'!E138,'Follow-ups'!I138,"Receipt",'Expenses'!C138)),CHOOSE($M$42,'Clients'!H138,'Clients'!H138,'Viewings'!E138,'Deals'!E138,'Deals'!E138,'Deals'!E138,'Follow-ups'!I138,"Receipt",'Expenses'!C138),IF(CHOOSE($M$42,'Clients'!H138,'Clients'!H138,'Viewings'!E138,'Deals'!E138,'Deals'!E138,'Deals'!E138,'Follow-ups'!I138,"Receipt",'Expenses'!C138)="","",CHOOSE($M$42,'Clients'!H138,'Clients'!H138,'Viewings'!E138,'Deals'!E138,'Deals'!E138,'Deals'!E138,'Follow-ups'!I138,"Receipt",'Expenses'!C138))))</x:f>
      </x:c>
      <x:c r="G180" s="473" t="str">
        <x:f>IF(B180="","",IF(ISNUMBER(CHOOSE($M$42,"","","",'Deals'!F138,'Deals'!F138,'Deals'!F138,"",'Payments'!D138,'Expenses'!G138)),CHOOSE($M$42,"","","",'Deals'!F138,'Deals'!F138,'Deals'!F138,"",'Payments'!D138,'Expenses'!G138),IF(CHOOSE($M$42,"","","",'Deals'!F138,'Deals'!F138,'Deals'!F138,"",'Payments'!D138,'Expenses'!G138)="","",CHOOSE($M$42,"","","",'Deals'!F138,'Deals'!F138,'Deals'!F138,"",'Payments'!D138,'Expenses'!G138))))</x:f>
      </x:c>
      <x:c r="H180" s="432" t="n">
        <x:f>IF(AND($M$43=1,B180&lt;&gt;"",ISNUMBER(C180),C180&gt;=$G$6,C180&lt;$K$6+1),1,0)</x:f>
        <x:v>0</x:v>
      </x:c>
      <x:c r="I180" s="432" t="str">
        <x:f>IF(H180=0,"",COUNTIFS($H$48:$H$247,1,$C$48:$C$247,"&lt;"&amp;C180)+COUNTIFS($H$48:H180,1,$C$48:C180,C180))</x:f>
      </x:c>
      <x:c r="J180" s="432"/>
      <x:c r="K180" s="432"/>
      <x:c r="L180" s="432"/>
      <x:c r="M180" s="432"/>
      <x:c r="N180" s="432"/>
      <x:c r="O180" s="432"/>
      <x:c r="P180" s="432"/>
      <x:c r="Q180" s="432"/>
    </x:row>
    <x:row r="181" ht="25" customHeight="1">
      <x:c r="A181" s="432"/>
      <x:c r="B181" s="432" t="str">
        <x:f>IF(CHOOSE($M$42,'Clients'!A139,'Clients'!A139,'Viewings'!A139,'Deals'!A139,'Deals'!A139,'Deals'!A139,'Follow-ups'!A139,'Payments'!A139,'Expenses'!A139)="","",CHOOSE($M$42,'Clients'!A139,'Clients'!A139,'Viewings'!A139,'Deals'!A139,'Deals'!A139,'Deals'!A139,'Follow-ups'!A139,'Payments'!A139,'Expenses'!A139))</x:f>
      </x:c>
      <x:c r="C181" s="472" t="str">
        <x:f>IF(B181="","",IF(CHOOSE($M$42,'Clients'!R139,'Clients'!Q139,'Viewings'!D139,'Deals'!X139,'Deals'!Y139,'Deals'!Z139,'Follow-ups'!H139,'Payments'!C139,'Expenses'!B139)="","",CHOOSE($M$42,'Clients'!R139,'Clients'!Q139,'Viewings'!D139,'Deals'!X139,'Deals'!Y139,'Deals'!Z139,'Follow-ups'!H139,'Payments'!C139,'Expenses'!B139)))</x:f>
      </x:c>
      <x:c r="D181" s="432" t="str">
        <x:f>IF(B181="","",IF(ISNUMBER(CHOOSE($M$42,'Clients'!B139,'Clients'!B139,'Viewings'!H139,IF('Deals'!B139="","",IF(COUNTIFS('Clients'!$A$6:$A$205,'Deals'!B139)&lt;&gt;1,"Check Client ID",INDEX('Clients'!$B$6:$B$205,MATCH('Deals'!B139,'Clients'!$A$6:$A$205,0)))),IF('Deals'!B139="","",IF(COUNTIFS('Clients'!$A$6:$A$205,'Deals'!B139)&lt;&gt;1,"Check Client ID",INDEX('Clients'!$B$6:$B$205,MATCH('Deals'!B139,'Clients'!$A$6:$A$205,0)))),IF('Deals'!B139="","",IF(COUNTIFS('Clients'!$A$6:$A$205,'Deals'!B139)&lt;&gt;1,"Check Client ID",INDEX('Clients'!$B$6:$B$205,MATCH('Deals'!B139,'Clients'!$A$6:$A$205,0)))),'Follow-ups'!K139,'Payments'!B139,'Expenses'!D139)),CHOOSE($M$42,'Clients'!B139,'Clients'!B139,'Viewings'!H139,IF('Deals'!B139="","",IF(COUNTIFS('Clients'!$A$6:$A$205,'Deals'!B139)&lt;&gt;1,"Check Client ID",INDEX('Clients'!$B$6:$B$205,MATCH('Deals'!B139,'Clients'!$A$6:$A$205,0)))),IF('Deals'!B139="","",IF(COUNTIFS('Clients'!$A$6:$A$205,'Deals'!B139)&lt;&gt;1,"Check Client ID",INDEX('Clients'!$B$6:$B$205,MATCH('Deals'!B139,'Clients'!$A$6:$A$205,0)))),IF('Deals'!B139="","",IF(COUNTIFS('Clients'!$A$6:$A$205,'Deals'!B139)&lt;&gt;1,"Check Client ID",INDEX('Clients'!$B$6:$B$205,MATCH('Deals'!B139,'Clients'!$A$6:$A$205,0)))),'Follow-ups'!K139,'Payments'!B139,'Expenses'!D139),IF(CHOOSE($M$42,'Clients'!B139,'Clients'!B139,'Viewings'!H139,IF('Deals'!B139="","",IF(COUNTIFS('Clients'!$A$6:$A$205,'Deals'!B139)&lt;&gt;1,"Check Client ID",INDEX('Clients'!$B$6:$B$205,MATCH('Deals'!B139,'Clients'!$A$6:$A$205,0)))),IF('Deals'!B139="","",IF(COUNTIFS('Clients'!$A$6:$A$205,'Deals'!B139)&lt;&gt;1,"Check Client ID",INDEX('Clients'!$B$6:$B$205,MATCH('Deals'!B139,'Clients'!$A$6:$A$205,0)))),IF('Deals'!B139="","",IF(COUNTIFS('Clients'!$A$6:$A$205,'Deals'!B139)&lt;&gt;1,"Check Client ID",INDEX('Clients'!$B$6:$B$205,MATCH('Deals'!B139,'Clients'!$A$6:$A$205,0)))),'Follow-ups'!K139,'Payments'!B139,'Expenses'!D139)="","",CHOOSE($M$42,'Clients'!B139,'Clients'!B139,'Viewings'!H139,IF('Deals'!B139="","",IF(COUNTIFS('Clients'!$A$6:$A$205,'Deals'!B139)&lt;&gt;1,"Check Client ID",INDEX('Clients'!$B$6:$B$205,MATCH('Deals'!B139,'Clients'!$A$6:$A$205,0)))),IF('Deals'!B139="","",IF(COUNTIFS('Clients'!$A$6:$A$205,'Deals'!B139)&lt;&gt;1,"Check Client ID",INDEX('Clients'!$B$6:$B$205,MATCH('Deals'!B139,'Clients'!$A$6:$A$205,0)))),IF('Deals'!B139="","",IF(COUNTIFS('Clients'!$A$6:$A$205,'Deals'!B139)&lt;&gt;1,"Check Client ID",INDEX('Clients'!$B$6:$B$205,MATCH('Deals'!B139,'Clients'!$A$6:$A$205,0)))),'Follow-ups'!K139,'Payments'!B139,'Expenses'!D139))))</x:f>
      </x:c>
      <x:c r="E181" s="432" t="str">
        <x:f>IF(B181="","",IF(ISNUMBER(CHOOSE($M$42,'Clients'!K139,'Clients'!K139,'Viewings'!I139,'Deals'!C139,'Deals'!C139,'Deals'!C139,'Follow-ups'!L139,'Payments'!G139,'Expenses'!F139)),CHOOSE($M$42,'Clients'!K139,'Clients'!K139,'Viewings'!I139,'Deals'!C139,'Deals'!C139,'Deals'!C139,'Follow-ups'!L139,'Payments'!G139,'Expenses'!F139),IF(CHOOSE($M$42,'Clients'!K139,'Clients'!K139,'Viewings'!I139,'Deals'!C139,'Deals'!C139,'Deals'!C139,'Follow-ups'!L139,'Payments'!G139,'Expenses'!F139)="","",CHOOSE($M$42,'Clients'!K139,'Clients'!K139,'Viewings'!I139,'Deals'!C139,'Deals'!C139,'Deals'!C139,'Follow-ups'!L139,'Payments'!G139,'Expenses'!F139))))</x:f>
      </x:c>
      <x:c r="F181" s="432" t="str">
        <x:f>IF(B181="","",IF(ISNUMBER(CHOOSE($M$42,'Clients'!H139,'Clients'!H139,'Viewings'!E139,'Deals'!E139,'Deals'!E139,'Deals'!E139,'Follow-ups'!I139,"Receipt",'Expenses'!C139)),CHOOSE($M$42,'Clients'!H139,'Clients'!H139,'Viewings'!E139,'Deals'!E139,'Deals'!E139,'Deals'!E139,'Follow-ups'!I139,"Receipt",'Expenses'!C139),IF(CHOOSE($M$42,'Clients'!H139,'Clients'!H139,'Viewings'!E139,'Deals'!E139,'Deals'!E139,'Deals'!E139,'Follow-ups'!I139,"Receipt",'Expenses'!C139)="","",CHOOSE($M$42,'Clients'!H139,'Clients'!H139,'Viewings'!E139,'Deals'!E139,'Deals'!E139,'Deals'!E139,'Follow-ups'!I139,"Receipt",'Expenses'!C139))))</x:f>
      </x:c>
      <x:c r="G181" s="473" t="str">
        <x:f>IF(B181="","",IF(ISNUMBER(CHOOSE($M$42,"","","",'Deals'!F139,'Deals'!F139,'Deals'!F139,"",'Payments'!D139,'Expenses'!G139)),CHOOSE($M$42,"","","",'Deals'!F139,'Deals'!F139,'Deals'!F139,"",'Payments'!D139,'Expenses'!G139),IF(CHOOSE($M$42,"","","",'Deals'!F139,'Deals'!F139,'Deals'!F139,"",'Payments'!D139,'Expenses'!G139)="","",CHOOSE($M$42,"","","",'Deals'!F139,'Deals'!F139,'Deals'!F139,"",'Payments'!D139,'Expenses'!G139))))</x:f>
      </x:c>
      <x:c r="H181" s="432" t="n">
        <x:f>IF(AND($M$43=1,B181&lt;&gt;"",ISNUMBER(C181),C181&gt;=$G$6,C181&lt;$K$6+1),1,0)</x:f>
        <x:v>0</x:v>
      </x:c>
      <x:c r="I181" s="432" t="str">
        <x:f>IF(H181=0,"",COUNTIFS($H$48:$H$247,1,$C$48:$C$247,"&lt;"&amp;C181)+COUNTIFS($H$48:H181,1,$C$48:C181,C181))</x:f>
      </x:c>
      <x:c r="J181" s="432"/>
      <x:c r="K181" s="432"/>
      <x:c r="L181" s="432"/>
      <x:c r="M181" s="432"/>
      <x:c r="N181" s="432"/>
      <x:c r="O181" s="432"/>
      <x:c r="P181" s="432"/>
      <x:c r="Q181" s="432"/>
    </x:row>
    <x:row r="182" ht="25" customHeight="1">
      <x:c r="A182" s="432"/>
      <x:c r="B182" s="432" t="str">
        <x:f>IF(CHOOSE($M$42,'Clients'!A140,'Clients'!A140,'Viewings'!A140,'Deals'!A140,'Deals'!A140,'Deals'!A140,'Follow-ups'!A140,'Payments'!A140,'Expenses'!A140)="","",CHOOSE($M$42,'Clients'!A140,'Clients'!A140,'Viewings'!A140,'Deals'!A140,'Deals'!A140,'Deals'!A140,'Follow-ups'!A140,'Payments'!A140,'Expenses'!A140))</x:f>
      </x:c>
      <x:c r="C182" s="472" t="str">
        <x:f>IF(B182="","",IF(CHOOSE($M$42,'Clients'!R140,'Clients'!Q140,'Viewings'!D140,'Deals'!X140,'Deals'!Y140,'Deals'!Z140,'Follow-ups'!H140,'Payments'!C140,'Expenses'!B140)="","",CHOOSE($M$42,'Clients'!R140,'Clients'!Q140,'Viewings'!D140,'Deals'!X140,'Deals'!Y140,'Deals'!Z140,'Follow-ups'!H140,'Payments'!C140,'Expenses'!B140)))</x:f>
      </x:c>
      <x:c r="D182" s="432" t="str">
        <x:f>IF(B182="","",IF(ISNUMBER(CHOOSE($M$42,'Clients'!B140,'Clients'!B140,'Viewings'!H140,IF('Deals'!B140="","",IF(COUNTIFS('Clients'!$A$6:$A$205,'Deals'!B140)&lt;&gt;1,"Check Client ID",INDEX('Clients'!$B$6:$B$205,MATCH('Deals'!B140,'Clients'!$A$6:$A$205,0)))),IF('Deals'!B140="","",IF(COUNTIFS('Clients'!$A$6:$A$205,'Deals'!B140)&lt;&gt;1,"Check Client ID",INDEX('Clients'!$B$6:$B$205,MATCH('Deals'!B140,'Clients'!$A$6:$A$205,0)))),IF('Deals'!B140="","",IF(COUNTIFS('Clients'!$A$6:$A$205,'Deals'!B140)&lt;&gt;1,"Check Client ID",INDEX('Clients'!$B$6:$B$205,MATCH('Deals'!B140,'Clients'!$A$6:$A$205,0)))),'Follow-ups'!K140,'Payments'!B140,'Expenses'!D140)),CHOOSE($M$42,'Clients'!B140,'Clients'!B140,'Viewings'!H140,IF('Deals'!B140="","",IF(COUNTIFS('Clients'!$A$6:$A$205,'Deals'!B140)&lt;&gt;1,"Check Client ID",INDEX('Clients'!$B$6:$B$205,MATCH('Deals'!B140,'Clients'!$A$6:$A$205,0)))),IF('Deals'!B140="","",IF(COUNTIFS('Clients'!$A$6:$A$205,'Deals'!B140)&lt;&gt;1,"Check Client ID",INDEX('Clients'!$B$6:$B$205,MATCH('Deals'!B140,'Clients'!$A$6:$A$205,0)))),IF('Deals'!B140="","",IF(COUNTIFS('Clients'!$A$6:$A$205,'Deals'!B140)&lt;&gt;1,"Check Client ID",INDEX('Clients'!$B$6:$B$205,MATCH('Deals'!B140,'Clients'!$A$6:$A$205,0)))),'Follow-ups'!K140,'Payments'!B140,'Expenses'!D140),IF(CHOOSE($M$42,'Clients'!B140,'Clients'!B140,'Viewings'!H140,IF('Deals'!B140="","",IF(COUNTIFS('Clients'!$A$6:$A$205,'Deals'!B140)&lt;&gt;1,"Check Client ID",INDEX('Clients'!$B$6:$B$205,MATCH('Deals'!B140,'Clients'!$A$6:$A$205,0)))),IF('Deals'!B140="","",IF(COUNTIFS('Clients'!$A$6:$A$205,'Deals'!B140)&lt;&gt;1,"Check Client ID",INDEX('Clients'!$B$6:$B$205,MATCH('Deals'!B140,'Clients'!$A$6:$A$205,0)))),IF('Deals'!B140="","",IF(COUNTIFS('Clients'!$A$6:$A$205,'Deals'!B140)&lt;&gt;1,"Check Client ID",INDEX('Clients'!$B$6:$B$205,MATCH('Deals'!B140,'Clients'!$A$6:$A$205,0)))),'Follow-ups'!K140,'Payments'!B140,'Expenses'!D140)="","",CHOOSE($M$42,'Clients'!B140,'Clients'!B140,'Viewings'!H140,IF('Deals'!B140="","",IF(COUNTIFS('Clients'!$A$6:$A$205,'Deals'!B140)&lt;&gt;1,"Check Client ID",INDEX('Clients'!$B$6:$B$205,MATCH('Deals'!B140,'Clients'!$A$6:$A$205,0)))),IF('Deals'!B140="","",IF(COUNTIFS('Clients'!$A$6:$A$205,'Deals'!B140)&lt;&gt;1,"Check Client ID",INDEX('Clients'!$B$6:$B$205,MATCH('Deals'!B140,'Clients'!$A$6:$A$205,0)))),IF('Deals'!B140="","",IF(COUNTIFS('Clients'!$A$6:$A$205,'Deals'!B140)&lt;&gt;1,"Check Client ID",INDEX('Clients'!$B$6:$B$205,MATCH('Deals'!B140,'Clients'!$A$6:$A$205,0)))),'Follow-ups'!K140,'Payments'!B140,'Expenses'!D140))))</x:f>
      </x:c>
      <x:c r="E182" s="432" t="str">
        <x:f>IF(B182="","",IF(ISNUMBER(CHOOSE($M$42,'Clients'!K140,'Clients'!K140,'Viewings'!I140,'Deals'!C140,'Deals'!C140,'Deals'!C140,'Follow-ups'!L140,'Payments'!G140,'Expenses'!F140)),CHOOSE($M$42,'Clients'!K140,'Clients'!K140,'Viewings'!I140,'Deals'!C140,'Deals'!C140,'Deals'!C140,'Follow-ups'!L140,'Payments'!G140,'Expenses'!F140),IF(CHOOSE($M$42,'Clients'!K140,'Clients'!K140,'Viewings'!I140,'Deals'!C140,'Deals'!C140,'Deals'!C140,'Follow-ups'!L140,'Payments'!G140,'Expenses'!F140)="","",CHOOSE($M$42,'Clients'!K140,'Clients'!K140,'Viewings'!I140,'Deals'!C140,'Deals'!C140,'Deals'!C140,'Follow-ups'!L140,'Payments'!G140,'Expenses'!F140))))</x:f>
      </x:c>
      <x:c r="F182" s="432" t="str">
        <x:f>IF(B182="","",IF(ISNUMBER(CHOOSE($M$42,'Clients'!H140,'Clients'!H140,'Viewings'!E140,'Deals'!E140,'Deals'!E140,'Deals'!E140,'Follow-ups'!I140,"Receipt",'Expenses'!C140)),CHOOSE($M$42,'Clients'!H140,'Clients'!H140,'Viewings'!E140,'Deals'!E140,'Deals'!E140,'Deals'!E140,'Follow-ups'!I140,"Receipt",'Expenses'!C140),IF(CHOOSE($M$42,'Clients'!H140,'Clients'!H140,'Viewings'!E140,'Deals'!E140,'Deals'!E140,'Deals'!E140,'Follow-ups'!I140,"Receipt",'Expenses'!C140)="","",CHOOSE($M$42,'Clients'!H140,'Clients'!H140,'Viewings'!E140,'Deals'!E140,'Deals'!E140,'Deals'!E140,'Follow-ups'!I140,"Receipt",'Expenses'!C140))))</x:f>
      </x:c>
      <x:c r="G182" s="473" t="str">
        <x:f>IF(B182="","",IF(ISNUMBER(CHOOSE($M$42,"","","",'Deals'!F140,'Deals'!F140,'Deals'!F140,"",'Payments'!D140,'Expenses'!G140)),CHOOSE($M$42,"","","",'Deals'!F140,'Deals'!F140,'Deals'!F140,"",'Payments'!D140,'Expenses'!G140),IF(CHOOSE($M$42,"","","",'Deals'!F140,'Deals'!F140,'Deals'!F140,"",'Payments'!D140,'Expenses'!G140)="","",CHOOSE($M$42,"","","",'Deals'!F140,'Deals'!F140,'Deals'!F140,"",'Payments'!D140,'Expenses'!G140))))</x:f>
      </x:c>
      <x:c r="H182" s="432" t="n">
        <x:f>IF(AND($M$43=1,B182&lt;&gt;"",ISNUMBER(C182),C182&gt;=$G$6,C182&lt;$K$6+1),1,0)</x:f>
        <x:v>0</x:v>
      </x:c>
      <x:c r="I182" s="432" t="str">
        <x:f>IF(H182=0,"",COUNTIFS($H$48:$H$247,1,$C$48:$C$247,"&lt;"&amp;C182)+COUNTIFS($H$48:H182,1,$C$48:C182,C182))</x:f>
      </x:c>
      <x:c r="J182" s="432"/>
      <x:c r="K182" s="432"/>
      <x:c r="L182" s="432"/>
      <x:c r="M182" s="432"/>
      <x:c r="N182" s="432"/>
      <x:c r="O182" s="432"/>
      <x:c r="P182" s="432"/>
      <x:c r="Q182" s="432"/>
    </x:row>
    <x:row r="183" ht="25" customHeight="1">
      <x:c r="A183" s="432"/>
      <x:c r="B183" s="432" t="str">
        <x:f>IF(CHOOSE($M$42,'Clients'!A141,'Clients'!A141,'Viewings'!A141,'Deals'!A141,'Deals'!A141,'Deals'!A141,'Follow-ups'!A141,'Payments'!A141,'Expenses'!A141)="","",CHOOSE($M$42,'Clients'!A141,'Clients'!A141,'Viewings'!A141,'Deals'!A141,'Deals'!A141,'Deals'!A141,'Follow-ups'!A141,'Payments'!A141,'Expenses'!A141))</x:f>
      </x:c>
      <x:c r="C183" s="472" t="str">
        <x:f>IF(B183="","",IF(CHOOSE($M$42,'Clients'!R141,'Clients'!Q141,'Viewings'!D141,'Deals'!X141,'Deals'!Y141,'Deals'!Z141,'Follow-ups'!H141,'Payments'!C141,'Expenses'!B141)="","",CHOOSE($M$42,'Clients'!R141,'Clients'!Q141,'Viewings'!D141,'Deals'!X141,'Deals'!Y141,'Deals'!Z141,'Follow-ups'!H141,'Payments'!C141,'Expenses'!B141)))</x:f>
      </x:c>
      <x:c r="D183" s="432" t="str">
        <x:f>IF(B183="","",IF(ISNUMBER(CHOOSE($M$42,'Clients'!B141,'Clients'!B141,'Viewings'!H141,IF('Deals'!B141="","",IF(COUNTIFS('Clients'!$A$6:$A$205,'Deals'!B141)&lt;&gt;1,"Check Client ID",INDEX('Clients'!$B$6:$B$205,MATCH('Deals'!B141,'Clients'!$A$6:$A$205,0)))),IF('Deals'!B141="","",IF(COUNTIFS('Clients'!$A$6:$A$205,'Deals'!B141)&lt;&gt;1,"Check Client ID",INDEX('Clients'!$B$6:$B$205,MATCH('Deals'!B141,'Clients'!$A$6:$A$205,0)))),IF('Deals'!B141="","",IF(COUNTIFS('Clients'!$A$6:$A$205,'Deals'!B141)&lt;&gt;1,"Check Client ID",INDEX('Clients'!$B$6:$B$205,MATCH('Deals'!B141,'Clients'!$A$6:$A$205,0)))),'Follow-ups'!K141,'Payments'!B141,'Expenses'!D141)),CHOOSE($M$42,'Clients'!B141,'Clients'!B141,'Viewings'!H141,IF('Deals'!B141="","",IF(COUNTIFS('Clients'!$A$6:$A$205,'Deals'!B141)&lt;&gt;1,"Check Client ID",INDEX('Clients'!$B$6:$B$205,MATCH('Deals'!B141,'Clients'!$A$6:$A$205,0)))),IF('Deals'!B141="","",IF(COUNTIFS('Clients'!$A$6:$A$205,'Deals'!B141)&lt;&gt;1,"Check Client ID",INDEX('Clients'!$B$6:$B$205,MATCH('Deals'!B141,'Clients'!$A$6:$A$205,0)))),IF('Deals'!B141="","",IF(COUNTIFS('Clients'!$A$6:$A$205,'Deals'!B141)&lt;&gt;1,"Check Client ID",INDEX('Clients'!$B$6:$B$205,MATCH('Deals'!B141,'Clients'!$A$6:$A$205,0)))),'Follow-ups'!K141,'Payments'!B141,'Expenses'!D141),IF(CHOOSE($M$42,'Clients'!B141,'Clients'!B141,'Viewings'!H141,IF('Deals'!B141="","",IF(COUNTIFS('Clients'!$A$6:$A$205,'Deals'!B141)&lt;&gt;1,"Check Client ID",INDEX('Clients'!$B$6:$B$205,MATCH('Deals'!B141,'Clients'!$A$6:$A$205,0)))),IF('Deals'!B141="","",IF(COUNTIFS('Clients'!$A$6:$A$205,'Deals'!B141)&lt;&gt;1,"Check Client ID",INDEX('Clients'!$B$6:$B$205,MATCH('Deals'!B141,'Clients'!$A$6:$A$205,0)))),IF('Deals'!B141="","",IF(COUNTIFS('Clients'!$A$6:$A$205,'Deals'!B141)&lt;&gt;1,"Check Client ID",INDEX('Clients'!$B$6:$B$205,MATCH('Deals'!B141,'Clients'!$A$6:$A$205,0)))),'Follow-ups'!K141,'Payments'!B141,'Expenses'!D141)="","",CHOOSE($M$42,'Clients'!B141,'Clients'!B141,'Viewings'!H141,IF('Deals'!B141="","",IF(COUNTIFS('Clients'!$A$6:$A$205,'Deals'!B141)&lt;&gt;1,"Check Client ID",INDEX('Clients'!$B$6:$B$205,MATCH('Deals'!B141,'Clients'!$A$6:$A$205,0)))),IF('Deals'!B141="","",IF(COUNTIFS('Clients'!$A$6:$A$205,'Deals'!B141)&lt;&gt;1,"Check Client ID",INDEX('Clients'!$B$6:$B$205,MATCH('Deals'!B141,'Clients'!$A$6:$A$205,0)))),IF('Deals'!B141="","",IF(COUNTIFS('Clients'!$A$6:$A$205,'Deals'!B141)&lt;&gt;1,"Check Client ID",INDEX('Clients'!$B$6:$B$205,MATCH('Deals'!B141,'Clients'!$A$6:$A$205,0)))),'Follow-ups'!K141,'Payments'!B141,'Expenses'!D141))))</x:f>
      </x:c>
      <x:c r="E183" s="432" t="str">
        <x:f>IF(B183="","",IF(ISNUMBER(CHOOSE($M$42,'Clients'!K141,'Clients'!K141,'Viewings'!I141,'Deals'!C141,'Deals'!C141,'Deals'!C141,'Follow-ups'!L141,'Payments'!G141,'Expenses'!F141)),CHOOSE($M$42,'Clients'!K141,'Clients'!K141,'Viewings'!I141,'Deals'!C141,'Deals'!C141,'Deals'!C141,'Follow-ups'!L141,'Payments'!G141,'Expenses'!F141),IF(CHOOSE($M$42,'Clients'!K141,'Clients'!K141,'Viewings'!I141,'Deals'!C141,'Deals'!C141,'Deals'!C141,'Follow-ups'!L141,'Payments'!G141,'Expenses'!F141)="","",CHOOSE($M$42,'Clients'!K141,'Clients'!K141,'Viewings'!I141,'Deals'!C141,'Deals'!C141,'Deals'!C141,'Follow-ups'!L141,'Payments'!G141,'Expenses'!F141))))</x:f>
      </x:c>
      <x:c r="F183" s="432" t="str">
        <x:f>IF(B183="","",IF(ISNUMBER(CHOOSE($M$42,'Clients'!H141,'Clients'!H141,'Viewings'!E141,'Deals'!E141,'Deals'!E141,'Deals'!E141,'Follow-ups'!I141,"Receipt",'Expenses'!C141)),CHOOSE($M$42,'Clients'!H141,'Clients'!H141,'Viewings'!E141,'Deals'!E141,'Deals'!E141,'Deals'!E141,'Follow-ups'!I141,"Receipt",'Expenses'!C141),IF(CHOOSE($M$42,'Clients'!H141,'Clients'!H141,'Viewings'!E141,'Deals'!E141,'Deals'!E141,'Deals'!E141,'Follow-ups'!I141,"Receipt",'Expenses'!C141)="","",CHOOSE($M$42,'Clients'!H141,'Clients'!H141,'Viewings'!E141,'Deals'!E141,'Deals'!E141,'Deals'!E141,'Follow-ups'!I141,"Receipt",'Expenses'!C141))))</x:f>
      </x:c>
      <x:c r="G183" s="473" t="str">
        <x:f>IF(B183="","",IF(ISNUMBER(CHOOSE($M$42,"","","",'Deals'!F141,'Deals'!F141,'Deals'!F141,"",'Payments'!D141,'Expenses'!G141)),CHOOSE($M$42,"","","",'Deals'!F141,'Deals'!F141,'Deals'!F141,"",'Payments'!D141,'Expenses'!G141),IF(CHOOSE($M$42,"","","",'Deals'!F141,'Deals'!F141,'Deals'!F141,"",'Payments'!D141,'Expenses'!G141)="","",CHOOSE($M$42,"","","",'Deals'!F141,'Deals'!F141,'Deals'!F141,"",'Payments'!D141,'Expenses'!G141))))</x:f>
      </x:c>
      <x:c r="H183" s="432" t="n">
        <x:f>IF(AND($M$43=1,B183&lt;&gt;"",ISNUMBER(C183),C183&gt;=$G$6,C183&lt;$K$6+1),1,0)</x:f>
        <x:v>0</x:v>
      </x:c>
      <x:c r="I183" s="432" t="str">
        <x:f>IF(H183=0,"",COUNTIFS($H$48:$H$247,1,$C$48:$C$247,"&lt;"&amp;C183)+COUNTIFS($H$48:H183,1,$C$48:C183,C183))</x:f>
      </x:c>
      <x:c r="J183" s="432"/>
      <x:c r="K183" s="432"/>
      <x:c r="L183" s="432"/>
      <x:c r="M183" s="432"/>
      <x:c r="N183" s="432"/>
      <x:c r="O183" s="432"/>
      <x:c r="P183" s="432"/>
      <x:c r="Q183" s="432"/>
    </x:row>
    <x:row r="184" ht="25" customHeight="1">
      <x:c r="A184" s="432"/>
      <x:c r="B184" s="432" t="str">
        <x:f>IF(CHOOSE($M$42,'Clients'!A142,'Clients'!A142,'Viewings'!A142,'Deals'!A142,'Deals'!A142,'Deals'!A142,'Follow-ups'!A142,'Payments'!A142,'Expenses'!A142)="","",CHOOSE($M$42,'Clients'!A142,'Clients'!A142,'Viewings'!A142,'Deals'!A142,'Deals'!A142,'Deals'!A142,'Follow-ups'!A142,'Payments'!A142,'Expenses'!A142))</x:f>
      </x:c>
      <x:c r="C184" s="472" t="str">
        <x:f>IF(B184="","",IF(CHOOSE($M$42,'Clients'!R142,'Clients'!Q142,'Viewings'!D142,'Deals'!X142,'Deals'!Y142,'Deals'!Z142,'Follow-ups'!H142,'Payments'!C142,'Expenses'!B142)="","",CHOOSE($M$42,'Clients'!R142,'Clients'!Q142,'Viewings'!D142,'Deals'!X142,'Deals'!Y142,'Deals'!Z142,'Follow-ups'!H142,'Payments'!C142,'Expenses'!B142)))</x:f>
      </x:c>
      <x:c r="D184" s="432" t="str">
        <x:f>IF(B184="","",IF(ISNUMBER(CHOOSE($M$42,'Clients'!B142,'Clients'!B142,'Viewings'!H142,IF('Deals'!B142="","",IF(COUNTIFS('Clients'!$A$6:$A$205,'Deals'!B142)&lt;&gt;1,"Check Client ID",INDEX('Clients'!$B$6:$B$205,MATCH('Deals'!B142,'Clients'!$A$6:$A$205,0)))),IF('Deals'!B142="","",IF(COUNTIFS('Clients'!$A$6:$A$205,'Deals'!B142)&lt;&gt;1,"Check Client ID",INDEX('Clients'!$B$6:$B$205,MATCH('Deals'!B142,'Clients'!$A$6:$A$205,0)))),IF('Deals'!B142="","",IF(COUNTIFS('Clients'!$A$6:$A$205,'Deals'!B142)&lt;&gt;1,"Check Client ID",INDEX('Clients'!$B$6:$B$205,MATCH('Deals'!B142,'Clients'!$A$6:$A$205,0)))),'Follow-ups'!K142,'Payments'!B142,'Expenses'!D142)),CHOOSE($M$42,'Clients'!B142,'Clients'!B142,'Viewings'!H142,IF('Deals'!B142="","",IF(COUNTIFS('Clients'!$A$6:$A$205,'Deals'!B142)&lt;&gt;1,"Check Client ID",INDEX('Clients'!$B$6:$B$205,MATCH('Deals'!B142,'Clients'!$A$6:$A$205,0)))),IF('Deals'!B142="","",IF(COUNTIFS('Clients'!$A$6:$A$205,'Deals'!B142)&lt;&gt;1,"Check Client ID",INDEX('Clients'!$B$6:$B$205,MATCH('Deals'!B142,'Clients'!$A$6:$A$205,0)))),IF('Deals'!B142="","",IF(COUNTIFS('Clients'!$A$6:$A$205,'Deals'!B142)&lt;&gt;1,"Check Client ID",INDEX('Clients'!$B$6:$B$205,MATCH('Deals'!B142,'Clients'!$A$6:$A$205,0)))),'Follow-ups'!K142,'Payments'!B142,'Expenses'!D142),IF(CHOOSE($M$42,'Clients'!B142,'Clients'!B142,'Viewings'!H142,IF('Deals'!B142="","",IF(COUNTIFS('Clients'!$A$6:$A$205,'Deals'!B142)&lt;&gt;1,"Check Client ID",INDEX('Clients'!$B$6:$B$205,MATCH('Deals'!B142,'Clients'!$A$6:$A$205,0)))),IF('Deals'!B142="","",IF(COUNTIFS('Clients'!$A$6:$A$205,'Deals'!B142)&lt;&gt;1,"Check Client ID",INDEX('Clients'!$B$6:$B$205,MATCH('Deals'!B142,'Clients'!$A$6:$A$205,0)))),IF('Deals'!B142="","",IF(COUNTIFS('Clients'!$A$6:$A$205,'Deals'!B142)&lt;&gt;1,"Check Client ID",INDEX('Clients'!$B$6:$B$205,MATCH('Deals'!B142,'Clients'!$A$6:$A$205,0)))),'Follow-ups'!K142,'Payments'!B142,'Expenses'!D142)="","",CHOOSE($M$42,'Clients'!B142,'Clients'!B142,'Viewings'!H142,IF('Deals'!B142="","",IF(COUNTIFS('Clients'!$A$6:$A$205,'Deals'!B142)&lt;&gt;1,"Check Client ID",INDEX('Clients'!$B$6:$B$205,MATCH('Deals'!B142,'Clients'!$A$6:$A$205,0)))),IF('Deals'!B142="","",IF(COUNTIFS('Clients'!$A$6:$A$205,'Deals'!B142)&lt;&gt;1,"Check Client ID",INDEX('Clients'!$B$6:$B$205,MATCH('Deals'!B142,'Clients'!$A$6:$A$205,0)))),IF('Deals'!B142="","",IF(COUNTIFS('Clients'!$A$6:$A$205,'Deals'!B142)&lt;&gt;1,"Check Client ID",INDEX('Clients'!$B$6:$B$205,MATCH('Deals'!B142,'Clients'!$A$6:$A$205,0)))),'Follow-ups'!K142,'Payments'!B142,'Expenses'!D142))))</x:f>
      </x:c>
      <x:c r="E184" s="432" t="str">
        <x:f>IF(B184="","",IF(ISNUMBER(CHOOSE($M$42,'Clients'!K142,'Clients'!K142,'Viewings'!I142,'Deals'!C142,'Deals'!C142,'Deals'!C142,'Follow-ups'!L142,'Payments'!G142,'Expenses'!F142)),CHOOSE($M$42,'Clients'!K142,'Clients'!K142,'Viewings'!I142,'Deals'!C142,'Deals'!C142,'Deals'!C142,'Follow-ups'!L142,'Payments'!G142,'Expenses'!F142),IF(CHOOSE($M$42,'Clients'!K142,'Clients'!K142,'Viewings'!I142,'Deals'!C142,'Deals'!C142,'Deals'!C142,'Follow-ups'!L142,'Payments'!G142,'Expenses'!F142)="","",CHOOSE($M$42,'Clients'!K142,'Clients'!K142,'Viewings'!I142,'Deals'!C142,'Deals'!C142,'Deals'!C142,'Follow-ups'!L142,'Payments'!G142,'Expenses'!F142))))</x:f>
      </x:c>
      <x:c r="F184" s="432" t="str">
        <x:f>IF(B184="","",IF(ISNUMBER(CHOOSE($M$42,'Clients'!H142,'Clients'!H142,'Viewings'!E142,'Deals'!E142,'Deals'!E142,'Deals'!E142,'Follow-ups'!I142,"Receipt",'Expenses'!C142)),CHOOSE($M$42,'Clients'!H142,'Clients'!H142,'Viewings'!E142,'Deals'!E142,'Deals'!E142,'Deals'!E142,'Follow-ups'!I142,"Receipt",'Expenses'!C142),IF(CHOOSE($M$42,'Clients'!H142,'Clients'!H142,'Viewings'!E142,'Deals'!E142,'Deals'!E142,'Deals'!E142,'Follow-ups'!I142,"Receipt",'Expenses'!C142)="","",CHOOSE($M$42,'Clients'!H142,'Clients'!H142,'Viewings'!E142,'Deals'!E142,'Deals'!E142,'Deals'!E142,'Follow-ups'!I142,"Receipt",'Expenses'!C142))))</x:f>
      </x:c>
      <x:c r="G184" s="473" t="str">
        <x:f>IF(B184="","",IF(ISNUMBER(CHOOSE($M$42,"","","",'Deals'!F142,'Deals'!F142,'Deals'!F142,"",'Payments'!D142,'Expenses'!G142)),CHOOSE($M$42,"","","",'Deals'!F142,'Deals'!F142,'Deals'!F142,"",'Payments'!D142,'Expenses'!G142),IF(CHOOSE($M$42,"","","",'Deals'!F142,'Deals'!F142,'Deals'!F142,"",'Payments'!D142,'Expenses'!G142)="","",CHOOSE($M$42,"","","",'Deals'!F142,'Deals'!F142,'Deals'!F142,"",'Payments'!D142,'Expenses'!G142))))</x:f>
      </x:c>
      <x:c r="H184" s="432" t="n">
        <x:f>IF(AND($M$43=1,B184&lt;&gt;"",ISNUMBER(C184),C184&gt;=$G$6,C184&lt;$K$6+1),1,0)</x:f>
        <x:v>0</x:v>
      </x:c>
      <x:c r="I184" s="432" t="str">
        <x:f>IF(H184=0,"",COUNTIFS($H$48:$H$247,1,$C$48:$C$247,"&lt;"&amp;C184)+COUNTIFS($H$48:H184,1,$C$48:C184,C184))</x:f>
      </x:c>
      <x:c r="J184" s="432"/>
      <x:c r="K184" s="432"/>
      <x:c r="L184" s="432"/>
      <x:c r="M184" s="432"/>
      <x:c r="N184" s="432"/>
      <x:c r="O184" s="432"/>
      <x:c r="P184" s="432"/>
      <x:c r="Q184" s="432"/>
    </x:row>
    <x:row r="185" ht="25" customHeight="1">
      <x:c r="A185" s="432"/>
      <x:c r="B185" s="432" t="str">
        <x:f>IF(CHOOSE($M$42,'Clients'!A143,'Clients'!A143,'Viewings'!A143,'Deals'!A143,'Deals'!A143,'Deals'!A143,'Follow-ups'!A143,'Payments'!A143,'Expenses'!A143)="","",CHOOSE($M$42,'Clients'!A143,'Clients'!A143,'Viewings'!A143,'Deals'!A143,'Deals'!A143,'Deals'!A143,'Follow-ups'!A143,'Payments'!A143,'Expenses'!A143))</x:f>
      </x:c>
      <x:c r="C185" s="472" t="str">
        <x:f>IF(B185="","",IF(CHOOSE($M$42,'Clients'!R143,'Clients'!Q143,'Viewings'!D143,'Deals'!X143,'Deals'!Y143,'Deals'!Z143,'Follow-ups'!H143,'Payments'!C143,'Expenses'!B143)="","",CHOOSE($M$42,'Clients'!R143,'Clients'!Q143,'Viewings'!D143,'Deals'!X143,'Deals'!Y143,'Deals'!Z143,'Follow-ups'!H143,'Payments'!C143,'Expenses'!B143)))</x:f>
      </x:c>
      <x:c r="D185" s="432" t="str">
        <x:f>IF(B185="","",IF(ISNUMBER(CHOOSE($M$42,'Clients'!B143,'Clients'!B143,'Viewings'!H143,IF('Deals'!B143="","",IF(COUNTIFS('Clients'!$A$6:$A$205,'Deals'!B143)&lt;&gt;1,"Check Client ID",INDEX('Clients'!$B$6:$B$205,MATCH('Deals'!B143,'Clients'!$A$6:$A$205,0)))),IF('Deals'!B143="","",IF(COUNTIFS('Clients'!$A$6:$A$205,'Deals'!B143)&lt;&gt;1,"Check Client ID",INDEX('Clients'!$B$6:$B$205,MATCH('Deals'!B143,'Clients'!$A$6:$A$205,0)))),IF('Deals'!B143="","",IF(COUNTIFS('Clients'!$A$6:$A$205,'Deals'!B143)&lt;&gt;1,"Check Client ID",INDEX('Clients'!$B$6:$B$205,MATCH('Deals'!B143,'Clients'!$A$6:$A$205,0)))),'Follow-ups'!K143,'Payments'!B143,'Expenses'!D143)),CHOOSE($M$42,'Clients'!B143,'Clients'!B143,'Viewings'!H143,IF('Deals'!B143="","",IF(COUNTIFS('Clients'!$A$6:$A$205,'Deals'!B143)&lt;&gt;1,"Check Client ID",INDEX('Clients'!$B$6:$B$205,MATCH('Deals'!B143,'Clients'!$A$6:$A$205,0)))),IF('Deals'!B143="","",IF(COUNTIFS('Clients'!$A$6:$A$205,'Deals'!B143)&lt;&gt;1,"Check Client ID",INDEX('Clients'!$B$6:$B$205,MATCH('Deals'!B143,'Clients'!$A$6:$A$205,0)))),IF('Deals'!B143="","",IF(COUNTIFS('Clients'!$A$6:$A$205,'Deals'!B143)&lt;&gt;1,"Check Client ID",INDEX('Clients'!$B$6:$B$205,MATCH('Deals'!B143,'Clients'!$A$6:$A$205,0)))),'Follow-ups'!K143,'Payments'!B143,'Expenses'!D143),IF(CHOOSE($M$42,'Clients'!B143,'Clients'!B143,'Viewings'!H143,IF('Deals'!B143="","",IF(COUNTIFS('Clients'!$A$6:$A$205,'Deals'!B143)&lt;&gt;1,"Check Client ID",INDEX('Clients'!$B$6:$B$205,MATCH('Deals'!B143,'Clients'!$A$6:$A$205,0)))),IF('Deals'!B143="","",IF(COUNTIFS('Clients'!$A$6:$A$205,'Deals'!B143)&lt;&gt;1,"Check Client ID",INDEX('Clients'!$B$6:$B$205,MATCH('Deals'!B143,'Clients'!$A$6:$A$205,0)))),IF('Deals'!B143="","",IF(COUNTIFS('Clients'!$A$6:$A$205,'Deals'!B143)&lt;&gt;1,"Check Client ID",INDEX('Clients'!$B$6:$B$205,MATCH('Deals'!B143,'Clients'!$A$6:$A$205,0)))),'Follow-ups'!K143,'Payments'!B143,'Expenses'!D143)="","",CHOOSE($M$42,'Clients'!B143,'Clients'!B143,'Viewings'!H143,IF('Deals'!B143="","",IF(COUNTIFS('Clients'!$A$6:$A$205,'Deals'!B143)&lt;&gt;1,"Check Client ID",INDEX('Clients'!$B$6:$B$205,MATCH('Deals'!B143,'Clients'!$A$6:$A$205,0)))),IF('Deals'!B143="","",IF(COUNTIFS('Clients'!$A$6:$A$205,'Deals'!B143)&lt;&gt;1,"Check Client ID",INDEX('Clients'!$B$6:$B$205,MATCH('Deals'!B143,'Clients'!$A$6:$A$205,0)))),IF('Deals'!B143="","",IF(COUNTIFS('Clients'!$A$6:$A$205,'Deals'!B143)&lt;&gt;1,"Check Client ID",INDEX('Clients'!$B$6:$B$205,MATCH('Deals'!B143,'Clients'!$A$6:$A$205,0)))),'Follow-ups'!K143,'Payments'!B143,'Expenses'!D143))))</x:f>
      </x:c>
      <x:c r="E185" s="432" t="str">
        <x:f>IF(B185="","",IF(ISNUMBER(CHOOSE($M$42,'Clients'!K143,'Clients'!K143,'Viewings'!I143,'Deals'!C143,'Deals'!C143,'Deals'!C143,'Follow-ups'!L143,'Payments'!G143,'Expenses'!F143)),CHOOSE($M$42,'Clients'!K143,'Clients'!K143,'Viewings'!I143,'Deals'!C143,'Deals'!C143,'Deals'!C143,'Follow-ups'!L143,'Payments'!G143,'Expenses'!F143),IF(CHOOSE($M$42,'Clients'!K143,'Clients'!K143,'Viewings'!I143,'Deals'!C143,'Deals'!C143,'Deals'!C143,'Follow-ups'!L143,'Payments'!G143,'Expenses'!F143)="","",CHOOSE($M$42,'Clients'!K143,'Clients'!K143,'Viewings'!I143,'Deals'!C143,'Deals'!C143,'Deals'!C143,'Follow-ups'!L143,'Payments'!G143,'Expenses'!F143))))</x:f>
      </x:c>
      <x:c r="F185" s="432" t="str">
        <x:f>IF(B185="","",IF(ISNUMBER(CHOOSE($M$42,'Clients'!H143,'Clients'!H143,'Viewings'!E143,'Deals'!E143,'Deals'!E143,'Deals'!E143,'Follow-ups'!I143,"Receipt",'Expenses'!C143)),CHOOSE($M$42,'Clients'!H143,'Clients'!H143,'Viewings'!E143,'Deals'!E143,'Deals'!E143,'Deals'!E143,'Follow-ups'!I143,"Receipt",'Expenses'!C143),IF(CHOOSE($M$42,'Clients'!H143,'Clients'!H143,'Viewings'!E143,'Deals'!E143,'Deals'!E143,'Deals'!E143,'Follow-ups'!I143,"Receipt",'Expenses'!C143)="","",CHOOSE($M$42,'Clients'!H143,'Clients'!H143,'Viewings'!E143,'Deals'!E143,'Deals'!E143,'Deals'!E143,'Follow-ups'!I143,"Receipt",'Expenses'!C143))))</x:f>
      </x:c>
      <x:c r="G185" s="473" t="str">
        <x:f>IF(B185="","",IF(ISNUMBER(CHOOSE($M$42,"","","",'Deals'!F143,'Deals'!F143,'Deals'!F143,"",'Payments'!D143,'Expenses'!G143)),CHOOSE($M$42,"","","",'Deals'!F143,'Deals'!F143,'Deals'!F143,"",'Payments'!D143,'Expenses'!G143),IF(CHOOSE($M$42,"","","",'Deals'!F143,'Deals'!F143,'Deals'!F143,"",'Payments'!D143,'Expenses'!G143)="","",CHOOSE($M$42,"","","",'Deals'!F143,'Deals'!F143,'Deals'!F143,"",'Payments'!D143,'Expenses'!G143))))</x:f>
      </x:c>
      <x:c r="H185" s="432" t="n">
        <x:f>IF(AND($M$43=1,B185&lt;&gt;"",ISNUMBER(C185),C185&gt;=$G$6,C185&lt;$K$6+1),1,0)</x:f>
        <x:v>0</x:v>
      </x:c>
      <x:c r="I185" s="432" t="str">
        <x:f>IF(H185=0,"",COUNTIFS($H$48:$H$247,1,$C$48:$C$247,"&lt;"&amp;C185)+COUNTIFS($H$48:H185,1,$C$48:C185,C185))</x:f>
      </x:c>
      <x:c r="J185" s="432"/>
      <x:c r="K185" s="432"/>
      <x:c r="L185" s="432"/>
      <x:c r="M185" s="432"/>
      <x:c r="N185" s="432"/>
      <x:c r="O185" s="432"/>
      <x:c r="P185" s="432"/>
      <x:c r="Q185" s="432"/>
    </x:row>
    <x:row r="186" ht="25" customHeight="1">
      <x:c r="A186" s="432"/>
      <x:c r="B186" s="432" t="str">
        <x:f>IF(CHOOSE($M$42,'Clients'!A144,'Clients'!A144,'Viewings'!A144,'Deals'!A144,'Deals'!A144,'Deals'!A144,'Follow-ups'!A144,'Payments'!A144,'Expenses'!A144)="","",CHOOSE($M$42,'Clients'!A144,'Clients'!A144,'Viewings'!A144,'Deals'!A144,'Deals'!A144,'Deals'!A144,'Follow-ups'!A144,'Payments'!A144,'Expenses'!A144))</x:f>
      </x:c>
      <x:c r="C186" s="472" t="str">
        <x:f>IF(B186="","",IF(CHOOSE($M$42,'Clients'!R144,'Clients'!Q144,'Viewings'!D144,'Deals'!X144,'Deals'!Y144,'Deals'!Z144,'Follow-ups'!H144,'Payments'!C144,'Expenses'!B144)="","",CHOOSE($M$42,'Clients'!R144,'Clients'!Q144,'Viewings'!D144,'Deals'!X144,'Deals'!Y144,'Deals'!Z144,'Follow-ups'!H144,'Payments'!C144,'Expenses'!B144)))</x:f>
      </x:c>
      <x:c r="D186" s="432" t="str">
        <x:f>IF(B186="","",IF(ISNUMBER(CHOOSE($M$42,'Clients'!B144,'Clients'!B144,'Viewings'!H144,IF('Deals'!B144="","",IF(COUNTIFS('Clients'!$A$6:$A$205,'Deals'!B144)&lt;&gt;1,"Check Client ID",INDEX('Clients'!$B$6:$B$205,MATCH('Deals'!B144,'Clients'!$A$6:$A$205,0)))),IF('Deals'!B144="","",IF(COUNTIFS('Clients'!$A$6:$A$205,'Deals'!B144)&lt;&gt;1,"Check Client ID",INDEX('Clients'!$B$6:$B$205,MATCH('Deals'!B144,'Clients'!$A$6:$A$205,0)))),IF('Deals'!B144="","",IF(COUNTIFS('Clients'!$A$6:$A$205,'Deals'!B144)&lt;&gt;1,"Check Client ID",INDEX('Clients'!$B$6:$B$205,MATCH('Deals'!B144,'Clients'!$A$6:$A$205,0)))),'Follow-ups'!K144,'Payments'!B144,'Expenses'!D144)),CHOOSE($M$42,'Clients'!B144,'Clients'!B144,'Viewings'!H144,IF('Deals'!B144="","",IF(COUNTIFS('Clients'!$A$6:$A$205,'Deals'!B144)&lt;&gt;1,"Check Client ID",INDEX('Clients'!$B$6:$B$205,MATCH('Deals'!B144,'Clients'!$A$6:$A$205,0)))),IF('Deals'!B144="","",IF(COUNTIFS('Clients'!$A$6:$A$205,'Deals'!B144)&lt;&gt;1,"Check Client ID",INDEX('Clients'!$B$6:$B$205,MATCH('Deals'!B144,'Clients'!$A$6:$A$205,0)))),IF('Deals'!B144="","",IF(COUNTIFS('Clients'!$A$6:$A$205,'Deals'!B144)&lt;&gt;1,"Check Client ID",INDEX('Clients'!$B$6:$B$205,MATCH('Deals'!B144,'Clients'!$A$6:$A$205,0)))),'Follow-ups'!K144,'Payments'!B144,'Expenses'!D144),IF(CHOOSE($M$42,'Clients'!B144,'Clients'!B144,'Viewings'!H144,IF('Deals'!B144="","",IF(COUNTIFS('Clients'!$A$6:$A$205,'Deals'!B144)&lt;&gt;1,"Check Client ID",INDEX('Clients'!$B$6:$B$205,MATCH('Deals'!B144,'Clients'!$A$6:$A$205,0)))),IF('Deals'!B144="","",IF(COUNTIFS('Clients'!$A$6:$A$205,'Deals'!B144)&lt;&gt;1,"Check Client ID",INDEX('Clients'!$B$6:$B$205,MATCH('Deals'!B144,'Clients'!$A$6:$A$205,0)))),IF('Deals'!B144="","",IF(COUNTIFS('Clients'!$A$6:$A$205,'Deals'!B144)&lt;&gt;1,"Check Client ID",INDEX('Clients'!$B$6:$B$205,MATCH('Deals'!B144,'Clients'!$A$6:$A$205,0)))),'Follow-ups'!K144,'Payments'!B144,'Expenses'!D144)="","",CHOOSE($M$42,'Clients'!B144,'Clients'!B144,'Viewings'!H144,IF('Deals'!B144="","",IF(COUNTIFS('Clients'!$A$6:$A$205,'Deals'!B144)&lt;&gt;1,"Check Client ID",INDEX('Clients'!$B$6:$B$205,MATCH('Deals'!B144,'Clients'!$A$6:$A$205,0)))),IF('Deals'!B144="","",IF(COUNTIFS('Clients'!$A$6:$A$205,'Deals'!B144)&lt;&gt;1,"Check Client ID",INDEX('Clients'!$B$6:$B$205,MATCH('Deals'!B144,'Clients'!$A$6:$A$205,0)))),IF('Deals'!B144="","",IF(COUNTIFS('Clients'!$A$6:$A$205,'Deals'!B144)&lt;&gt;1,"Check Client ID",INDEX('Clients'!$B$6:$B$205,MATCH('Deals'!B144,'Clients'!$A$6:$A$205,0)))),'Follow-ups'!K144,'Payments'!B144,'Expenses'!D144))))</x:f>
      </x:c>
      <x:c r="E186" s="432" t="str">
        <x:f>IF(B186="","",IF(ISNUMBER(CHOOSE($M$42,'Clients'!K144,'Clients'!K144,'Viewings'!I144,'Deals'!C144,'Deals'!C144,'Deals'!C144,'Follow-ups'!L144,'Payments'!G144,'Expenses'!F144)),CHOOSE($M$42,'Clients'!K144,'Clients'!K144,'Viewings'!I144,'Deals'!C144,'Deals'!C144,'Deals'!C144,'Follow-ups'!L144,'Payments'!G144,'Expenses'!F144),IF(CHOOSE($M$42,'Clients'!K144,'Clients'!K144,'Viewings'!I144,'Deals'!C144,'Deals'!C144,'Deals'!C144,'Follow-ups'!L144,'Payments'!G144,'Expenses'!F144)="","",CHOOSE($M$42,'Clients'!K144,'Clients'!K144,'Viewings'!I144,'Deals'!C144,'Deals'!C144,'Deals'!C144,'Follow-ups'!L144,'Payments'!G144,'Expenses'!F144))))</x:f>
      </x:c>
      <x:c r="F186" s="432" t="str">
        <x:f>IF(B186="","",IF(ISNUMBER(CHOOSE($M$42,'Clients'!H144,'Clients'!H144,'Viewings'!E144,'Deals'!E144,'Deals'!E144,'Deals'!E144,'Follow-ups'!I144,"Receipt",'Expenses'!C144)),CHOOSE($M$42,'Clients'!H144,'Clients'!H144,'Viewings'!E144,'Deals'!E144,'Deals'!E144,'Deals'!E144,'Follow-ups'!I144,"Receipt",'Expenses'!C144),IF(CHOOSE($M$42,'Clients'!H144,'Clients'!H144,'Viewings'!E144,'Deals'!E144,'Deals'!E144,'Deals'!E144,'Follow-ups'!I144,"Receipt",'Expenses'!C144)="","",CHOOSE($M$42,'Clients'!H144,'Clients'!H144,'Viewings'!E144,'Deals'!E144,'Deals'!E144,'Deals'!E144,'Follow-ups'!I144,"Receipt",'Expenses'!C144))))</x:f>
      </x:c>
      <x:c r="G186" s="473" t="str">
        <x:f>IF(B186="","",IF(ISNUMBER(CHOOSE($M$42,"","","",'Deals'!F144,'Deals'!F144,'Deals'!F144,"",'Payments'!D144,'Expenses'!G144)),CHOOSE($M$42,"","","",'Deals'!F144,'Deals'!F144,'Deals'!F144,"",'Payments'!D144,'Expenses'!G144),IF(CHOOSE($M$42,"","","",'Deals'!F144,'Deals'!F144,'Deals'!F144,"",'Payments'!D144,'Expenses'!G144)="","",CHOOSE($M$42,"","","",'Deals'!F144,'Deals'!F144,'Deals'!F144,"",'Payments'!D144,'Expenses'!G144))))</x:f>
      </x:c>
      <x:c r="H186" s="432" t="n">
        <x:f>IF(AND($M$43=1,B186&lt;&gt;"",ISNUMBER(C186),C186&gt;=$G$6,C186&lt;$K$6+1),1,0)</x:f>
        <x:v>0</x:v>
      </x:c>
      <x:c r="I186" s="432" t="str">
        <x:f>IF(H186=0,"",COUNTIFS($H$48:$H$247,1,$C$48:$C$247,"&lt;"&amp;C186)+COUNTIFS($H$48:H186,1,$C$48:C186,C186))</x:f>
      </x:c>
      <x:c r="J186" s="432"/>
      <x:c r="K186" s="432"/>
      <x:c r="L186" s="432"/>
      <x:c r="M186" s="432"/>
      <x:c r="N186" s="432"/>
      <x:c r="O186" s="432"/>
      <x:c r="P186" s="432"/>
      <x:c r="Q186" s="432"/>
    </x:row>
    <x:row r="187" ht="25" customHeight="1">
      <x:c r="A187" s="432"/>
      <x:c r="B187" s="432" t="str">
        <x:f>IF(CHOOSE($M$42,'Clients'!A145,'Clients'!A145,'Viewings'!A145,'Deals'!A145,'Deals'!A145,'Deals'!A145,'Follow-ups'!A145,'Payments'!A145,'Expenses'!A145)="","",CHOOSE($M$42,'Clients'!A145,'Clients'!A145,'Viewings'!A145,'Deals'!A145,'Deals'!A145,'Deals'!A145,'Follow-ups'!A145,'Payments'!A145,'Expenses'!A145))</x:f>
      </x:c>
      <x:c r="C187" s="472" t="str">
        <x:f>IF(B187="","",IF(CHOOSE($M$42,'Clients'!R145,'Clients'!Q145,'Viewings'!D145,'Deals'!X145,'Deals'!Y145,'Deals'!Z145,'Follow-ups'!H145,'Payments'!C145,'Expenses'!B145)="","",CHOOSE($M$42,'Clients'!R145,'Clients'!Q145,'Viewings'!D145,'Deals'!X145,'Deals'!Y145,'Deals'!Z145,'Follow-ups'!H145,'Payments'!C145,'Expenses'!B145)))</x:f>
      </x:c>
      <x:c r="D187" s="432" t="str">
        <x:f>IF(B187="","",IF(ISNUMBER(CHOOSE($M$42,'Clients'!B145,'Clients'!B145,'Viewings'!H145,IF('Deals'!B145="","",IF(COUNTIFS('Clients'!$A$6:$A$205,'Deals'!B145)&lt;&gt;1,"Check Client ID",INDEX('Clients'!$B$6:$B$205,MATCH('Deals'!B145,'Clients'!$A$6:$A$205,0)))),IF('Deals'!B145="","",IF(COUNTIFS('Clients'!$A$6:$A$205,'Deals'!B145)&lt;&gt;1,"Check Client ID",INDEX('Clients'!$B$6:$B$205,MATCH('Deals'!B145,'Clients'!$A$6:$A$205,0)))),IF('Deals'!B145="","",IF(COUNTIFS('Clients'!$A$6:$A$205,'Deals'!B145)&lt;&gt;1,"Check Client ID",INDEX('Clients'!$B$6:$B$205,MATCH('Deals'!B145,'Clients'!$A$6:$A$205,0)))),'Follow-ups'!K145,'Payments'!B145,'Expenses'!D145)),CHOOSE($M$42,'Clients'!B145,'Clients'!B145,'Viewings'!H145,IF('Deals'!B145="","",IF(COUNTIFS('Clients'!$A$6:$A$205,'Deals'!B145)&lt;&gt;1,"Check Client ID",INDEX('Clients'!$B$6:$B$205,MATCH('Deals'!B145,'Clients'!$A$6:$A$205,0)))),IF('Deals'!B145="","",IF(COUNTIFS('Clients'!$A$6:$A$205,'Deals'!B145)&lt;&gt;1,"Check Client ID",INDEX('Clients'!$B$6:$B$205,MATCH('Deals'!B145,'Clients'!$A$6:$A$205,0)))),IF('Deals'!B145="","",IF(COUNTIFS('Clients'!$A$6:$A$205,'Deals'!B145)&lt;&gt;1,"Check Client ID",INDEX('Clients'!$B$6:$B$205,MATCH('Deals'!B145,'Clients'!$A$6:$A$205,0)))),'Follow-ups'!K145,'Payments'!B145,'Expenses'!D145),IF(CHOOSE($M$42,'Clients'!B145,'Clients'!B145,'Viewings'!H145,IF('Deals'!B145="","",IF(COUNTIFS('Clients'!$A$6:$A$205,'Deals'!B145)&lt;&gt;1,"Check Client ID",INDEX('Clients'!$B$6:$B$205,MATCH('Deals'!B145,'Clients'!$A$6:$A$205,0)))),IF('Deals'!B145="","",IF(COUNTIFS('Clients'!$A$6:$A$205,'Deals'!B145)&lt;&gt;1,"Check Client ID",INDEX('Clients'!$B$6:$B$205,MATCH('Deals'!B145,'Clients'!$A$6:$A$205,0)))),IF('Deals'!B145="","",IF(COUNTIFS('Clients'!$A$6:$A$205,'Deals'!B145)&lt;&gt;1,"Check Client ID",INDEX('Clients'!$B$6:$B$205,MATCH('Deals'!B145,'Clients'!$A$6:$A$205,0)))),'Follow-ups'!K145,'Payments'!B145,'Expenses'!D145)="","",CHOOSE($M$42,'Clients'!B145,'Clients'!B145,'Viewings'!H145,IF('Deals'!B145="","",IF(COUNTIFS('Clients'!$A$6:$A$205,'Deals'!B145)&lt;&gt;1,"Check Client ID",INDEX('Clients'!$B$6:$B$205,MATCH('Deals'!B145,'Clients'!$A$6:$A$205,0)))),IF('Deals'!B145="","",IF(COUNTIFS('Clients'!$A$6:$A$205,'Deals'!B145)&lt;&gt;1,"Check Client ID",INDEX('Clients'!$B$6:$B$205,MATCH('Deals'!B145,'Clients'!$A$6:$A$205,0)))),IF('Deals'!B145="","",IF(COUNTIFS('Clients'!$A$6:$A$205,'Deals'!B145)&lt;&gt;1,"Check Client ID",INDEX('Clients'!$B$6:$B$205,MATCH('Deals'!B145,'Clients'!$A$6:$A$205,0)))),'Follow-ups'!K145,'Payments'!B145,'Expenses'!D145))))</x:f>
      </x:c>
      <x:c r="E187" s="432" t="str">
        <x:f>IF(B187="","",IF(ISNUMBER(CHOOSE($M$42,'Clients'!K145,'Clients'!K145,'Viewings'!I145,'Deals'!C145,'Deals'!C145,'Deals'!C145,'Follow-ups'!L145,'Payments'!G145,'Expenses'!F145)),CHOOSE($M$42,'Clients'!K145,'Clients'!K145,'Viewings'!I145,'Deals'!C145,'Deals'!C145,'Deals'!C145,'Follow-ups'!L145,'Payments'!G145,'Expenses'!F145),IF(CHOOSE($M$42,'Clients'!K145,'Clients'!K145,'Viewings'!I145,'Deals'!C145,'Deals'!C145,'Deals'!C145,'Follow-ups'!L145,'Payments'!G145,'Expenses'!F145)="","",CHOOSE($M$42,'Clients'!K145,'Clients'!K145,'Viewings'!I145,'Deals'!C145,'Deals'!C145,'Deals'!C145,'Follow-ups'!L145,'Payments'!G145,'Expenses'!F145))))</x:f>
      </x:c>
      <x:c r="F187" s="432" t="str">
        <x:f>IF(B187="","",IF(ISNUMBER(CHOOSE($M$42,'Clients'!H145,'Clients'!H145,'Viewings'!E145,'Deals'!E145,'Deals'!E145,'Deals'!E145,'Follow-ups'!I145,"Receipt",'Expenses'!C145)),CHOOSE($M$42,'Clients'!H145,'Clients'!H145,'Viewings'!E145,'Deals'!E145,'Deals'!E145,'Deals'!E145,'Follow-ups'!I145,"Receipt",'Expenses'!C145),IF(CHOOSE($M$42,'Clients'!H145,'Clients'!H145,'Viewings'!E145,'Deals'!E145,'Deals'!E145,'Deals'!E145,'Follow-ups'!I145,"Receipt",'Expenses'!C145)="","",CHOOSE($M$42,'Clients'!H145,'Clients'!H145,'Viewings'!E145,'Deals'!E145,'Deals'!E145,'Deals'!E145,'Follow-ups'!I145,"Receipt",'Expenses'!C145))))</x:f>
      </x:c>
      <x:c r="G187" s="473" t="str">
        <x:f>IF(B187="","",IF(ISNUMBER(CHOOSE($M$42,"","","",'Deals'!F145,'Deals'!F145,'Deals'!F145,"",'Payments'!D145,'Expenses'!G145)),CHOOSE($M$42,"","","",'Deals'!F145,'Deals'!F145,'Deals'!F145,"",'Payments'!D145,'Expenses'!G145),IF(CHOOSE($M$42,"","","",'Deals'!F145,'Deals'!F145,'Deals'!F145,"",'Payments'!D145,'Expenses'!G145)="","",CHOOSE($M$42,"","","",'Deals'!F145,'Deals'!F145,'Deals'!F145,"",'Payments'!D145,'Expenses'!G145))))</x:f>
      </x:c>
      <x:c r="H187" s="432" t="n">
        <x:f>IF(AND($M$43=1,B187&lt;&gt;"",ISNUMBER(C187),C187&gt;=$G$6,C187&lt;$K$6+1),1,0)</x:f>
        <x:v>0</x:v>
      </x:c>
      <x:c r="I187" s="432" t="str">
        <x:f>IF(H187=0,"",COUNTIFS($H$48:$H$247,1,$C$48:$C$247,"&lt;"&amp;C187)+COUNTIFS($H$48:H187,1,$C$48:C187,C187))</x:f>
      </x:c>
      <x:c r="J187" s="432"/>
      <x:c r="K187" s="432"/>
      <x:c r="L187" s="432"/>
      <x:c r="M187" s="432"/>
      <x:c r="N187" s="432"/>
      <x:c r="O187" s="432"/>
      <x:c r="P187" s="432"/>
      <x:c r="Q187" s="432"/>
    </x:row>
    <x:row r="188" ht="25" customHeight="1">
      <x:c r="A188" s="432"/>
      <x:c r="B188" s="432" t="str">
        <x:f>IF(CHOOSE($M$42,'Clients'!A146,'Clients'!A146,'Viewings'!A146,'Deals'!A146,'Deals'!A146,'Deals'!A146,'Follow-ups'!A146,'Payments'!A146,'Expenses'!A146)="","",CHOOSE($M$42,'Clients'!A146,'Clients'!A146,'Viewings'!A146,'Deals'!A146,'Deals'!A146,'Deals'!A146,'Follow-ups'!A146,'Payments'!A146,'Expenses'!A146))</x:f>
      </x:c>
      <x:c r="C188" s="472" t="str">
        <x:f>IF(B188="","",IF(CHOOSE($M$42,'Clients'!R146,'Clients'!Q146,'Viewings'!D146,'Deals'!X146,'Deals'!Y146,'Deals'!Z146,'Follow-ups'!H146,'Payments'!C146,'Expenses'!B146)="","",CHOOSE($M$42,'Clients'!R146,'Clients'!Q146,'Viewings'!D146,'Deals'!X146,'Deals'!Y146,'Deals'!Z146,'Follow-ups'!H146,'Payments'!C146,'Expenses'!B146)))</x:f>
      </x:c>
      <x:c r="D188" s="432" t="str">
        <x:f>IF(B188="","",IF(ISNUMBER(CHOOSE($M$42,'Clients'!B146,'Clients'!B146,'Viewings'!H146,IF('Deals'!B146="","",IF(COUNTIFS('Clients'!$A$6:$A$205,'Deals'!B146)&lt;&gt;1,"Check Client ID",INDEX('Clients'!$B$6:$B$205,MATCH('Deals'!B146,'Clients'!$A$6:$A$205,0)))),IF('Deals'!B146="","",IF(COUNTIFS('Clients'!$A$6:$A$205,'Deals'!B146)&lt;&gt;1,"Check Client ID",INDEX('Clients'!$B$6:$B$205,MATCH('Deals'!B146,'Clients'!$A$6:$A$205,0)))),IF('Deals'!B146="","",IF(COUNTIFS('Clients'!$A$6:$A$205,'Deals'!B146)&lt;&gt;1,"Check Client ID",INDEX('Clients'!$B$6:$B$205,MATCH('Deals'!B146,'Clients'!$A$6:$A$205,0)))),'Follow-ups'!K146,'Payments'!B146,'Expenses'!D146)),CHOOSE($M$42,'Clients'!B146,'Clients'!B146,'Viewings'!H146,IF('Deals'!B146="","",IF(COUNTIFS('Clients'!$A$6:$A$205,'Deals'!B146)&lt;&gt;1,"Check Client ID",INDEX('Clients'!$B$6:$B$205,MATCH('Deals'!B146,'Clients'!$A$6:$A$205,0)))),IF('Deals'!B146="","",IF(COUNTIFS('Clients'!$A$6:$A$205,'Deals'!B146)&lt;&gt;1,"Check Client ID",INDEX('Clients'!$B$6:$B$205,MATCH('Deals'!B146,'Clients'!$A$6:$A$205,0)))),IF('Deals'!B146="","",IF(COUNTIFS('Clients'!$A$6:$A$205,'Deals'!B146)&lt;&gt;1,"Check Client ID",INDEX('Clients'!$B$6:$B$205,MATCH('Deals'!B146,'Clients'!$A$6:$A$205,0)))),'Follow-ups'!K146,'Payments'!B146,'Expenses'!D146),IF(CHOOSE($M$42,'Clients'!B146,'Clients'!B146,'Viewings'!H146,IF('Deals'!B146="","",IF(COUNTIFS('Clients'!$A$6:$A$205,'Deals'!B146)&lt;&gt;1,"Check Client ID",INDEX('Clients'!$B$6:$B$205,MATCH('Deals'!B146,'Clients'!$A$6:$A$205,0)))),IF('Deals'!B146="","",IF(COUNTIFS('Clients'!$A$6:$A$205,'Deals'!B146)&lt;&gt;1,"Check Client ID",INDEX('Clients'!$B$6:$B$205,MATCH('Deals'!B146,'Clients'!$A$6:$A$205,0)))),IF('Deals'!B146="","",IF(COUNTIFS('Clients'!$A$6:$A$205,'Deals'!B146)&lt;&gt;1,"Check Client ID",INDEX('Clients'!$B$6:$B$205,MATCH('Deals'!B146,'Clients'!$A$6:$A$205,0)))),'Follow-ups'!K146,'Payments'!B146,'Expenses'!D146)="","",CHOOSE($M$42,'Clients'!B146,'Clients'!B146,'Viewings'!H146,IF('Deals'!B146="","",IF(COUNTIFS('Clients'!$A$6:$A$205,'Deals'!B146)&lt;&gt;1,"Check Client ID",INDEX('Clients'!$B$6:$B$205,MATCH('Deals'!B146,'Clients'!$A$6:$A$205,0)))),IF('Deals'!B146="","",IF(COUNTIFS('Clients'!$A$6:$A$205,'Deals'!B146)&lt;&gt;1,"Check Client ID",INDEX('Clients'!$B$6:$B$205,MATCH('Deals'!B146,'Clients'!$A$6:$A$205,0)))),IF('Deals'!B146="","",IF(COUNTIFS('Clients'!$A$6:$A$205,'Deals'!B146)&lt;&gt;1,"Check Client ID",INDEX('Clients'!$B$6:$B$205,MATCH('Deals'!B146,'Clients'!$A$6:$A$205,0)))),'Follow-ups'!K146,'Payments'!B146,'Expenses'!D146))))</x:f>
      </x:c>
      <x:c r="E188" s="432" t="str">
        <x:f>IF(B188="","",IF(ISNUMBER(CHOOSE($M$42,'Clients'!K146,'Clients'!K146,'Viewings'!I146,'Deals'!C146,'Deals'!C146,'Deals'!C146,'Follow-ups'!L146,'Payments'!G146,'Expenses'!F146)),CHOOSE($M$42,'Clients'!K146,'Clients'!K146,'Viewings'!I146,'Deals'!C146,'Deals'!C146,'Deals'!C146,'Follow-ups'!L146,'Payments'!G146,'Expenses'!F146),IF(CHOOSE($M$42,'Clients'!K146,'Clients'!K146,'Viewings'!I146,'Deals'!C146,'Deals'!C146,'Deals'!C146,'Follow-ups'!L146,'Payments'!G146,'Expenses'!F146)="","",CHOOSE($M$42,'Clients'!K146,'Clients'!K146,'Viewings'!I146,'Deals'!C146,'Deals'!C146,'Deals'!C146,'Follow-ups'!L146,'Payments'!G146,'Expenses'!F146))))</x:f>
      </x:c>
      <x:c r="F188" s="432" t="str">
        <x:f>IF(B188="","",IF(ISNUMBER(CHOOSE($M$42,'Clients'!H146,'Clients'!H146,'Viewings'!E146,'Deals'!E146,'Deals'!E146,'Deals'!E146,'Follow-ups'!I146,"Receipt",'Expenses'!C146)),CHOOSE($M$42,'Clients'!H146,'Clients'!H146,'Viewings'!E146,'Deals'!E146,'Deals'!E146,'Deals'!E146,'Follow-ups'!I146,"Receipt",'Expenses'!C146),IF(CHOOSE($M$42,'Clients'!H146,'Clients'!H146,'Viewings'!E146,'Deals'!E146,'Deals'!E146,'Deals'!E146,'Follow-ups'!I146,"Receipt",'Expenses'!C146)="","",CHOOSE($M$42,'Clients'!H146,'Clients'!H146,'Viewings'!E146,'Deals'!E146,'Deals'!E146,'Deals'!E146,'Follow-ups'!I146,"Receipt",'Expenses'!C146))))</x:f>
      </x:c>
      <x:c r="G188" s="473" t="str">
        <x:f>IF(B188="","",IF(ISNUMBER(CHOOSE($M$42,"","","",'Deals'!F146,'Deals'!F146,'Deals'!F146,"",'Payments'!D146,'Expenses'!G146)),CHOOSE($M$42,"","","",'Deals'!F146,'Deals'!F146,'Deals'!F146,"",'Payments'!D146,'Expenses'!G146),IF(CHOOSE($M$42,"","","",'Deals'!F146,'Deals'!F146,'Deals'!F146,"",'Payments'!D146,'Expenses'!G146)="","",CHOOSE($M$42,"","","",'Deals'!F146,'Deals'!F146,'Deals'!F146,"",'Payments'!D146,'Expenses'!G146))))</x:f>
      </x:c>
      <x:c r="H188" s="432" t="n">
        <x:f>IF(AND($M$43=1,B188&lt;&gt;"",ISNUMBER(C188),C188&gt;=$G$6,C188&lt;$K$6+1),1,0)</x:f>
        <x:v>0</x:v>
      </x:c>
      <x:c r="I188" s="432" t="str">
        <x:f>IF(H188=0,"",COUNTIFS($H$48:$H$247,1,$C$48:$C$247,"&lt;"&amp;C188)+COUNTIFS($H$48:H188,1,$C$48:C188,C188))</x:f>
      </x:c>
      <x:c r="J188" s="432"/>
      <x:c r="K188" s="432"/>
      <x:c r="L188" s="432"/>
      <x:c r="M188" s="432"/>
      <x:c r="N188" s="432"/>
      <x:c r="O188" s="432"/>
      <x:c r="P188" s="432"/>
      <x:c r="Q188" s="432"/>
    </x:row>
    <x:row r="189" ht="25" customHeight="1">
      <x:c r="A189" s="432"/>
      <x:c r="B189" s="432" t="str">
        <x:f>IF(CHOOSE($M$42,'Clients'!A147,'Clients'!A147,'Viewings'!A147,'Deals'!A147,'Deals'!A147,'Deals'!A147,'Follow-ups'!A147,'Payments'!A147,'Expenses'!A147)="","",CHOOSE($M$42,'Clients'!A147,'Clients'!A147,'Viewings'!A147,'Deals'!A147,'Deals'!A147,'Deals'!A147,'Follow-ups'!A147,'Payments'!A147,'Expenses'!A147))</x:f>
      </x:c>
      <x:c r="C189" s="472" t="str">
        <x:f>IF(B189="","",IF(CHOOSE($M$42,'Clients'!R147,'Clients'!Q147,'Viewings'!D147,'Deals'!X147,'Deals'!Y147,'Deals'!Z147,'Follow-ups'!H147,'Payments'!C147,'Expenses'!B147)="","",CHOOSE($M$42,'Clients'!R147,'Clients'!Q147,'Viewings'!D147,'Deals'!X147,'Deals'!Y147,'Deals'!Z147,'Follow-ups'!H147,'Payments'!C147,'Expenses'!B147)))</x:f>
      </x:c>
      <x:c r="D189" s="432" t="str">
        <x:f>IF(B189="","",IF(ISNUMBER(CHOOSE($M$42,'Clients'!B147,'Clients'!B147,'Viewings'!H147,IF('Deals'!B147="","",IF(COUNTIFS('Clients'!$A$6:$A$205,'Deals'!B147)&lt;&gt;1,"Check Client ID",INDEX('Clients'!$B$6:$B$205,MATCH('Deals'!B147,'Clients'!$A$6:$A$205,0)))),IF('Deals'!B147="","",IF(COUNTIFS('Clients'!$A$6:$A$205,'Deals'!B147)&lt;&gt;1,"Check Client ID",INDEX('Clients'!$B$6:$B$205,MATCH('Deals'!B147,'Clients'!$A$6:$A$205,0)))),IF('Deals'!B147="","",IF(COUNTIFS('Clients'!$A$6:$A$205,'Deals'!B147)&lt;&gt;1,"Check Client ID",INDEX('Clients'!$B$6:$B$205,MATCH('Deals'!B147,'Clients'!$A$6:$A$205,0)))),'Follow-ups'!K147,'Payments'!B147,'Expenses'!D147)),CHOOSE($M$42,'Clients'!B147,'Clients'!B147,'Viewings'!H147,IF('Deals'!B147="","",IF(COUNTIFS('Clients'!$A$6:$A$205,'Deals'!B147)&lt;&gt;1,"Check Client ID",INDEX('Clients'!$B$6:$B$205,MATCH('Deals'!B147,'Clients'!$A$6:$A$205,0)))),IF('Deals'!B147="","",IF(COUNTIFS('Clients'!$A$6:$A$205,'Deals'!B147)&lt;&gt;1,"Check Client ID",INDEX('Clients'!$B$6:$B$205,MATCH('Deals'!B147,'Clients'!$A$6:$A$205,0)))),IF('Deals'!B147="","",IF(COUNTIFS('Clients'!$A$6:$A$205,'Deals'!B147)&lt;&gt;1,"Check Client ID",INDEX('Clients'!$B$6:$B$205,MATCH('Deals'!B147,'Clients'!$A$6:$A$205,0)))),'Follow-ups'!K147,'Payments'!B147,'Expenses'!D147),IF(CHOOSE($M$42,'Clients'!B147,'Clients'!B147,'Viewings'!H147,IF('Deals'!B147="","",IF(COUNTIFS('Clients'!$A$6:$A$205,'Deals'!B147)&lt;&gt;1,"Check Client ID",INDEX('Clients'!$B$6:$B$205,MATCH('Deals'!B147,'Clients'!$A$6:$A$205,0)))),IF('Deals'!B147="","",IF(COUNTIFS('Clients'!$A$6:$A$205,'Deals'!B147)&lt;&gt;1,"Check Client ID",INDEX('Clients'!$B$6:$B$205,MATCH('Deals'!B147,'Clients'!$A$6:$A$205,0)))),IF('Deals'!B147="","",IF(COUNTIFS('Clients'!$A$6:$A$205,'Deals'!B147)&lt;&gt;1,"Check Client ID",INDEX('Clients'!$B$6:$B$205,MATCH('Deals'!B147,'Clients'!$A$6:$A$205,0)))),'Follow-ups'!K147,'Payments'!B147,'Expenses'!D147)="","",CHOOSE($M$42,'Clients'!B147,'Clients'!B147,'Viewings'!H147,IF('Deals'!B147="","",IF(COUNTIFS('Clients'!$A$6:$A$205,'Deals'!B147)&lt;&gt;1,"Check Client ID",INDEX('Clients'!$B$6:$B$205,MATCH('Deals'!B147,'Clients'!$A$6:$A$205,0)))),IF('Deals'!B147="","",IF(COUNTIFS('Clients'!$A$6:$A$205,'Deals'!B147)&lt;&gt;1,"Check Client ID",INDEX('Clients'!$B$6:$B$205,MATCH('Deals'!B147,'Clients'!$A$6:$A$205,0)))),IF('Deals'!B147="","",IF(COUNTIFS('Clients'!$A$6:$A$205,'Deals'!B147)&lt;&gt;1,"Check Client ID",INDEX('Clients'!$B$6:$B$205,MATCH('Deals'!B147,'Clients'!$A$6:$A$205,0)))),'Follow-ups'!K147,'Payments'!B147,'Expenses'!D147))))</x:f>
      </x:c>
      <x:c r="E189" s="432" t="str">
        <x:f>IF(B189="","",IF(ISNUMBER(CHOOSE($M$42,'Clients'!K147,'Clients'!K147,'Viewings'!I147,'Deals'!C147,'Deals'!C147,'Deals'!C147,'Follow-ups'!L147,'Payments'!G147,'Expenses'!F147)),CHOOSE($M$42,'Clients'!K147,'Clients'!K147,'Viewings'!I147,'Deals'!C147,'Deals'!C147,'Deals'!C147,'Follow-ups'!L147,'Payments'!G147,'Expenses'!F147),IF(CHOOSE($M$42,'Clients'!K147,'Clients'!K147,'Viewings'!I147,'Deals'!C147,'Deals'!C147,'Deals'!C147,'Follow-ups'!L147,'Payments'!G147,'Expenses'!F147)="","",CHOOSE($M$42,'Clients'!K147,'Clients'!K147,'Viewings'!I147,'Deals'!C147,'Deals'!C147,'Deals'!C147,'Follow-ups'!L147,'Payments'!G147,'Expenses'!F147))))</x:f>
      </x:c>
      <x:c r="F189" s="432" t="str">
        <x:f>IF(B189="","",IF(ISNUMBER(CHOOSE($M$42,'Clients'!H147,'Clients'!H147,'Viewings'!E147,'Deals'!E147,'Deals'!E147,'Deals'!E147,'Follow-ups'!I147,"Receipt",'Expenses'!C147)),CHOOSE($M$42,'Clients'!H147,'Clients'!H147,'Viewings'!E147,'Deals'!E147,'Deals'!E147,'Deals'!E147,'Follow-ups'!I147,"Receipt",'Expenses'!C147),IF(CHOOSE($M$42,'Clients'!H147,'Clients'!H147,'Viewings'!E147,'Deals'!E147,'Deals'!E147,'Deals'!E147,'Follow-ups'!I147,"Receipt",'Expenses'!C147)="","",CHOOSE($M$42,'Clients'!H147,'Clients'!H147,'Viewings'!E147,'Deals'!E147,'Deals'!E147,'Deals'!E147,'Follow-ups'!I147,"Receipt",'Expenses'!C147))))</x:f>
      </x:c>
      <x:c r="G189" s="473" t="str">
        <x:f>IF(B189="","",IF(ISNUMBER(CHOOSE($M$42,"","","",'Deals'!F147,'Deals'!F147,'Deals'!F147,"",'Payments'!D147,'Expenses'!G147)),CHOOSE($M$42,"","","",'Deals'!F147,'Deals'!F147,'Deals'!F147,"",'Payments'!D147,'Expenses'!G147),IF(CHOOSE($M$42,"","","",'Deals'!F147,'Deals'!F147,'Deals'!F147,"",'Payments'!D147,'Expenses'!G147)="","",CHOOSE($M$42,"","","",'Deals'!F147,'Deals'!F147,'Deals'!F147,"",'Payments'!D147,'Expenses'!G147))))</x:f>
      </x:c>
      <x:c r="H189" s="432" t="n">
        <x:f>IF(AND($M$43=1,B189&lt;&gt;"",ISNUMBER(C189),C189&gt;=$G$6,C189&lt;$K$6+1),1,0)</x:f>
        <x:v>0</x:v>
      </x:c>
      <x:c r="I189" s="432" t="str">
        <x:f>IF(H189=0,"",COUNTIFS($H$48:$H$247,1,$C$48:$C$247,"&lt;"&amp;C189)+COUNTIFS($H$48:H189,1,$C$48:C189,C189))</x:f>
      </x:c>
      <x:c r="J189" s="432"/>
      <x:c r="K189" s="432"/>
      <x:c r="L189" s="432"/>
      <x:c r="M189" s="432"/>
      <x:c r="N189" s="432"/>
      <x:c r="O189" s="432"/>
      <x:c r="P189" s="432"/>
      <x:c r="Q189" s="432"/>
    </x:row>
    <x:row r="190" ht="25" customHeight="1">
      <x:c r="A190" s="432"/>
      <x:c r="B190" s="432" t="str">
        <x:f>IF(CHOOSE($M$42,'Clients'!A148,'Clients'!A148,'Viewings'!A148,'Deals'!A148,'Deals'!A148,'Deals'!A148,'Follow-ups'!A148,'Payments'!A148,'Expenses'!A148)="","",CHOOSE($M$42,'Clients'!A148,'Clients'!A148,'Viewings'!A148,'Deals'!A148,'Deals'!A148,'Deals'!A148,'Follow-ups'!A148,'Payments'!A148,'Expenses'!A148))</x:f>
      </x:c>
      <x:c r="C190" s="472" t="str">
        <x:f>IF(B190="","",IF(CHOOSE($M$42,'Clients'!R148,'Clients'!Q148,'Viewings'!D148,'Deals'!X148,'Deals'!Y148,'Deals'!Z148,'Follow-ups'!H148,'Payments'!C148,'Expenses'!B148)="","",CHOOSE($M$42,'Clients'!R148,'Clients'!Q148,'Viewings'!D148,'Deals'!X148,'Deals'!Y148,'Deals'!Z148,'Follow-ups'!H148,'Payments'!C148,'Expenses'!B148)))</x:f>
      </x:c>
      <x:c r="D190" s="432" t="str">
        <x:f>IF(B190="","",IF(ISNUMBER(CHOOSE($M$42,'Clients'!B148,'Clients'!B148,'Viewings'!H148,IF('Deals'!B148="","",IF(COUNTIFS('Clients'!$A$6:$A$205,'Deals'!B148)&lt;&gt;1,"Check Client ID",INDEX('Clients'!$B$6:$B$205,MATCH('Deals'!B148,'Clients'!$A$6:$A$205,0)))),IF('Deals'!B148="","",IF(COUNTIFS('Clients'!$A$6:$A$205,'Deals'!B148)&lt;&gt;1,"Check Client ID",INDEX('Clients'!$B$6:$B$205,MATCH('Deals'!B148,'Clients'!$A$6:$A$205,0)))),IF('Deals'!B148="","",IF(COUNTIFS('Clients'!$A$6:$A$205,'Deals'!B148)&lt;&gt;1,"Check Client ID",INDEX('Clients'!$B$6:$B$205,MATCH('Deals'!B148,'Clients'!$A$6:$A$205,0)))),'Follow-ups'!K148,'Payments'!B148,'Expenses'!D148)),CHOOSE($M$42,'Clients'!B148,'Clients'!B148,'Viewings'!H148,IF('Deals'!B148="","",IF(COUNTIFS('Clients'!$A$6:$A$205,'Deals'!B148)&lt;&gt;1,"Check Client ID",INDEX('Clients'!$B$6:$B$205,MATCH('Deals'!B148,'Clients'!$A$6:$A$205,0)))),IF('Deals'!B148="","",IF(COUNTIFS('Clients'!$A$6:$A$205,'Deals'!B148)&lt;&gt;1,"Check Client ID",INDEX('Clients'!$B$6:$B$205,MATCH('Deals'!B148,'Clients'!$A$6:$A$205,0)))),IF('Deals'!B148="","",IF(COUNTIFS('Clients'!$A$6:$A$205,'Deals'!B148)&lt;&gt;1,"Check Client ID",INDEX('Clients'!$B$6:$B$205,MATCH('Deals'!B148,'Clients'!$A$6:$A$205,0)))),'Follow-ups'!K148,'Payments'!B148,'Expenses'!D148),IF(CHOOSE($M$42,'Clients'!B148,'Clients'!B148,'Viewings'!H148,IF('Deals'!B148="","",IF(COUNTIFS('Clients'!$A$6:$A$205,'Deals'!B148)&lt;&gt;1,"Check Client ID",INDEX('Clients'!$B$6:$B$205,MATCH('Deals'!B148,'Clients'!$A$6:$A$205,0)))),IF('Deals'!B148="","",IF(COUNTIFS('Clients'!$A$6:$A$205,'Deals'!B148)&lt;&gt;1,"Check Client ID",INDEX('Clients'!$B$6:$B$205,MATCH('Deals'!B148,'Clients'!$A$6:$A$205,0)))),IF('Deals'!B148="","",IF(COUNTIFS('Clients'!$A$6:$A$205,'Deals'!B148)&lt;&gt;1,"Check Client ID",INDEX('Clients'!$B$6:$B$205,MATCH('Deals'!B148,'Clients'!$A$6:$A$205,0)))),'Follow-ups'!K148,'Payments'!B148,'Expenses'!D148)="","",CHOOSE($M$42,'Clients'!B148,'Clients'!B148,'Viewings'!H148,IF('Deals'!B148="","",IF(COUNTIFS('Clients'!$A$6:$A$205,'Deals'!B148)&lt;&gt;1,"Check Client ID",INDEX('Clients'!$B$6:$B$205,MATCH('Deals'!B148,'Clients'!$A$6:$A$205,0)))),IF('Deals'!B148="","",IF(COUNTIFS('Clients'!$A$6:$A$205,'Deals'!B148)&lt;&gt;1,"Check Client ID",INDEX('Clients'!$B$6:$B$205,MATCH('Deals'!B148,'Clients'!$A$6:$A$205,0)))),IF('Deals'!B148="","",IF(COUNTIFS('Clients'!$A$6:$A$205,'Deals'!B148)&lt;&gt;1,"Check Client ID",INDEX('Clients'!$B$6:$B$205,MATCH('Deals'!B148,'Clients'!$A$6:$A$205,0)))),'Follow-ups'!K148,'Payments'!B148,'Expenses'!D148))))</x:f>
      </x:c>
      <x:c r="E190" s="432" t="str">
        <x:f>IF(B190="","",IF(ISNUMBER(CHOOSE($M$42,'Clients'!K148,'Clients'!K148,'Viewings'!I148,'Deals'!C148,'Deals'!C148,'Deals'!C148,'Follow-ups'!L148,'Payments'!G148,'Expenses'!F148)),CHOOSE($M$42,'Clients'!K148,'Clients'!K148,'Viewings'!I148,'Deals'!C148,'Deals'!C148,'Deals'!C148,'Follow-ups'!L148,'Payments'!G148,'Expenses'!F148),IF(CHOOSE($M$42,'Clients'!K148,'Clients'!K148,'Viewings'!I148,'Deals'!C148,'Deals'!C148,'Deals'!C148,'Follow-ups'!L148,'Payments'!G148,'Expenses'!F148)="","",CHOOSE($M$42,'Clients'!K148,'Clients'!K148,'Viewings'!I148,'Deals'!C148,'Deals'!C148,'Deals'!C148,'Follow-ups'!L148,'Payments'!G148,'Expenses'!F148))))</x:f>
      </x:c>
      <x:c r="F190" s="432" t="str">
        <x:f>IF(B190="","",IF(ISNUMBER(CHOOSE($M$42,'Clients'!H148,'Clients'!H148,'Viewings'!E148,'Deals'!E148,'Deals'!E148,'Deals'!E148,'Follow-ups'!I148,"Receipt",'Expenses'!C148)),CHOOSE($M$42,'Clients'!H148,'Clients'!H148,'Viewings'!E148,'Deals'!E148,'Deals'!E148,'Deals'!E148,'Follow-ups'!I148,"Receipt",'Expenses'!C148),IF(CHOOSE($M$42,'Clients'!H148,'Clients'!H148,'Viewings'!E148,'Deals'!E148,'Deals'!E148,'Deals'!E148,'Follow-ups'!I148,"Receipt",'Expenses'!C148)="","",CHOOSE($M$42,'Clients'!H148,'Clients'!H148,'Viewings'!E148,'Deals'!E148,'Deals'!E148,'Deals'!E148,'Follow-ups'!I148,"Receipt",'Expenses'!C148))))</x:f>
      </x:c>
      <x:c r="G190" s="473" t="str">
        <x:f>IF(B190="","",IF(ISNUMBER(CHOOSE($M$42,"","","",'Deals'!F148,'Deals'!F148,'Deals'!F148,"",'Payments'!D148,'Expenses'!G148)),CHOOSE($M$42,"","","",'Deals'!F148,'Deals'!F148,'Deals'!F148,"",'Payments'!D148,'Expenses'!G148),IF(CHOOSE($M$42,"","","",'Deals'!F148,'Deals'!F148,'Deals'!F148,"",'Payments'!D148,'Expenses'!G148)="","",CHOOSE($M$42,"","","",'Deals'!F148,'Deals'!F148,'Deals'!F148,"",'Payments'!D148,'Expenses'!G148))))</x:f>
      </x:c>
      <x:c r="H190" s="432" t="n">
        <x:f>IF(AND($M$43=1,B190&lt;&gt;"",ISNUMBER(C190),C190&gt;=$G$6,C190&lt;$K$6+1),1,0)</x:f>
        <x:v>0</x:v>
      </x:c>
      <x:c r="I190" s="432" t="str">
        <x:f>IF(H190=0,"",COUNTIFS($H$48:$H$247,1,$C$48:$C$247,"&lt;"&amp;C190)+COUNTIFS($H$48:H190,1,$C$48:C190,C190))</x:f>
      </x:c>
      <x:c r="J190" s="432"/>
      <x:c r="K190" s="432"/>
      <x:c r="L190" s="432"/>
      <x:c r="M190" s="432"/>
      <x:c r="N190" s="432"/>
      <x:c r="O190" s="432"/>
      <x:c r="P190" s="432"/>
      <x:c r="Q190" s="432"/>
    </x:row>
    <x:row r="191" ht="25" customHeight="1">
      <x:c r="A191" s="432"/>
      <x:c r="B191" s="432" t="str">
        <x:f>IF(CHOOSE($M$42,'Clients'!A149,'Clients'!A149,'Viewings'!A149,'Deals'!A149,'Deals'!A149,'Deals'!A149,'Follow-ups'!A149,'Payments'!A149,'Expenses'!A149)="","",CHOOSE($M$42,'Clients'!A149,'Clients'!A149,'Viewings'!A149,'Deals'!A149,'Deals'!A149,'Deals'!A149,'Follow-ups'!A149,'Payments'!A149,'Expenses'!A149))</x:f>
      </x:c>
      <x:c r="C191" s="472" t="str">
        <x:f>IF(B191="","",IF(CHOOSE($M$42,'Clients'!R149,'Clients'!Q149,'Viewings'!D149,'Deals'!X149,'Deals'!Y149,'Deals'!Z149,'Follow-ups'!H149,'Payments'!C149,'Expenses'!B149)="","",CHOOSE($M$42,'Clients'!R149,'Clients'!Q149,'Viewings'!D149,'Deals'!X149,'Deals'!Y149,'Deals'!Z149,'Follow-ups'!H149,'Payments'!C149,'Expenses'!B149)))</x:f>
      </x:c>
      <x:c r="D191" s="432" t="str">
        <x:f>IF(B191="","",IF(ISNUMBER(CHOOSE($M$42,'Clients'!B149,'Clients'!B149,'Viewings'!H149,IF('Deals'!B149="","",IF(COUNTIFS('Clients'!$A$6:$A$205,'Deals'!B149)&lt;&gt;1,"Check Client ID",INDEX('Clients'!$B$6:$B$205,MATCH('Deals'!B149,'Clients'!$A$6:$A$205,0)))),IF('Deals'!B149="","",IF(COUNTIFS('Clients'!$A$6:$A$205,'Deals'!B149)&lt;&gt;1,"Check Client ID",INDEX('Clients'!$B$6:$B$205,MATCH('Deals'!B149,'Clients'!$A$6:$A$205,0)))),IF('Deals'!B149="","",IF(COUNTIFS('Clients'!$A$6:$A$205,'Deals'!B149)&lt;&gt;1,"Check Client ID",INDEX('Clients'!$B$6:$B$205,MATCH('Deals'!B149,'Clients'!$A$6:$A$205,0)))),'Follow-ups'!K149,'Payments'!B149,'Expenses'!D149)),CHOOSE($M$42,'Clients'!B149,'Clients'!B149,'Viewings'!H149,IF('Deals'!B149="","",IF(COUNTIFS('Clients'!$A$6:$A$205,'Deals'!B149)&lt;&gt;1,"Check Client ID",INDEX('Clients'!$B$6:$B$205,MATCH('Deals'!B149,'Clients'!$A$6:$A$205,0)))),IF('Deals'!B149="","",IF(COUNTIFS('Clients'!$A$6:$A$205,'Deals'!B149)&lt;&gt;1,"Check Client ID",INDEX('Clients'!$B$6:$B$205,MATCH('Deals'!B149,'Clients'!$A$6:$A$205,0)))),IF('Deals'!B149="","",IF(COUNTIFS('Clients'!$A$6:$A$205,'Deals'!B149)&lt;&gt;1,"Check Client ID",INDEX('Clients'!$B$6:$B$205,MATCH('Deals'!B149,'Clients'!$A$6:$A$205,0)))),'Follow-ups'!K149,'Payments'!B149,'Expenses'!D149),IF(CHOOSE($M$42,'Clients'!B149,'Clients'!B149,'Viewings'!H149,IF('Deals'!B149="","",IF(COUNTIFS('Clients'!$A$6:$A$205,'Deals'!B149)&lt;&gt;1,"Check Client ID",INDEX('Clients'!$B$6:$B$205,MATCH('Deals'!B149,'Clients'!$A$6:$A$205,0)))),IF('Deals'!B149="","",IF(COUNTIFS('Clients'!$A$6:$A$205,'Deals'!B149)&lt;&gt;1,"Check Client ID",INDEX('Clients'!$B$6:$B$205,MATCH('Deals'!B149,'Clients'!$A$6:$A$205,0)))),IF('Deals'!B149="","",IF(COUNTIFS('Clients'!$A$6:$A$205,'Deals'!B149)&lt;&gt;1,"Check Client ID",INDEX('Clients'!$B$6:$B$205,MATCH('Deals'!B149,'Clients'!$A$6:$A$205,0)))),'Follow-ups'!K149,'Payments'!B149,'Expenses'!D149)="","",CHOOSE($M$42,'Clients'!B149,'Clients'!B149,'Viewings'!H149,IF('Deals'!B149="","",IF(COUNTIFS('Clients'!$A$6:$A$205,'Deals'!B149)&lt;&gt;1,"Check Client ID",INDEX('Clients'!$B$6:$B$205,MATCH('Deals'!B149,'Clients'!$A$6:$A$205,0)))),IF('Deals'!B149="","",IF(COUNTIFS('Clients'!$A$6:$A$205,'Deals'!B149)&lt;&gt;1,"Check Client ID",INDEX('Clients'!$B$6:$B$205,MATCH('Deals'!B149,'Clients'!$A$6:$A$205,0)))),IF('Deals'!B149="","",IF(COUNTIFS('Clients'!$A$6:$A$205,'Deals'!B149)&lt;&gt;1,"Check Client ID",INDEX('Clients'!$B$6:$B$205,MATCH('Deals'!B149,'Clients'!$A$6:$A$205,0)))),'Follow-ups'!K149,'Payments'!B149,'Expenses'!D149))))</x:f>
      </x:c>
      <x:c r="E191" s="432" t="str">
        <x:f>IF(B191="","",IF(ISNUMBER(CHOOSE($M$42,'Clients'!K149,'Clients'!K149,'Viewings'!I149,'Deals'!C149,'Deals'!C149,'Deals'!C149,'Follow-ups'!L149,'Payments'!G149,'Expenses'!F149)),CHOOSE($M$42,'Clients'!K149,'Clients'!K149,'Viewings'!I149,'Deals'!C149,'Deals'!C149,'Deals'!C149,'Follow-ups'!L149,'Payments'!G149,'Expenses'!F149),IF(CHOOSE($M$42,'Clients'!K149,'Clients'!K149,'Viewings'!I149,'Deals'!C149,'Deals'!C149,'Deals'!C149,'Follow-ups'!L149,'Payments'!G149,'Expenses'!F149)="","",CHOOSE($M$42,'Clients'!K149,'Clients'!K149,'Viewings'!I149,'Deals'!C149,'Deals'!C149,'Deals'!C149,'Follow-ups'!L149,'Payments'!G149,'Expenses'!F149))))</x:f>
      </x:c>
      <x:c r="F191" s="432" t="str">
        <x:f>IF(B191="","",IF(ISNUMBER(CHOOSE($M$42,'Clients'!H149,'Clients'!H149,'Viewings'!E149,'Deals'!E149,'Deals'!E149,'Deals'!E149,'Follow-ups'!I149,"Receipt",'Expenses'!C149)),CHOOSE($M$42,'Clients'!H149,'Clients'!H149,'Viewings'!E149,'Deals'!E149,'Deals'!E149,'Deals'!E149,'Follow-ups'!I149,"Receipt",'Expenses'!C149),IF(CHOOSE($M$42,'Clients'!H149,'Clients'!H149,'Viewings'!E149,'Deals'!E149,'Deals'!E149,'Deals'!E149,'Follow-ups'!I149,"Receipt",'Expenses'!C149)="","",CHOOSE($M$42,'Clients'!H149,'Clients'!H149,'Viewings'!E149,'Deals'!E149,'Deals'!E149,'Deals'!E149,'Follow-ups'!I149,"Receipt",'Expenses'!C149))))</x:f>
      </x:c>
      <x:c r="G191" s="473" t="str">
        <x:f>IF(B191="","",IF(ISNUMBER(CHOOSE($M$42,"","","",'Deals'!F149,'Deals'!F149,'Deals'!F149,"",'Payments'!D149,'Expenses'!G149)),CHOOSE($M$42,"","","",'Deals'!F149,'Deals'!F149,'Deals'!F149,"",'Payments'!D149,'Expenses'!G149),IF(CHOOSE($M$42,"","","",'Deals'!F149,'Deals'!F149,'Deals'!F149,"",'Payments'!D149,'Expenses'!G149)="","",CHOOSE($M$42,"","","",'Deals'!F149,'Deals'!F149,'Deals'!F149,"",'Payments'!D149,'Expenses'!G149))))</x:f>
      </x:c>
      <x:c r="H191" s="432" t="n">
        <x:f>IF(AND($M$43=1,B191&lt;&gt;"",ISNUMBER(C191),C191&gt;=$G$6,C191&lt;$K$6+1),1,0)</x:f>
        <x:v>0</x:v>
      </x:c>
      <x:c r="I191" s="432" t="str">
        <x:f>IF(H191=0,"",COUNTIFS($H$48:$H$247,1,$C$48:$C$247,"&lt;"&amp;C191)+COUNTIFS($H$48:H191,1,$C$48:C191,C191))</x:f>
      </x:c>
      <x:c r="J191" s="432"/>
      <x:c r="K191" s="432"/>
      <x:c r="L191" s="432"/>
      <x:c r="M191" s="432"/>
      <x:c r="N191" s="432"/>
      <x:c r="O191" s="432"/>
      <x:c r="P191" s="432"/>
      <x:c r="Q191" s="432"/>
    </x:row>
    <x:row r="192" ht="25" customHeight="1">
      <x:c r="A192" s="432"/>
      <x:c r="B192" s="432" t="str">
        <x:f>IF(CHOOSE($M$42,'Clients'!A150,'Clients'!A150,'Viewings'!A150,'Deals'!A150,'Deals'!A150,'Deals'!A150,'Follow-ups'!A150,'Payments'!A150,'Expenses'!A150)="","",CHOOSE($M$42,'Clients'!A150,'Clients'!A150,'Viewings'!A150,'Deals'!A150,'Deals'!A150,'Deals'!A150,'Follow-ups'!A150,'Payments'!A150,'Expenses'!A150))</x:f>
      </x:c>
      <x:c r="C192" s="472" t="str">
        <x:f>IF(B192="","",IF(CHOOSE($M$42,'Clients'!R150,'Clients'!Q150,'Viewings'!D150,'Deals'!X150,'Deals'!Y150,'Deals'!Z150,'Follow-ups'!H150,'Payments'!C150,'Expenses'!B150)="","",CHOOSE($M$42,'Clients'!R150,'Clients'!Q150,'Viewings'!D150,'Deals'!X150,'Deals'!Y150,'Deals'!Z150,'Follow-ups'!H150,'Payments'!C150,'Expenses'!B150)))</x:f>
      </x:c>
      <x:c r="D192" s="432" t="str">
        <x:f>IF(B192="","",IF(ISNUMBER(CHOOSE($M$42,'Clients'!B150,'Clients'!B150,'Viewings'!H150,IF('Deals'!B150="","",IF(COUNTIFS('Clients'!$A$6:$A$205,'Deals'!B150)&lt;&gt;1,"Check Client ID",INDEX('Clients'!$B$6:$B$205,MATCH('Deals'!B150,'Clients'!$A$6:$A$205,0)))),IF('Deals'!B150="","",IF(COUNTIFS('Clients'!$A$6:$A$205,'Deals'!B150)&lt;&gt;1,"Check Client ID",INDEX('Clients'!$B$6:$B$205,MATCH('Deals'!B150,'Clients'!$A$6:$A$205,0)))),IF('Deals'!B150="","",IF(COUNTIFS('Clients'!$A$6:$A$205,'Deals'!B150)&lt;&gt;1,"Check Client ID",INDEX('Clients'!$B$6:$B$205,MATCH('Deals'!B150,'Clients'!$A$6:$A$205,0)))),'Follow-ups'!K150,'Payments'!B150,'Expenses'!D150)),CHOOSE($M$42,'Clients'!B150,'Clients'!B150,'Viewings'!H150,IF('Deals'!B150="","",IF(COUNTIFS('Clients'!$A$6:$A$205,'Deals'!B150)&lt;&gt;1,"Check Client ID",INDEX('Clients'!$B$6:$B$205,MATCH('Deals'!B150,'Clients'!$A$6:$A$205,0)))),IF('Deals'!B150="","",IF(COUNTIFS('Clients'!$A$6:$A$205,'Deals'!B150)&lt;&gt;1,"Check Client ID",INDEX('Clients'!$B$6:$B$205,MATCH('Deals'!B150,'Clients'!$A$6:$A$205,0)))),IF('Deals'!B150="","",IF(COUNTIFS('Clients'!$A$6:$A$205,'Deals'!B150)&lt;&gt;1,"Check Client ID",INDEX('Clients'!$B$6:$B$205,MATCH('Deals'!B150,'Clients'!$A$6:$A$205,0)))),'Follow-ups'!K150,'Payments'!B150,'Expenses'!D150),IF(CHOOSE($M$42,'Clients'!B150,'Clients'!B150,'Viewings'!H150,IF('Deals'!B150="","",IF(COUNTIFS('Clients'!$A$6:$A$205,'Deals'!B150)&lt;&gt;1,"Check Client ID",INDEX('Clients'!$B$6:$B$205,MATCH('Deals'!B150,'Clients'!$A$6:$A$205,0)))),IF('Deals'!B150="","",IF(COUNTIFS('Clients'!$A$6:$A$205,'Deals'!B150)&lt;&gt;1,"Check Client ID",INDEX('Clients'!$B$6:$B$205,MATCH('Deals'!B150,'Clients'!$A$6:$A$205,0)))),IF('Deals'!B150="","",IF(COUNTIFS('Clients'!$A$6:$A$205,'Deals'!B150)&lt;&gt;1,"Check Client ID",INDEX('Clients'!$B$6:$B$205,MATCH('Deals'!B150,'Clients'!$A$6:$A$205,0)))),'Follow-ups'!K150,'Payments'!B150,'Expenses'!D150)="","",CHOOSE($M$42,'Clients'!B150,'Clients'!B150,'Viewings'!H150,IF('Deals'!B150="","",IF(COUNTIFS('Clients'!$A$6:$A$205,'Deals'!B150)&lt;&gt;1,"Check Client ID",INDEX('Clients'!$B$6:$B$205,MATCH('Deals'!B150,'Clients'!$A$6:$A$205,0)))),IF('Deals'!B150="","",IF(COUNTIFS('Clients'!$A$6:$A$205,'Deals'!B150)&lt;&gt;1,"Check Client ID",INDEX('Clients'!$B$6:$B$205,MATCH('Deals'!B150,'Clients'!$A$6:$A$205,0)))),IF('Deals'!B150="","",IF(COUNTIFS('Clients'!$A$6:$A$205,'Deals'!B150)&lt;&gt;1,"Check Client ID",INDEX('Clients'!$B$6:$B$205,MATCH('Deals'!B150,'Clients'!$A$6:$A$205,0)))),'Follow-ups'!K150,'Payments'!B150,'Expenses'!D150))))</x:f>
      </x:c>
      <x:c r="E192" s="432" t="str">
        <x:f>IF(B192="","",IF(ISNUMBER(CHOOSE($M$42,'Clients'!K150,'Clients'!K150,'Viewings'!I150,'Deals'!C150,'Deals'!C150,'Deals'!C150,'Follow-ups'!L150,'Payments'!G150,'Expenses'!F150)),CHOOSE($M$42,'Clients'!K150,'Clients'!K150,'Viewings'!I150,'Deals'!C150,'Deals'!C150,'Deals'!C150,'Follow-ups'!L150,'Payments'!G150,'Expenses'!F150),IF(CHOOSE($M$42,'Clients'!K150,'Clients'!K150,'Viewings'!I150,'Deals'!C150,'Deals'!C150,'Deals'!C150,'Follow-ups'!L150,'Payments'!G150,'Expenses'!F150)="","",CHOOSE($M$42,'Clients'!K150,'Clients'!K150,'Viewings'!I150,'Deals'!C150,'Deals'!C150,'Deals'!C150,'Follow-ups'!L150,'Payments'!G150,'Expenses'!F150))))</x:f>
      </x:c>
      <x:c r="F192" s="432" t="str">
        <x:f>IF(B192="","",IF(ISNUMBER(CHOOSE($M$42,'Clients'!H150,'Clients'!H150,'Viewings'!E150,'Deals'!E150,'Deals'!E150,'Deals'!E150,'Follow-ups'!I150,"Receipt",'Expenses'!C150)),CHOOSE($M$42,'Clients'!H150,'Clients'!H150,'Viewings'!E150,'Deals'!E150,'Deals'!E150,'Deals'!E150,'Follow-ups'!I150,"Receipt",'Expenses'!C150),IF(CHOOSE($M$42,'Clients'!H150,'Clients'!H150,'Viewings'!E150,'Deals'!E150,'Deals'!E150,'Deals'!E150,'Follow-ups'!I150,"Receipt",'Expenses'!C150)="","",CHOOSE($M$42,'Clients'!H150,'Clients'!H150,'Viewings'!E150,'Deals'!E150,'Deals'!E150,'Deals'!E150,'Follow-ups'!I150,"Receipt",'Expenses'!C150))))</x:f>
      </x:c>
      <x:c r="G192" s="473" t="str">
        <x:f>IF(B192="","",IF(ISNUMBER(CHOOSE($M$42,"","","",'Deals'!F150,'Deals'!F150,'Deals'!F150,"",'Payments'!D150,'Expenses'!G150)),CHOOSE($M$42,"","","",'Deals'!F150,'Deals'!F150,'Deals'!F150,"",'Payments'!D150,'Expenses'!G150),IF(CHOOSE($M$42,"","","",'Deals'!F150,'Deals'!F150,'Deals'!F150,"",'Payments'!D150,'Expenses'!G150)="","",CHOOSE($M$42,"","","",'Deals'!F150,'Deals'!F150,'Deals'!F150,"",'Payments'!D150,'Expenses'!G150))))</x:f>
      </x:c>
      <x:c r="H192" s="432" t="n">
        <x:f>IF(AND($M$43=1,B192&lt;&gt;"",ISNUMBER(C192),C192&gt;=$G$6,C192&lt;$K$6+1),1,0)</x:f>
        <x:v>0</x:v>
      </x:c>
      <x:c r="I192" s="432" t="str">
        <x:f>IF(H192=0,"",COUNTIFS($H$48:$H$247,1,$C$48:$C$247,"&lt;"&amp;C192)+COUNTIFS($H$48:H192,1,$C$48:C192,C192))</x:f>
      </x:c>
      <x:c r="J192" s="432"/>
      <x:c r="K192" s="432"/>
      <x:c r="L192" s="432"/>
      <x:c r="M192" s="432"/>
      <x:c r="N192" s="432"/>
      <x:c r="O192" s="432"/>
      <x:c r="P192" s="432"/>
      <x:c r="Q192" s="432"/>
    </x:row>
    <x:row r="193" ht="25" customHeight="1">
      <x:c r="A193" s="432"/>
      <x:c r="B193" s="432" t="str">
        <x:f>IF(CHOOSE($M$42,'Clients'!A151,'Clients'!A151,'Viewings'!A151,'Deals'!A151,'Deals'!A151,'Deals'!A151,'Follow-ups'!A151,'Payments'!A151,'Expenses'!A151)="","",CHOOSE($M$42,'Clients'!A151,'Clients'!A151,'Viewings'!A151,'Deals'!A151,'Deals'!A151,'Deals'!A151,'Follow-ups'!A151,'Payments'!A151,'Expenses'!A151))</x:f>
      </x:c>
      <x:c r="C193" s="472" t="str">
        <x:f>IF(B193="","",IF(CHOOSE($M$42,'Clients'!R151,'Clients'!Q151,'Viewings'!D151,'Deals'!X151,'Deals'!Y151,'Deals'!Z151,'Follow-ups'!H151,'Payments'!C151,'Expenses'!B151)="","",CHOOSE($M$42,'Clients'!R151,'Clients'!Q151,'Viewings'!D151,'Deals'!X151,'Deals'!Y151,'Deals'!Z151,'Follow-ups'!H151,'Payments'!C151,'Expenses'!B151)))</x:f>
      </x:c>
      <x:c r="D193" s="432" t="str">
        <x:f>IF(B193="","",IF(ISNUMBER(CHOOSE($M$42,'Clients'!B151,'Clients'!B151,'Viewings'!H151,IF('Deals'!B151="","",IF(COUNTIFS('Clients'!$A$6:$A$205,'Deals'!B151)&lt;&gt;1,"Check Client ID",INDEX('Clients'!$B$6:$B$205,MATCH('Deals'!B151,'Clients'!$A$6:$A$205,0)))),IF('Deals'!B151="","",IF(COUNTIFS('Clients'!$A$6:$A$205,'Deals'!B151)&lt;&gt;1,"Check Client ID",INDEX('Clients'!$B$6:$B$205,MATCH('Deals'!B151,'Clients'!$A$6:$A$205,0)))),IF('Deals'!B151="","",IF(COUNTIFS('Clients'!$A$6:$A$205,'Deals'!B151)&lt;&gt;1,"Check Client ID",INDEX('Clients'!$B$6:$B$205,MATCH('Deals'!B151,'Clients'!$A$6:$A$205,0)))),'Follow-ups'!K151,'Payments'!B151,'Expenses'!D151)),CHOOSE($M$42,'Clients'!B151,'Clients'!B151,'Viewings'!H151,IF('Deals'!B151="","",IF(COUNTIFS('Clients'!$A$6:$A$205,'Deals'!B151)&lt;&gt;1,"Check Client ID",INDEX('Clients'!$B$6:$B$205,MATCH('Deals'!B151,'Clients'!$A$6:$A$205,0)))),IF('Deals'!B151="","",IF(COUNTIFS('Clients'!$A$6:$A$205,'Deals'!B151)&lt;&gt;1,"Check Client ID",INDEX('Clients'!$B$6:$B$205,MATCH('Deals'!B151,'Clients'!$A$6:$A$205,0)))),IF('Deals'!B151="","",IF(COUNTIFS('Clients'!$A$6:$A$205,'Deals'!B151)&lt;&gt;1,"Check Client ID",INDEX('Clients'!$B$6:$B$205,MATCH('Deals'!B151,'Clients'!$A$6:$A$205,0)))),'Follow-ups'!K151,'Payments'!B151,'Expenses'!D151),IF(CHOOSE($M$42,'Clients'!B151,'Clients'!B151,'Viewings'!H151,IF('Deals'!B151="","",IF(COUNTIFS('Clients'!$A$6:$A$205,'Deals'!B151)&lt;&gt;1,"Check Client ID",INDEX('Clients'!$B$6:$B$205,MATCH('Deals'!B151,'Clients'!$A$6:$A$205,0)))),IF('Deals'!B151="","",IF(COUNTIFS('Clients'!$A$6:$A$205,'Deals'!B151)&lt;&gt;1,"Check Client ID",INDEX('Clients'!$B$6:$B$205,MATCH('Deals'!B151,'Clients'!$A$6:$A$205,0)))),IF('Deals'!B151="","",IF(COUNTIFS('Clients'!$A$6:$A$205,'Deals'!B151)&lt;&gt;1,"Check Client ID",INDEX('Clients'!$B$6:$B$205,MATCH('Deals'!B151,'Clients'!$A$6:$A$205,0)))),'Follow-ups'!K151,'Payments'!B151,'Expenses'!D151)="","",CHOOSE($M$42,'Clients'!B151,'Clients'!B151,'Viewings'!H151,IF('Deals'!B151="","",IF(COUNTIFS('Clients'!$A$6:$A$205,'Deals'!B151)&lt;&gt;1,"Check Client ID",INDEX('Clients'!$B$6:$B$205,MATCH('Deals'!B151,'Clients'!$A$6:$A$205,0)))),IF('Deals'!B151="","",IF(COUNTIFS('Clients'!$A$6:$A$205,'Deals'!B151)&lt;&gt;1,"Check Client ID",INDEX('Clients'!$B$6:$B$205,MATCH('Deals'!B151,'Clients'!$A$6:$A$205,0)))),IF('Deals'!B151="","",IF(COUNTIFS('Clients'!$A$6:$A$205,'Deals'!B151)&lt;&gt;1,"Check Client ID",INDEX('Clients'!$B$6:$B$205,MATCH('Deals'!B151,'Clients'!$A$6:$A$205,0)))),'Follow-ups'!K151,'Payments'!B151,'Expenses'!D151))))</x:f>
      </x:c>
      <x:c r="E193" s="432" t="str">
        <x:f>IF(B193="","",IF(ISNUMBER(CHOOSE($M$42,'Clients'!K151,'Clients'!K151,'Viewings'!I151,'Deals'!C151,'Deals'!C151,'Deals'!C151,'Follow-ups'!L151,'Payments'!G151,'Expenses'!F151)),CHOOSE($M$42,'Clients'!K151,'Clients'!K151,'Viewings'!I151,'Deals'!C151,'Deals'!C151,'Deals'!C151,'Follow-ups'!L151,'Payments'!G151,'Expenses'!F151),IF(CHOOSE($M$42,'Clients'!K151,'Clients'!K151,'Viewings'!I151,'Deals'!C151,'Deals'!C151,'Deals'!C151,'Follow-ups'!L151,'Payments'!G151,'Expenses'!F151)="","",CHOOSE($M$42,'Clients'!K151,'Clients'!K151,'Viewings'!I151,'Deals'!C151,'Deals'!C151,'Deals'!C151,'Follow-ups'!L151,'Payments'!G151,'Expenses'!F151))))</x:f>
      </x:c>
      <x:c r="F193" s="432" t="str">
        <x:f>IF(B193="","",IF(ISNUMBER(CHOOSE($M$42,'Clients'!H151,'Clients'!H151,'Viewings'!E151,'Deals'!E151,'Deals'!E151,'Deals'!E151,'Follow-ups'!I151,"Receipt",'Expenses'!C151)),CHOOSE($M$42,'Clients'!H151,'Clients'!H151,'Viewings'!E151,'Deals'!E151,'Deals'!E151,'Deals'!E151,'Follow-ups'!I151,"Receipt",'Expenses'!C151),IF(CHOOSE($M$42,'Clients'!H151,'Clients'!H151,'Viewings'!E151,'Deals'!E151,'Deals'!E151,'Deals'!E151,'Follow-ups'!I151,"Receipt",'Expenses'!C151)="","",CHOOSE($M$42,'Clients'!H151,'Clients'!H151,'Viewings'!E151,'Deals'!E151,'Deals'!E151,'Deals'!E151,'Follow-ups'!I151,"Receipt",'Expenses'!C151))))</x:f>
      </x:c>
      <x:c r="G193" s="473" t="str">
        <x:f>IF(B193="","",IF(ISNUMBER(CHOOSE($M$42,"","","",'Deals'!F151,'Deals'!F151,'Deals'!F151,"",'Payments'!D151,'Expenses'!G151)),CHOOSE($M$42,"","","",'Deals'!F151,'Deals'!F151,'Deals'!F151,"",'Payments'!D151,'Expenses'!G151),IF(CHOOSE($M$42,"","","",'Deals'!F151,'Deals'!F151,'Deals'!F151,"",'Payments'!D151,'Expenses'!G151)="","",CHOOSE($M$42,"","","",'Deals'!F151,'Deals'!F151,'Deals'!F151,"",'Payments'!D151,'Expenses'!G151))))</x:f>
      </x:c>
      <x:c r="H193" s="432" t="n">
        <x:f>IF(AND($M$43=1,B193&lt;&gt;"",ISNUMBER(C193),C193&gt;=$G$6,C193&lt;$K$6+1),1,0)</x:f>
        <x:v>0</x:v>
      </x:c>
      <x:c r="I193" s="432" t="str">
        <x:f>IF(H193=0,"",COUNTIFS($H$48:$H$247,1,$C$48:$C$247,"&lt;"&amp;C193)+COUNTIFS($H$48:H193,1,$C$48:C193,C193))</x:f>
      </x:c>
      <x:c r="J193" s="432"/>
      <x:c r="K193" s="432"/>
      <x:c r="L193" s="432"/>
      <x:c r="M193" s="432"/>
      <x:c r="N193" s="432"/>
      <x:c r="O193" s="432"/>
      <x:c r="P193" s="432"/>
      <x:c r="Q193" s="432"/>
    </x:row>
    <x:row r="194" ht="25" customHeight="1">
      <x:c r="A194" s="432"/>
      <x:c r="B194" s="432" t="str">
        <x:f>IF(CHOOSE($M$42,'Clients'!A152,'Clients'!A152,'Viewings'!A152,'Deals'!A152,'Deals'!A152,'Deals'!A152,'Follow-ups'!A152,'Payments'!A152,'Expenses'!A152)="","",CHOOSE($M$42,'Clients'!A152,'Clients'!A152,'Viewings'!A152,'Deals'!A152,'Deals'!A152,'Deals'!A152,'Follow-ups'!A152,'Payments'!A152,'Expenses'!A152))</x:f>
      </x:c>
      <x:c r="C194" s="472" t="str">
        <x:f>IF(B194="","",IF(CHOOSE($M$42,'Clients'!R152,'Clients'!Q152,'Viewings'!D152,'Deals'!X152,'Deals'!Y152,'Deals'!Z152,'Follow-ups'!H152,'Payments'!C152,'Expenses'!B152)="","",CHOOSE($M$42,'Clients'!R152,'Clients'!Q152,'Viewings'!D152,'Deals'!X152,'Deals'!Y152,'Deals'!Z152,'Follow-ups'!H152,'Payments'!C152,'Expenses'!B152)))</x:f>
      </x:c>
      <x:c r="D194" s="432" t="str">
        <x:f>IF(B194="","",IF(ISNUMBER(CHOOSE($M$42,'Clients'!B152,'Clients'!B152,'Viewings'!H152,IF('Deals'!B152="","",IF(COUNTIFS('Clients'!$A$6:$A$205,'Deals'!B152)&lt;&gt;1,"Check Client ID",INDEX('Clients'!$B$6:$B$205,MATCH('Deals'!B152,'Clients'!$A$6:$A$205,0)))),IF('Deals'!B152="","",IF(COUNTIFS('Clients'!$A$6:$A$205,'Deals'!B152)&lt;&gt;1,"Check Client ID",INDEX('Clients'!$B$6:$B$205,MATCH('Deals'!B152,'Clients'!$A$6:$A$205,0)))),IF('Deals'!B152="","",IF(COUNTIFS('Clients'!$A$6:$A$205,'Deals'!B152)&lt;&gt;1,"Check Client ID",INDEX('Clients'!$B$6:$B$205,MATCH('Deals'!B152,'Clients'!$A$6:$A$205,0)))),'Follow-ups'!K152,'Payments'!B152,'Expenses'!D152)),CHOOSE($M$42,'Clients'!B152,'Clients'!B152,'Viewings'!H152,IF('Deals'!B152="","",IF(COUNTIFS('Clients'!$A$6:$A$205,'Deals'!B152)&lt;&gt;1,"Check Client ID",INDEX('Clients'!$B$6:$B$205,MATCH('Deals'!B152,'Clients'!$A$6:$A$205,0)))),IF('Deals'!B152="","",IF(COUNTIFS('Clients'!$A$6:$A$205,'Deals'!B152)&lt;&gt;1,"Check Client ID",INDEX('Clients'!$B$6:$B$205,MATCH('Deals'!B152,'Clients'!$A$6:$A$205,0)))),IF('Deals'!B152="","",IF(COUNTIFS('Clients'!$A$6:$A$205,'Deals'!B152)&lt;&gt;1,"Check Client ID",INDEX('Clients'!$B$6:$B$205,MATCH('Deals'!B152,'Clients'!$A$6:$A$205,0)))),'Follow-ups'!K152,'Payments'!B152,'Expenses'!D152),IF(CHOOSE($M$42,'Clients'!B152,'Clients'!B152,'Viewings'!H152,IF('Deals'!B152="","",IF(COUNTIFS('Clients'!$A$6:$A$205,'Deals'!B152)&lt;&gt;1,"Check Client ID",INDEX('Clients'!$B$6:$B$205,MATCH('Deals'!B152,'Clients'!$A$6:$A$205,0)))),IF('Deals'!B152="","",IF(COUNTIFS('Clients'!$A$6:$A$205,'Deals'!B152)&lt;&gt;1,"Check Client ID",INDEX('Clients'!$B$6:$B$205,MATCH('Deals'!B152,'Clients'!$A$6:$A$205,0)))),IF('Deals'!B152="","",IF(COUNTIFS('Clients'!$A$6:$A$205,'Deals'!B152)&lt;&gt;1,"Check Client ID",INDEX('Clients'!$B$6:$B$205,MATCH('Deals'!B152,'Clients'!$A$6:$A$205,0)))),'Follow-ups'!K152,'Payments'!B152,'Expenses'!D152)="","",CHOOSE($M$42,'Clients'!B152,'Clients'!B152,'Viewings'!H152,IF('Deals'!B152="","",IF(COUNTIFS('Clients'!$A$6:$A$205,'Deals'!B152)&lt;&gt;1,"Check Client ID",INDEX('Clients'!$B$6:$B$205,MATCH('Deals'!B152,'Clients'!$A$6:$A$205,0)))),IF('Deals'!B152="","",IF(COUNTIFS('Clients'!$A$6:$A$205,'Deals'!B152)&lt;&gt;1,"Check Client ID",INDEX('Clients'!$B$6:$B$205,MATCH('Deals'!B152,'Clients'!$A$6:$A$205,0)))),IF('Deals'!B152="","",IF(COUNTIFS('Clients'!$A$6:$A$205,'Deals'!B152)&lt;&gt;1,"Check Client ID",INDEX('Clients'!$B$6:$B$205,MATCH('Deals'!B152,'Clients'!$A$6:$A$205,0)))),'Follow-ups'!K152,'Payments'!B152,'Expenses'!D152))))</x:f>
      </x:c>
      <x:c r="E194" s="432" t="str">
        <x:f>IF(B194="","",IF(ISNUMBER(CHOOSE($M$42,'Clients'!K152,'Clients'!K152,'Viewings'!I152,'Deals'!C152,'Deals'!C152,'Deals'!C152,'Follow-ups'!L152,'Payments'!G152,'Expenses'!F152)),CHOOSE($M$42,'Clients'!K152,'Clients'!K152,'Viewings'!I152,'Deals'!C152,'Deals'!C152,'Deals'!C152,'Follow-ups'!L152,'Payments'!G152,'Expenses'!F152),IF(CHOOSE($M$42,'Clients'!K152,'Clients'!K152,'Viewings'!I152,'Deals'!C152,'Deals'!C152,'Deals'!C152,'Follow-ups'!L152,'Payments'!G152,'Expenses'!F152)="","",CHOOSE($M$42,'Clients'!K152,'Clients'!K152,'Viewings'!I152,'Deals'!C152,'Deals'!C152,'Deals'!C152,'Follow-ups'!L152,'Payments'!G152,'Expenses'!F152))))</x:f>
      </x:c>
      <x:c r="F194" s="432" t="str">
        <x:f>IF(B194="","",IF(ISNUMBER(CHOOSE($M$42,'Clients'!H152,'Clients'!H152,'Viewings'!E152,'Deals'!E152,'Deals'!E152,'Deals'!E152,'Follow-ups'!I152,"Receipt",'Expenses'!C152)),CHOOSE($M$42,'Clients'!H152,'Clients'!H152,'Viewings'!E152,'Deals'!E152,'Deals'!E152,'Deals'!E152,'Follow-ups'!I152,"Receipt",'Expenses'!C152),IF(CHOOSE($M$42,'Clients'!H152,'Clients'!H152,'Viewings'!E152,'Deals'!E152,'Deals'!E152,'Deals'!E152,'Follow-ups'!I152,"Receipt",'Expenses'!C152)="","",CHOOSE($M$42,'Clients'!H152,'Clients'!H152,'Viewings'!E152,'Deals'!E152,'Deals'!E152,'Deals'!E152,'Follow-ups'!I152,"Receipt",'Expenses'!C152))))</x:f>
      </x:c>
      <x:c r="G194" s="473" t="str">
        <x:f>IF(B194="","",IF(ISNUMBER(CHOOSE($M$42,"","","",'Deals'!F152,'Deals'!F152,'Deals'!F152,"",'Payments'!D152,'Expenses'!G152)),CHOOSE($M$42,"","","",'Deals'!F152,'Deals'!F152,'Deals'!F152,"",'Payments'!D152,'Expenses'!G152),IF(CHOOSE($M$42,"","","",'Deals'!F152,'Deals'!F152,'Deals'!F152,"",'Payments'!D152,'Expenses'!G152)="","",CHOOSE($M$42,"","","",'Deals'!F152,'Deals'!F152,'Deals'!F152,"",'Payments'!D152,'Expenses'!G152))))</x:f>
      </x:c>
      <x:c r="H194" s="432" t="n">
        <x:f>IF(AND($M$43=1,B194&lt;&gt;"",ISNUMBER(C194),C194&gt;=$G$6,C194&lt;$K$6+1),1,0)</x:f>
        <x:v>0</x:v>
      </x:c>
      <x:c r="I194" s="432" t="str">
        <x:f>IF(H194=0,"",COUNTIFS($H$48:$H$247,1,$C$48:$C$247,"&lt;"&amp;C194)+COUNTIFS($H$48:H194,1,$C$48:C194,C194))</x:f>
      </x:c>
      <x:c r="J194" s="432"/>
      <x:c r="K194" s="432"/>
      <x:c r="L194" s="432"/>
      <x:c r="M194" s="432"/>
      <x:c r="N194" s="432"/>
      <x:c r="O194" s="432"/>
      <x:c r="P194" s="432"/>
      <x:c r="Q194" s="432"/>
    </x:row>
    <x:row r="195" ht="25" customHeight="1">
      <x:c r="A195" s="432"/>
      <x:c r="B195" s="432" t="str">
        <x:f>IF(CHOOSE($M$42,'Clients'!A153,'Clients'!A153,'Viewings'!A153,'Deals'!A153,'Deals'!A153,'Deals'!A153,'Follow-ups'!A153,'Payments'!A153,'Expenses'!A153)="","",CHOOSE($M$42,'Clients'!A153,'Clients'!A153,'Viewings'!A153,'Deals'!A153,'Deals'!A153,'Deals'!A153,'Follow-ups'!A153,'Payments'!A153,'Expenses'!A153))</x:f>
      </x:c>
      <x:c r="C195" s="472" t="str">
        <x:f>IF(B195="","",IF(CHOOSE($M$42,'Clients'!R153,'Clients'!Q153,'Viewings'!D153,'Deals'!X153,'Deals'!Y153,'Deals'!Z153,'Follow-ups'!H153,'Payments'!C153,'Expenses'!B153)="","",CHOOSE($M$42,'Clients'!R153,'Clients'!Q153,'Viewings'!D153,'Deals'!X153,'Deals'!Y153,'Deals'!Z153,'Follow-ups'!H153,'Payments'!C153,'Expenses'!B153)))</x:f>
      </x:c>
      <x:c r="D195" s="432" t="str">
        <x:f>IF(B195="","",IF(ISNUMBER(CHOOSE($M$42,'Clients'!B153,'Clients'!B153,'Viewings'!H153,IF('Deals'!B153="","",IF(COUNTIFS('Clients'!$A$6:$A$205,'Deals'!B153)&lt;&gt;1,"Check Client ID",INDEX('Clients'!$B$6:$B$205,MATCH('Deals'!B153,'Clients'!$A$6:$A$205,0)))),IF('Deals'!B153="","",IF(COUNTIFS('Clients'!$A$6:$A$205,'Deals'!B153)&lt;&gt;1,"Check Client ID",INDEX('Clients'!$B$6:$B$205,MATCH('Deals'!B153,'Clients'!$A$6:$A$205,0)))),IF('Deals'!B153="","",IF(COUNTIFS('Clients'!$A$6:$A$205,'Deals'!B153)&lt;&gt;1,"Check Client ID",INDEX('Clients'!$B$6:$B$205,MATCH('Deals'!B153,'Clients'!$A$6:$A$205,0)))),'Follow-ups'!K153,'Payments'!B153,'Expenses'!D153)),CHOOSE($M$42,'Clients'!B153,'Clients'!B153,'Viewings'!H153,IF('Deals'!B153="","",IF(COUNTIFS('Clients'!$A$6:$A$205,'Deals'!B153)&lt;&gt;1,"Check Client ID",INDEX('Clients'!$B$6:$B$205,MATCH('Deals'!B153,'Clients'!$A$6:$A$205,0)))),IF('Deals'!B153="","",IF(COUNTIFS('Clients'!$A$6:$A$205,'Deals'!B153)&lt;&gt;1,"Check Client ID",INDEX('Clients'!$B$6:$B$205,MATCH('Deals'!B153,'Clients'!$A$6:$A$205,0)))),IF('Deals'!B153="","",IF(COUNTIFS('Clients'!$A$6:$A$205,'Deals'!B153)&lt;&gt;1,"Check Client ID",INDEX('Clients'!$B$6:$B$205,MATCH('Deals'!B153,'Clients'!$A$6:$A$205,0)))),'Follow-ups'!K153,'Payments'!B153,'Expenses'!D153),IF(CHOOSE($M$42,'Clients'!B153,'Clients'!B153,'Viewings'!H153,IF('Deals'!B153="","",IF(COUNTIFS('Clients'!$A$6:$A$205,'Deals'!B153)&lt;&gt;1,"Check Client ID",INDEX('Clients'!$B$6:$B$205,MATCH('Deals'!B153,'Clients'!$A$6:$A$205,0)))),IF('Deals'!B153="","",IF(COUNTIFS('Clients'!$A$6:$A$205,'Deals'!B153)&lt;&gt;1,"Check Client ID",INDEX('Clients'!$B$6:$B$205,MATCH('Deals'!B153,'Clients'!$A$6:$A$205,0)))),IF('Deals'!B153="","",IF(COUNTIFS('Clients'!$A$6:$A$205,'Deals'!B153)&lt;&gt;1,"Check Client ID",INDEX('Clients'!$B$6:$B$205,MATCH('Deals'!B153,'Clients'!$A$6:$A$205,0)))),'Follow-ups'!K153,'Payments'!B153,'Expenses'!D153)="","",CHOOSE($M$42,'Clients'!B153,'Clients'!B153,'Viewings'!H153,IF('Deals'!B153="","",IF(COUNTIFS('Clients'!$A$6:$A$205,'Deals'!B153)&lt;&gt;1,"Check Client ID",INDEX('Clients'!$B$6:$B$205,MATCH('Deals'!B153,'Clients'!$A$6:$A$205,0)))),IF('Deals'!B153="","",IF(COUNTIFS('Clients'!$A$6:$A$205,'Deals'!B153)&lt;&gt;1,"Check Client ID",INDEX('Clients'!$B$6:$B$205,MATCH('Deals'!B153,'Clients'!$A$6:$A$205,0)))),IF('Deals'!B153="","",IF(COUNTIFS('Clients'!$A$6:$A$205,'Deals'!B153)&lt;&gt;1,"Check Client ID",INDEX('Clients'!$B$6:$B$205,MATCH('Deals'!B153,'Clients'!$A$6:$A$205,0)))),'Follow-ups'!K153,'Payments'!B153,'Expenses'!D153))))</x:f>
      </x:c>
      <x:c r="E195" s="432" t="str">
        <x:f>IF(B195="","",IF(ISNUMBER(CHOOSE($M$42,'Clients'!K153,'Clients'!K153,'Viewings'!I153,'Deals'!C153,'Deals'!C153,'Deals'!C153,'Follow-ups'!L153,'Payments'!G153,'Expenses'!F153)),CHOOSE($M$42,'Clients'!K153,'Clients'!K153,'Viewings'!I153,'Deals'!C153,'Deals'!C153,'Deals'!C153,'Follow-ups'!L153,'Payments'!G153,'Expenses'!F153),IF(CHOOSE($M$42,'Clients'!K153,'Clients'!K153,'Viewings'!I153,'Deals'!C153,'Deals'!C153,'Deals'!C153,'Follow-ups'!L153,'Payments'!G153,'Expenses'!F153)="","",CHOOSE($M$42,'Clients'!K153,'Clients'!K153,'Viewings'!I153,'Deals'!C153,'Deals'!C153,'Deals'!C153,'Follow-ups'!L153,'Payments'!G153,'Expenses'!F153))))</x:f>
      </x:c>
      <x:c r="F195" s="432" t="str">
        <x:f>IF(B195="","",IF(ISNUMBER(CHOOSE($M$42,'Clients'!H153,'Clients'!H153,'Viewings'!E153,'Deals'!E153,'Deals'!E153,'Deals'!E153,'Follow-ups'!I153,"Receipt",'Expenses'!C153)),CHOOSE($M$42,'Clients'!H153,'Clients'!H153,'Viewings'!E153,'Deals'!E153,'Deals'!E153,'Deals'!E153,'Follow-ups'!I153,"Receipt",'Expenses'!C153),IF(CHOOSE($M$42,'Clients'!H153,'Clients'!H153,'Viewings'!E153,'Deals'!E153,'Deals'!E153,'Deals'!E153,'Follow-ups'!I153,"Receipt",'Expenses'!C153)="","",CHOOSE($M$42,'Clients'!H153,'Clients'!H153,'Viewings'!E153,'Deals'!E153,'Deals'!E153,'Deals'!E153,'Follow-ups'!I153,"Receipt",'Expenses'!C153))))</x:f>
      </x:c>
      <x:c r="G195" s="473" t="str">
        <x:f>IF(B195="","",IF(ISNUMBER(CHOOSE($M$42,"","","",'Deals'!F153,'Deals'!F153,'Deals'!F153,"",'Payments'!D153,'Expenses'!G153)),CHOOSE($M$42,"","","",'Deals'!F153,'Deals'!F153,'Deals'!F153,"",'Payments'!D153,'Expenses'!G153),IF(CHOOSE($M$42,"","","",'Deals'!F153,'Deals'!F153,'Deals'!F153,"",'Payments'!D153,'Expenses'!G153)="","",CHOOSE($M$42,"","","",'Deals'!F153,'Deals'!F153,'Deals'!F153,"",'Payments'!D153,'Expenses'!G153))))</x:f>
      </x:c>
      <x:c r="H195" s="432" t="n">
        <x:f>IF(AND($M$43=1,B195&lt;&gt;"",ISNUMBER(C195),C195&gt;=$G$6,C195&lt;$K$6+1),1,0)</x:f>
        <x:v>0</x:v>
      </x:c>
      <x:c r="I195" s="432" t="str">
        <x:f>IF(H195=0,"",COUNTIFS($H$48:$H$247,1,$C$48:$C$247,"&lt;"&amp;C195)+COUNTIFS($H$48:H195,1,$C$48:C195,C195))</x:f>
      </x:c>
      <x:c r="J195" s="432"/>
      <x:c r="K195" s="432"/>
      <x:c r="L195" s="432"/>
      <x:c r="M195" s="432"/>
      <x:c r="N195" s="432"/>
      <x:c r="O195" s="432"/>
      <x:c r="P195" s="432"/>
      <x:c r="Q195" s="432"/>
    </x:row>
    <x:row r="196" ht="25" customHeight="1">
      <x:c r="A196" s="432"/>
      <x:c r="B196" s="432" t="str">
        <x:f>IF(CHOOSE($M$42,'Clients'!A154,'Clients'!A154,'Viewings'!A154,'Deals'!A154,'Deals'!A154,'Deals'!A154,'Follow-ups'!A154,'Payments'!A154,'Expenses'!A154)="","",CHOOSE($M$42,'Clients'!A154,'Clients'!A154,'Viewings'!A154,'Deals'!A154,'Deals'!A154,'Deals'!A154,'Follow-ups'!A154,'Payments'!A154,'Expenses'!A154))</x:f>
      </x:c>
      <x:c r="C196" s="472" t="str">
        <x:f>IF(B196="","",IF(CHOOSE($M$42,'Clients'!R154,'Clients'!Q154,'Viewings'!D154,'Deals'!X154,'Deals'!Y154,'Deals'!Z154,'Follow-ups'!H154,'Payments'!C154,'Expenses'!B154)="","",CHOOSE($M$42,'Clients'!R154,'Clients'!Q154,'Viewings'!D154,'Deals'!X154,'Deals'!Y154,'Deals'!Z154,'Follow-ups'!H154,'Payments'!C154,'Expenses'!B154)))</x:f>
      </x:c>
      <x:c r="D196" s="432" t="str">
        <x:f>IF(B196="","",IF(ISNUMBER(CHOOSE($M$42,'Clients'!B154,'Clients'!B154,'Viewings'!H154,IF('Deals'!B154="","",IF(COUNTIFS('Clients'!$A$6:$A$205,'Deals'!B154)&lt;&gt;1,"Check Client ID",INDEX('Clients'!$B$6:$B$205,MATCH('Deals'!B154,'Clients'!$A$6:$A$205,0)))),IF('Deals'!B154="","",IF(COUNTIFS('Clients'!$A$6:$A$205,'Deals'!B154)&lt;&gt;1,"Check Client ID",INDEX('Clients'!$B$6:$B$205,MATCH('Deals'!B154,'Clients'!$A$6:$A$205,0)))),IF('Deals'!B154="","",IF(COUNTIFS('Clients'!$A$6:$A$205,'Deals'!B154)&lt;&gt;1,"Check Client ID",INDEX('Clients'!$B$6:$B$205,MATCH('Deals'!B154,'Clients'!$A$6:$A$205,0)))),'Follow-ups'!K154,'Payments'!B154,'Expenses'!D154)),CHOOSE($M$42,'Clients'!B154,'Clients'!B154,'Viewings'!H154,IF('Deals'!B154="","",IF(COUNTIFS('Clients'!$A$6:$A$205,'Deals'!B154)&lt;&gt;1,"Check Client ID",INDEX('Clients'!$B$6:$B$205,MATCH('Deals'!B154,'Clients'!$A$6:$A$205,0)))),IF('Deals'!B154="","",IF(COUNTIFS('Clients'!$A$6:$A$205,'Deals'!B154)&lt;&gt;1,"Check Client ID",INDEX('Clients'!$B$6:$B$205,MATCH('Deals'!B154,'Clients'!$A$6:$A$205,0)))),IF('Deals'!B154="","",IF(COUNTIFS('Clients'!$A$6:$A$205,'Deals'!B154)&lt;&gt;1,"Check Client ID",INDEX('Clients'!$B$6:$B$205,MATCH('Deals'!B154,'Clients'!$A$6:$A$205,0)))),'Follow-ups'!K154,'Payments'!B154,'Expenses'!D154),IF(CHOOSE($M$42,'Clients'!B154,'Clients'!B154,'Viewings'!H154,IF('Deals'!B154="","",IF(COUNTIFS('Clients'!$A$6:$A$205,'Deals'!B154)&lt;&gt;1,"Check Client ID",INDEX('Clients'!$B$6:$B$205,MATCH('Deals'!B154,'Clients'!$A$6:$A$205,0)))),IF('Deals'!B154="","",IF(COUNTIFS('Clients'!$A$6:$A$205,'Deals'!B154)&lt;&gt;1,"Check Client ID",INDEX('Clients'!$B$6:$B$205,MATCH('Deals'!B154,'Clients'!$A$6:$A$205,0)))),IF('Deals'!B154="","",IF(COUNTIFS('Clients'!$A$6:$A$205,'Deals'!B154)&lt;&gt;1,"Check Client ID",INDEX('Clients'!$B$6:$B$205,MATCH('Deals'!B154,'Clients'!$A$6:$A$205,0)))),'Follow-ups'!K154,'Payments'!B154,'Expenses'!D154)="","",CHOOSE($M$42,'Clients'!B154,'Clients'!B154,'Viewings'!H154,IF('Deals'!B154="","",IF(COUNTIFS('Clients'!$A$6:$A$205,'Deals'!B154)&lt;&gt;1,"Check Client ID",INDEX('Clients'!$B$6:$B$205,MATCH('Deals'!B154,'Clients'!$A$6:$A$205,0)))),IF('Deals'!B154="","",IF(COUNTIFS('Clients'!$A$6:$A$205,'Deals'!B154)&lt;&gt;1,"Check Client ID",INDEX('Clients'!$B$6:$B$205,MATCH('Deals'!B154,'Clients'!$A$6:$A$205,0)))),IF('Deals'!B154="","",IF(COUNTIFS('Clients'!$A$6:$A$205,'Deals'!B154)&lt;&gt;1,"Check Client ID",INDEX('Clients'!$B$6:$B$205,MATCH('Deals'!B154,'Clients'!$A$6:$A$205,0)))),'Follow-ups'!K154,'Payments'!B154,'Expenses'!D154))))</x:f>
      </x:c>
      <x:c r="E196" s="432" t="str">
        <x:f>IF(B196="","",IF(ISNUMBER(CHOOSE($M$42,'Clients'!K154,'Clients'!K154,'Viewings'!I154,'Deals'!C154,'Deals'!C154,'Deals'!C154,'Follow-ups'!L154,'Payments'!G154,'Expenses'!F154)),CHOOSE($M$42,'Clients'!K154,'Clients'!K154,'Viewings'!I154,'Deals'!C154,'Deals'!C154,'Deals'!C154,'Follow-ups'!L154,'Payments'!G154,'Expenses'!F154),IF(CHOOSE($M$42,'Clients'!K154,'Clients'!K154,'Viewings'!I154,'Deals'!C154,'Deals'!C154,'Deals'!C154,'Follow-ups'!L154,'Payments'!G154,'Expenses'!F154)="","",CHOOSE($M$42,'Clients'!K154,'Clients'!K154,'Viewings'!I154,'Deals'!C154,'Deals'!C154,'Deals'!C154,'Follow-ups'!L154,'Payments'!G154,'Expenses'!F154))))</x:f>
      </x:c>
      <x:c r="F196" s="432" t="str">
        <x:f>IF(B196="","",IF(ISNUMBER(CHOOSE($M$42,'Clients'!H154,'Clients'!H154,'Viewings'!E154,'Deals'!E154,'Deals'!E154,'Deals'!E154,'Follow-ups'!I154,"Receipt",'Expenses'!C154)),CHOOSE($M$42,'Clients'!H154,'Clients'!H154,'Viewings'!E154,'Deals'!E154,'Deals'!E154,'Deals'!E154,'Follow-ups'!I154,"Receipt",'Expenses'!C154),IF(CHOOSE($M$42,'Clients'!H154,'Clients'!H154,'Viewings'!E154,'Deals'!E154,'Deals'!E154,'Deals'!E154,'Follow-ups'!I154,"Receipt",'Expenses'!C154)="","",CHOOSE($M$42,'Clients'!H154,'Clients'!H154,'Viewings'!E154,'Deals'!E154,'Deals'!E154,'Deals'!E154,'Follow-ups'!I154,"Receipt",'Expenses'!C154))))</x:f>
      </x:c>
      <x:c r="G196" s="473" t="str">
        <x:f>IF(B196="","",IF(ISNUMBER(CHOOSE($M$42,"","","",'Deals'!F154,'Deals'!F154,'Deals'!F154,"",'Payments'!D154,'Expenses'!G154)),CHOOSE($M$42,"","","",'Deals'!F154,'Deals'!F154,'Deals'!F154,"",'Payments'!D154,'Expenses'!G154),IF(CHOOSE($M$42,"","","",'Deals'!F154,'Deals'!F154,'Deals'!F154,"",'Payments'!D154,'Expenses'!G154)="","",CHOOSE($M$42,"","","",'Deals'!F154,'Deals'!F154,'Deals'!F154,"",'Payments'!D154,'Expenses'!G154))))</x:f>
      </x:c>
      <x:c r="H196" s="432" t="n">
        <x:f>IF(AND($M$43=1,B196&lt;&gt;"",ISNUMBER(C196),C196&gt;=$G$6,C196&lt;$K$6+1),1,0)</x:f>
        <x:v>0</x:v>
      </x:c>
      <x:c r="I196" s="432" t="str">
        <x:f>IF(H196=0,"",COUNTIFS($H$48:$H$247,1,$C$48:$C$247,"&lt;"&amp;C196)+COUNTIFS($H$48:H196,1,$C$48:C196,C196))</x:f>
      </x:c>
      <x:c r="J196" s="432"/>
      <x:c r="K196" s="432"/>
      <x:c r="L196" s="432"/>
      <x:c r="M196" s="432"/>
      <x:c r="N196" s="432"/>
      <x:c r="O196" s="432"/>
      <x:c r="P196" s="432"/>
      <x:c r="Q196" s="432"/>
    </x:row>
    <x:row r="197" ht="25" customHeight="1">
      <x:c r="A197" s="432"/>
      <x:c r="B197" s="432" t="str">
        <x:f>IF(CHOOSE($M$42,'Clients'!A155,'Clients'!A155,'Viewings'!A155,'Deals'!A155,'Deals'!A155,'Deals'!A155,'Follow-ups'!A155,'Payments'!A155,'Expenses'!A155)="","",CHOOSE($M$42,'Clients'!A155,'Clients'!A155,'Viewings'!A155,'Deals'!A155,'Deals'!A155,'Deals'!A155,'Follow-ups'!A155,'Payments'!A155,'Expenses'!A155))</x:f>
      </x:c>
      <x:c r="C197" s="472" t="str">
        <x:f>IF(B197="","",IF(CHOOSE($M$42,'Clients'!R155,'Clients'!Q155,'Viewings'!D155,'Deals'!X155,'Deals'!Y155,'Deals'!Z155,'Follow-ups'!H155,'Payments'!C155,'Expenses'!B155)="","",CHOOSE($M$42,'Clients'!R155,'Clients'!Q155,'Viewings'!D155,'Deals'!X155,'Deals'!Y155,'Deals'!Z155,'Follow-ups'!H155,'Payments'!C155,'Expenses'!B155)))</x:f>
      </x:c>
      <x:c r="D197" s="432" t="str">
        <x:f>IF(B197="","",IF(ISNUMBER(CHOOSE($M$42,'Clients'!B155,'Clients'!B155,'Viewings'!H155,IF('Deals'!B155="","",IF(COUNTIFS('Clients'!$A$6:$A$205,'Deals'!B155)&lt;&gt;1,"Check Client ID",INDEX('Clients'!$B$6:$B$205,MATCH('Deals'!B155,'Clients'!$A$6:$A$205,0)))),IF('Deals'!B155="","",IF(COUNTIFS('Clients'!$A$6:$A$205,'Deals'!B155)&lt;&gt;1,"Check Client ID",INDEX('Clients'!$B$6:$B$205,MATCH('Deals'!B155,'Clients'!$A$6:$A$205,0)))),IF('Deals'!B155="","",IF(COUNTIFS('Clients'!$A$6:$A$205,'Deals'!B155)&lt;&gt;1,"Check Client ID",INDEX('Clients'!$B$6:$B$205,MATCH('Deals'!B155,'Clients'!$A$6:$A$205,0)))),'Follow-ups'!K155,'Payments'!B155,'Expenses'!D155)),CHOOSE($M$42,'Clients'!B155,'Clients'!B155,'Viewings'!H155,IF('Deals'!B155="","",IF(COUNTIFS('Clients'!$A$6:$A$205,'Deals'!B155)&lt;&gt;1,"Check Client ID",INDEX('Clients'!$B$6:$B$205,MATCH('Deals'!B155,'Clients'!$A$6:$A$205,0)))),IF('Deals'!B155="","",IF(COUNTIFS('Clients'!$A$6:$A$205,'Deals'!B155)&lt;&gt;1,"Check Client ID",INDEX('Clients'!$B$6:$B$205,MATCH('Deals'!B155,'Clients'!$A$6:$A$205,0)))),IF('Deals'!B155="","",IF(COUNTIFS('Clients'!$A$6:$A$205,'Deals'!B155)&lt;&gt;1,"Check Client ID",INDEX('Clients'!$B$6:$B$205,MATCH('Deals'!B155,'Clients'!$A$6:$A$205,0)))),'Follow-ups'!K155,'Payments'!B155,'Expenses'!D155),IF(CHOOSE($M$42,'Clients'!B155,'Clients'!B155,'Viewings'!H155,IF('Deals'!B155="","",IF(COUNTIFS('Clients'!$A$6:$A$205,'Deals'!B155)&lt;&gt;1,"Check Client ID",INDEX('Clients'!$B$6:$B$205,MATCH('Deals'!B155,'Clients'!$A$6:$A$205,0)))),IF('Deals'!B155="","",IF(COUNTIFS('Clients'!$A$6:$A$205,'Deals'!B155)&lt;&gt;1,"Check Client ID",INDEX('Clients'!$B$6:$B$205,MATCH('Deals'!B155,'Clients'!$A$6:$A$205,0)))),IF('Deals'!B155="","",IF(COUNTIFS('Clients'!$A$6:$A$205,'Deals'!B155)&lt;&gt;1,"Check Client ID",INDEX('Clients'!$B$6:$B$205,MATCH('Deals'!B155,'Clients'!$A$6:$A$205,0)))),'Follow-ups'!K155,'Payments'!B155,'Expenses'!D155)="","",CHOOSE($M$42,'Clients'!B155,'Clients'!B155,'Viewings'!H155,IF('Deals'!B155="","",IF(COUNTIFS('Clients'!$A$6:$A$205,'Deals'!B155)&lt;&gt;1,"Check Client ID",INDEX('Clients'!$B$6:$B$205,MATCH('Deals'!B155,'Clients'!$A$6:$A$205,0)))),IF('Deals'!B155="","",IF(COUNTIFS('Clients'!$A$6:$A$205,'Deals'!B155)&lt;&gt;1,"Check Client ID",INDEX('Clients'!$B$6:$B$205,MATCH('Deals'!B155,'Clients'!$A$6:$A$205,0)))),IF('Deals'!B155="","",IF(COUNTIFS('Clients'!$A$6:$A$205,'Deals'!B155)&lt;&gt;1,"Check Client ID",INDEX('Clients'!$B$6:$B$205,MATCH('Deals'!B155,'Clients'!$A$6:$A$205,0)))),'Follow-ups'!K155,'Payments'!B155,'Expenses'!D155))))</x:f>
      </x:c>
      <x:c r="E197" s="432" t="str">
        <x:f>IF(B197="","",IF(ISNUMBER(CHOOSE($M$42,'Clients'!K155,'Clients'!K155,'Viewings'!I155,'Deals'!C155,'Deals'!C155,'Deals'!C155,'Follow-ups'!L155,'Payments'!G155,'Expenses'!F155)),CHOOSE($M$42,'Clients'!K155,'Clients'!K155,'Viewings'!I155,'Deals'!C155,'Deals'!C155,'Deals'!C155,'Follow-ups'!L155,'Payments'!G155,'Expenses'!F155),IF(CHOOSE($M$42,'Clients'!K155,'Clients'!K155,'Viewings'!I155,'Deals'!C155,'Deals'!C155,'Deals'!C155,'Follow-ups'!L155,'Payments'!G155,'Expenses'!F155)="","",CHOOSE($M$42,'Clients'!K155,'Clients'!K155,'Viewings'!I155,'Deals'!C155,'Deals'!C155,'Deals'!C155,'Follow-ups'!L155,'Payments'!G155,'Expenses'!F155))))</x:f>
      </x:c>
      <x:c r="F197" s="432" t="str">
        <x:f>IF(B197="","",IF(ISNUMBER(CHOOSE($M$42,'Clients'!H155,'Clients'!H155,'Viewings'!E155,'Deals'!E155,'Deals'!E155,'Deals'!E155,'Follow-ups'!I155,"Receipt",'Expenses'!C155)),CHOOSE($M$42,'Clients'!H155,'Clients'!H155,'Viewings'!E155,'Deals'!E155,'Deals'!E155,'Deals'!E155,'Follow-ups'!I155,"Receipt",'Expenses'!C155),IF(CHOOSE($M$42,'Clients'!H155,'Clients'!H155,'Viewings'!E155,'Deals'!E155,'Deals'!E155,'Deals'!E155,'Follow-ups'!I155,"Receipt",'Expenses'!C155)="","",CHOOSE($M$42,'Clients'!H155,'Clients'!H155,'Viewings'!E155,'Deals'!E155,'Deals'!E155,'Deals'!E155,'Follow-ups'!I155,"Receipt",'Expenses'!C155))))</x:f>
      </x:c>
      <x:c r="G197" s="473" t="str">
        <x:f>IF(B197="","",IF(ISNUMBER(CHOOSE($M$42,"","","",'Deals'!F155,'Deals'!F155,'Deals'!F155,"",'Payments'!D155,'Expenses'!G155)),CHOOSE($M$42,"","","",'Deals'!F155,'Deals'!F155,'Deals'!F155,"",'Payments'!D155,'Expenses'!G155),IF(CHOOSE($M$42,"","","",'Deals'!F155,'Deals'!F155,'Deals'!F155,"",'Payments'!D155,'Expenses'!G155)="","",CHOOSE($M$42,"","","",'Deals'!F155,'Deals'!F155,'Deals'!F155,"",'Payments'!D155,'Expenses'!G155))))</x:f>
      </x:c>
      <x:c r="H197" s="432" t="n">
        <x:f>IF(AND($M$43=1,B197&lt;&gt;"",ISNUMBER(C197),C197&gt;=$G$6,C197&lt;$K$6+1),1,0)</x:f>
        <x:v>0</x:v>
      </x:c>
      <x:c r="I197" s="432" t="str">
        <x:f>IF(H197=0,"",COUNTIFS($H$48:$H$247,1,$C$48:$C$247,"&lt;"&amp;C197)+COUNTIFS($H$48:H197,1,$C$48:C197,C197))</x:f>
      </x:c>
      <x:c r="J197" s="432"/>
      <x:c r="K197" s="432"/>
      <x:c r="L197" s="432"/>
      <x:c r="M197" s="432"/>
      <x:c r="N197" s="432"/>
      <x:c r="O197" s="432"/>
      <x:c r="P197" s="432"/>
      <x:c r="Q197" s="432"/>
    </x:row>
    <x:row r="198" ht="25" customHeight="1">
      <x:c r="A198" s="432"/>
      <x:c r="B198" s="432" t="str">
        <x:f>IF(CHOOSE($M$42,'Clients'!A156,'Clients'!A156,'Viewings'!A156,'Deals'!A156,'Deals'!A156,'Deals'!A156,'Follow-ups'!A156,'Payments'!A156,'Expenses'!A156)="","",CHOOSE($M$42,'Clients'!A156,'Clients'!A156,'Viewings'!A156,'Deals'!A156,'Deals'!A156,'Deals'!A156,'Follow-ups'!A156,'Payments'!A156,'Expenses'!A156))</x:f>
      </x:c>
      <x:c r="C198" s="472" t="str">
        <x:f>IF(B198="","",IF(CHOOSE($M$42,'Clients'!R156,'Clients'!Q156,'Viewings'!D156,'Deals'!X156,'Deals'!Y156,'Deals'!Z156,'Follow-ups'!H156,'Payments'!C156,'Expenses'!B156)="","",CHOOSE($M$42,'Clients'!R156,'Clients'!Q156,'Viewings'!D156,'Deals'!X156,'Deals'!Y156,'Deals'!Z156,'Follow-ups'!H156,'Payments'!C156,'Expenses'!B156)))</x:f>
      </x:c>
      <x:c r="D198" s="432" t="str">
        <x:f>IF(B198="","",IF(ISNUMBER(CHOOSE($M$42,'Clients'!B156,'Clients'!B156,'Viewings'!H156,IF('Deals'!B156="","",IF(COUNTIFS('Clients'!$A$6:$A$205,'Deals'!B156)&lt;&gt;1,"Check Client ID",INDEX('Clients'!$B$6:$B$205,MATCH('Deals'!B156,'Clients'!$A$6:$A$205,0)))),IF('Deals'!B156="","",IF(COUNTIFS('Clients'!$A$6:$A$205,'Deals'!B156)&lt;&gt;1,"Check Client ID",INDEX('Clients'!$B$6:$B$205,MATCH('Deals'!B156,'Clients'!$A$6:$A$205,0)))),IF('Deals'!B156="","",IF(COUNTIFS('Clients'!$A$6:$A$205,'Deals'!B156)&lt;&gt;1,"Check Client ID",INDEX('Clients'!$B$6:$B$205,MATCH('Deals'!B156,'Clients'!$A$6:$A$205,0)))),'Follow-ups'!K156,'Payments'!B156,'Expenses'!D156)),CHOOSE($M$42,'Clients'!B156,'Clients'!B156,'Viewings'!H156,IF('Deals'!B156="","",IF(COUNTIFS('Clients'!$A$6:$A$205,'Deals'!B156)&lt;&gt;1,"Check Client ID",INDEX('Clients'!$B$6:$B$205,MATCH('Deals'!B156,'Clients'!$A$6:$A$205,0)))),IF('Deals'!B156="","",IF(COUNTIFS('Clients'!$A$6:$A$205,'Deals'!B156)&lt;&gt;1,"Check Client ID",INDEX('Clients'!$B$6:$B$205,MATCH('Deals'!B156,'Clients'!$A$6:$A$205,0)))),IF('Deals'!B156="","",IF(COUNTIFS('Clients'!$A$6:$A$205,'Deals'!B156)&lt;&gt;1,"Check Client ID",INDEX('Clients'!$B$6:$B$205,MATCH('Deals'!B156,'Clients'!$A$6:$A$205,0)))),'Follow-ups'!K156,'Payments'!B156,'Expenses'!D156),IF(CHOOSE($M$42,'Clients'!B156,'Clients'!B156,'Viewings'!H156,IF('Deals'!B156="","",IF(COUNTIFS('Clients'!$A$6:$A$205,'Deals'!B156)&lt;&gt;1,"Check Client ID",INDEX('Clients'!$B$6:$B$205,MATCH('Deals'!B156,'Clients'!$A$6:$A$205,0)))),IF('Deals'!B156="","",IF(COUNTIFS('Clients'!$A$6:$A$205,'Deals'!B156)&lt;&gt;1,"Check Client ID",INDEX('Clients'!$B$6:$B$205,MATCH('Deals'!B156,'Clients'!$A$6:$A$205,0)))),IF('Deals'!B156="","",IF(COUNTIFS('Clients'!$A$6:$A$205,'Deals'!B156)&lt;&gt;1,"Check Client ID",INDEX('Clients'!$B$6:$B$205,MATCH('Deals'!B156,'Clients'!$A$6:$A$205,0)))),'Follow-ups'!K156,'Payments'!B156,'Expenses'!D156)="","",CHOOSE($M$42,'Clients'!B156,'Clients'!B156,'Viewings'!H156,IF('Deals'!B156="","",IF(COUNTIFS('Clients'!$A$6:$A$205,'Deals'!B156)&lt;&gt;1,"Check Client ID",INDEX('Clients'!$B$6:$B$205,MATCH('Deals'!B156,'Clients'!$A$6:$A$205,0)))),IF('Deals'!B156="","",IF(COUNTIFS('Clients'!$A$6:$A$205,'Deals'!B156)&lt;&gt;1,"Check Client ID",INDEX('Clients'!$B$6:$B$205,MATCH('Deals'!B156,'Clients'!$A$6:$A$205,0)))),IF('Deals'!B156="","",IF(COUNTIFS('Clients'!$A$6:$A$205,'Deals'!B156)&lt;&gt;1,"Check Client ID",INDEX('Clients'!$B$6:$B$205,MATCH('Deals'!B156,'Clients'!$A$6:$A$205,0)))),'Follow-ups'!K156,'Payments'!B156,'Expenses'!D156))))</x:f>
      </x:c>
      <x:c r="E198" s="432" t="str">
        <x:f>IF(B198="","",IF(ISNUMBER(CHOOSE($M$42,'Clients'!K156,'Clients'!K156,'Viewings'!I156,'Deals'!C156,'Deals'!C156,'Deals'!C156,'Follow-ups'!L156,'Payments'!G156,'Expenses'!F156)),CHOOSE($M$42,'Clients'!K156,'Clients'!K156,'Viewings'!I156,'Deals'!C156,'Deals'!C156,'Deals'!C156,'Follow-ups'!L156,'Payments'!G156,'Expenses'!F156),IF(CHOOSE($M$42,'Clients'!K156,'Clients'!K156,'Viewings'!I156,'Deals'!C156,'Deals'!C156,'Deals'!C156,'Follow-ups'!L156,'Payments'!G156,'Expenses'!F156)="","",CHOOSE($M$42,'Clients'!K156,'Clients'!K156,'Viewings'!I156,'Deals'!C156,'Deals'!C156,'Deals'!C156,'Follow-ups'!L156,'Payments'!G156,'Expenses'!F156))))</x:f>
      </x:c>
      <x:c r="F198" s="432" t="str">
        <x:f>IF(B198="","",IF(ISNUMBER(CHOOSE($M$42,'Clients'!H156,'Clients'!H156,'Viewings'!E156,'Deals'!E156,'Deals'!E156,'Deals'!E156,'Follow-ups'!I156,"Receipt",'Expenses'!C156)),CHOOSE($M$42,'Clients'!H156,'Clients'!H156,'Viewings'!E156,'Deals'!E156,'Deals'!E156,'Deals'!E156,'Follow-ups'!I156,"Receipt",'Expenses'!C156),IF(CHOOSE($M$42,'Clients'!H156,'Clients'!H156,'Viewings'!E156,'Deals'!E156,'Deals'!E156,'Deals'!E156,'Follow-ups'!I156,"Receipt",'Expenses'!C156)="","",CHOOSE($M$42,'Clients'!H156,'Clients'!H156,'Viewings'!E156,'Deals'!E156,'Deals'!E156,'Deals'!E156,'Follow-ups'!I156,"Receipt",'Expenses'!C156))))</x:f>
      </x:c>
      <x:c r="G198" s="473" t="str">
        <x:f>IF(B198="","",IF(ISNUMBER(CHOOSE($M$42,"","","",'Deals'!F156,'Deals'!F156,'Deals'!F156,"",'Payments'!D156,'Expenses'!G156)),CHOOSE($M$42,"","","",'Deals'!F156,'Deals'!F156,'Deals'!F156,"",'Payments'!D156,'Expenses'!G156),IF(CHOOSE($M$42,"","","",'Deals'!F156,'Deals'!F156,'Deals'!F156,"",'Payments'!D156,'Expenses'!G156)="","",CHOOSE($M$42,"","","",'Deals'!F156,'Deals'!F156,'Deals'!F156,"",'Payments'!D156,'Expenses'!G156))))</x:f>
      </x:c>
      <x:c r="H198" s="432" t="n">
        <x:f>IF(AND($M$43=1,B198&lt;&gt;"",ISNUMBER(C198),C198&gt;=$G$6,C198&lt;$K$6+1),1,0)</x:f>
        <x:v>0</x:v>
      </x:c>
      <x:c r="I198" s="432" t="str">
        <x:f>IF(H198=0,"",COUNTIFS($H$48:$H$247,1,$C$48:$C$247,"&lt;"&amp;C198)+COUNTIFS($H$48:H198,1,$C$48:C198,C198))</x:f>
      </x:c>
      <x:c r="J198" s="432"/>
      <x:c r="K198" s="432"/>
      <x:c r="L198" s="432"/>
      <x:c r="M198" s="432"/>
      <x:c r="N198" s="432"/>
      <x:c r="O198" s="432"/>
      <x:c r="P198" s="432"/>
      <x:c r="Q198" s="432"/>
    </x:row>
    <x:row r="199" ht="25" customHeight="1">
      <x:c r="A199" s="432"/>
      <x:c r="B199" s="432" t="str">
        <x:f>IF(CHOOSE($M$42,'Clients'!A157,'Clients'!A157,'Viewings'!A157,'Deals'!A157,'Deals'!A157,'Deals'!A157,'Follow-ups'!A157,'Payments'!A157,'Expenses'!A157)="","",CHOOSE($M$42,'Clients'!A157,'Clients'!A157,'Viewings'!A157,'Deals'!A157,'Deals'!A157,'Deals'!A157,'Follow-ups'!A157,'Payments'!A157,'Expenses'!A157))</x:f>
      </x:c>
      <x:c r="C199" s="472" t="str">
        <x:f>IF(B199="","",IF(CHOOSE($M$42,'Clients'!R157,'Clients'!Q157,'Viewings'!D157,'Deals'!X157,'Deals'!Y157,'Deals'!Z157,'Follow-ups'!H157,'Payments'!C157,'Expenses'!B157)="","",CHOOSE($M$42,'Clients'!R157,'Clients'!Q157,'Viewings'!D157,'Deals'!X157,'Deals'!Y157,'Deals'!Z157,'Follow-ups'!H157,'Payments'!C157,'Expenses'!B157)))</x:f>
      </x:c>
      <x:c r="D199" s="432" t="str">
        <x:f>IF(B199="","",IF(ISNUMBER(CHOOSE($M$42,'Clients'!B157,'Clients'!B157,'Viewings'!H157,IF('Deals'!B157="","",IF(COUNTIFS('Clients'!$A$6:$A$205,'Deals'!B157)&lt;&gt;1,"Check Client ID",INDEX('Clients'!$B$6:$B$205,MATCH('Deals'!B157,'Clients'!$A$6:$A$205,0)))),IF('Deals'!B157="","",IF(COUNTIFS('Clients'!$A$6:$A$205,'Deals'!B157)&lt;&gt;1,"Check Client ID",INDEX('Clients'!$B$6:$B$205,MATCH('Deals'!B157,'Clients'!$A$6:$A$205,0)))),IF('Deals'!B157="","",IF(COUNTIFS('Clients'!$A$6:$A$205,'Deals'!B157)&lt;&gt;1,"Check Client ID",INDEX('Clients'!$B$6:$B$205,MATCH('Deals'!B157,'Clients'!$A$6:$A$205,0)))),'Follow-ups'!K157,'Payments'!B157,'Expenses'!D157)),CHOOSE($M$42,'Clients'!B157,'Clients'!B157,'Viewings'!H157,IF('Deals'!B157="","",IF(COUNTIFS('Clients'!$A$6:$A$205,'Deals'!B157)&lt;&gt;1,"Check Client ID",INDEX('Clients'!$B$6:$B$205,MATCH('Deals'!B157,'Clients'!$A$6:$A$205,0)))),IF('Deals'!B157="","",IF(COUNTIFS('Clients'!$A$6:$A$205,'Deals'!B157)&lt;&gt;1,"Check Client ID",INDEX('Clients'!$B$6:$B$205,MATCH('Deals'!B157,'Clients'!$A$6:$A$205,0)))),IF('Deals'!B157="","",IF(COUNTIFS('Clients'!$A$6:$A$205,'Deals'!B157)&lt;&gt;1,"Check Client ID",INDEX('Clients'!$B$6:$B$205,MATCH('Deals'!B157,'Clients'!$A$6:$A$205,0)))),'Follow-ups'!K157,'Payments'!B157,'Expenses'!D157),IF(CHOOSE($M$42,'Clients'!B157,'Clients'!B157,'Viewings'!H157,IF('Deals'!B157="","",IF(COUNTIFS('Clients'!$A$6:$A$205,'Deals'!B157)&lt;&gt;1,"Check Client ID",INDEX('Clients'!$B$6:$B$205,MATCH('Deals'!B157,'Clients'!$A$6:$A$205,0)))),IF('Deals'!B157="","",IF(COUNTIFS('Clients'!$A$6:$A$205,'Deals'!B157)&lt;&gt;1,"Check Client ID",INDEX('Clients'!$B$6:$B$205,MATCH('Deals'!B157,'Clients'!$A$6:$A$205,0)))),IF('Deals'!B157="","",IF(COUNTIFS('Clients'!$A$6:$A$205,'Deals'!B157)&lt;&gt;1,"Check Client ID",INDEX('Clients'!$B$6:$B$205,MATCH('Deals'!B157,'Clients'!$A$6:$A$205,0)))),'Follow-ups'!K157,'Payments'!B157,'Expenses'!D157)="","",CHOOSE($M$42,'Clients'!B157,'Clients'!B157,'Viewings'!H157,IF('Deals'!B157="","",IF(COUNTIFS('Clients'!$A$6:$A$205,'Deals'!B157)&lt;&gt;1,"Check Client ID",INDEX('Clients'!$B$6:$B$205,MATCH('Deals'!B157,'Clients'!$A$6:$A$205,0)))),IF('Deals'!B157="","",IF(COUNTIFS('Clients'!$A$6:$A$205,'Deals'!B157)&lt;&gt;1,"Check Client ID",INDEX('Clients'!$B$6:$B$205,MATCH('Deals'!B157,'Clients'!$A$6:$A$205,0)))),IF('Deals'!B157="","",IF(COUNTIFS('Clients'!$A$6:$A$205,'Deals'!B157)&lt;&gt;1,"Check Client ID",INDEX('Clients'!$B$6:$B$205,MATCH('Deals'!B157,'Clients'!$A$6:$A$205,0)))),'Follow-ups'!K157,'Payments'!B157,'Expenses'!D157))))</x:f>
      </x:c>
      <x:c r="E199" s="432" t="str">
        <x:f>IF(B199="","",IF(ISNUMBER(CHOOSE($M$42,'Clients'!K157,'Clients'!K157,'Viewings'!I157,'Deals'!C157,'Deals'!C157,'Deals'!C157,'Follow-ups'!L157,'Payments'!G157,'Expenses'!F157)),CHOOSE($M$42,'Clients'!K157,'Clients'!K157,'Viewings'!I157,'Deals'!C157,'Deals'!C157,'Deals'!C157,'Follow-ups'!L157,'Payments'!G157,'Expenses'!F157),IF(CHOOSE($M$42,'Clients'!K157,'Clients'!K157,'Viewings'!I157,'Deals'!C157,'Deals'!C157,'Deals'!C157,'Follow-ups'!L157,'Payments'!G157,'Expenses'!F157)="","",CHOOSE($M$42,'Clients'!K157,'Clients'!K157,'Viewings'!I157,'Deals'!C157,'Deals'!C157,'Deals'!C157,'Follow-ups'!L157,'Payments'!G157,'Expenses'!F157))))</x:f>
      </x:c>
      <x:c r="F199" s="432" t="str">
        <x:f>IF(B199="","",IF(ISNUMBER(CHOOSE($M$42,'Clients'!H157,'Clients'!H157,'Viewings'!E157,'Deals'!E157,'Deals'!E157,'Deals'!E157,'Follow-ups'!I157,"Receipt",'Expenses'!C157)),CHOOSE($M$42,'Clients'!H157,'Clients'!H157,'Viewings'!E157,'Deals'!E157,'Deals'!E157,'Deals'!E157,'Follow-ups'!I157,"Receipt",'Expenses'!C157),IF(CHOOSE($M$42,'Clients'!H157,'Clients'!H157,'Viewings'!E157,'Deals'!E157,'Deals'!E157,'Deals'!E157,'Follow-ups'!I157,"Receipt",'Expenses'!C157)="","",CHOOSE($M$42,'Clients'!H157,'Clients'!H157,'Viewings'!E157,'Deals'!E157,'Deals'!E157,'Deals'!E157,'Follow-ups'!I157,"Receipt",'Expenses'!C157))))</x:f>
      </x:c>
      <x:c r="G199" s="473" t="str">
        <x:f>IF(B199="","",IF(ISNUMBER(CHOOSE($M$42,"","","",'Deals'!F157,'Deals'!F157,'Deals'!F157,"",'Payments'!D157,'Expenses'!G157)),CHOOSE($M$42,"","","",'Deals'!F157,'Deals'!F157,'Deals'!F157,"",'Payments'!D157,'Expenses'!G157),IF(CHOOSE($M$42,"","","",'Deals'!F157,'Deals'!F157,'Deals'!F157,"",'Payments'!D157,'Expenses'!G157)="","",CHOOSE($M$42,"","","",'Deals'!F157,'Deals'!F157,'Deals'!F157,"",'Payments'!D157,'Expenses'!G157))))</x:f>
      </x:c>
      <x:c r="H199" s="432" t="n">
        <x:f>IF(AND($M$43=1,B199&lt;&gt;"",ISNUMBER(C199),C199&gt;=$G$6,C199&lt;$K$6+1),1,0)</x:f>
        <x:v>0</x:v>
      </x:c>
      <x:c r="I199" s="432" t="str">
        <x:f>IF(H199=0,"",COUNTIFS($H$48:$H$247,1,$C$48:$C$247,"&lt;"&amp;C199)+COUNTIFS($H$48:H199,1,$C$48:C199,C199))</x:f>
      </x:c>
      <x:c r="J199" s="432"/>
      <x:c r="K199" s="432"/>
      <x:c r="L199" s="432"/>
      <x:c r="M199" s="432"/>
      <x:c r="N199" s="432"/>
      <x:c r="O199" s="432"/>
      <x:c r="P199" s="432"/>
      <x:c r="Q199" s="432"/>
    </x:row>
    <x:row r="200" ht="25" customHeight="1">
      <x:c r="A200" s="432"/>
      <x:c r="B200" s="432" t="str">
        <x:f>IF(CHOOSE($M$42,'Clients'!A158,'Clients'!A158,'Viewings'!A158,'Deals'!A158,'Deals'!A158,'Deals'!A158,'Follow-ups'!A158,'Payments'!A158,'Expenses'!A158)="","",CHOOSE($M$42,'Clients'!A158,'Clients'!A158,'Viewings'!A158,'Deals'!A158,'Deals'!A158,'Deals'!A158,'Follow-ups'!A158,'Payments'!A158,'Expenses'!A158))</x:f>
      </x:c>
      <x:c r="C200" s="472" t="str">
        <x:f>IF(B200="","",IF(CHOOSE($M$42,'Clients'!R158,'Clients'!Q158,'Viewings'!D158,'Deals'!X158,'Deals'!Y158,'Deals'!Z158,'Follow-ups'!H158,'Payments'!C158,'Expenses'!B158)="","",CHOOSE($M$42,'Clients'!R158,'Clients'!Q158,'Viewings'!D158,'Deals'!X158,'Deals'!Y158,'Deals'!Z158,'Follow-ups'!H158,'Payments'!C158,'Expenses'!B158)))</x:f>
      </x:c>
      <x:c r="D200" s="432" t="str">
        <x:f>IF(B200="","",IF(ISNUMBER(CHOOSE($M$42,'Clients'!B158,'Clients'!B158,'Viewings'!H158,IF('Deals'!B158="","",IF(COUNTIFS('Clients'!$A$6:$A$205,'Deals'!B158)&lt;&gt;1,"Check Client ID",INDEX('Clients'!$B$6:$B$205,MATCH('Deals'!B158,'Clients'!$A$6:$A$205,0)))),IF('Deals'!B158="","",IF(COUNTIFS('Clients'!$A$6:$A$205,'Deals'!B158)&lt;&gt;1,"Check Client ID",INDEX('Clients'!$B$6:$B$205,MATCH('Deals'!B158,'Clients'!$A$6:$A$205,0)))),IF('Deals'!B158="","",IF(COUNTIFS('Clients'!$A$6:$A$205,'Deals'!B158)&lt;&gt;1,"Check Client ID",INDEX('Clients'!$B$6:$B$205,MATCH('Deals'!B158,'Clients'!$A$6:$A$205,0)))),'Follow-ups'!K158,'Payments'!B158,'Expenses'!D158)),CHOOSE($M$42,'Clients'!B158,'Clients'!B158,'Viewings'!H158,IF('Deals'!B158="","",IF(COUNTIFS('Clients'!$A$6:$A$205,'Deals'!B158)&lt;&gt;1,"Check Client ID",INDEX('Clients'!$B$6:$B$205,MATCH('Deals'!B158,'Clients'!$A$6:$A$205,0)))),IF('Deals'!B158="","",IF(COUNTIFS('Clients'!$A$6:$A$205,'Deals'!B158)&lt;&gt;1,"Check Client ID",INDEX('Clients'!$B$6:$B$205,MATCH('Deals'!B158,'Clients'!$A$6:$A$205,0)))),IF('Deals'!B158="","",IF(COUNTIFS('Clients'!$A$6:$A$205,'Deals'!B158)&lt;&gt;1,"Check Client ID",INDEX('Clients'!$B$6:$B$205,MATCH('Deals'!B158,'Clients'!$A$6:$A$205,0)))),'Follow-ups'!K158,'Payments'!B158,'Expenses'!D158),IF(CHOOSE($M$42,'Clients'!B158,'Clients'!B158,'Viewings'!H158,IF('Deals'!B158="","",IF(COUNTIFS('Clients'!$A$6:$A$205,'Deals'!B158)&lt;&gt;1,"Check Client ID",INDEX('Clients'!$B$6:$B$205,MATCH('Deals'!B158,'Clients'!$A$6:$A$205,0)))),IF('Deals'!B158="","",IF(COUNTIFS('Clients'!$A$6:$A$205,'Deals'!B158)&lt;&gt;1,"Check Client ID",INDEX('Clients'!$B$6:$B$205,MATCH('Deals'!B158,'Clients'!$A$6:$A$205,0)))),IF('Deals'!B158="","",IF(COUNTIFS('Clients'!$A$6:$A$205,'Deals'!B158)&lt;&gt;1,"Check Client ID",INDEX('Clients'!$B$6:$B$205,MATCH('Deals'!B158,'Clients'!$A$6:$A$205,0)))),'Follow-ups'!K158,'Payments'!B158,'Expenses'!D158)="","",CHOOSE($M$42,'Clients'!B158,'Clients'!B158,'Viewings'!H158,IF('Deals'!B158="","",IF(COUNTIFS('Clients'!$A$6:$A$205,'Deals'!B158)&lt;&gt;1,"Check Client ID",INDEX('Clients'!$B$6:$B$205,MATCH('Deals'!B158,'Clients'!$A$6:$A$205,0)))),IF('Deals'!B158="","",IF(COUNTIFS('Clients'!$A$6:$A$205,'Deals'!B158)&lt;&gt;1,"Check Client ID",INDEX('Clients'!$B$6:$B$205,MATCH('Deals'!B158,'Clients'!$A$6:$A$205,0)))),IF('Deals'!B158="","",IF(COUNTIFS('Clients'!$A$6:$A$205,'Deals'!B158)&lt;&gt;1,"Check Client ID",INDEX('Clients'!$B$6:$B$205,MATCH('Deals'!B158,'Clients'!$A$6:$A$205,0)))),'Follow-ups'!K158,'Payments'!B158,'Expenses'!D158))))</x:f>
      </x:c>
      <x:c r="E200" s="432" t="str">
        <x:f>IF(B200="","",IF(ISNUMBER(CHOOSE($M$42,'Clients'!K158,'Clients'!K158,'Viewings'!I158,'Deals'!C158,'Deals'!C158,'Deals'!C158,'Follow-ups'!L158,'Payments'!G158,'Expenses'!F158)),CHOOSE($M$42,'Clients'!K158,'Clients'!K158,'Viewings'!I158,'Deals'!C158,'Deals'!C158,'Deals'!C158,'Follow-ups'!L158,'Payments'!G158,'Expenses'!F158),IF(CHOOSE($M$42,'Clients'!K158,'Clients'!K158,'Viewings'!I158,'Deals'!C158,'Deals'!C158,'Deals'!C158,'Follow-ups'!L158,'Payments'!G158,'Expenses'!F158)="","",CHOOSE($M$42,'Clients'!K158,'Clients'!K158,'Viewings'!I158,'Deals'!C158,'Deals'!C158,'Deals'!C158,'Follow-ups'!L158,'Payments'!G158,'Expenses'!F158))))</x:f>
      </x:c>
      <x:c r="F200" s="432" t="str">
        <x:f>IF(B200="","",IF(ISNUMBER(CHOOSE($M$42,'Clients'!H158,'Clients'!H158,'Viewings'!E158,'Deals'!E158,'Deals'!E158,'Deals'!E158,'Follow-ups'!I158,"Receipt",'Expenses'!C158)),CHOOSE($M$42,'Clients'!H158,'Clients'!H158,'Viewings'!E158,'Deals'!E158,'Deals'!E158,'Deals'!E158,'Follow-ups'!I158,"Receipt",'Expenses'!C158),IF(CHOOSE($M$42,'Clients'!H158,'Clients'!H158,'Viewings'!E158,'Deals'!E158,'Deals'!E158,'Deals'!E158,'Follow-ups'!I158,"Receipt",'Expenses'!C158)="","",CHOOSE($M$42,'Clients'!H158,'Clients'!H158,'Viewings'!E158,'Deals'!E158,'Deals'!E158,'Deals'!E158,'Follow-ups'!I158,"Receipt",'Expenses'!C158))))</x:f>
      </x:c>
      <x:c r="G200" s="473" t="str">
        <x:f>IF(B200="","",IF(ISNUMBER(CHOOSE($M$42,"","","",'Deals'!F158,'Deals'!F158,'Deals'!F158,"",'Payments'!D158,'Expenses'!G158)),CHOOSE($M$42,"","","",'Deals'!F158,'Deals'!F158,'Deals'!F158,"",'Payments'!D158,'Expenses'!G158),IF(CHOOSE($M$42,"","","",'Deals'!F158,'Deals'!F158,'Deals'!F158,"",'Payments'!D158,'Expenses'!G158)="","",CHOOSE($M$42,"","","",'Deals'!F158,'Deals'!F158,'Deals'!F158,"",'Payments'!D158,'Expenses'!G158))))</x:f>
      </x:c>
      <x:c r="H200" s="432" t="n">
        <x:f>IF(AND($M$43=1,B200&lt;&gt;"",ISNUMBER(C200),C200&gt;=$G$6,C200&lt;$K$6+1),1,0)</x:f>
        <x:v>0</x:v>
      </x:c>
      <x:c r="I200" s="432" t="str">
        <x:f>IF(H200=0,"",COUNTIFS($H$48:$H$247,1,$C$48:$C$247,"&lt;"&amp;C200)+COUNTIFS($H$48:H200,1,$C$48:C200,C200))</x:f>
      </x:c>
      <x:c r="J200" s="432"/>
      <x:c r="K200" s="432"/>
      <x:c r="L200" s="432"/>
      <x:c r="M200" s="432"/>
      <x:c r="N200" s="432"/>
      <x:c r="O200" s="432"/>
      <x:c r="P200" s="432"/>
      <x:c r="Q200" s="432"/>
    </x:row>
    <x:row r="201" ht="25" customHeight="1">
      <x:c r="A201" s="432"/>
      <x:c r="B201" s="432" t="str">
        <x:f>IF(CHOOSE($M$42,'Clients'!A159,'Clients'!A159,'Viewings'!A159,'Deals'!A159,'Deals'!A159,'Deals'!A159,'Follow-ups'!A159,'Payments'!A159,'Expenses'!A159)="","",CHOOSE($M$42,'Clients'!A159,'Clients'!A159,'Viewings'!A159,'Deals'!A159,'Deals'!A159,'Deals'!A159,'Follow-ups'!A159,'Payments'!A159,'Expenses'!A159))</x:f>
      </x:c>
      <x:c r="C201" s="472" t="str">
        <x:f>IF(B201="","",IF(CHOOSE($M$42,'Clients'!R159,'Clients'!Q159,'Viewings'!D159,'Deals'!X159,'Deals'!Y159,'Deals'!Z159,'Follow-ups'!H159,'Payments'!C159,'Expenses'!B159)="","",CHOOSE($M$42,'Clients'!R159,'Clients'!Q159,'Viewings'!D159,'Deals'!X159,'Deals'!Y159,'Deals'!Z159,'Follow-ups'!H159,'Payments'!C159,'Expenses'!B159)))</x:f>
      </x:c>
      <x:c r="D201" s="432" t="str">
        <x:f>IF(B201="","",IF(ISNUMBER(CHOOSE($M$42,'Clients'!B159,'Clients'!B159,'Viewings'!H159,IF('Deals'!B159="","",IF(COUNTIFS('Clients'!$A$6:$A$205,'Deals'!B159)&lt;&gt;1,"Check Client ID",INDEX('Clients'!$B$6:$B$205,MATCH('Deals'!B159,'Clients'!$A$6:$A$205,0)))),IF('Deals'!B159="","",IF(COUNTIFS('Clients'!$A$6:$A$205,'Deals'!B159)&lt;&gt;1,"Check Client ID",INDEX('Clients'!$B$6:$B$205,MATCH('Deals'!B159,'Clients'!$A$6:$A$205,0)))),IF('Deals'!B159="","",IF(COUNTIFS('Clients'!$A$6:$A$205,'Deals'!B159)&lt;&gt;1,"Check Client ID",INDEX('Clients'!$B$6:$B$205,MATCH('Deals'!B159,'Clients'!$A$6:$A$205,0)))),'Follow-ups'!K159,'Payments'!B159,'Expenses'!D159)),CHOOSE($M$42,'Clients'!B159,'Clients'!B159,'Viewings'!H159,IF('Deals'!B159="","",IF(COUNTIFS('Clients'!$A$6:$A$205,'Deals'!B159)&lt;&gt;1,"Check Client ID",INDEX('Clients'!$B$6:$B$205,MATCH('Deals'!B159,'Clients'!$A$6:$A$205,0)))),IF('Deals'!B159="","",IF(COUNTIFS('Clients'!$A$6:$A$205,'Deals'!B159)&lt;&gt;1,"Check Client ID",INDEX('Clients'!$B$6:$B$205,MATCH('Deals'!B159,'Clients'!$A$6:$A$205,0)))),IF('Deals'!B159="","",IF(COUNTIFS('Clients'!$A$6:$A$205,'Deals'!B159)&lt;&gt;1,"Check Client ID",INDEX('Clients'!$B$6:$B$205,MATCH('Deals'!B159,'Clients'!$A$6:$A$205,0)))),'Follow-ups'!K159,'Payments'!B159,'Expenses'!D159),IF(CHOOSE($M$42,'Clients'!B159,'Clients'!B159,'Viewings'!H159,IF('Deals'!B159="","",IF(COUNTIFS('Clients'!$A$6:$A$205,'Deals'!B159)&lt;&gt;1,"Check Client ID",INDEX('Clients'!$B$6:$B$205,MATCH('Deals'!B159,'Clients'!$A$6:$A$205,0)))),IF('Deals'!B159="","",IF(COUNTIFS('Clients'!$A$6:$A$205,'Deals'!B159)&lt;&gt;1,"Check Client ID",INDEX('Clients'!$B$6:$B$205,MATCH('Deals'!B159,'Clients'!$A$6:$A$205,0)))),IF('Deals'!B159="","",IF(COUNTIFS('Clients'!$A$6:$A$205,'Deals'!B159)&lt;&gt;1,"Check Client ID",INDEX('Clients'!$B$6:$B$205,MATCH('Deals'!B159,'Clients'!$A$6:$A$205,0)))),'Follow-ups'!K159,'Payments'!B159,'Expenses'!D159)="","",CHOOSE($M$42,'Clients'!B159,'Clients'!B159,'Viewings'!H159,IF('Deals'!B159="","",IF(COUNTIFS('Clients'!$A$6:$A$205,'Deals'!B159)&lt;&gt;1,"Check Client ID",INDEX('Clients'!$B$6:$B$205,MATCH('Deals'!B159,'Clients'!$A$6:$A$205,0)))),IF('Deals'!B159="","",IF(COUNTIFS('Clients'!$A$6:$A$205,'Deals'!B159)&lt;&gt;1,"Check Client ID",INDEX('Clients'!$B$6:$B$205,MATCH('Deals'!B159,'Clients'!$A$6:$A$205,0)))),IF('Deals'!B159="","",IF(COUNTIFS('Clients'!$A$6:$A$205,'Deals'!B159)&lt;&gt;1,"Check Client ID",INDEX('Clients'!$B$6:$B$205,MATCH('Deals'!B159,'Clients'!$A$6:$A$205,0)))),'Follow-ups'!K159,'Payments'!B159,'Expenses'!D159))))</x:f>
      </x:c>
      <x:c r="E201" s="432" t="str">
        <x:f>IF(B201="","",IF(ISNUMBER(CHOOSE($M$42,'Clients'!K159,'Clients'!K159,'Viewings'!I159,'Deals'!C159,'Deals'!C159,'Deals'!C159,'Follow-ups'!L159,'Payments'!G159,'Expenses'!F159)),CHOOSE($M$42,'Clients'!K159,'Clients'!K159,'Viewings'!I159,'Deals'!C159,'Deals'!C159,'Deals'!C159,'Follow-ups'!L159,'Payments'!G159,'Expenses'!F159),IF(CHOOSE($M$42,'Clients'!K159,'Clients'!K159,'Viewings'!I159,'Deals'!C159,'Deals'!C159,'Deals'!C159,'Follow-ups'!L159,'Payments'!G159,'Expenses'!F159)="","",CHOOSE($M$42,'Clients'!K159,'Clients'!K159,'Viewings'!I159,'Deals'!C159,'Deals'!C159,'Deals'!C159,'Follow-ups'!L159,'Payments'!G159,'Expenses'!F159))))</x:f>
      </x:c>
      <x:c r="F201" s="432" t="str">
        <x:f>IF(B201="","",IF(ISNUMBER(CHOOSE($M$42,'Clients'!H159,'Clients'!H159,'Viewings'!E159,'Deals'!E159,'Deals'!E159,'Deals'!E159,'Follow-ups'!I159,"Receipt",'Expenses'!C159)),CHOOSE($M$42,'Clients'!H159,'Clients'!H159,'Viewings'!E159,'Deals'!E159,'Deals'!E159,'Deals'!E159,'Follow-ups'!I159,"Receipt",'Expenses'!C159),IF(CHOOSE($M$42,'Clients'!H159,'Clients'!H159,'Viewings'!E159,'Deals'!E159,'Deals'!E159,'Deals'!E159,'Follow-ups'!I159,"Receipt",'Expenses'!C159)="","",CHOOSE($M$42,'Clients'!H159,'Clients'!H159,'Viewings'!E159,'Deals'!E159,'Deals'!E159,'Deals'!E159,'Follow-ups'!I159,"Receipt",'Expenses'!C159))))</x:f>
      </x:c>
      <x:c r="G201" s="473" t="str">
        <x:f>IF(B201="","",IF(ISNUMBER(CHOOSE($M$42,"","","",'Deals'!F159,'Deals'!F159,'Deals'!F159,"",'Payments'!D159,'Expenses'!G159)),CHOOSE($M$42,"","","",'Deals'!F159,'Deals'!F159,'Deals'!F159,"",'Payments'!D159,'Expenses'!G159),IF(CHOOSE($M$42,"","","",'Deals'!F159,'Deals'!F159,'Deals'!F159,"",'Payments'!D159,'Expenses'!G159)="","",CHOOSE($M$42,"","","",'Deals'!F159,'Deals'!F159,'Deals'!F159,"",'Payments'!D159,'Expenses'!G159))))</x:f>
      </x:c>
      <x:c r="H201" s="432" t="n">
        <x:f>IF(AND($M$43=1,B201&lt;&gt;"",ISNUMBER(C201),C201&gt;=$G$6,C201&lt;$K$6+1),1,0)</x:f>
        <x:v>0</x:v>
      </x:c>
      <x:c r="I201" s="432" t="str">
        <x:f>IF(H201=0,"",COUNTIFS($H$48:$H$247,1,$C$48:$C$247,"&lt;"&amp;C201)+COUNTIFS($H$48:H201,1,$C$48:C201,C201))</x:f>
      </x:c>
      <x:c r="J201" s="432"/>
      <x:c r="K201" s="432"/>
      <x:c r="L201" s="432"/>
      <x:c r="M201" s="432"/>
      <x:c r="N201" s="432"/>
      <x:c r="O201" s="432"/>
      <x:c r="P201" s="432"/>
      <x:c r="Q201" s="432"/>
    </x:row>
    <x:row r="202" ht="25" customHeight="1">
      <x:c r="A202" s="432"/>
      <x:c r="B202" s="432" t="str">
        <x:f>IF(CHOOSE($M$42,'Clients'!A160,'Clients'!A160,'Viewings'!A160,'Deals'!A160,'Deals'!A160,'Deals'!A160,'Follow-ups'!A160,'Payments'!A160,'Expenses'!A160)="","",CHOOSE($M$42,'Clients'!A160,'Clients'!A160,'Viewings'!A160,'Deals'!A160,'Deals'!A160,'Deals'!A160,'Follow-ups'!A160,'Payments'!A160,'Expenses'!A160))</x:f>
      </x:c>
      <x:c r="C202" s="472" t="str">
        <x:f>IF(B202="","",IF(CHOOSE($M$42,'Clients'!R160,'Clients'!Q160,'Viewings'!D160,'Deals'!X160,'Deals'!Y160,'Deals'!Z160,'Follow-ups'!H160,'Payments'!C160,'Expenses'!B160)="","",CHOOSE($M$42,'Clients'!R160,'Clients'!Q160,'Viewings'!D160,'Deals'!X160,'Deals'!Y160,'Deals'!Z160,'Follow-ups'!H160,'Payments'!C160,'Expenses'!B160)))</x:f>
      </x:c>
      <x:c r="D202" s="432" t="str">
        <x:f>IF(B202="","",IF(ISNUMBER(CHOOSE($M$42,'Clients'!B160,'Clients'!B160,'Viewings'!H160,IF('Deals'!B160="","",IF(COUNTIFS('Clients'!$A$6:$A$205,'Deals'!B160)&lt;&gt;1,"Check Client ID",INDEX('Clients'!$B$6:$B$205,MATCH('Deals'!B160,'Clients'!$A$6:$A$205,0)))),IF('Deals'!B160="","",IF(COUNTIFS('Clients'!$A$6:$A$205,'Deals'!B160)&lt;&gt;1,"Check Client ID",INDEX('Clients'!$B$6:$B$205,MATCH('Deals'!B160,'Clients'!$A$6:$A$205,0)))),IF('Deals'!B160="","",IF(COUNTIFS('Clients'!$A$6:$A$205,'Deals'!B160)&lt;&gt;1,"Check Client ID",INDEX('Clients'!$B$6:$B$205,MATCH('Deals'!B160,'Clients'!$A$6:$A$205,0)))),'Follow-ups'!K160,'Payments'!B160,'Expenses'!D160)),CHOOSE($M$42,'Clients'!B160,'Clients'!B160,'Viewings'!H160,IF('Deals'!B160="","",IF(COUNTIFS('Clients'!$A$6:$A$205,'Deals'!B160)&lt;&gt;1,"Check Client ID",INDEX('Clients'!$B$6:$B$205,MATCH('Deals'!B160,'Clients'!$A$6:$A$205,0)))),IF('Deals'!B160="","",IF(COUNTIFS('Clients'!$A$6:$A$205,'Deals'!B160)&lt;&gt;1,"Check Client ID",INDEX('Clients'!$B$6:$B$205,MATCH('Deals'!B160,'Clients'!$A$6:$A$205,0)))),IF('Deals'!B160="","",IF(COUNTIFS('Clients'!$A$6:$A$205,'Deals'!B160)&lt;&gt;1,"Check Client ID",INDEX('Clients'!$B$6:$B$205,MATCH('Deals'!B160,'Clients'!$A$6:$A$205,0)))),'Follow-ups'!K160,'Payments'!B160,'Expenses'!D160),IF(CHOOSE($M$42,'Clients'!B160,'Clients'!B160,'Viewings'!H160,IF('Deals'!B160="","",IF(COUNTIFS('Clients'!$A$6:$A$205,'Deals'!B160)&lt;&gt;1,"Check Client ID",INDEX('Clients'!$B$6:$B$205,MATCH('Deals'!B160,'Clients'!$A$6:$A$205,0)))),IF('Deals'!B160="","",IF(COUNTIFS('Clients'!$A$6:$A$205,'Deals'!B160)&lt;&gt;1,"Check Client ID",INDEX('Clients'!$B$6:$B$205,MATCH('Deals'!B160,'Clients'!$A$6:$A$205,0)))),IF('Deals'!B160="","",IF(COUNTIFS('Clients'!$A$6:$A$205,'Deals'!B160)&lt;&gt;1,"Check Client ID",INDEX('Clients'!$B$6:$B$205,MATCH('Deals'!B160,'Clients'!$A$6:$A$205,0)))),'Follow-ups'!K160,'Payments'!B160,'Expenses'!D160)="","",CHOOSE($M$42,'Clients'!B160,'Clients'!B160,'Viewings'!H160,IF('Deals'!B160="","",IF(COUNTIFS('Clients'!$A$6:$A$205,'Deals'!B160)&lt;&gt;1,"Check Client ID",INDEX('Clients'!$B$6:$B$205,MATCH('Deals'!B160,'Clients'!$A$6:$A$205,0)))),IF('Deals'!B160="","",IF(COUNTIFS('Clients'!$A$6:$A$205,'Deals'!B160)&lt;&gt;1,"Check Client ID",INDEX('Clients'!$B$6:$B$205,MATCH('Deals'!B160,'Clients'!$A$6:$A$205,0)))),IF('Deals'!B160="","",IF(COUNTIFS('Clients'!$A$6:$A$205,'Deals'!B160)&lt;&gt;1,"Check Client ID",INDEX('Clients'!$B$6:$B$205,MATCH('Deals'!B160,'Clients'!$A$6:$A$205,0)))),'Follow-ups'!K160,'Payments'!B160,'Expenses'!D160))))</x:f>
      </x:c>
      <x:c r="E202" s="432" t="str">
        <x:f>IF(B202="","",IF(ISNUMBER(CHOOSE($M$42,'Clients'!K160,'Clients'!K160,'Viewings'!I160,'Deals'!C160,'Deals'!C160,'Deals'!C160,'Follow-ups'!L160,'Payments'!G160,'Expenses'!F160)),CHOOSE($M$42,'Clients'!K160,'Clients'!K160,'Viewings'!I160,'Deals'!C160,'Deals'!C160,'Deals'!C160,'Follow-ups'!L160,'Payments'!G160,'Expenses'!F160),IF(CHOOSE($M$42,'Clients'!K160,'Clients'!K160,'Viewings'!I160,'Deals'!C160,'Deals'!C160,'Deals'!C160,'Follow-ups'!L160,'Payments'!G160,'Expenses'!F160)="","",CHOOSE($M$42,'Clients'!K160,'Clients'!K160,'Viewings'!I160,'Deals'!C160,'Deals'!C160,'Deals'!C160,'Follow-ups'!L160,'Payments'!G160,'Expenses'!F160))))</x:f>
      </x:c>
      <x:c r="F202" s="432" t="str">
        <x:f>IF(B202="","",IF(ISNUMBER(CHOOSE($M$42,'Clients'!H160,'Clients'!H160,'Viewings'!E160,'Deals'!E160,'Deals'!E160,'Deals'!E160,'Follow-ups'!I160,"Receipt",'Expenses'!C160)),CHOOSE($M$42,'Clients'!H160,'Clients'!H160,'Viewings'!E160,'Deals'!E160,'Deals'!E160,'Deals'!E160,'Follow-ups'!I160,"Receipt",'Expenses'!C160),IF(CHOOSE($M$42,'Clients'!H160,'Clients'!H160,'Viewings'!E160,'Deals'!E160,'Deals'!E160,'Deals'!E160,'Follow-ups'!I160,"Receipt",'Expenses'!C160)="","",CHOOSE($M$42,'Clients'!H160,'Clients'!H160,'Viewings'!E160,'Deals'!E160,'Deals'!E160,'Deals'!E160,'Follow-ups'!I160,"Receipt",'Expenses'!C160))))</x:f>
      </x:c>
      <x:c r="G202" s="473" t="str">
        <x:f>IF(B202="","",IF(ISNUMBER(CHOOSE($M$42,"","","",'Deals'!F160,'Deals'!F160,'Deals'!F160,"",'Payments'!D160,'Expenses'!G160)),CHOOSE($M$42,"","","",'Deals'!F160,'Deals'!F160,'Deals'!F160,"",'Payments'!D160,'Expenses'!G160),IF(CHOOSE($M$42,"","","",'Deals'!F160,'Deals'!F160,'Deals'!F160,"",'Payments'!D160,'Expenses'!G160)="","",CHOOSE($M$42,"","","",'Deals'!F160,'Deals'!F160,'Deals'!F160,"",'Payments'!D160,'Expenses'!G160))))</x:f>
      </x:c>
      <x:c r="H202" s="432" t="n">
        <x:f>IF(AND($M$43=1,B202&lt;&gt;"",ISNUMBER(C202),C202&gt;=$G$6,C202&lt;$K$6+1),1,0)</x:f>
        <x:v>0</x:v>
      </x:c>
      <x:c r="I202" s="432" t="str">
        <x:f>IF(H202=0,"",COUNTIFS($H$48:$H$247,1,$C$48:$C$247,"&lt;"&amp;C202)+COUNTIFS($H$48:H202,1,$C$48:C202,C202))</x:f>
      </x:c>
      <x:c r="J202" s="432"/>
      <x:c r="K202" s="432"/>
      <x:c r="L202" s="432"/>
      <x:c r="M202" s="432"/>
      <x:c r="N202" s="432"/>
      <x:c r="O202" s="432"/>
      <x:c r="P202" s="432"/>
      <x:c r="Q202" s="432"/>
    </x:row>
    <x:row r="203" ht="25" customHeight="1">
      <x:c r="A203" s="432"/>
      <x:c r="B203" s="432" t="str">
        <x:f>IF(CHOOSE($M$42,'Clients'!A161,'Clients'!A161,'Viewings'!A161,'Deals'!A161,'Deals'!A161,'Deals'!A161,'Follow-ups'!A161,'Payments'!A161,'Expenses'!A161)="","",CHOOSE($M$42,'Clients'!A161,'Clients'!A161,'Viewings'!A161,'Deals'!A161,'Deals'!A161,'Deals'!A161,'Follow-ups'!A161,'Payments'!A161,'Expenses'!A161))</x:f>
      </x:c>
      <x:c r="C203" s="472" t="str">
        <x:f>IF(B203="","",IF(CHOOSE($M$42,'Clients'!R161,'Clients'!Q161,'Viewings'!D161,'Deals'!X161,'Deals'!Y161,'Deals'!Z161,'Follow-ups'!H161,'Payments'!C161,'Expenses'!B161)="","",CHOOSE($M$42,'Clients'!R161,'Clients'!Q161,'Viewings'!D161,'Deals'!X161,'Deals'!Y161,'Deals'!Z161,'Follow-ups'!H161,'Payments'!C161,'Expenses'!B161)))</x:f>
      </x:c>
      <x:c r="D203" s="432" t="str">
        <x:f>IF(B203="","",IF(ISNUMBER(CHOOSE($M$42,'Clients'!B161,'Clients'!B161,'Viewings'!H161,IF('Deals'!B161="","",IF(COUNTIFS('Clients'!$A$6:$A$205,'Deals'!B161)&lt;&gt;1,"Check Client ID",INDEX('Clients'!$B$6:$B$205,MATCH('Deals'!B161,'Clients'!$A$6:$A$205,0)))),IF('Deals'!B161="","",IF(COUNTIFS('Clients'!$A$6:$A$205,'Deals'!B161)&lt;&gt;1,"Check Client ID",INDEX('Clients'!$B$6:$B$205,MATCH('Deals'!B161,'Clients'!$A$6:$A$205,0)))),IF('Deals'!B161="","",IF(COUNTIFS('Clients'!$A$6:$A$205,'Deals'!B161)&lt;&gt;1,"Check Client ID",INDEX('Clients'!$B$6:$B$205,MATCH('Deals'!B161,'Clients'!$A$6:$A$205,0)))),'Follow-ups'!K161,'Payments'!B161,'Expenses'!D161)),CHOOSE($M$42,'Clients'!B161,'Clients'!B161,'Viewings'!H161,IF('Deals'!B161="","",IF(COUNTIFS('Clients'!$A$6:$A$205,'Deals'!B161)&lt;&gt;1,"Check Client ID",INDEX('Clients'!$B$6:$B$205,MATCH('Deals'!B161,'Clients'!$A$6:$A$205,0)))),IF('Deals'!B161="","",IF(COUNTIFS('Clients'!$A$6:$A$205,'Deals'!B161)&lt;&gt;1,"Check Client ID",INDEX('Clients'!$B$6:$B$205,MATCH('Deals'!B161,'Clients'!$A$6:$A$205,0)))),IF('Deals'!B161="","",IF(COUNTIFS('Clients'!$A$6:$A$205,'Deals'!B161)&lt;&gt;1,"Check Client ID",INDEX('Clients'!$B$6:$B$205,MATCH('Deals'!B161,'Clients'!$A$6:$A$205,0)))),'Follow-ups'!K161,'Payments'!B161,'Expenses'!D161),IF(CHOOSE($M$42,'Clients'!B161,'Clients'!B161,'Viewings'!H161,IF('Deals'!B161="","",IF(COUNTIFS('Clients'!$A$6:$A$205,'Deals'!B161)&lt;&gt;1,"Check Client ID",INDEX('Clients'!$B$6:$B$205,MATCH('Deals'!B161,'Clients'!$A$6:$A$205,0)))),IF('Deals'!B161="","",IF(COUNTIFS('Clients'!$A$6:$A$205,'Deals'!B161)&lt;&gt;1,"Check Client ID",INDEX('Clients'!$B$6:$B$205,MATCH('Deals'!B161,'Clients'!$A$6:$A$205,0)))),IF('Deals'!B161="","",IF(COUNTIFS('Clients'!$A$6:$A$205,'Deals'!B161)&lt;&gt;1,"Check Client ID",INDEX('Clients'!$B$6:$B$205,MATCH('Deals'!B161,'Clients'!$A$6:$A$205,0)))),'Follow-ups'!K161,'Payments'!B161,'Expenses'!D161)="","",CHOOSE($M$42,'Clients'!B161,'Clients'!B161,'Viewings'!H161,IF('Deals'!B161="","",IF(COUNTIFS('Clients'!$A$6:$A$205,'Deals'!B161)&lt;&gt;1,"Check Client ID",INDEX('Clients'!$B$6:$B$205,MATCH('Deals'!B161,'Clients'!$A$6:$A$205,0)))),IF('Deals'!B161="","",IF(COUNTIFS('Clients'!$A$6:$A$205,'Deals'!B161)&lt;&gt;1,"Check Client ID",INDEX('Clients'!$B$6:$B$205,MATCH('Deals'!B161,'Clients'!$A$6:$A$205,0)))),IF('Deals'!B161="","",IF(COUNTIFS('Clients'!$A$6:$A$205,'Deals'!B161)&lt;&gt;1,"Check Client ID",INDEX('Clients'!$B$6:$B$205,MATCH('Deals'!B161,'Clients'!$A$6:$A$205,0)))),'Follow-ups'!K161,'Payments'!B161,'Expenses'!D161))))</x:f>
      </x:c>
      <x:c r="E203" s="432" t="str">
        <x:f>IF(B203="","",IF(ISNUMBER(CHOOSE($M$42,'Clients'!K161,'Clients'!K161,'Viewings'!I161,'Deals'!C161,'Deals'!C161,'Deals'!C161,'Follow-ups'!L161,'Payments'!G161,'Expenses'!F161)),CHOOSE($M$42,'Clients'!K161,'Clients'!K161,'Viewings'!I161,'Deals'!C161,'Deals'!C161,'Deals'!C161,'Follow-ups'!L161,'Payments'!G161,'Expenses'!F161),IF(CHOOSE($M$42,'Clients'!K161,'Clients'!K161,'Viewings'!I161,'Deals'!C161,'Deals'!C161,'Deals'!C161,'Follow-ups'!L161,'Payments'!G161,'Expenses'!F161)="","",CHOOSE($M$42,'Clients'!K161,'Clients'!K161,'Viewings'!I161,'Deals'!C161,'Deals'!C161,'Deals'!C161,'Follow-ups'!L161,'Payments'!G161,'Expenses'!F161))))</x:f>
      </x:c>
      <x:c r="F203" s="432" t="str">
        <x:f>IF(B203="","",IF(ISNUMBER(CHOOSE($M$42,'Clients'!H161,'Clients'!H161,'Viewings'!E161,'Deals'!E161,'Deals'!E161,'Deals'!E161,'Follow-ups'!I161,"Receipt",'Expenses'!C161)),CHOOSE($M$42,'Clients'!H161,'Clients'!H161,'Viewings'!E161,'Deals'!E161,'Deals'!E161,'Deals'!E161,'Follow-ups'!I161,"Receipt",'Expenses'!C161),IF(CHOOSE($M$42,'Clients'!H161,'Clients'!H161,'Viewings'!E161,'Deals'!E161,'Deals'!E161,'Deals'!E161,'Follow-ups'!I161,"Receipt",'Expenses'!C161)="","",CHOOSE($M$42,'Clients'!H161,'Clients'!H161,'Viewings'!E161,'Deals'!E161,'Deals'!E161,'Deals'!E161,'Follow-ups'!I161,"Receipt",'Expenses'!C161))))</x:f>
      </x:c>
      <x:c r="G203" s="473" t="str">
        <x:f>IF(B203="","",IF(ISNUMBER(CHOOSE($M$42,"","","",'Deals'!F161,'Deals'!F161,'Deals'!F161,"",'Payments'!D161,'Expenses'!G161)),CHOOSE($M$42,"","","",'Deals'!F161,'Deals'!F161,'Deals'!F161,"",'Payments'!D161,'Expenses'!G161),IF(CHOOSE($M$42,"","","",'Deals'!F161,'Deals'!F161,'Deals'!F161,"",'Payments'!D161,'Expenses'!G161)="","",CHOOSE($M$42,"","","",'Deals'!F161,'Deals'!F161,'Deals'!F161,"",'Payments'!D161,'Expenses'!G161))))</x:f>
      </x:c>
      <x:c r="H203" s="432" t="n">
        <x:f>IF(AND($M$43=1,B203&lt;&gt;"",ISNUMBER(C203),C203&gt;=$G$6,C203&lt;$K$6+1),1,0)</x:f>
        <x:v>0</x:v>
      </x:c>
      <x:c r="I203" s="432" t="str">
        <x:f>IF(H203=0,"",COUNTIFS($H$48:$H$247,1,$C$48:$C$247,"&lt;"&amp;C203)+COUNTIFS($H$48:H203,1,$C$48:C203,C203))</x:f>
      </x:c>
      <x:c r="J203" s="432"/>
      <x:c r="K203" s="432"/>
      <x:c r="L203" s="432"/>
      <x:c r="M203" s="432"/>
      <x:c r="N203" s="432"/>
      <x:c r="O203" s="432"/>
      <x:c r="P203" s="432"/>
      <x:c r="Q203" s="432"/>
    </x:row>
    <x:row r="204" ht="25" customHeight="1">
      <x:c r="A204" s="432"/>
      <x:c r="B204" s="432" t="str">
        <x:f>IF(CHOOSE($M$42,'Clients'!A162,'Clients'!A162,'Viewings'!A162,'Deals'!A162,'Deals'!A162,'Deals'!A162,'Follow-ups'!A162,'Payments'!A162,'Expenses'!A162)="","",CHOOSE($M$42,'Clients'!A162,'Clients'!A162,'Viewings'!A162,'Deals'!A162,'Deals'!A162,'Deals'!A162,'Follow-ups'!A162,'Payments'!A162,'Expenses'!A162))</x:f>
      </x:c>
      <x:c r="C204" s="472" t="str">
        <x:f>IF(B204="","",IF(CHOOSE($M$42,'Clients'!R162,'Clients'!Q162,'Viewings'!D162,'Deals'!X162,'Deals'!Y162,'Deals'!Z162,'Follow-ups'!H162,'Payments'!C162,'Expenses'!B162)="","",CHOOSE($M$42,'Clients'!R162,'Clients'!Q162,'Viewings'!D162,'Deals'!X162,'Deals'!Y162,'Deals'!Z162,'Follow-ups'!H162,'Payments'!C162,'Expenses'!B162)))</x:f>
      </x:c>
      <x:c r="D204" s="432" t="str">
        <x:f>IF(B204="","",IF(ISNUMBER(CHOOSE($M$42,'Clients'!B162,'Clients'!B162,'Viewings'!H162,IF('Deals'!B162="","",IF(COUNTIFS('Clients'!$A$6:$A$205,'Deals'!B162)&lt;&gt;1,"Check Client ID",INDEX('Clients'!$B$6:$B$205,MATCH('Deals'!B162,'Clients'!$A$6:$A$205,0)))),IF('Deals'!B162="","",IF(COUNTIFS('Clients'!$A$6:$A$205,'Deals'!B162)&lt;&gt;1,"Check Client ID",INDEX('Clients'!$B$6:$B$205,MATCH('Deals'!B162,'Clients'!$A$6:$A$205,0)))),IF('Deals'!B162="","",IF(COUNTIFS('Clients'!$A$6:$A$205,'Deals'!B162)&lt;&gt;1,"Check Client ID",INDEX('Clients'!$B$6:$B$205,MATCH('Deals'!B162,'Clients'!$A$6:$A$205,0)))),'Follow-ups'!K162,'Payments'!B162,'Expenses'!D162)),CHOOSE($M$42,'Clients'!B162,'Clients'!B162,'Viewings'!H162,IF('Deals'!B162="","",IF(COUNTIFS('Clients'!$A$6:$A$205,'Deals'!B162)&lt;&gt;1,"Check Client ID",INDEX('Clients'!$B$6:$B$205,MATCH('Deals'!B162,'Clients'!$A$6:$A$205,0)))),IF('Deals'!B162="","",IF(COUNTIFS('Clients'!$A$6:$A$205,'Deals'!B162)&lt;&gt;1,"Check Client ID",INDEX('Clients'!$B$6:$B$205,MATCH('Deals'!B162,'Clients'!$A$6:$A$205,0)))),IF('Deals'!B162="","",IF(COUNTIFS('Clients'!$A$6:$A$205,'Deals'!B162)&lt;&gt;1,"Check Client ID",INDEX('Clients'!$B$6:$B$205,MATCH('Deals'!B162,'Clients'!$A$6:$A$205,0)))),'Follow-ups'!K162,'Payments'!B162,'Expenses'!D162),IF(CHOOSE($M$42,'Clients'!B162,'Clients'!B162,'Viewings'!H162,IF('Deals'!B162="","",IF(COUNTIFS('Clients'!$A$6:$A$205,'Deals'!B162)&lt;&gt;1,"Check Client ID",INDEX('Clients'!$B$6:$B$205,MATCH('Deals'!B162,'Clients'!$A$6:$A$205,0)))),IF('Deals'!B162="","",IF(COUNTIFS('Clients'!$A$6:$A$205,'Deals'!B162)&lt;&gt;1,"Check Client ID",INDEX('Clients'!$B$6:$B$205,MATCH('Deals'!B162,'Clients'!$A$6:$A$205,0)))),IF('Deals'!B162="","",IF(COUNTIFS('Clients'!$A$6:$A$205,'Deals'!B162)&lt;&gt;1,"Check Client ID",INDEX('Clients'!$B$6:$B$205,MATCH('Deals'!B162,'Clients'!$A$6:$A$205,0)))),'Follow-ups'!K162,'Payments'!B162,'Expenses'!D162)="","",CHOOSE($M$42,'Clients'!B162,'Clients'!B162,'Viewings'!H162,IF('Deals'!B162="","",IF(COUNTIFS('Clients'!$A$6:$A$205,'Deals'!B162)&lt;&gt;1,"Check Client ID",INDEX('Clients'!$B$6:$B$205,MATCH('Deals'!B162,'Clients'!$A$6:$A$205,0)))),IF('Deals'!B162="","",IF(COUNTIFS('Clients'!$A$6:$A$205,'Deals'!B162)&lt;&gt;1,"Check Client ID",INDEX('Clients'!$B$6:$B$205,MATCH('Deals'!B162,'Clients'!$A$6:$A$205,0)))),IF('Deals'!B162="","",IF(COUNTIFS('Clients'!$A$6:$A$205,'Deals'!B162)&lt;&gt;1,"Check Client ID",INDEX('Clients'!$B$6:$B$205,MATCH('Deals'!B162,'Clients'!$A$6:$A$205,0)))),'Follow-ups'!K162,'Payments'!B162,'Expenses'!D162))))</x:f>
      </x:c>
      <x:c r="E204" s="432" t="str">
        <x:f>IF(B204="","",IF(ISNUMBER(CHOOSE($M$42,'Clients'!K162,'Clients'!K162,'Viewings'!I162,'Deals'!C162,'Deals'!C162,'Deals'!C162,'Follow-ups'!L162,'Payments'!G162,'Expenses'!F162)),CHOOSE($M$42,'Clients'!K162,'Clients'!K162,'Viewings'!I162,'Deals'!C162,'Deals'!C162,'Deals'!C162,'Follow-ups'!L162,'Payments'!G162,'Expenses'!F162),IF(CHOOSE($M$42,'Clients'!K162,'Clients'!K162,'Viewings'!I162,'Deals'!C162,'Deals'!C162,'Deals'!C162,'Follow-ups'!L162,'Payments'!G162,'Expenses'!F162)="","",CHOOSE($M$42,'Clients'!K162,'Clients'!K162,'Viewings'!I162,'Deals'!C162,'Deals'!C162,'Deals'!C162,'Follow-ups'!L162,'Payments'!G162,'Expenses'!F162))))</x:f>
      </x:c>
      <x:c r="F204" s="432" t="str">
        <x:f>IF(B204="","",IF(ISNUMBER(CHOOSE($M$42,'Clients'!H162,'Clients'!H162,'Viewings'!E162,'Deals'!E162,'Deals'!E162,'Deals'!E162,'Follow-ups'!I162,"Receipt",'Expenses'!C162)),CHOOSE($M$42,'Clients'!H162,'Clients'!H162,'Viewings'!E162,'Deals'!E162,'Deals'!E162,'Deals'!E162,'Follow-ups'!I162,"Receipt",'Expenses'!C162),IF(CHOOSE($M$42,'Clients'!H162,'Clients'!H162,'Viewings'!E162,'Deals'!E162,'Deals'!E162,'Deals'!E162,'Follow-ups'!I162,"Receipt",'Expenses'!C162)="","",CHOOSE($M$42,'Clients'!H162,'Clients'!H162,'Viewings'!E162,'Deals'!E162,'Deals'!E162,'Deals'!E162,'Follow-ups'!I162,"Receipt",'Expenses'!C162))))</x:f>
      </x:c>
      <x:c r="G204" s="473" t="str">
        <x:f>IF(B204="","",IF(ISNUMBER(CHOOSE($M$42,"","","",'Deals'!F162,'Deals'!F162,'Deals'!F162,"",'Payments'!D162,'Expenses'!G162)),CHOOSE($M$42,"","","",'Deals'!F162,'Deals'!F162,'Deals'!F162,"",'Payments'!D162,'Expenses'!G162),IF(CHOOSE($M$42,"","","",'Deals'!F162,'Deals'!F162,'Deals'!F162,"",'Payments'!D162,'Expenses'!G162)="","",CHOOSE($M$42,"","","",'Deals'!F162,'Deals'!F162,'Deals'!F162,"",'Payments'!D162,'Expenses'!G162))))</x:f>
      </x:c>
      <x:c r="H204" s="432" t="n">
        <x:f>IF(AND($M$43=1,B204&lt;&gt;"",ISNUMBER(C204),C204&gt;=$G$6,C204&lt;$K$6+1),1,0)</x:f>
        <x:v>0</x:v>
      </x:c>
      <x:c r="I204" s="432" t="str">
        <x:f>IF(H204=0,"",COUNTIFS($H$48:$H$247,1,$C$48:$C$247,"&lt;"&amp;C204)+COUNTIFS($H$48:H204,1,$C$48:C204,C204))</x:f>
      </x:c>
      <x:c r="J204" s="432"/>
      <x:c r="K204" s="432"/>
      <x:c r="L204" s="432"/>
      <x:c r="M204" s="432"/>
      <x:c r="N204" s="432"/>
      <x:c r="O204" s="432"/>
      <x:c r="P204" s="432"/>
      <x:c r="Q204" s="432"/>
    </x:row>
    <x:row r="205" ht="25" customHeight="1">
      <x:c r="A205" s="432"/>
      <x:c r="B205" s="432" t="str">
        <x:f>IF(CHOOSE($M$42,'Clients'!A163,'Clients'!A163,'Viewings'!A163,'Deals'!A163,'Deals'!A163,'Deals'!A163,'Follow-ups'!A163,'Payments'!A163,'Expenses'!A163)="","",CHOOSE($M$42,'Clients'!A163,'Clients'!A163,'Viewings'!A163,'Deals'!A163,'Deals'!A163,'Deals'!A163,'Follow-ups'!A163,'Payments'!A163,'Expenses'!A163))</x:f>
      </x:c>
      <x:c r="C205" s="472" t="str">
        <x:f>IF(B205="","",IF(CHOOSE($M$42,'Clients'!R163,'Clients'!Q163,'Viewings'!D163,'Deals'!X163,'Deals'!Y163,'Deals'!Z163,'Follow-ups'!H163,'Payments'!C163,'Expenses'!B163)="","",CHOOSE($M$42,'Clients'!R163,'Clients'!Q163,'Viewings'!D163,'Deals'!X163,'Deals'!Y163,'Deals'!Z163,'Follow-ups'!H163,'Payments'!C163,'Expenses'!B163)))</x:f>
      </x:c>
      <x:c r="D205" s="432" t="str">
        <x:f>IF(B205="","",IF(ISNUMBER(CHOOSE($M$42,'Clients'!B163,'Clients'!B163,'Viewings'!H163,IF('Deals'!B163="","",IF(COUNTIFS('Clients'!$A$6:$A$205,'Deals'!B163)&lt;&gt;1,"Check Client ID",INDEX('Clients'!$B$6:$B$205,MATCH('Deals'!B163,'Clients'!$A$6:$A$205,0)))),IF('Deals'!B163="","",IF(COUNTIFS('Clients'!$A$6:$A$205,'Deals'!B163)&lt;&gt;1,"Check Client ID",INDEX('Clients'!$B$6:$B$205,MATCH('Deals'!B163,'Clients'!$A$6:$A$205,0)))),IF('Deals'!B163="","",IF(COUNTIFS('Clients'!$A$6:$A$205,'Deals'!B163)&lt;&gt;1,"Check Client ID",INDEX('Clients'!$B$6:$B$205,MATCH('Deals'!B163,'Clients'!$A$6:$A$205,0)))),'Follow-ups'!K163,'Payments'!B163,'Expenses'!D163)),CHOOSE($M$42,'Clients'!B163,'Clients'!B163,'Viewings'!H163,IF('Deals'!B163="","",IF(COUNTIFS('Clients'!$A$6:$A$205,'Deals'!B163)&lt;&gt;1,"Check Client ID",INDEX('Clients'!$B$6:$B$205,MATCH('Deals'!B163,'Clients'!$A$6:$A$205,0)))),IF('Deals'!B163="","",IF(COUNTIFS('Clients'!$A$6:$A$205,'Deals'!B163)&lt;&gt;1,"Check Client ID",INDEX('Clients'!$B$6:$B$205,MATCH('Deals'!B163,'Clients'!$A$6:$A$205,0)))),IF('Deals'!B163="","",IF(COUNTIFS('Clients'!$A$6:$A$205,'Deals'!B163)&lt;&gt;1,"Check Client ID",INDEX('Clients'!$B$6:$B$205,MATCH('Deals'!B163,'Clients'!$A$6:$A$205,0)))),'Follow-ups'!K163,'Payments'!B163,'Expenses'!D163),IF(CHOOSE($M$42,'Clients'!B163,'Clients'!B163,'Viewings'!H163,IF('Deals'!B163="","",IF(COUNTIFS('Clients'!$A$6:$A$205,'Deals'!B163)&lt;&gt;1,"Check Client ID",INDEX('Clients'!$B$6:$B$205,MATCH('Deals'!B163,'Clients'!$A$6:$A$205,0)))),IF('Deals'!B163="","",IF(COUNTIFS('Clients'!$A$6:$A$205,'Deals'!B163)&lt;&gt;1,"Check Client ID",INDEX('Clients'!$B$6:$B$205,MATCH('Deals'!B163,'Clients'!$A$6:$A$205,0)))),IF('Deals'!B163="","",IF(COUNTIFS('Clients'!$A$6:$A$205,'Deals'!B163)&lt;&gt;1,"Check Client ID",INDEX('Clients'!$B$6:$B$205,MATCH('Deals'!B163,'Clients'!$A$6:$A$205,0)))),'Follow-ups'!K163,'Payments'!B163,'Expenses'!D163)="","",CHOOSE($M$42,'Clients'!B163,'Clients'!B163,'Viewings'!H163,IF('Deals'!B163="","",IF(COUNTIFS('Clients'!$A$6:$A$205,'Deals'!B163)&lt;&gt;1,"Check Client ID",INDEX('Clients'!$B$6:$B$205,MATCH('Deals'!B163,'Clients'!$A$6:$A$205,0)))),IF('Deals'!B163="","",IF(COUNTIFS('Clients'!$A$6:$A$205,'Deals'!B163)&lt;&gt;1,"Check Client ID",INDEX('Clients'!$B$6:$B$205,MATCH('Deals'!B163,'Clients'!$A$6:$A$205,0)))),IF('Deals'!B163="","",IF(COUNTIFS('Clients'!$A$6:$A$205,'Deals'!B163)&lt;&gt;1,"Check Client ID",INDEX('Clients'!$B$6:$B$205,MATCH('Deals'!B163,'Clients'!$A$6:$A$205,0)))),'Follow-ups'!K163,'Payments'!B163,'Expenses'!D163))))</x:f>
      </x:c>
      <x:c r="E205" s="432" t="str">
        <x:f>IF(B205="","",IF(ISNUMBER(CHOOSE($M$42,'Clients'!K163,'Clients'!K163,'Viewings'!I163,'Deals'!C163,'Deals'!C163,'Deals'!C163,'Follow-ups'!L163,'Payments'!G163,'Expenses'!F163)),CHOOSE($M$42,'Clients'!K163,'Clients'!K163,'Viewings'!I163,'Deals'!C163,'Deals'!C163,'Deals'!C163,'Follow-ups'!L163,'Payments'!G163,'Expenses'!F163),IF(CHOOSE($M$42,'Clients'!K163,'Clients'!K163,'Viewings'!I163,'Deals'!C163,'Deals'!C163,'Deals'!C163,'Follow-ups'!L163,'Payments'!G163,'Expenses'!F163)="","",CHOOSE($M$42,'Clients'!K163,'Clients'!K163,'Viewings'!I163,'Deals'!C163,'Deals'!C163,'Deals'!C163,'Follow-ups'!L163,'Payments'!G163,'Expenses'!F163))))</x:f>
      </x:c>
      <x:c r="F205" s="432" t="str">
        <x:f>IF(B205="","",IF(ISNUMBER(CHOOSE($M$42,'Clients'!H163,'Clients'!H163,'Viewings'!E163,'Deals'!E163,'Deals'!E163,'Deals'!E163,'Follow-ups'!I163,"Receipt",'Expenses'!C163)),CHOOSE($M$42,'Clients'!H163,'Clients'!H163,'Viewings'!E163,'Deals'!E163,'Deals'!E163,'Deals'!E163,'Follow-ups'!I163,"Receipt",'Expenses'!C163),IF(CHOOSE($M$42,'Clients'!H163,'Clients'!H163,'Viewings'!E163,'Deals'!E163,'Deals'!E163,'Deals'!E163,'Follow-ups'!I163,"Receipt",'Expenses'!C163)="","",CHOOSE($M$42,'Clients'!H163,'Clients'!H163,'Viewings'!E163,'Deals'!E163,'Deals'!E163,'Deals'!E163,'Follow-ups'!I163,"Receipt",'Expenses'!C163))))</x:f>
      </x:c>
      <x:c r="G205" s="473" t="str">
        <x:f>IF(B205="","",IF(ISNUMBER(CHOOSE($M$42,"","","",'Deals'!F163,'Deals'!F163,'Deals'!F163,"",'Payments'!D163,'Expenses'!G163)),CHOOSE($M$42,"","","",'Deals'!F163,'Deals'!F163,'Deals'!F163,"",'Payments'!D163,'Expenses'!G163),IF(CHOOSE($M$42,"","","",'Deals'!F163,'Deals'!F163,'Deals'!F163,"",'Payments'!D163,'Expenses'!G163)="","",CHOOSE($M$42,"","","",'Deals'!F163,'Deals'!F163,'Deals'!F163,"",'Payments'!D163,'Expenses'!G163))))</x:f>
      </x:c>
      <x:c r="H205" s="432" t="n">
        <x:f>IF(AND($M$43=1,B205&lt;&gt;"",ISNUMBER(C205),C205&gt;=$G$6,C205&lt;$K$6+1),1,0)</x:f>
        <x:v>0</x:v>
      </x:c>
      <x:c r="I205" s="432" t="str">
        <x:f>IF(H205=0,"",COUNTIFS($H$48:$H$247,1,$C$48:$C$247,"&lt;"&amp;C205)+COUNTIFS($H$48:H205,1,$C$48:C205,C205))</x:f>
      </x:c>
      <x:c r="J205" s="432"/>
      <x:c r="K205" s="432"/>
      <x:c r="L205" s="432"/>
      <x:c r="M205" s="432"/>
      <x:c r="N205" s="432"/>
      <x:c r="O205" s="432"/>
      <x:c r="P205" s="432"/>
      <x:c r="Q205" s="432"/>
    </x:row>
    <x:row r="206" ht="25" customHeight="1">
      <x:c r="A206" s="432"/>
      <x:c r="B206" s="432" t="str">
        <x:f>IF(CHOOSE($M$42,'Clients'!A164,'Clients'!A164,'Viewings'!A164,'Deals'!A164,'Deals'!A164,'Deals'!A164,'Follow-ups'!A164,'Payments'!A164,'Expenses'!A164)="","",CHOOSE($M$42,'Clients'!A164,'Clients'!A164,'Viewings'!A164,'Deals'!A164,'Deals'!A164,'Deals'!A164,'Follow-ups'!A164,'Payments'!A164,'Expenses'!A164))</x:f>
      </x:c>
      <x:c r="C206" s="472" t="str">
        <x:f>IF(B206="","",IF(CHOOSE($M$42,'Clients'!R164,'Clients'!Q164,'Viewings'!D164,'Deals'!X164,'Deals'!Y164,'Deals'!Z164,'Follow-ups'!H164,'Payments'!C164,'Expenses'!B164)="","",CHOOSE($M$42,'Clients'!R164,'Clients'!Q164,'Viewings'!D164,'Deals'!X164,'Deals'!Y164,'Deals'!Z164,'Follow-ups'!H164,'Payments'!C164,'Expenses'!B164)))</x:f>
      </x:c>
      <x:c r="D206" s="432" t="str">
        <x:f>IF(B206="","",IF(ISNUMBER(CHOOSE($M$42,'Clients'!B164,'Clients'!B164,'Viewings'!H164,IF('Deals'!B164="","",IF(COUNTIFS('Clients'!$A$6:$A$205,'Deals'!B164)&lt;&gt;1,"Check Client ID",INDEX('Clients'!$B$6:$B$205,MATCH('Deals'!B164,'Clients'!$A$6:$A$205,0)))),IF('Deals'!B164="","",IF(COUNTIFS('Clients'!$A$6:$A$205,'Deals'!B164)&lt;&gt;1,"Check Client ID",INDEX('Clients'!$B$6:$B$205,MATCH('Deals'!B164,'Clients'!$A$6:$A$205,0)))),IF('Deals'!B164="","",IF(COUNTIFS('Clients'!$A$6:$A$205,'Deals'!B164)&lt;&gt;1,"Check Client ID",INDEX('Clients'!$B$6:$B$205,MATCH('Deals'!B164,'Clients'!$A$6:$A$205,0)))),'Follow-ups'!K164,'Payments'!B164,'Expenses'!D164)),CHOOSE($M$42,'Clients'!B164,'Clients'!B164,'Viewings'!H164,IF('Deals'!B164="","",IF(COUNTIFS('Clients'!$A$6:$A$205,'Deals'!B164)&lt;&gt;1,"Check Client ID",INDEX('Clients'!$B$6:$B$205,MATCH('Deals'!B164,'Clients'!$A$6:$A$205,0)))),IF('Deals'!B164="","",IF(COUNTIFS('Clients'!$A$6:$A$205,'Deals'!B164)&lt;&gt;1,"Check Client ID",INDEX('Clients'!$B$6:$B$205,MATCH('Deals'!B164,'Clients'!$A$6:$A$205,0)))),IF('Deals'!B164="","",IF(COUNTIFS('Clients'!$A$6:$A$205,'Deals'!B164)&lt;&gt;1,"Check Client ID",INDEX('Clients'!$B$6:$B$205,MATCH('Deals'!B164,'Clients'!$A$6:$A$205,0)))),'Follow-ups'!K164,'Payments'!B164,'Expenses'!D164),IF(CHOOSE($M$42,'Clients'!B164,'Clients'!B164,'Viewings'!H164,IF('Deals'!B164="","",IF(COUNTIFS('Clients'!$A$6:$A$205,'Deals'!B164)&lt;&gt;1,"Check Client ID",INDEX('Clients'!$B$6:$B$205,MATCH('Deals'!B164,'Clients'!$A$6:$A$205,0)))),IF('Deals'!B164="","",IF(COUNTIFS('Clients'!$A$6:$A$205,'Deals'!B164)&lt;&gt;1,"Check Client ID",INDEX('Clients'!$B$6:$B$205,MATCH('Deals'!B164,'Clients'!$A$6:$A$205,0)))),IF('Deals'!B164="","",IF(COUNTIFS('Clients'!$A$6:$A$205,'Deals'!B164)&lt;&gt;1,"Check Client ID",INDEX('Clients'!$B$6:$B$205,MATCH('Deals'!B164,'Clients'!$A$6:$A$205,0)))),'Follow-ups'!K164,'Payments'!B164,'Expenses'!D164)="","",CHOOSE($M$42,'Clients'!B164,'Clients'!B164,'Viewings'!H164,IF('Deals'!B164="","",IF(COUNTIFS('Clients'!$A$6:$A$205,'Deals'!B164)&lt;&gt;1,"Check Client ID",INDEX('Clients'!$B$6:$B$205,MATCH('Deals'!B164,'Clients'!$A$6:$A$205,0)))),IF('Deals'!B164="","",IF(COUNTIFS('Clients'!$A$6:$A$205,'Deals'!B164)&lt;&gt;1,"Check Client ID",INDEX('Clients'!$B$6:$B$205,MATCH('Deals'!B164,'Clients'!$A$6:$A$205,0)))),IF('Deals'!B164="","",IF(COUNTIFS('Clients'!$A$6:$A$205,'Deals'!B164)&lt;&gt;1,"Check Client ID",INDEX('Clients'!$B$6:$B$205,MATCH('Deals'!B164,'Clients'!$A$6:$A$205,0)))),'Follow-ups'!K164,'Payments'!B164,'Expenses'!D164))))</x:f>
      </x:c>
      <x:c r="E206" s="432" t="str">
        <x:f>IF(B206="","",IF(ISNUMBER(CHOOSE($M$42,'Clients'!K164,'Clients'!K164,'Viewings'!I164,'Deals'!C164,'Deals'!C164,'Deals'!C164,'Follow-ups'!L164,'Payments'!G164,'Expenses'!F164)),CHOOSE($M$42,'Clients'!K164,'Clients'!K164,'Viewings'!I164,'Deals'!C164,'Deals'!C164,'Deals'!C164,'Follow-ups'!L164,'Payments'!G164,'Expenses'!F164),IF(CHOOSE($M$42,'Clients'!K164,'Clients'!K164,'Viewings'!I164,'Deals'!C164,'Deals'!C164,'Deals'!C164,'Follow-ups'!L164,'Payments'!G164,'Expenses'!F164)="","",CHOOSE($M$42,'Clients'!K164,'Clients'!K164,'Viewings'!I164,'Deals'!C164,'Deals'!C164,'Deals'!C164,'Follow-ups'!L164,'Payments'!G164,'Expenses'!F164))))</x:f>
      </x:c>
      <x:c r="F206" s="432" t="str">
        <x:f>IF(B206="","",IF(ISNUMBER(CHOOSE($M$42,'Clients'!H164,'Clients'!H164,'Viewings'!E164,'Deals'!E164,'Deals'!E164,'Deals'!E164,'Follow-ups'!I164,"Receipt",'Expenses'!C164)),CHOOSE($M$42,'Clients'!H164,'Clients'!H164,'Viewings'!E164,'Deals'!E164,'Deals'!E164,'Deals'!E164,'Follow-ups'!I164,"Receipt",'Expenses'!C164),IF(CHOOSE($M$42,'Clients'!H164,'Clients'!H164,'Viewings'!E164,'Deals'!E164,'Deals'!E164,'Deals'!E164,'Follow-ups'!I164,"Receipt",'Expenses'!C164)="","",CHOOSE($M$42,'Clients'!H164,'Clients'!H164,'Viewings'!E164,'Deals'!E164,'Deals'!E164,'Deals'!E164,'Follow-ups'!I164,"Receipt",'Expenses'!C164))))</x:f>
      </x:c>
      <x:c r="G206" s="473" t="str">
        <x:f>IF(B206="","",IF(ISNUMBER(CHOOSE($M$42,"","","",'Deals'!F164,'Deals'!F164,'Deals'!F164,"",'Payments'!D164,'Expenses'!G164)),CHOOSE($M$42,"","","",'Deals'!F164,'Deals'!F164,'Deals'!F164,"",'Payments'!D164,'Expenses'!G164),IF(CHOOSE($M$42,"","","",'Deals'!F164,'Deals'!F164,'Deals'!F164,"",'Payments'!D164,'Expenses'!G164)="","",CHOOSE($M$42,"","","",'Deals'!F164,'Deals'!F164,'Deals'!F164,"",'Payments'!D164,'Expenses'!G164))))</x:f>
      </x:c>
      <x:c r="H206" s="432" t="n">
        <x:f>IF(AND($M$43=1,B206&lt;&gt;"",ISNUMBER(C206),C206&gt;=$G$6,C206&lt;$K$6+1),1,0)</x:f>
        <x:v>0</x:v>
      </x:c>
      <x:c r="I206" s="432" t="str">
        <x:f>IF(H206=0,"",COUNTIFS($H$48:$H$247,1,$C$48:$C$247,"&lt;"&amp;C206)+COUNTIFS($H$48:H206,1,$C$48:C206,C206))</x:f>
      </x:c>
      <x:c r="J206" s="432"/>
      <x:c r="K206" s="432"/>
      <x:c r="L206" s="432"/>
      <x:c r="M206" s="432"/>
      <x:c r="N206" s="432"/>
      <x:c r="O206" s="432"/>
      <x:c r="P206" s="432"/>
      <x:c r="Q206" s="432"/>
    </x:row>
    <x:row r="207" ht="25" customHeight="1">
      <x:c r="A207" s="432"/>
      <x:c r="B207" s="432" t="str">
        <x:f>IF(CHOOSE($M$42,'Clients'!A165,'Clients'!A165,'Viewings'!A165,'Deals'!A165,'Deals'!A165,'Deals'!A165,'Follow-ups'!A165,'Payments'!A165,'Expenses'!A165)="","",CHOOSE($M$42,'Clients'!A165,'Clients'!A165,'Viewings'!A165,'Deals'!A165,'Deals'!A165,'Deals'!A165,'Follow-ups'!A165,'Payments'!A165,'Expenses'!A165))</x:f>
      </x:c>
      <x:c r="C207" s="472" t="str">
        <x:f>IF(B207="","",IF(CHOOSE($M$42,'Clients'!R165,'Clients'!Q165,'Viewings'!D165,'Deals'!X165,'Deals'!Y165,'Deals'!Z165,'Follow-ups'!H165,'Payments'!C165,'Expenses'!B165)="","",CHOOSE($M$42,'Clients'!R165,'Clients'!Q165,'Viewings'!D165,'Deals'!X165,'Deals'!Y165,'Deals'!Z165,'Follow-ups'!H165,'Payments'!C165,'Expenses'!B165)))</x:f>
      </x:c>
      <x:c r="D207" s="432" t="str">
        <x:f>IF(B207="","",IF(ISNUMBER(CHOOSE($M$42,'Clients'!B165,'Clients'!B165,'Viewings'!H165,IF('Deals'!B165="","",IF(COUNTIFS('Clients'!$A$6:$A$205,'Deals'!B165)&lt;&gt;1,"Check Client ID",INDEX('Clients'!$B$6:$B$205,MATCH('Deals'!B165,'Clients'!$A$6:$A$205,0)))),IF('Deals'!B165="","",IF(COUNTIFS('Clients'!$A$6:$A$205,'Deals'!B165)&lt;&gt;1,"Check Client ID",INDEX('Clients'!$B$6:$B$205,MATCH('Deals'!B165,'Clients'!$A$6:$A$205,0)))),IF('Deals'!B165="","",IF(COUNTIFS('Clients'!$A$6:$A$205,'Deals'!B165)&lt;&gt;1,"Check Client ID",INDEX('Clients'!$B$6:$B$205,MATCH('Deals'!B165,'Clients'!$A$6:$A$205,0)))),'Follow-ups'!K165,'Payments'!B165,'Expenses'!D165)),CHOOSE($M$42,'Clients'!B165,'Clients'!B165,'Viewings'!H165,IF('Deals'!B165="","",IF(COUNTIFS('Clients'!$A$6:$A$205,'Deals'!B165)&lt;&gt;1,"Check Client ID",INDEX('Clients'!$B$6:$B$205,MATCH('Deals'!B165,'Clients'!$A$6:$A$205,0)))),IF('Deals'!B165="","",IF(COUNTIFS('Clients'!$A$6:$A$205,'Deals'!B165)&lt;&gt;1,"Check Client ID",INDEX('Clients'!$B$6:$B$205,MATCH('Deals'!B165,'Clients'!$A$6:$A$205,0)))),IF('Deals'!B165="","",IF(COUNTIFS('Clients'!$A$6:$A$205,'Deals'!B165)&lt;&gt;1,"Check Client ID",INDEX('Clients'!$B$6:$B$205,MATCH('Deals'!B165,'Clients'!$A$6:$A$205,0)))),'Follow-ups'!K165,'Payments'!B165,'Expenses'!D165),IF(CHOOSE($M$42,'Clients'!B165,'Clients'!B165,'Viewings'!H165,IF('Deals'!B165="","",IF(COUNTIFS('Clients'!$A$6:$A$205,'Deals'!B165)&lt;&gt;1,"Check Client ID",INDEX('Clients'!$B$6:$B$205,MATCH('Deals'!B165,'Clients'!$A$6:$A$205,0)))),IF('Deals'!B165="","",IF(COUNTIFS('Clients'!$A$6:$A$205,'Deals'!B165)&lt;&gt;1,"Check Client ID",INDEX('Clients'!$B$6:$B$205,MATCH('Deals'!B165,'Clients'!$A$6:$A$205,0)))),IF('Deals'!B165="","",IF(COUNTIFS('Clients'!$A$6:$A$205,'Deals'!B165)&lt;&gt;1,"Check Client ID",INDEX('Clients'!$B$6:$B$205,MATCH('Deals'!B165,'Clients'!$A$6:$A$205,0)))),'Follow-ups'!K165,'Payments'!B165,'Expenses'!D165)="","",CHOOSE($M$42,'Clients'!B165,'Clients'!B165,'Viewings'!H165,IF('Deals'!B165="","",IF(COUNTIFS('Clients'!$A$6:$A$205,'Deals'!B165)&lt;&gt;1,"Check Client ID",INDEX('Clients'!$B$6:$B$205,MATCH('Deals'!B165,'Clients'!$A$6:$A$205,0)))),IF('Deals'!B165="","",IF(COUNTIFS('Clients'!$A$6:$A$205,'Deals'!B165)&lt;&gt;1,"Check Client ID",INDEX('Clients'!$B$6:$B$205,MATCH('Deals'!B165,'Clients'!$A$6:$A$205,0)))),IF('Deals'!B165="","",IF(COUNTIFS('Clients'!$A$6:$A$205,'Deals'!B165)&lt;&gt;1,"Check Client ID",INDEX('Clients'!$B$6:$B$205,MATCH('Deals'!B165,'Clients'!$A$6:$A$205,0)))),'Follow-ups'!K165,'Payments'!B165,'Expenses'!D165))))</x:f>
      </x:c>
      <x:c r="E207" s="432" t="str">
        <x:f>IF(B207="","",IF(ISNUMBER(CHOOSE($M$42,'Clients'!K165,'Clients'!K165,'Viewings'!I165,'Deals'!C165,'Deals'!C165,'Deals'!C165,'Follow-ups'!L165,'Payments'!G165,'Expenses'!F165)),CHOOSE($M$42,'Clients'!K165,'Clients'!K165,'Viewings'!I165,'Deals'!C165,'Deals'!C165,'Deals'!C165,'Follow-ups'!L165,'Payments'!G165,'Expenses'!F165),IF(CHOOSE($M$42,'Clients'!K165,'Clients'!K165,'Viewings'!I165,'Deals'!C165,'Deals'!C165,'Deals'!C165,'Follow-ups'!L165,'Payments'!G165,'Expenses'!F165)="","",CHOOSE($M$42,'Clients'!K165,'Clients'!K165,'Viewings'!I165,'Deals'!C165,'Deals'!C165,'Deals'!C165,'Follow-ups'!L165,'Payments'!G165,'Expenses'!F165))))</x:f>
      </x:c>
      <x:c r="F207" s="432" t="str">
        <x:f>IF(B207="","",IF(ISNUMBER(CHOOSE($M$42,'Clients'!H165,'Clients'!H165,'Viewings'!E165,'Deals'!E165,'Deals'!E165,'Deals'!E165,'Follow-ups'!I165,"Receipt",'Expenses'!C165)),CHOOSE($M$42,'Clients'!H165,'Clients'!H165,'Viewings'!E165,'Deals'!E165,'Deals'!E165,'Deals'!E165,'Follow-ups'!I165,"Receipt",'Expenses'!C165),IF(CHOOSE($M$42,'Clients'!H165,'Clients'!H165,'Viewings'!E165,'Deals'!E165,'Deals'!E165,'Deals'!E165,'Follow-ups'!I165,"Receipt",'Expenses'!C165)="","",CHOOSE($M$42,'Clients'!H165,'Clients'!H165,'Viewings'!E165,'Deals'!E165,'Deals'!E165,'Deals'!E165,'Follow-ups'!I165,"Receipt",'Expenses'!C165))))</x:f>
      </x:c>
      <x:c r="G207" s="473" t="str">
        <x:f>IF(B207="","",IF(ISNUMBER(CHOOSE($M$42,"","","",'Deals'!F165,'Deals'!F165,'Deals'!F165,"",'Payments'!D165,'Expenses'!G165)),CHOOSE($M$42,"","","",'Deals'!F165,'Deals'!F165,'Deals'!F165,"",'Payments'!D165,'Expenses'!G165),IF(CHOOSE($M$42,"","","",'Deals'!F165,'Deals'!F165,'Deals'!F165,"",'Payments'!D165,'Expenses'!G165)="","",CHOOSE($M$42,"","","",'Deals'!F165,'Deals'!F165,'Deals'!F165,"",'Payments'!D165,'Expenses'!G165))))</x:f>
      </x:c>
      <x:c r="H207" s="432" t="n">
        <x:f>IF(AND($M$43=1,B207&lt;&gt;"",ISNUMBER(C207),C207&gt;=$G$6,C207&lt;$K$6+1),1,0)</x:f>
        <x:v>0</x:v>
      </x:c>
      <x:c r="I207" s="432" t="str">
        <x:f>IF(H207=0,"",COUNTIFS($H$48:$H$247,1,$C$48:$C$247,"&lt;"&amp;C207)+COUNTIFS($H$48:H207,1,$C$48:C207,C207))</x:f>
      </x:c>
      <x:c r="J207" s="432"/>
      <x:c r="K207" s="432"/>
      <x:c r="L207" s="432"/>
      <x:c r="M207" s="432"/>
      <x:c r="N207" s="432"/>
      <x:c r="O207" s="432"/>
      <x:c r="P207" s="432"/>
      <x:c r="Q207" s="432"/>
    </x:row>
    <x:row r="208" ht="25" customHeight="1">
      <x:c r="A208" s="432"/>
      <x:c r="B208" s="432" t="str">
        <x:f>IF(CHOOSE($M$42,'Clients'!A166,'Clients'!A166,'Viewings'!A166,'Deals'!A166,'Deals'!A166,'Deals'!A166,'Follow-ups'!A166,'Payments'!A166,'Expenses'!A166)="","",CHOOSE($M$42,'Clients'!A166,'Clients'!A166,'Viewings'!A166,'Deals'!A166,'Deals'!A166,'Deals'!A166,'Follow-ups'!A166,'Payments'!A166,'Expenses'!A166))</x:f>
      </x:c>
      <x:c r="C208" s="472" t="str">
        <x:f>IF(B208="","",IF(CHOOSE($M$42,'Clients'!R166,'Clients'!Q166,'Viewings'!D166,'Deals'!X166,'Deals'!Y166,'Deals'!Z166,'Follow-ups'!H166,'Payments'!C166,'Expenses'!B166)="","",CHOOSE($M$42,'Clients'!R166,'Clients'!Q166,'Viewings'!D166,'Deals'!X166,'Deals'!Y166,'Deals'!Z166,'Follow-ups'!H166,'Payments'!C166,'Expenses'!B166)))</x:f>
      </x:c>
      <x:c r="D208" s="432" t="str">
        <x:f>IF(B208="","",IF(ISNUMBER(CHOOSE($M$42,'Clients'!B166,'Clients'!B166,'Viewings'!H166,IF('Deals'!B166="","",IF(COUNTIFS('Clients'!$A$6:$A$205,'Deals'!B166)&lt;&gt;1,"Check Client ID",INDEX('Clients'!$B$6:$B$205,MATCH('Deals'!B166,'Clients'!$A$6:$A$205,0)))),IF('Deals'!B166="","",IF(COUNTIFS('Clients'!$A$6:$A$205,'Deals'!B166)&lt;&gt;1,"Check Client ID",INDEX('Clients'!$B$6:$B$205,MATCH('Deals'!B166,'Clients'!$A$6:$A$205,0)))),IF('Deals'!B166="","",IF(COUNTIFS('Clients'!$A$6:$A$205,'Deals'!B166)&lt;&gt;1,"Check Client ID",INDEX('Clients'!$B$6:$B$205,MATCH('Deals'!B166,'Clients'!$A$6:$A$205,0)))),'Follow-ups'!K166,'Payments'!B166,'Expenses'!D166)),CHOOSE($M$42,'Clients'!B166,'Clients'!B166,'Viewings'!H166,IF('Deals'!B166="","",IF(COUNTIFS('Clients'!$A$6:$A$205,'Deals'!B166)&lt;&gt;1,"Check Client ID",INDEX('Clients'!$B$6:$B$205,MATCH('Deals'!B166,'Clients'!$A$6:$A$205,0)))),IF('Deals'!B166="","",IF(COUNTIFS('Clients'!$A$6:$A$205,'Deals'!B166)&lt;&gt;1,"Check Client ID",INDEX('Clients'!$B$6:$B$205,MATCH('Deals'!B166,'Clients'!$A$6:$A$205,0)))),IF('Deals'!B166="","",IF(COUNTIFS('Clients'!$A$6:$A$205,'Deals'!B166)&lt;&gt;1,"Check Client ID",INDEX('Clients'!$B$6:$B$205,MATCH('Deals'!B166,'Clients'!$A$6:$A$205,0)))),'Follow-ups'!K166,'Payments'!B166,'Expenses'!D166),IF(CHOOSE($M$42,'Clients'!B166,'Clients'!B166,'Viewings'!H166,IF('Deals'!B166="","",IF(COUNTIFS('Clients'!$A$6:$A$205,'Deals'!B166)&lt;&gt;1,"Check Client ID",INDEX('Clients'!$B$6:$B$205,MATCH('Deals'!B166,'Clients'!$A$6:$A$205,0)))),IF('Deals'!B166="","",IF(COUNTIFS('Clients'!$A$6:$A$205,'Deals'!B166)&lt;&gt;1,"Check Client ID",INDEX('Clients'!$B$6:$B$205,MATCH('Deals'!B166,'Clients'!$A$6:$A$205,0)))),IF('Deals'!B166="","",IF(COUNTIFS('Clients'!$A$6:$A$205,'Deals'!B166)&lt;&gt;1,"Check Client ID",INDEX('Clients'!$B$6:$B$205,MATCH('Deals'!B166,'Clients'!$A$6:$A$205,0)))),'Follow-ups'!K166,'Payments'!B166,'Expenses'!D166)="","",CHOOSE($M$42,'Clients'!B166,'Clients'!B166,'Viewings'!H166,IF('Deals'!B166="","",IF(COUNTIFS('Clients'!$A$6:$A$205,'Deals'!B166)&lt;&gt;1,"Check Client ID",INDEX('Clients'!$B$6:$B$205,MATCH('Deals'!B166,'Clients'!$A$6:$A$205,0)))),IF('Deals'!B166="","",IF(COUNTIFS('Clients'!$A$6:$A$205,'Deals'!B166)&lt;&gt;1,"Check Client ID",INDEX('Clients'!$B$6:$B$205,MATCH('Deals'!B166,'Clients'!$A$6:$A$205,0)))),IF('Deals'!B166="","",IF(COUNTIFS('Clients'!$A$6:$A$205,'Deals'!B166)&lt;&gt;1,"Check Client ID",INDEX('Clients'!$B$6:$B$205,MATCH('Deals'!B166,'Clients'!$A$6:$A$205,0)))),'Follow-ups'!K166,'Payments'!B166,'Expenses'!D166))))</x:f>
      </x:c>
      <x:c r="E208" s="432" t="str">
        <x:f>IF(B208="","",IF(ISNUMBER(CHOOSE($M$42,'Clients'!K166,'Clients'!K166,'Viewings'!I166,'Deals'!C166,'Deals'!C166,'Deals'!C166,'Follow-ups'!L166,'Payments'!G166,'Expenses'!F166)),CHOOSE($M$42,'Clients'!K166,'Clients'!K166,'Viewings'!I166,'Deals'!C166,'Deals'!C166,'Deals'!C166,'Follow-ups'!L166,'Payments'!G166,'Expenses'!F166),IF(CHOOSE($M$42,'Clients'!K166,'Clients'!K166,'Viewings'!I166,'Deals'!C166,'Deals'!C166,'Deals'!C166,'Follow-ups'!L166,'Payments'!G166,'Expenses'!F166)="","",CHOOSE($M$42,'Clients'!K166,'Clients'!K166,'Viewings'!I166,'Deals'!C166,'Deals'!C166,'Deals'!C166,'Follow-ups'!L166,'Payments'!G166,'Expenses'!F166))))</x:f>
      </x:c>
      <x:c r="F208" s="432" t="str">
        <x:f>IF(B208="","",IF(ISNUMBER(CHOOSE($M$42,'Clients'!H166,'Clients'!H166,'Viewings'!E166,'Deals'!E166,'Deals'!E166,'Deals'!E166,'Follow-ups'!I166,"Receipt",'Expenses'!C166)),CHOOSE($M$42,'Clients'!H166,'Clients'!H166,'Viewings'!E166,'Deals'!E166,'Deals'!E166,'Deals'!E166,'Follow-ups'!I166,"Receipt",'Expenses'!C166),IF(CHOOSE($M$42,'Clients'!H166,'Clients'!H166,'Viewings'!E166,'Deals'!E166,'Deals'!E166,'Deals'!E166,'Follow-ups'!I166,"Receipt",'Expenses'!C166)="","",CHOOSE($M$42,'Clients'!H166,'Clients'!H166,'Viewings'!E166,'Deals'!E166,'Deals'!E166,'Deals'!E166,'Follow-ups'!I166,"Receipt",'Expenses'!C166))))</x:f>
      </x:c>
      <x:c r="G208" s="473" t="str">
        <x:f>IF(B208="","",IF(ISNUMBER(CHOOSE($M$42,"","","",'Deals'!F166,'Deals'!F166,'Deals'!F166,"",'Payments'!D166,'Expenses'!G166)),CHOOSE($M$42,"","","",'Deals'!F166,'Deals'!F166,'Deals'!F166,"",'Payments'!D166,'Expenses'!G166),IF(CHOOSE($M$42,"","","",'Deals'!F166,'Deals'!F166,'Deals'!F166,"",'Payments'!D166,'Expenses'!G166)="","",CHOOSE($M$42,"","","",'Deals'!F166,'Deals'!F166,'Deals'!F166,"",'Payments'!D166,'Expenses'!G166))))</x:f>
      </x:c>
      <x:c r="H208" s="432" t="n">
        <x:f>IF(AND($M$43=1,B208&lt;&gt;"",ISNUMBER(C208),C208&gt;=$G$6,C208&lt;$K$6+1),1,0)</x:f>
        <x:v>0</x:v>
      </x:c>
      <x:c r="I208" s="432" t="str">
        <x:f>IF(H208=0,"",COUNTIFS($H$48:$H$247,1,$C$48:$C$247,"&lt;"&amp;C208)+COUNTIFS($H$48:H208,1,$C$48:C208,C208))</x:f>
      </x:c>
      <x:c r="J208" s="432"/>
      <x:c r="K208" s="432"/>
      <x:c r="L208" s="432"/>
      <x:c r="M208" s="432"/>
      <x:c r="N208" s="432"/>
      <x:c r="O208" s="432"/>
      <x:c r="P208" s="432"/>
      <x:c r="Q208" s="432"/>
    </x:row>
    <x:row r="209" ht="25" customHeight="1">
      <x:c r="A209" s="432"/>
      <x:c r="B209" s="432" t="str">
        <x:f>IF(CHOOSE($M$42,'Clients'!A167,'Clients'!A167,'Viewings'!A167,'Deals'!A167,'Deals'!A167,'Deals'!A167,'Follow-ups'!A167,'Payments'!A167,'Expenses'!A167)="","",CHOOSE($M$42,'Clients'!A167,'Clients'!A167,'Viewings'!A167,'Deals'!A167,'Deals'!A167,'Deals'!A167,'Follow-ups'!A167,'Payments'!A167,'Expenses'!A167))</x:f>
      </x:c>
      <x:c r="C209" s="472" t="str">
        <x:f>IF(B209="","",IF(CHOOSE($M$42,'Clients'!R167,'Clients'!Q167,'Viewings'!D167,'Deals'!X167,'Deals'!Y167,'Deals'!Z167,'Follow-ups'!H167,'Payments'!C167,'Expenses'!B167)="","",CHOOSE($M$42,'Clients'!R167,'Clients'!Q167,'Viewings'!D167,'Deals'!X167,'Deals'!Y167,'Deals'!Z167,'Follow-ups'!H167,'Payments'!C167,'Expenses'!B167)))</x:f>
      </x:c>
      <x:c r="D209" s="432" t="str">
        <x:f>IF(B209="","",IF(ISNUMBER(CHOOSE($M$42,'Clients'!B167,'Clients'!B167,'Viewings'!H167,IF('Deals'!B167="","",IF(COUNTIFS('Clients'!$A$6:$A$205,'Deals'!B167)&lt;&gt;1,"Check Client ID",INDEX('Clients'!$B$6:$B$205,MATCH('Deals'!B167,'Clients'!$A$6:$A$205,0)))),IF('Deals'!B167="","",IF(COUNTIFS('Clients'!$A$6:$A$205,'Deals'!B167)&lt;&gt;1,"Check Client ID",INDEX('Clients'!$B$6:$B$205,MATCH('Deals'!B167,'Clients'!$A$6:$A$205,0)))),IF('Deals'!B167="","",IF(COUNTIFS('Clients'!$A$6:$A$205,'Deals'!B167)&lt;&gt;1,"Check Client ID",INDEX('Clients'!$B$6:$B$205,MATCH('Deals'!B167,'Clients'!$A$6:$A$205,0)))),'Follow-ups'!K167,'Payments'!B167,'Expenses'!D167)),CHOOSE($M$42,'Clients'!B167,'Clients'!B167,'Viewings'!H167,IF('Deals'!B167="","",IF(COUNTIFS('Clients'!$A$6:$A$205,'Deals'!B167)&lt;&gt;1,"Check Client ID",INDEX('Clients'!$B$6:$B$205,MATCH('Deals'!B167,'Clients'!$A$6:$A$205,0)))),IF('Deals'!B167="","",IF(COUNTIFS('Clients'!$A$6:$A$205,'Deals'!B167)&lt;&gt;1,"Check Client ID",INDEX('Clients'!$B$6:$B$205,MATCH('Deals'!B167,'Clients'!$A$6:$A$205,0)))),IF('Deals'!B167="","",IF(COUNTIFS('Clients'!$A$6:$A$205,'Deals'!B167)&lt;&gt;1,"Check Client ID",INDEX('Clients'!$B$6:$B$205,MATCH('Deals'!B167,'Clients'!$A$6:$A$205,0)))),'Follow-ups'!K167,'Payments'!B167,'Expenses'!D167),IF(CHOOSE($M$42,'Clients'!B167,'Clients'!B167,'Viewings'!H167,IF('Deals'!B167="","",IF(COUNTIFS('Clients'!$A$6:$A$205,'Deals'!B167)&lt;&gt;1,"Check Client ID",INDEX('Clients'!$B$6:$B$205,MATCH('Deals'!B167,'Clients'!$A$6:$A$205,0)))),IF('Deals'!B167="","",IF(COUNTIFS('Clients'!$A$6:$A$205,'Deals'!B167)&lt;&gt;1,"Check Client ID",INDEX('Clients'!$B$6:$B$205,MATCH('Deals'!B167,'Clients'!$A$6:$A$205,0)))),IF('Deals'!B167="","",IF(COUNTIFS('Clients'!$A$6:$A$205,'Deals'!B167)&lt;&gt;1,"Check Client ID",INDEX('Clients'!$B$6:$B$205,MATCH('Deals'!B167,'Clients'!$A$6:$A$205,0)))),'Follow-ups'!K167,'Payments'!B167,'Expenses'!D167)="","",CHOOSE($M$42,'Clients'!B167,'Clients'!B167,'Viewings'!H167,IF('Deals'!B167="","",IF(COUNTIFS('Clients'!$A$6:$A$205,'Deals'!B167)&lt;&gt;1,"Check Client ID",INDEX('Clients'!$B$6:$B$205,MATCH('Deals'!B167,'Clients'!$A$6:$A$205,0)))),IF('Deals'!B167="","",IF(COUNTIFS('Clients'!$A$6:$A$205,'Deals'!B167)&lt;&gt;1,"Check Client ID",INDEX('Clients'!$B$6:$B$205,MATCH('Deals'!B167,'Clients'!$A$6:$A$205,0)))),IF('Deals'!B167="","",IF(COUNTIFS('Clients'!$A$6:$A$205,'Deals'!B167)&lt;&gt;1,"Check Client ID",INDEX('Clients'!$B$6:$B$205,MATCH('Deals'!B167,'Clients'!$A$6:$A$205,0)))),'Follow-ups'!K167,'Payments'!B167,'Expenses'!D167))))</x:f>
      </x:c>
      <x:c r="E209" s="432" t="str">
        <x:f>IF(B209="","",IF(ISNUMBER(CHOOSE($M$42,'Clients'!K167,'Clients'!K167,'Viewings'!I167,'Deals'!C167,'Deals'!C167,'Deals'!C167,'Follow-ups'!L167,'Payments'!G167,'Expenses'!F167)),CHOOSE($M$42,'Clients'!K167,'Clients'!K167,'Viewings'!I167,'Deals'!C167,'Deals'!C167,'Deals'!C167,'Follow-ups'!L167,'Payments'!G167,'Expenses'!F167),IF(CHOOSE($M$42,'Clients'!K167,'Clients'!K167,'Viewings'!I167,'Deals'!C167,'Deals'!C167,'Deals'!C167,'Follow-ups'!L167,'Payments'!G167,'Expenses'!F167)="","",CHOOSE($M$42,'Clients'!K167,'Clients'!K167,'Viewings'!I167,'Deals'!C167,'Deals'!C167,'Deals'!C167,'Follow-ups'!L167,'Payments'!G167,'Expenses'!F167))))</x:f>
      </x:c>
      <x:c r="F209" s="432" t="str">
        <x:f>IF(B209="","",IF(ISNUMBER(CHOOSE($M$42,'Clients'!H167,'Clients'!H167,'Viewings'!E167,'Deals'!E167,'Deals'!E167,'Deals'!E167,'Follow-ups'!I167,"Receipt",'Expenses'!C167)),CHOOSE($M$42,'Clients'!H167,'Clients'!H167,'Viewings'!E167,'Deals'!E167,'Deals'!E167,'Deals'!E167,'Follow-ups'!I167,"Receipt",'Expenses'!C167),IF(CHOOSE($M$42,'Clients'!H167,'Clients'!H167,'Viewings'!E167,'Deals'!E167,'Deals'!E167,'Deals'!E167,'Follow-ups'!I167,"Receipt",'Expenses'!C167)="","",CHOOSE($M$42,'Clients'!H167,'Clients'!H167,'Viewings'!E167,'Deals'!E167,'Deals'!E167,'Deals'!E167,'Follow-ups'!I167,"Receipt",'Expenses'!C167))))</x:f>
      </x:c>
      <x:c r="G209" s="473" t="str">
        <x:f>IF(B209="","",IF(ISNUMBER(CHOOSE($M$42,"","","",'Deals'!F167,'Deals'!F167,'Deals'!F167,"",'Payments'!D167,'Expenses'!G167)),CHOOSE($M$42,"","","",'Deals'!F167,'Deals'!F167,'Deals'!F167,"",'Payments'!D167,'Expenses'!G167),IF(CHOOSE($M$42,"","","",'Deals'!F167,'Deals'!F167,'Deals'!F167,"",'Payments'!D167,'Expenses'!G167)="","",CHOOSE($M$42,"","","",'Deals'!F167,'Deals'!F167,'Deals'!F167,"",'Payments'!D167,'Expenses'!G167))))</x:f>
      </x:c>
      <x:c r="H209" s="432" t="n">
        <x:f>IF(AND($M$43=1,B209&lt;&gt;"",ISNUMBER(C209),C209&gt;=$G$6,C209&lt;$K$6+1),1,0)</x:f>
        <x:v>0</x:v>
      </x:c>
      <x:c r="I209" s="432" t="str">
        <x:f>IF(H209=0,"",COUNTIFS($H$48:$H$247,1,$C$48:$C$247,"&lt;"&amp;C209)+COUNTIFS($H$48:H209,1,$C$48:C209,C209))</x:f>
      </x:c>
      <x:c r="J209" s="432"/>
      <x:c r="K209" s="432"/>
      <x:c r="L209" s="432"/>
      <x:c r="M209" s="432"/>
      <x:c r="N209" s="432"/>
      <x:c r="O209" s="432"/>
      <x:c r="P209" s="432"/>
      <x:c r="Q209" s="432"/>
    </x:row>
    <x:row r="210" ht="25" customHeight="1">
      <x:c r="A210" s="432"/>
      <x:c r="B210" s="432" t="str">
        <x:f>IF(CHOOSE($M$42,'Clients'!A168,'Clients'!A168,'Viewings'!A168,'Deals'!A168,'Deals'!A168,'Deals'!A168,'Follow-ups'!A168,'Payments'!A168,'Expenses'!A168)="","",CHOOSE($M$42,'Clients'!A168,'Clients'!A168,'Viewings'!A168,'Deals'!A168,'Deals'!A168,'Deals'!A168,'Follow-ups'!A168,'Payments'!A168,'Expenses'!A168))</x:f>
      </x:c>
      <x:c r="C210" s="472" t="str">
        <x:f>IF(B210="","",IF(CHOOSE($M$42,'Clients'!R168,'Clients'!Q168,'Viewings'!D168,'Deals'!X168,'Deals'!Y168,'Deals'!Z168,'Follow-ups'!H168,'Payments'!C168,'Expenses'!B168)="","",CHOOSE($M$42,'Clients'!R168,'Clients'!Q168,'Viewings'!D168,'Deals'!X168,'Deals'!Y168,'Deals'!Z168,'Follow-ups'!H168,'Payments'!C168,'Expenses'!B168)))</x:f>
      </x:c>
      <x:c r="D210" s="432" t="str">
        <x:f>IF(B210="","",IF(ISNUMBER(CHOOSE($M$42,'Clients'!B168,'Clients'!B168,'Viewings'!H168,IF('Deals'!B168="","",IF(COUNTIFS('Clients'!$A$6:$A$205,'Deals'!B168)&lt;&gt;1,"Check Client ID",INDEX('Clients'!$B$6:$B$205,MATCH('Deals'!B168,'Clients'!$A$6:$A$205,0)))),IF('Deals'!B168="","",IF(COUNTIFS('Clients'!$A$6:$A$205,'Deals'!B168)&lt;&gt;1,"Check Client ID",INDEX('Clients'!$B$6:$B$205,MATCH('Deals'!B168,'Clients'!$A$6:$A$205,0)))),IF('Deals'!B168="","",IF(COUNTIFS('Clients'!$A$6:$A$205,'Deals'!B168)&lt;&gt;1,"Check Client ID",INDEX('Clients'!$B$6:$B$205,MATCH('Deals'!B168,'Clients'!$A$6:$A$205,0)))),'Follow-ups'!K168,'Payments'!B168,'Expenses'!D168)),CHOOSE($M$42,'Clients'!B168,'Clients'!B168,'Viewings'!H168,IF('Deals'!B168="","",IF(COUNTIFS('Clients'!$A$6:$A$205,'Deals'!B168)&lt;&gt;1,"Check Client ID",INDEX('Clients'!$B$6:$B$205,MATCH('Deals'!B168,'Clients'!$A$6:$A$205,0)))),IF('Deals'!B168="","",IF(COUNTIFS('Clients'!$A$6:$A$205,'Deals'!B168)&lt;&gt;1,"Check Client ID",INDEX('Clients'!$B$6:$B$205,MATCH('Deals'!B168,'Clients'!$A$6:$A$205,0)))),IF('Deals'!B168="","",IF(COUNTIFS('Clients'!$A$6:$A$205,'Deals'!B168)&lt;&gt;1,"Check Client ID",INDEX('Clients'!$B$6:$B$205,MATCH('Deals'!B168,'Clients'!$A$6:$A$205,0)))),'Follow-ups'!K168,'Payments'!B168,'Expenses'!D168),IF(CHOOSE($M$42,'Clients'!B168,'Clients'!B168,'Viewings'!H168,IF('Deals'!B168="","",IF(COUNTIFS('Clients'!$A$6:$A$205,'Deals'!B168)&lt;&gt;1,"Check Client ID",INDEX('Clients'!$B$6:$B$205,MATCH('Deals'!B168,'Clients'!$A$6:$A$205,0)))),IF('Deals'!B168="","",IF(COUNTIFS('Clients'!$A$6:$A$205,'Deals'!B168)&lt;&gt;1,"Check Client ID",INDEX('Clients'!$B$6:$B$205,MATCH('Deals'!B168,'Clients'!$A$6:$A$205,0)))),IF('Deals'!B168="","",IF(COUNTIFS('Clients'!$A$6:$A$205,'Deals'!B168)&lt;&gt;1,"Check Client ID",INDEX('Clients'!$B$6:$B$205,MATCH('Deals'!B168,'Clients'!$A$6:$A$205,0)))),'Follow-ups'!K168,'Payments'!B168,'Expenses'!D168)="","",CHOOSE($M$42,'Clients'!B168,'Clients'!B168,'Viewings'!H168,IF('Deals'!B168="","",IF(COUNTIFS('Clients'!$A$6:$A$205,'Deals'!B168)&lt;&gt;1,"Check Client ID",INDEX('Clients'!$B$6:$B$205,MATCH('Deals'!B168,'Clients'!$A$6:$A$205,0)))),IF('Deals'!B168="","",IF(COUNTIFS('Clients'!$A$6:$A$205,'Deals'!B168)&lt;&gt;1,"Check Client ID",INDEX('Clients'!$B$6:$B$205,MATCH('Deals'!B168,'Clients'!$A$6:$A$205,0)))),IF('Deals'!B168="","",IF(COUNTIFS('Clients'!$A$6:$A$205,'Deals'!B168)&lt;&gt;1,"Check Client ID",INDEX('Clients'!$B$6:$B$205,MATCH('Deals'!B168,'Clients'!$A$6:$A$205,0)))),'Follow-ups'!K168,'Payments'!B168,'Expenses'!D168))))</x:f>
      </x:c>
      <x:c r="E210" s="432" t="str">
        <x:f>IF(B210="","",IF(ISNUMBER(CHOOSE($M$42,'Clients'!K168,'Clients'!K168,'Viewings'!I168,'Deals'!C168,'Deals'!C168,'Deals'!C168,'Follow-ups'!L168,'Payments'!G168,'Expenses'!F168)),CHOOSE($M$42,'Clients'!K168,'Clients'!K168,'Viewings'!I168,'Deals'!C168,'Deals'!C168,'Deals'!C168,'Follow-ups'!L168,'Payments'!G168,'Expenses'!F168),IF(CHOOSE($M$42,'Clients'!K168,'Clients'!K168,'Viewings'!I168,'Deals'!C168,'Deals'!C168,'Deals'!C168,'Follow-ups'!L168,'Payments'!G168,'Expenses'!F168)="","",CHOOSE($M$42,'Clients'!K168,'Clients'!K168,'Viewings'!I168,'Deals'!C168,'Deals'!C168,'Deals'!C168,'Follow-ups'!L168,'Payments'!G168,'Expenses'!F168))))</x:f>
      </x:c>
      <x:c r="F210" s="432" t="str">
        <x:f>IF(B210="","",IF(ISNUMBER(CHOOSE($M$42,'Clients'!H168,'Clients'!H168,'Viewings'!E168,'Deals'!E168,'Deals'!E168,'Deals'!E168,'Follow-ups'!I168,"Receipt",'Expenses'!C168)),CHOOSE($M$42,'Clients'!H168,'Clients'!H168,'Viewings'!E168,'Deals'!E168,'Deals'!E168,'Deals'!E168,'Follow-ups'!I168,"Receipt",'Expenses'!C168),IF(CHOOSE($M$42,'Clients'!H168,'Clients'!H168,'Viewings'!E168,'Deals'!E168,'Deals'!E168,'Deals'!E168,'Follow-ups'!I168,"Receipt",'Expenses'!C168)="","",CHOOSE($M$42,'Clients'!H168,'Clients'!H168,'Viewings'!E168,'Deals'!E168,'Deals'!E168,'Deals'!E168,'Follow-ups'!I168,"Receipt",'Expenses'!C168))))</x:f>
      </x:c>
      <x:c r="G210" s="473" t="str">
        <x:f>IF(B210="","",IF(ISNUMBER(CHOOSE($M$42,"","","",'Deals'!F168,'Deals'!F168,'Deals'!F168,"",'Payments'!D168,'Expenses'!G168)),CHOOSE($M$42,"","","",'Deals'!F168,'Deals'!F168,'Deals'!F168,"",'Payments'!D168,'Expenses'!G168),IF(CHOOSE($M$42,"","","",'Deals'!F168,'Deals'!F168,'Deals'!F168,"",'Payments'!D168,'Expenses'!G168)="","",CHOOSE($M$42,"","","",'Deals'!F168,'Deals'!F168,'Deals'!F168,"",'Payments'!D168,'Expenses'!G168))))</x:f>
      </x:c>
      <x:c r="H210" s="432" t="n">
        <x:f>IF(AND($M$43=1,B210&lt;&gt;"",ISNUMBER(C210),C210&gt;=$G$6,C210&lt;$K$6+1),1,0)</x:f>
        <x:v>0</x:v>
      </x:c>
      <x:c r="I210" s="432" t="str">
        <x:f>IF(H210=0,"",COUNTIFS($H$48:$H$247,1,$C$48:$C$247,"&lt;"&amp;C210)+COUNTIFS($H$48:H210,1,$C$48:C210,C210))</x:f>
      </x:c>
      <x:c r="J210" s="432"/>
      <x:c r="K210" s="432"/>
      <x:c r="L210" s="432"/>
      <x:c r="M210" s="432"/>
      <x:c r="N210" s="432"/>
      <x:c r="O210" s="432"/>
      <x:c r="P210" s="432"/>
      <x:c r="Q210" s="432"/>
    </x:row>
    <x:row r="211" ht="25" customHeight="1">
      <x:c r="A211" s="432"/>
      <x:c r="B211" s="432" t="str">
        <x:f>IF(CHOOSE($M$42,'Clients'!A169,'Clients'!A169,'Viewings'!A169,'Deals'!A169,'Deals'!A169,'Deals'!A169,'Follow-ups'!A169,'Payments'!A169,'Expenses'!A169)="","",CHOOSE($M$42,'Clients'!A169,'Clients'!A169,'Viewings'!A169,'Deals'!A169,'Deals'!A169,'Deals'!A169,'Follow-ups'!A169,'Payments'!A169,'Expenses'!A169))</x:f>
      </x:c>
      <x:c r="C211" s="472" t="str">
        <x:f>IF(B211="","",IF(CHOOSE($M$42,'Clients'!R169,'Clients'!Q169,'Viewings'!D169,'Deals'!X169,'Deals'!Y169,'Deals'!Z169,'Follow-ups'!H169,'Payments'!C169,'Expenses'!B169)="","",CHOOSE($M$42,'Clients'!R169,'Clients'!Q169,'Viewings'!D169,'Deals'!X169,'Deals'!Y169,'Deals'!Z169,'Follow-ups'!H169,'Payments'!C169,'Expenses'!B169)))</x:f>
      </x:c>
      <x:c r="D211" s="432" t="str">
        <x:f>IF(B211="","",IF(ISNUMBER(CHOOSE($M$42,'Clients'!B169,'Clients'!B169,'Viewings'!H169,IF('Deals'!B169="","",IF(COUNTIFS('Clients'!$A$6:$A$205,'Deals'!B169)&lt;&gt;1,"Check Client ID",INDEX('Clients'!$B$6:$B$205,MATCH('Deals'!B169,'Clients'!$A$6:$A$205,0)))),IF('Deals'!B169="","",IF(COUNTIFS('Clients'!$A$6:$A$205,'Deals'!B169)&lt;&gt;1,"Check Client ID",INDEX('Clients'!$B$6:$B$205,MATCH('Deals'!B169,'Clients'!$A$6:$A$205,0)))),IF('Deals'!B169="","",IF(COUNTIFS('Clients'!$A$6:$A$205,'Deals'!B169)&lt;&gt;1,"Check Client ID",INDEX('Clients'!$B$6:$B$205,MATCH('Deals'!B169,'Clients'!$A$6:$A$205,0)))),'Follow-ups'!K169,'Payments'!B169,'Expenses'!D169)),CHOOSE($M$42,'Clients'!B169,'Clients'!B169,'Viewings'!H169,IF('Deals'!B169="","",IF(COUNTIFS('Clients'!$A$6:$A$205,'Deals'!B169)&lt;&gt;1,"Check Client ID",INDEX('Clients'!$B$6:$B$205,MATCH('Deals'!B169,'Clients'!$A$6:$A$205,0)))),IF('Deals'!B169="","",IF(COUNTIFS('Clients'!$A$6:$A$205,'Deals'!B169)&lt;&gt;1,"Check Client ID",INDEX('Clients'!$B$6:$B$205,MATCH('Deals'!B169,'Clients'!$A$6:$A$205,0)))),IF('Deals'!B169="","",IF(COUNTIFS('Clients'!$A$6:$A$205,'Deals'!B169)&lt;&gt;1,"Check Client ID",INDEX('Clients'!$B$6:$B$205,MATCH('Deals'!B169,'Clients'!$A$6:$A$205,0)))),'Follow-ups'!K169,'Payments'!B169,'Expenses'!D169),IF(CHOOSE($M$42,'Clients'!B169,'Clients'!B169,'Viewings'!H169,IF('Deals'!B169="","",IF(COUNTIFS('Clients'!$A$6:$A$205,'Deals'!B169)&lt;&gt;1,"Check Client ID",INDEX('Clients'!$B$6:$B$205,MATCH('Deals'!B169,'Clients'!$A$6:$A$205,0)))),IF('Deals'!B169="","",IF(COUNTIFS('Clients'!$A$6:$A$205,'Deals'!B169)&lt;&gt;1,"Check Client ID",INDEX('Clients'!$B$6:$B$205,MATCH('Deals'!B169,'Clients'!$A$6:$A$205,0)))),IF('Deals'!B169="","",IF(COUNTIFS('Clients'!$A$6:$A$205,'Deals'!B169)&lt;&gt;1,"Check Client ID",INDEX('Clients'!$B$6:$B$205,MATCH('Deals'!B169,'Clients'!$A$6:$A$205,0)))),'Follow-ups'!K169,'Payments'!B169,'Expenses'!D169)="","",CHOOSE($M$42,'Clients'!B169,'Clients'!B169,'Viewings'!H169,IF('Deals'!B169="","",IF(COUNTIFS('Clients'!$A$6:$A$205,'Deals'!B169)&lt;&gt;1,"Check Client ID",INDEX('Clients'!$B$6:$B$205,MATCH('Deals'!B169,'Clients'!$A$6:$A$205,0)))),IF('Deals'!B169="","",IF(COUNTIFS('Clients'!$A$6:$A$205,'Deals'!B169)&lt;&gt;1,"Check Client ID",INDEX('Clients'!$B$6:$B$205,MATCH('Deals'!B169,'Clients'!$A$6:$A$205,0)))),IF('Deals'!B169="","",IF(COUNTIFS('Clients'!$A$6:$A$205,'Deals'!B169)&lt;&gt;1,"Check Client ID",INDEX('Clients'!$B$6:$B$205,MATCH('Deals'!B169,'Clients'!$A$6:$A$205,0)))),'Follow-ups'!K169,'Payments'!B169,'Expenses'!D169))))</x:f>
      </x:c>
      <x:c r="E211" s="432" t="str">
        <x:f>IF(B211="","",IF(ISNUMBER(CHOOSE($M$42,'Clients'!K169,'Clients'!K169,'Viewings'!I169,'Deals'!C169,'Deals'!C169,'Deals'!C169,'Follow-ups'!L169,'Payments'!G169,'Expenses'!F169)),CHOOSE($M$42,'Clients'!K169,'Clients'!K169,'Viewings'!I169,'Deals'!C169,'Deals'!C169,'Deals'!C169,'Follow-ups'!L169,'Payments'!G169,'Expenses'!F169),IF(CHOOSE($M$42,'Clients'!K169,'Clients'!K169,'Viewings'!I169,'Deals'!C169,'Deals'!C169,'Deals'!C169,'Follow-ups'!L169,'Payments'!G169,'Expenses'!F169)="","",CHOOSE($M$42,'Clients'!K169,'Clients'!K169,'Viewings'!I169,'Deals'!C169,'Deals'!C169,'Deals'!C169,'Follow-ups'!L169,'Payments'!G169,'Expenses'!F169))))</x:f>
      </x:c>
      <x:c r="F211" s="432" t="str">
        <x:f>IF(B211="","",IF(ISNUMBER(CHOOSE($M$42,'Clients'!H169,'Clients'!H169,'Viewings'!E169,'Deals'!E169,'Deals'!E169,'Deals'!E169,'Follow-ups'!I169,"Receipt",'Expenses'!C169)),CHOOSE($M$42,'Clients'!H169,'Clients'!H169,'Viewings'!E169,'Deals'!E169,'Deals'!E169,'Deals'!E169,'Follow-ups'!I169,"Receipt",'Expenses'!C169),IF(CHOOSE($M$42,'Clients'!H169,'Clients'!H169,'Viewings'!E169,'Deals'!E169,'Deals'!E169,'Deals'!E169,'Follow-ups'!I169,"Receipt",'Expenses'!C169)="","",CHOOSE($M$42,'Clients'!H169,'Clients'!H169,'Viewings'!E169,'Deals'!E169,'Deals'!E169,'Deals'!E169,'Follow-ups'!I169,"Receipt",'Expenses'!C169))))</x:f>
      </x:c>
      <x:c r="G211" s="473" t="str">
        <x:f>IF(B211="","",IF(ISNUMBER(CHOOSE($M$42,"","","",'Deals'!F169,'Deals'!F169,'Deals'!F169,"",'Payments'!D169,'Expenses'!G169)),CHOOSE($M$42,"","","",'Deals'!F169,'Deals'!F169,'Deals'!F169,"",'Payments'!D169,'Expenses'!G169),IF(CHOOSE($M$42,"","","",'Deals'!F169,'Deals'!F169,'Deals'!F169,"",'Payments'!D169,'Expenses'!G169)="","",CHOOSE($M$42,"","","",'Deals'!F169,'Deals'!F169,'Deals'!F169,"",'Payments'!D169,'Expenses'!G169))))</x:f>
      </x:c>
      <x:c r="H211" s="432" t="n">
        <x:f>IF(AND($M$43=1,B211&lt;&gt;"",ISNUMBER(C211),C211&gt;=$G$6,C211&lt;$K$6+1),1,0)</x:f>
        <x:v>0</x:v>
      </x:c>
      <x:c r="I211" s="432" t="str">
        <x:f>IF(H211=0,"",COUNTIFS($H$48:$H$247,1,$C$48:$C$247,"&lt;"&amp;C211)+COUNTIFS($H$48:H211,1,$C$48:C211,C211))</x:f>
      </x:c>
      <x:c r="J211" s="432"/>
      <x:c r="K211" s="432"/>
      <x:c r="L211" s="432"/>
      <x:c r="M211" s="432"/>
      <x:c r="N211" s="432"/>
      <x:c r="O211" s="432"/>
      <x:c r="P211" s="432"/>
      <x:c r="Q211" s="432"/>
    </x:row>
    <x:row r="212" ht="25" customHeight="1">
      <x:c r="A212" s="432"/>
      <x:c r="B212" s="432" t="str">
        <x:f>IF(CHOOSE($M$42,'Clients'!A170,'Clients'!A170,'Viewings'!A170,'Deals'!A170,'Deals'!A170,'Deals'!A170,'Follow-ups'!A170,'Payments'!A170,'Expenses'!A170)="","",CHOOSE($M$42,'Clients'!A170,'Clients'!A170,'Viewings'!A170,'Deals'!A170,'Deals'!A170,'Deals'!A170,'Follow-ups'!A170,'Payments'!A170,'Expenses'!A170))</x:f>
      </x:c>
      <x:c r="C212" s="472" t="str">
        <x:f>IF(B212="","",IF(CHOOSE($M$42,'Clients'!R170,'Clients'!Q170,'Viewings'!D170,'Deals'!X170,'Deals'!Y170,'Deals'!Z170,'Follow-ups'!H170,'Payments'!C170,'Expenses'!B170)="","",CHOOSE($M$42,'Clients'!R170,'Clients'!Q170,'Viewings'!D170,'Deals'!X170,'Deals'!Y170,'Deals'!Z170,'Follow-ups'!H170,'Payments'!C170,'Expenses'!B170)))</x:f>
      </x:c>
      <x:c r="D212" s="432" t="str">
        <x:f>IF(B212="","",IF(ISNUMBER(CHOOSE($M$42,'Clients'!B170,'Clients'!B170,'Viewings'!H170,IF('Deals'!B170="","",IF(COUNTIFS('Clients'!$A$6:$A$205,'Deals'!B170)&lt;&gt;1,"Check Client ID",INDEX('Clients'!$B$6:$B$205,MATCH('Deals'!B170,'Clients'!$A$6:$A$205,0)))),IF('Deals'!B170="","",IF(COUNTIFS('Clients'!$A$6:$A$205,'Deals'!B170)&lt;&gt;1,"Check Client ID",INDEX('Clients'!$B$6:$B$205,MATCH('Deals'!B170,'Clients'!$A$6:$A$205,0)))),IF('Deals'!B170="","",IF(COUNTIFS('Clients'!$A$6:$A$205,'Deals'!B170)&lt;&gt;1,"Check Client ID",INDEX('Clients'!$B$6:$B$205,MATCH('Deals'!B170,'Clients'!$A$6:$A$205,0)))),'Follow-ups'!K170,'Payments'!B170,'Expenses'!D170)),CHOOSE($M$42,'Clients'!B170,'Clients'!B170,'Viewings'!H170,IF('Deals'!B170="","",IF(COUNTIFS('Clients'!$A$6:$A$205,'Deals'!B170)&lt;&gt;1,"Check Client ID",INDEX('Clients'!$B$6:$B$205,MATCH('Deals'!B170,'Clients'!$A$6:$A$205,0)))),IF('Deals'!B170="","",IF(COUNTIFS('Clients'!$A$6:$A$205,'Deals'!B170)&lt;&gt;1,"Check Client ID",INDEX('Clients'!$B$6:$B$205,MATCH('Deals'!B170,'Clients'!$A$6:$A$205,0)))),IF('Deals'!B170="","",IF(COUNTIFS('Clients'!$A$6:$A$205,'Deals'!B170)&lt;&gt;1,"Check Client ID",INDEX('Clients'!$B$6:$B$205,MATCH('Deals'!B170,'Clients'!$A$6:$A$205,0)))),'Follow-ups'!K170,'Payments'!B170,'Expenses'!D170),IF(CHOOSE($M$42,'Clients'!B170,'Clients'!B170,'Viewings'!H170,IF('Deals'!B170="","",IF(COUNTIFS('Clients'!$A$6:$A$205,'Deals'!B170)&lt;&gt;1,"Check Client ID",INDEX('Clients'!$B$6:$B$205,MATCH('Deals'!B170,'Clients'!$A$6:$A$205,0)))),IF('Deals'!B170="","",IF(COUNTIFS('Clients'!$A$6:$A$205,'Deals'!B170)&lt;&gt;1,"Check Client ID",INDEX('Clients'!$B$6:$B$205,MATCH('Deals'!B170,'Clients'!$A$6:$A$205,0)))),IF('Deals'!B170="","",IF(COUNTIFS('Clients'!$A$6:$A$205,'Deals'!B170)&lt;&gt;1,"Check Client ID",INDEX('Clients'!$B$6:$B$205,MATCH('Deals'!B170,'Clients'!$A$6:$A$205,0)))),'Follow-ups'!K170,'Payments'!B170,'Expenses'!D170)="","",CHOOSE($M$42,'Clients'!B170,'Clients'!B170,'Viewings'!H170,IF('Deals'!B170="","",IF(COUNTIFS('Clients'!$A$6:$A$205,'Deals'!B170)&lt;&gt;1,"Check Client ID",INDEX('Clients'!$B$6:$B$205,MATCH('Deals'!B170,'Clients'!$A$6:$A$205,0)))),IF('Deals'!B170="","",IF(COUNTIFS('Clients'!$A$6:$A$205,'Deals'!B170)&lt;&gt;1,"Check Client ID",INDEX('Clients'!$B$6:$B$205,MATCH('Deals'!B170,'Clients'!$A$6:$A$205,0)))),IF('Deals'!B170="","",IF(COUNTIFS('Clients'!$A$6:$A$205,'Deals'!B170)&lt;&gt;1,"Check Client ID",INDEX('Clients'!$B$6:$B$205,MATCH('Deals'!B170,'Clients'!$A$6:$A$205,0)))),'Follow-ups'!K170,'Payments'!B170,'Expenses'!D170))))</x:f>
      </x:c>
      <x:c r="E212" s="432" t="str">
        <x:f>IF(B212="","",IF(ISNUMBER(CHOOSE($M$42,'Clients'!K170,'Clients'!K170,'Viewings'!I170,'Deals'!C170,'Deals'!C170,'Deals'!C170,'Follow-ups'!L170,'Payments'!G170,'Expenses'!F170)),CHOOSE($M$42,'Clients'!K170,'Clients'!K170,'Viewings'!I170,'Deals'!C170,'Deals'!C170,'Deals'!C170,'Follow-ups'!L170,'Payments'!G170,'Expenses'!F170),IF(CHOOSE($M$42,'Clients'!K170,'Clients'!K170,'Viewings'!I170,'Deals'!C170,'Deals'!C170,'Deals'!C170,'Follow-ups'!L170,'Payments'!G170,'Expenses'!F170)="","",CHOOSE($M$42,'Clients'!K170,'Clients'!K170,'Viewings'!I170,'Deals'!C170,'Deals'!C170,'Deals'!C170,'Follow-ups'!L170,'Payments'!G170,'Expenses'!F170))))</x:f>
      </x:c>
      <x:c r="F212" s="432" t="str">
        <x:f>IF(B212="","",IF(ISNUMBER(CHOOSE($M$42,'Clients'!H170,'Clients'!H170,'Viewings'!E170,'Deals'!E170,'Deals'!E170,'Deals'!E170,'Follow-ups'!I170,"Receipt",'Expenses'!C170)),CHOOSE($M$42,'Clients'!H170,'Clients'!H170,'Viewings'!E170,'Deals'!E170,'Deals'!E170,'Deals'!E170,'Follow-ups'!I170,"Receipt",'Expenses'!C170),IF(CHOOSE($M$42,'Clients'!H170,'Clients'!H170,'Viewings'!E170,'Deals'!E170,'Deals'!E170,'Deals'!E170,'Follow-ups'!I170,"Receipt",'Expenses'!C170)="","",CHOOSE($M$42,'Clients'!H170,'Clients'!H170,'Viewings'!E170,'Deals'!E170,'Deals'!E170,'Deals'!E170,'Follow-ups'!I170,"Receipt",'Expenses'!C170))))</x:f>
      </x:c>
      <x:c r="G212" s="473" t="str">
        <x:f>IF(B212="","",IF(ISNUMBER(CHOOSE($M$42,"","","",'Deals'!F170,'Deals'!F170,'Deals'!F170,"",'Payments'!D170,'Expenses'!G170)),CHOOSE($M$42,"","","",'Deals'!F170,'Deals'!F170,'Deals'!F170,"",'Payments'!D170,'Expenses'!G170),IF(CHOOSE($M$42,"","","",'Deals'!F170,'Deals'!F170,'Deals'!F170,"",'Payments'!D170,'Expenses'!G170)="","",CHOOSE($M$42,"","","",'Deals'!F170,'Deals'!F170,'Deals'!F170,"",'Payments'!D170,'Expenses'!G170))))</x:f>
      </x:c>
      <x:c r="H212" s="432" t="n">
        <x:f>IF(AND($M$43=1,B212&lt;&gt;"",ISNUMBER(C212),C212&gt;=$G$6,C212&lt;$K$6+1),1,0)</x:f>
        <x:v>0</x:v>
      </x:c>
      <x:c r="I212" s="432" t="str">
        <x:f>IF(H212=0,"",COUNTIFS($H$48:$H$247,1,$C$48:$C$247,"&lt;"&amp;C212)+COUNTIFS($H$48:H212,1,$C$48:C212,C212))</x:f>
      </x:c>
      <x:c r="J212" s="432"/>
      <x:c r="K212" s="432"/>
      <x:c r="L212" s="432"/>
      <x:c r="M212" s="432"/>
      <x:c r="N212" s="432"/>
      <x:c r="O212" s="432"/>
      <x:c r="P212" s="432"/>
      <x:c r="Q212" s="432"/>
    </x:row>
    <x:row r="213" ht="25" customHeight="1">
      <x:c r="A213" s="432"/>
      <x:c r="B213" s="432" t="str">
        <x:f>IF(CHOOSE($M$42,'Clients'!A171,'Clients'!A171,'Viewings'!A171,'Deals'!A171,'Deals'!A171,'Deals'!A171,'Follow-ups'!A171,'Payments'!A171,'Expenses'!A171)="","",CHOOSE($M$42,'Clients'!A171,'Clients'!A171,'Viewings'!A171,'Deals'!A171,'Deals'!A171,'Deals'!A171,'Follow-ups'!A171,'Payments'!A171,'Expenses'!A171))</x:f>
      </x:c>
      <x:c r="C213" s="472" t="str">
        <x:f>IF(B213="","",IF(CHOOSE($M$42,'Clients'!R171,'Clients'!Q171,'Viewings'!D171,'Deals'!X171,'Deals'!Y171,'Deals'!Z171,'Follow-ups'!H171,'Payments'!C171,'Expenses'!B171)="","",CHOOSE($M$42,'Clients'!R171,'Clients'!Q171,'Viewings'!D171,'Deals'!X171,'Deals'!Y171,'Deals'!Z171,'Follow-ups'!H171,'Payments'!C171,'Expenses'!B171)))</x:f>
      </x:c>
      <x:c r="D213" s="432" t="str">
        <x:f>IF(B213="","",IF(ISNUMBER(CHOOSE($M$42,'Clients'!B171,'Clients'!B171,'Viewings'!H171,IF('Deals'!B171="","",IF(COUNTIFS('Clients'!$A$6:$A$205,'Deals'!B171)&lt;&gt;1,"Check Client ID",INDEX('Clients'!$B$6:$B$205,MATCH('Deals'!B171,'Clients'!$A$6:$A$205,0)))),IF('Deals'!B171="","",IF(COUNTIFS('Clients'!$A$6:$A$205,'Deals'!B171)&lt;&gt;1,"Check Client ID",INDEX('Clients'!$B$6:$B$205,MATCH('Deals'!B171,'Clients'!$A$6:$A$205,0)))),IF('Deals'!B171="","",IF(COUNTIFS('Clients'!$A$6:$A$205,'Deals'!B171)&lt;&gt;1,"Check Client ID",INDEX('Clients'!$B$6:$B$205,MATCH('Deals'!B171,'Clients'!$A$6:$A$205,0)))),'Follow-ups'!K171,'Payments'!B171,'Expenses'!D171)),CHOOSE($M$42,'Clients'!B171,'Clients'!B171,'Viewings'!H171,IF('Deals'!B171="","",IF(COUNTIFS('Clients'!$A$6:$A$205,'Deals'!B171)&lt;&gt;1,"Check Client ID",INDEX('Clients'!$B$6:$B$205,MATCH('Deals'!B171,'Clients'!$A$6:$A$205,0)))),IF('Deals'!B171="","",IF(COUNTIFS('Clients'!$A$6:$A$205,'Deals'!B171)&lt;&gt;1,"Check Client ID",INDEX('Clients'!$B$6:$B$205,MATCH('Deals'!B171,'Clients'!$A$6:$A$205,0)))),IF('Deals'!B171="","",IF(COUNTIFS('Clients'!$A$6:$A$205,'Deals'!B171)&lt;&gt;1,"Check Client ID",INDEX('Clients'!$B$6:$B$205,MATCH('Deals'!B171,'Clients'!$A$6:$A$205,0)))),'Follow-ups'!K171,'Payments'!B171,'Expenses'!D171),IF(CHOOSE($M$42,'Clients'!B171,'Clients'!B171,'Viewings'!H171,IF('Deals'!B171="","",IF(COUNTIFS('Clients'!$A$6:$A$205,'Deals'!B171)&lt;&gt;1,"Check Client ID",INDEX('Clients'!$B$6:$B$205,MATCH('Deals'!B171,'Clients'!$A$6:$A$205,0)))),IF('Deals'!B171="","",IF(COUNTIFS('Clients'!$A$6:$A$205,'Deals'!B171)&lt;&gt;1,"Check Client ID",INDEX('Clients'!$B$6:$B$205,MATCH('Deals'!B171,'Clients'!$A$6:$A$205,0)))),IF('Deals'!B171="","",IF(COUNTIFS('Clients'!$A$6:$A$205,'Deals'!B171)&lt;&gt;1,"Check Client ID",INDEX('Clients'!$B$6:$B$205,MATCH('Deals'!B171,'Clients'!$A$6:$A$205,0)))),'Follow-ups'!K171,'Payments'!B171,'Expenses'!D171)="","",CHOOSE($M$42,'Clients'!B171,'Clients'!B171,'Viewings'!H171,IF('Deals'!B171="","",IF(COUNTIFS('Clients'!$A$6:$A$205,'Deals'!B171)&lt;&gt;1,"Check Client ID",INDEX('Clients'!$B$6:$B$205,MATCH('Deals'!B171,'Clients'!$A$6:$A$205,0)))),IF('Deals'!B171="","",IF(COUNTIFS('Clients'!$A$6:$A$205,'Deals'!B171)&lt;&gt;1,"Check Client ID",INDEX('Clients'!$B$6:$B$205,MATCH('Deals'!B171,'Clients'!$A$6:$A$205,0)))),IF('Deals'!B171="","",IF(COUNTIFS('Clients'!$A$6:$A$205,'Deals'!B171)&lt;&gt;1,"Check Client ID",INDEX('Clients'!$B$6:$B$205,MATCH('Deals'!B171,'Clients'!$A$6:$A$205,0)))),'Follow-ups'!K171,'Payments'!B171,'Expenses'!D171))))</x:f>
      </x:c>
      <x:c r="E213" s="432" t="str">
        <x:f>IF(B213="","",IF(ISNUMBER(CHOOSE($M$42,'Clients'!K171,'Clients'!K171,'Viewings'!I171,'Deals'!C171,'Deals'!C171,'Deals'!C171,'Follow-ups'!L171,'Payments'!G171,'Expenses'!F171)),CHOOSE($M$42,'Clients'!K171,'Clients'!K171,'Viewings'!I171,'Deals'!C171,'Deals'!C171,'Deals'!C171,'Follow-ups'!L171,'Payments'!G171,'Expenses'!F171),IF(CHOOSE($M$42,'Clients'!K171,'Clients'!K171,'Viewings'!I171,'Deals'!C171,'Deals'!C171,'Deals'!C171,'Follow-ups'!L171,'Payments'!G171,'Expenses'!F171)="","",CHOOSE($M$42,'Clients'!K171,'Clients'!K171,'Viewings'!I171,'Deals'!C171,'Deals'!C171,'Deals'!C171,'Follow-ups'!L171,'Payments'!G171,'Expenses'!F171))))</x:f>
      </x:c>
      <x:c r="F213" s="432" t="str">
        <x:f>IF(B213="","",IF(ISNUMBER(CHOOSE($M$42,'Clients'!H171,'Clients'!H171,'Viewings'!E171,'Deals'!E171,'Deals'!E171,'Deals'!E171,'Follow-ups'!I171,"Receipt",'Expenses'!C171)),CHOOSE($M$42,'Clients'!H171,'Clients'!H171,'Viewings'!E171,'Deals'!E171,'Deals'!E171,'Deals'!E171,'Follow-ups'!I171,"Receipt",'Expenses'!C171),IF(CHOOSE($M$42,'Clients'!H171,'Clients'!H171,'Viewings'!E171,'Deals'!E171,'Deals'!E171,'Deals'!E171,'Follow-ups'!I171,"Receipt",'Expenses'!C171)="","",CHOOSE($M$42,'Clients'!H171,'Clients'!H171,'Viewings'!E171,'Deals'!E171,'Deals'!E171,'Deals'!E171,'Follow-ups'!I171,"Receipt",'Expenses'!C171))))</x:f>
      </x:c>
      <x:c r="G213" s="473" t="str">
        <x:f>IF(B213="","",IF(ISNUMBER(CHOOSE($M$42,"","","",'Deals'!F171,'Deals'!F171,'Deals'!F171,"",'Payments'!D171,'Expenses'!G171)),CHOOSE($M$42,"","","",'Deals'!F171,'Deals'!F171,'Deals'!F171,"",'Payments'!D171,'Expenses'!G171),IF(CHOOSE($M$42,"","","",'Deals'!F171,'Deals'!F171,'Deals'!F171,"",'Payments'!D171,'Expenses'!G171)="","",CHOOSE($M$42,"","","",'Deals'!F171,'Deals'!F171,'Deals'!F171,"",'Payments'!D171,'Expenses'!G171))))</x:f>
      </x:c>
      <x:c r="H213" s="432" t="n">
        <x:f>IF(AND($M$43=1,B213&lt;&gt;"",ISNUMBER(C213),C213&gt;=$G$6,C213&lt;$K$6+1),1,0)</x:f>
        <x:v>0</x:v>
      </x:c>
      <x:c r="I213" s="432" t="str">
        <x:f>IF(H213=0,"",COUNTIFS($H$48:$H$247,1,$C$48:$C$247,"&lt;"&amp;C213)+COUNTIFS($H$48:H213,1,$C$48:C213,C213))</x:f>
      </x:c>
      <x:c r="J213" s="432"/>
      <x:c r="K213" s="432"/>
      <x:c r="L213" s="432"/>
      <x:c r="M213" s="432"/>
      <x:c r="N213" s="432"/>
      <x:c r="O213" s="432"/>
      <x:c r="P213" s="432"/>
      <x:c r="Q213" s="432"/>
    </x:row>
    <x:row r="214" ht="25" customHeight="1">
      <x:c r="A214" s="432"/>
      <x:c r="B214" s="432" t="str">
        <x:f>IF(CHOOSE($M$42,'Clients'!A172,'Clients'!A172,'Viewings'!A172,'Deals'!A172,'Deals'!A172,'Deals'!A172,'Follow-ups'!A172,'Payments'!A172,'Expenses'!A172)="","",CHOOSE($M$42,'Clients'!A172,'Clients'!A172,'Viewings'!A172,'Deals'!A172,'Deals'!A172,'Deals'!A172,'Follow-ups'!A172,'Payments'!A172,'Expenses'!A172))</x:f>
      </x:c>
      <x:c r="C214" s="472" t="str">
        <x:f>IF(B214="","",IF(CHOOSE($M$42,'Clients'!R172,'Clients'!Q172,'Viewings'!D172,'Deals'!X172,'Deals'!Y172,'Deals'!Z172,'Follow-ups'!H172,'Payments'!C172,'Expenses'!B172)="","",CHOOSE($M$42,'Clients'!R172,'Clients'!Q172,'Viewings'!D172,'Deals'!X172,'Deals'!Y172,'Deals'!Z172,'Follow-ups'!H172,'Payments'!C172,'Expenses'!B172)))</x:f>
      </x:c>
      <x:c r="D214" s="432" t="str">
        <x:f>IF(B214="","",IF(ISNUMBER(CHOOSE($M$42,'Clients'!B172,'Clients'!B172,'Viewings'!H172,IF('Deals'!B172="","",IF(COUNTIFS('Clients'!$A$6:$A$205,'Deals'!B172)&lt;&gt;1,"Check Client ID",INDEX('Clients'!$B$6:$B$205,MATCH('Deals'!B172,'Clients'!$A$6:$A$205,0)))),IF('Deals'!B172="","",IF(COUNTIFS('Clients'!$A$6:$A$205,'Deals'!B172)&lt;&gt;1,"Check Client ID",INDEX('Clients'!$B$6:$B$205,MATCH('Deals'!B172,'Clients'!$A$6:$A$205,0)))),IF('Deals'!B172="","",IF(COUNTIFS('Clients'!$A$6:$A$205,'Deals'!B172)&lt;&gt;1,"Check Client ID",INDEX('Clients'!$B$6:$B$205,MATCH('Deals'!B172,'Clients'!$A$6:$A$205,0)))),'Follow-ups'!K172,'Payments'!B172,'Expenses'!D172)),CHOOSE($M$42,'Clients'!B172,'Clients'!B172,'Viewings'!H172,IF('Deals'!B172="","",IF(COUNTIFS('Clients'!$A$6:$A$205,'Deals'!B172)&lt;&gt;1,"Check Client ID",INDEX('Clients'!$B$6:$B$205,MATCH('Deals'!B172,'Clients'!$A$6:$A$205,0)))),IF('Deals'!B172="","",IF(COUNTIFS('Clients'!$A$6:$A$205,'Deals'!B172)&lt;&gt;1,"Check Client ID",INDEX('Clients'!$B$6:$B$205,MATCH('Deals'!B172,'Clients'!$A$6:$A$205,0)))),IF('Deals'!B172="","",IF(COUNTIFS('Clients'!$A$6:$A$205,'Deals'!B172)&lt;&gt;1,"Check Client ID",INDEX('Clients'!$B$6:$B$205,MATCH('Deals'!B172,'Clients'!$A$6:$A$205,0)))),'Follow-ups'!K172,'Payments'!B172,'Expenses'!D172),IF(CHOOSE($M$42,'Clients'!B172,'Clients'!B172,'Viewings'!H172,IF('Deals'!B172="","",IF(COUNTIFS('Clients'!$A$6:$A$205,'Deals'!B172)&lt;&gt;1,"Check Client ID",INDEX('Clients'!$B$6:$B$205,MATCH('Deals'!B172,'Clients'!$A$6:$A$205,0)))),IF('Deals'!B172="","",IF(COUNTIFS('Clients'!$A$6:$A$205,'Deals'!B172)&lt;&gt;1,"Check Client ID",INDEX('Clients'!$B$6:$B$205,MATCH('Deals'!B172,'Clients'!$A$6:$A$205,0)))),IF('Deals'!B172="","",IF(COUNTIFS('Clients'!$A$6:$A$205,'Deals'!B172)&lt;&gt;1,"Check Client ID",INDEX('Clients'!$B$6:$B$205,MATCH('Deals'!B172,'Clients'!$A$6:$A$205,0)))),'Follow-ups'!K172,'Payments'!B172,'Expenses'!D172)="","",CHOOSE($M$42,'Clients'!B172,'Clients'!B172,'Viewings'!H172,IF('Deals'!B172="","",IF(COUNTIFS('Clients'!$A$6:$A$205,'Deals'!B172)&lt;&gt;1,"Check Client ID",INDEX('Clients'!$B$6:$B$205,MATCH('Deals'!B172,'Clients'!$A$6:$A$205,0)))),IF('Deals'!B172="","",IF(COUNTIFS('Clients'!$A$6:$A$205,'Deals'!B172)&lt;&gt;1,"Check Client ID",INDEX('Clients'!$B$6:$B$205,MATCH('Deals'!B172,'Clients'!$A$6:$A$205,0)))),IF('Deals'!B172="","",IF(COUNTIFS('Clients'!$A$6:$A$205,'Deals'!B172)&lt;&gt;1,"Check Client ID",INDEX('Clients'!$B$6:$B$205,MATCH('Deals'!B172,'Clients'!$A$6:$A$205,0)))),'Follow-ups'!K172,'Payments'!B172,'Expenses'!D172))))</x:f>
      </x:c>
      <x:c r="E214" s="432" t="str">
        <x:f>IF(B214="","",IF(ISNUMBER(CHOOSE($M$42,'Clients'!K172,'Clients'!K172,'Viewings'!I172,'Deals'!C172,'Deals'!C172,'Deals'!C172,'Follow-ups'!L172,'Payments'!G172,'Expenses'!F172)),CHOOSE($M$42,'Clients'!K172,'Clients'!K172,'Viewings'!I172,'Deals'!C172,'Deals'!C172,'Deals'!C172,'Follow-ups'!L172,'Payments'!G172,'Expenses'!F172),IF(CHOOSE($M$42,'Clients'!K172,'Clients'!K172,'Viewings'!I172,'Deals'!C172,'Deals'!C172,'Deals'!C172,'Follow-ups'!L172,'Payments'!G172,'Expenses'!F172)="","",CHOOSE($M$42,'Clients'!K172,'Clients'!K172,'Viewings'!I172,'Deals'!C172,'Deals'!C172,'Deals'!C172,'Follow-ups'!L172,'Payments'!G172,'Expenses'!F172))))</x:f>
      </x:c>
      <x:c r="F214" s="432" t="str">
        <x:f>IF(B214="","",IF(ISNUMBER(CHOOSE($M$42,'Clients'!H172,'Clients'!H172,'Viewings'!E172,'Deals'!E172,'Deals'!E172,'Deals'!E172,'Follow-ups'!I172,"Receipt",'Expenses'!C172)),CHOOSE($M$42,'Clients'!H172,'Clients'!H172,'Viewings'!E172,'Deals'!E172,'Deals'!E172,'Deals'!E172,'Follow-ups'!I172,"Receipt",'Expenses'!C172),IF(CHOOSE($M$42,'Clients'!H172,'Clients'!H172,'Viewings'!E172,'Deals'!E172,'Deals'!E172,'Deals'!E172,'Follow-ups'!I172,"Receipt",'Expenses'!C172)="","",CHOOSE($M$42,'Clients'!H172,'Clients'!H172,'Viewings'!E172,'Deals'!E172,'Deals'!E172,'Deals'!E172,'Follow-ups'!I172,"Receipt",'Expenses'!C172))))</x:f>
      </x:c>
      <x:c r="G214" s="473" t="str">
        <x:f>IF(B214="","",IF(ISNUMBER(CHOOSE($M$42,"","","",'Deals'!F172,'Deals'!F172,'Deals'!F172,"",'Payments'!D172,'Expenses'!G172)),CHOOSE($M$42,"","","",'Deals'!F172,'Deals'!F172,'Deals'!F172,"",'Payments'!D172,'Expenses'!G172),IF(CHOOSE($M$42,"","","",'Deals'!F172,'Deals'!F172,'Deals'!F172,"",'Payments'!D172,'Expenses'!G172)="","",CHOOSE($M$42,"","","",'Deals'!F172,'Deals'!F172,'Deals'!F172,"",'Payments'!D172,'Expenses'!G172))))</x:f>
      </x:c>
      <x:c r="H214" s="432" t="n">
        <x:f>IF(AND($M$43=1,B214&lt;&gt;"",ISNUMBER(C214),C214&gt;=$G$6,C214&lt;$K$6+1),1,0)</x:f>
        <x:v>0</x:v>
      </x:c>
      <x:c r="I214" s="432" t="str">
        <x:f>IF(H214=0,"",COUNTIFS($H$48:$H$247,1,$C$48:$C$247,"&lt;"&amp;C214)+COUNTIFS($H$48:H214,1,$C$48:C214,C214))</x:f>
      </x:c>
      <x:c r="J214" s="432"/>
      <x:c r="K214" s="432"/>
      <x:c r="L214" s="432"/>
      <x:c r="M214" s="432"/>
      <x:c r="N214" s="432"/>
      <x:c r="O214" s="432"/>
      <x:c r="P214" s="432"/>
      <x:c r="Q214" s="432"/>
    </x:row>
    <x:row r="215" ht="25" customHeight="1">
      <x:c r="A215" s="432"/>
      <x:c r="B215" s="432" t="str">
        <x:f>IF(CHOOSE($M$42,'Clients'!A173,'Clients'!A173,'Viewings'!A173,'Deals'!A173,'Deals'!A173,'Deals'!A173,'Follow-ups'!A173,'Payments'!A173,'Expenses'!A173)="","",CHOOSE($M$42,'Clients'!A173,'Clients'!A173,'Viewings'!A173,'Deals'!A173,'Deals'!A173,'Deals'!A173,'Follow-ups'!A173,'Payments'!A173,'Expenses'!A173))</x:f>
      </x:c>
      <x:c r="C215" s="472" t="str">
        <x:f>IF(B215="","",IF(CHOOSE($M$42,'Clients'!R173,'Clients'!Q173,'Viewings'!D173,'Deals'!X173,'Deals'!Y173,'Deals'!Z173,'Follow-ups'!H173,'Payments'!C173,'Expenses'!B173)="","",CHOOSE($M$42,'Clients'!R173,'Clients'!Q173,'Viewings'!D173,'Deals'!X173,'Deals'!Y173,'Deals'!Z173,'Follow-ups'!H173,'Payments'!C173,'Expenses'!B173)))</x:f>
      </x:c>
      <x:c r="D215" s="432" t="str">
        <x:f>IF(B215="","",IF(ISNUMBER(CHOOSE($M$42,'Clients'!B173,'Clients'!B173,'Viewings'!H173,IF('Deals'!B173="","",IF(COUNTIFS('Clients'!$A$6:$A$205,'Deals'!B173)&lt;&gt;1,"Check Client ID",INDEX('Clients'!$B$6:$B$205,MATCH('Deals'!B173,'Clients'!$A$6:$A$205,0)))),IF('Deals'!B173="","",IF(COUNTIFS('Clients'!$A$6:$A$205,'Deals'!B173)&lt;&gt;1,"Check Client ID",INDEX('Clients'!$B$6:$B$205,MATCH('Deals'!B173,'Clients'!$A$6:$A$205,0)))),IF('Deals'!B173="","",IF(COUNTIFS('Clients'!$A$6:$A$205,'Deals'!B173)&lt;&gt;1,"Check Client ID",INDEX('Clients'!$B$6:$B$205,MATCH('Deals'!B173,'Clients'!$A$6:$A$205,0)))),'Follow-ups'!K173,'Payments'!B173,'Expenses'!D173)),CHOOSE($M$42,'Clients'!B173,'Clients'!B173,'Viewings'!H173,IF('Deals'!B173="","",IF(COUNTIFS('Clients'!$A$6:$A$205,'Deals'!B173)&lt;&gt;1,"Check Client ID",INDEX('Clients'!$B$6:$B$205,MATCH('Deals'!B173,'Clients'!$A$6:$A$205,0)))),IF('Deals'!B173="","",IF(COUNTIFS('Clients'!$A$6:$A$205,'Deals'!B173)&lt;&gt;1,"Check Client ID",INDEX('Clients'!$B$6:$B$205,MATCH('Deals'!B173,'Clients'!$A$6:$A$205,0)))),IF('Deals'!B173="","",IF(COUNTIFS('Clients'!$A$6:$A$205,'Deals'!B173)&lt;&gt;1,"Check Client ID",INDEX('Clients'!$B$6:$B$205,MATCH('Deals'!B173,'Clients'!$A$6:$A$205,0)))),'Follow-ups'!K173,'Payments'!B173,'Expenses'!D173),IF(CHOOSE($M$42,'Clients'!B173,'Clients'!B173,'Viewings'!H173,IF('Deals'!B173="","",IF(COUNTIFS('Clients'!$A$6:$A$205,'Deals'!B173)&lt;&gt;1,"Check Client ID",INDEX('Clients'!$B$6:$B$205,MATCH('Deals'!B173,'Clients'!$A$6:$A$205,0)))),IF('Deals'!B173="","",IF(COUNTIFS('Clients'!$A$6:$A$205,'Deals'!B173)&lt;&gt;1,"Check Client ID",INDEX('Clients'!$B$6:$B$205,MATCH('Deals'!B173,'Clients'!$A$6:$A$205,0)))),IF('Deals'!B173="","",IF(COUNTIFS('Clients'!$A$6:$A$205,'Deals'!B173)&lt;&gt;1,"Check Client ID",INDEX('Clients'!$B$6:$B$205,MATCH('Deals'!B173,'Clients'!$A$6:$A$205,0)))),'Follow-ups'!K173,'Payments'!B173,'Expenses'!D173)="","",CHOOSE($M$42,'Clients'!B173,'Clients'!B173,'Viewings'!H173,IF('Deals'!B173="","",IF(COUNTIFS('Clients'!$A$6:$A$205,'Deals'!B173)&lt;&gt;1,"Check Client ID",INDEX('Clients'!$B$6:$B$205,MATCH('Deals'!B173,'Clients'!$A$6:$A$205,0)))),IF('Deals'!B173="","",IF(COUNTIFS('Clients'!$A$6:$A$205,'Deals'!B173)&lt;&gt;1,"Check Client ID",INDEX('Clients'!$B$6:$B$205,MATCH('Deals'!B173,'Clients'!$A$6:$A$205,0)))),IF('Deals'!B173="","",IF(COUNTIFS('Clients'!$A$6:$A$205,'Deals'!B173)&lt;&gt;1,"Check Client ID",INDEX('Clients'!$B$6:$B$205,MATCH('Deals'!B173,'Clients'!$A$6:$A$205,0)))),'Follow-ups'!K173,'Payments'!B173,'Expenses'!D173))))</x:f>
      </x:c>
      <x:c r="E215" s="432" t="str">
        <x:f>IF(B215="","",IF(ISNUMBER(CHOOSE($M$42,'Clients'!K173,'Clients'!K173,'Viewings'!I173,'Deals'!C173,'Deals'!C173,'Deals'!C173,'Follow-ups'!L173,'Payments'!G173,'Expenses'!F173)),CHOOSE($M$42,'Clients'!K173,'Clients'!K173,'Viewings'!I173,'Deals'!C173,'Deals'!C173,'Deals'!C173,'Follow-ups'!L173,'Payments'!G173,'Expenses'!F173),IF(CHOOSE($M$42,'Clients'!K173,'Clients'!K173,'Viewings'!I173,'Deals'!C173,'Deals'!C173,'Deals'!C173,'Follow-ups'!L173,'Payments'!G173,'Expenses'!F173)="","",CHOOSE($M$42,'Clients'!K173,'Clients'!K173,'Viewings'!I173,'Deals'!C173,'Deals'!C173,'Deals'!C173,'Follow-ups'!L173,'Payments'!G173,'Expenses'!F173))))</x:f>
      </x:c>
      <x:c r="F215" s="432" t="str">
        <x:f>IF(B215="","",IF(ISNUMBER(CHOOSE($M$42,'Clients'!H173,'Clients'!H173,'Viewings'!E173,'Deals'!E173,'Deals'!E173,'Deals'!E173,'Follow-ups'!I173,"Receipt",'Expenses'!C173)),CHOOSE($M$42,'Clients'!H173,'Clients'!H173,'Viewings'!E173,'Deals'!E173,'Deals'!E173,'Deals'!E173,'Follow-ups'!I173,"Receipt",'Expenses'!C173),IF(CHOOSE($M$42,'Clients'!H173,'Clients'!H173,'Viewings'!E173,'Deals'!E173,'Deals'!E173,'Deals'!E173,'Follow-ups'!I173,"Receipt",'Expenses'!C173)="","",CHOOSE($M$42,'Clients'!H173,'Clients'!H173,'Viewings'!E173,'Deals'!E173,'Deals'!E173,'Deals'!E173,'Follow-ups'!I173,"Receipt",'Expenses'!C173))))</x:f>
      </x:c>
      <x:c r="G215" s="473" t="str">
        <x:f>IF(B215="","",IF(ISNUMBER(CHOOSE($M$42,"","","",'Deals'!F173,'Deals'!F173,'Deals'!F173,"",'Payments'!D173,'Expenses'!G173)),CHOOSE($M$42,"","","",'Deals'!F173,'Deals'!F173,'Deals'!F173,"",'Payments'!D173,'Expenses'!G173),IF(CHOOSE($M$42,"","","",'Deals'!F173,'Deals'!F173,'Deals'!F173,"",'Payments'!D173,'Expenses'!G173)="","",CHOOSE($M$42,"","","",'Deals'!F173,'Deals'!F173,'Deals'!F173,"",'Payments'!D173,'Expenses'!G173))))</x:f>
      </x:c>
      <x:c r="H215" s="432" t="n">
        <x:f>IF(AND($M$43=1,B215&lt;&gt;"",ISNUMBER(C215),C215&gt;=$G$6,C215&lt;$K$6+1),1,0)</x:f>
        <x:v>0</x:v>
      </x:c>
      <x:c r="I215" s="432" t="str">
        <x:f>IF(H215=0,"",COUNTIFS($H$48:$H$247,1,$C$48:$C$247,"&lt;"&amp;C215)+COUNTIFS($H$48:H215,1,$C$48:C215,C215))</x:f>
      </x:c>
      <x:c r="J215" s="432"/>
      <x:c r="K215" s="432"/>
      <x:c r="L215" s="432"/>
      <x:c r="M215" s="432"/>
      <x:c r="N215" s="432"/>
      <x:c r="O215" s="432"/>
      <x:c r="P215" s="432"/>
      <x:c r="Q215" s="432"/>
    </x:row>
    <x:row r="216" ht="25" customHeight="1">
      <x:c r="A216" s="432"/>
      <x:c r="B216" s="432" t="str">
        <x:f>IF(CHOOSE($M$42,'Clients'!A174,'Clients'!A174,'Viewings'!A174,'Deals'!A174,'Deals'!A174,'Deals'!A174,'Follow-ups'!A174,'Payments'!A174,'Expenses'!A174)="","",CHOOSE($M$42,'Clients'!A174,'Clients'!A174,'Viewings'!A174,'Deals'!A174,'Deals'!A174,'Deals'!A174,'Follow-ups'!A174,'Payments'!A174,'Expenses'!A174))</x:f>
      </x:c>
      <x:c r="C216" s="472" t="str">
        <x:f>IF(B216="","",IF(CHOOSE($M$42,'Clients'!R174,'Clients'!Q174,'Viewings'!D174,'Deals'!X174,'Deals'!Y174,'Deals'!Z174,'Follow-ups'!H174,'Payments'!C174,'Expenses'!B174)="","",CHOOSE($M$42,'Clients'!R174,'Clients'!Q174,'Viewings'!D174,'Deals'!X174,'Deals'!Y174,'Deals'!Z174,'Follow-ups'!H174,'Payments'!C174,'Expenses'!B174)))</x:f>
      </x:c>
      <x:c r="D216" s="432" t="str">
        <x:f>IF(B216="","",IF(ISNUMBER(CHOOSE($M$42,'Clients'!B174,'Clients'!B174,'Viewings'!H174,IF('Deals'!B174="","",IF(COUNTIFS('Clients'!$A$6:$A$205,'Deals'!B174)&lt;&gt;1,"Check Client ID",INDEX('Clients'!$B$6:$B$205,MATCH('Deals'!B174,'Clients'!$A$6:$A$205,0)))),IF('Deals'!B174="","",IF(COUNTIFS('Clients'!$A$6:$A$205,'Deals'!B174)&lt;&gt;1,"Check Client ID",INDEX('Clients'!$B$6:$B$205,MATCH('Deals'!B174,'Clients'!$A$6:$A$205,0)))),IF('Deals'!B174="","",IF(COUNTIFS('Clients'!$A$6:$A$205,'Deals'!B174)&lt;&gt;1,"Check Client ID",INDEX('Clients'!$B$6:$B$205,MATCH('Deals'!B174,'Clients'!$A$6:$A$205,0)))),'Follow-ups'!K174,'Payments'!B174,'Expenses'!D174)),CHOOSE($M$42,'Clients'!B174,'Clients'!B174,'Viewings'!H174,IF('Deals'!B174="","",IF(COUNTIFS('Clients'!$A$6:$A$205,'Deals'!B174)&lt;&gt;1,"Check Client ID",INDEX('Clients'!$B$6:$B$205,MATCH('Deals'!B174,'Clients'!$A$6:$A$205,0)))),IF('Deals'!B174="","",IF(COUNTIFS('Clients'!$A$6:$A$205,'Deals'!B174)&lt;&gt;1,"Check Client ID",INDEX('Clients'!$B$6:$B$205,MATCH('Deals'!B174,'Clients'!$A$6:$A$205,0)))),IF('Deals'!B174="","",IF(COUNTIFS('Clients'!$A$6:$A$205,'Deals'!B174)&lt;&gt;1,"Check Client ID",INDEX('Clients'!$B$6:$B$205,MATCH('Deals'!B174,'Clients'!$A$6:$A$205,0)))),'Follow-ups'!K174,'Payments'!B174,'Expenses'!D174),IF(CHOOSE($M$42,'Clients'!B174,'Clients'!B174,'Viewings'!H174,IF('Deals'!B174="","",IF(COUNTIFS('Clients'!$A$6:$A$205,'Deals'!B174)&lt;&gt;1,"Check Client ID",INDEX('Clients'!$B$6:$B$205,MATCH('Deals'!B174,'Clients'!$A$6:$A$205,0)))),IF('Deals'!B174="","",IF(COUNTIFS('Clients'!$A$6:$A$205,'Deals'!B174)&lt;&gt;1,"Check Client ID",INDEX('Clients'!$B$6:$B$205,MATCH('Deals'!B174,'Clients'!$A$6:$A$205,0)))),IF('Deals'!B174="","",IF(COUNTIFS('Clients'!$A$6:$A$205,'Deals'!B174)&lt;&gt;1,"Check Client ID",INDEX('Clients'!$B$6:$B$205,MATCH('Deals'!B174,'Clients'!$A$6:$A$205,0)))),'Follow-ups'!K174,'Payments'!B174,'Expenses'!D174)="","",CHOOSE($M$42,'Clients'!B174,'Clients'!B174,'Viewings'!H174,IF('Deals'!B174="","",IF(COUNTIFS('Clients'!$A$6:$A$205,'Deals'!B174)&lt;&gt;1,"Check Client ID",INDEX('Clients'!$B$6:$B$205,MATCH('Deals'!B174,'Clients'!$A$6:$A$205,0)))),IF('Deals'!B174="","",IF(COUNTIFS('Clients'!$A$6:$A$205,'Deals'!B174)&lt;&gt;1,"Check Client ID",INDEX('Clients'!$B$6:$B$205,MATCH('Deals'!B174,'Clients'!$A$6:$A$205,0)))),IF('Deals'!B174="","",IF(COUNTIFS('Clients'!$A$6:$A$205,'Deals'!B174)&lt;&gt;1,"Check Client ID",INDEX('Clients'!$B$6:$B$205,MATCH('Deals'!B174,'Clients'!$A$6:$A$205,0)))),'Follow-ups'!K174,'Payments'!B174,'Expenses'!D174))))</x:f>
      </x:c>
      <x:c r="E216" s="432" t="str">
        <x:f>IF(B216="","",IF(ISNUMBER(CHOOSE($M$42,'Clients'!K174,'Clients'!K174,'Viewings'!I174,'Deals'!C174,'Deals'!C174,'Deals'!C174,'Follow-ups'!L174,'Payments'!G174,'Expenses'!F174)),CHOOSE($M$42,'Clients'!K174,'Clients'!K174,'Viewings'!I174,'Deals'!C174,'Deals'!C174,'Deals'!C174,'Follow-ups'!L174,'Payments'!G174,'Expenses'!F174),IF(CHOOSE($M$42,'Clients'!K174,'Clients'!K174,'Viewings'!I174,'Deals'!C174,'Deals'!C174,'Deals'!C174,'Follow-ups'!L174,'Payments'!G174,'Expenses'!F174)="","",CHOOSE($M$42,'Clients'!K174,'Clients'!K174,'Viewings'!I174,'Deals'!C174,'Deals'!C174,'Deals'!C174,'Follow-ups'!L174,'Payments'!G174,'Expenses'!F174))))</x:f>
      </x:c>
      <x:c r="F216" s="432" t="str">
        <x:f>IF(B216="","",IF(ISNUMBER(CHOOSE($M$42,'Clients'!H174,'Clients'!H174,'Viewings'!E174,'Deals'!E174,'Deals'!E174,'Deals'!E174,'Follow-ups'!I174,"Receipt",'Expenses'!C174)),CHOOSE($M$42,'Clients'!H174,'Clients'!H174,'Viewings'!E174,'Deals'!E174,'Deals'!E174,'Deals'!E174,'Follow-ups'!I174,"Receipt",'Expenses'!C174),IF(CHOOSE($M$42,'Clients'!H174,'Clients'!H174,'Viewings'!E174,'Deals'!E174,'Deals'!E174,'Deals'!E174,'Follow-ups'!I174,"Receipt",'Expenses'!C174)="","",CHOOSE($M$42,'Clients'!H174,'Clients'!H174,'Viewings'!E174,'Deals'!E174,'Deals'!E174,'Deals'!E174,'Follow-ups'!I174,"Receipt",'Expenses'!C174))))</x:f>
      </x:c>
      <x:c r="G216" s="473" t="str">
        <x:f>IF(B216="","",IF(ISNUMBER(CHOOSE($M$42,"","","",'Deals'!F174,'Deals'!F174,'Deals'!F174,"",'Payments'!D174,'Expenses'!G174)),CHOOSE($M$42,"","","",'Deals'!F174,'Deals'!F174,'Deals'!F174,"",'Payments'!D174,'Expenses'!G174),IF(CHOOSE($M$42,"","","",'Deals'!F174,'Deals'!F174,'Deals'!F174,"",'Payments'!D174,'Expenses'!G174)="","",CHOOSE($M$42,"","","",'Deals'!F174,'Deals'!F174,'Deals'!F174,"",'Payments'!D174,'Expenses'!G174))))</x:f>
      </x:c>
      <x:c r="H216" s="432" t="n">
        <x:f>IF(AND($M$43=1,B216&lt;&gt;"",ISNUMBER(C216),C216&gt;=$G$6,C216&lt;$K$6+1),1,0)</x:f>
        <x:v>0</x:v>
      </x:c>
      <x:c r="I216" s="432" t="str">
        <x:f>IF(H216=0,"",COUNTIFS($H$48:$H$247,1,$C$48:$C$247,"&lt;"&amp;C216)+COUNTIFS($H$48:H216,1,$C$48:C216,C216))</x:f>
      </x:c>
      <x:c r="J216" s="432"/>
      <x:c r="K216" s="432"/>
      <x:c r="L216" s="432"/>
      <x:c r="M216" s="432"/>
      <x:c r="N216" s="432"/>
      <x:c r="O216" s="432"/>
      <x:c r="P216" s="432"/>
      <x:c r="Q216" s="432"/>
    </x:row>
    <x:row r="217" ht="25" customHeight="1">
      <x:c r="A217" s="432"/>
      <x:c r="B217" s="432" t="str">
        <x:f>IF(CHOOSE($M$42,'Clients'!A175,'Clients'!A175,'Viewings'!A175,'Deals'!A175,'Deals'!A175,'Deals'!A175,'Follow-ups'!A175,'Payments'!A175,'Expenses'!A175)="","",CHOOSE($M$42,'Clients'!A175,'Clients'!A175,'Viewings'!A175,'Deals'!A175,'Deals'!A175,'Deals'!A175,'Follow-ups'!A175,'Payments'!A175,'Expenses'!A175))</x:f>
      </x:c>
      <x:c r="C217" s="472" t="str">
        <x:f>IF(B217="","",IF(CHOOSE($M$42,'Clients'!R175,'Clients'!Q175,'Viewings'!D175,'Deals'!X175,'Deals'!Y175,'Deals'!Z175,'Follow-ups'!H175,'Payments'!C175,'Expenses'!B175)="","",CHOOSE($M$42,'Clients'!R175,'Clients'!Q175,'Viewings'!D175,'Deals'!X175,'Deals'!Y175,'Deals'!Z175,'Follow-ups'!H175,'Payments'!C175,'Expenses'!B175)))</x:f>
      </x:c>
      <x:c r="D217" s="432" t="str">
        <x:f>IF(B217="","",IF(ISNUMBER(CHOOSE($M$42,'Clients'!B175,'Clients'!B175,'Viewings'!H175,IF('Deals'!B175="","",IF(COUNTIFS('Clients'!$A$6:$A$205,'Deals'!B175)&lt;&gt;1,"Check Client ID",INDEX('Clients'!$B$6:$B$205,MATCH('Deals'!B175,'Clients'!$A$6:$A$205,0)))),IF('Deals'!B175="","",IF(COUNTIFS('Clients'!$A$6:$A$205,'Deals'!B175)&lt;&gt;1,"Check Client ID",INDEX('Clients'!$B$6:$B$205,MATCH('Deals'!B175,'Clients'!$A$6:$A$205,0)))),IF('Deals'!B175="","",IF(COUNTIFS('Clients'!$A$6:$A$205,'Deals'!B175)&lt;&gt;1,"Check Client ID",INDEX('Clients'!$B$6:$B$205,MATCH('Deals'!B175,'Clients'!$A$6:$A$205,0)))),'Follow-ups'!K175,'Payments'!B175,'Expenses'!D175)),CHOOSE($M$42,'Clients'!B175,'Clients'!B175,'Viewings'!H175,IF('Deals'!B175="","",IF(COUNTIFS('Clients'!$A$6:$A$205,'Deals'!B175)&lt;&gt;1,"Check Client ID",INDEX('Clients'!$B$6:$B$205,MATCH('Deals'!B175,'Clients'!$A$6:$A$205,0)))),IF('Deals'!B175="","",IF(COUNTIFS('Clients'!$A$6:$A$205,'Deals'!B175)&lt;&gt;1,"Check Client ID",INDEX('Clients'!$B$6:$B$205,MATCH('Deals'!B175,'Clients'!$A$6:$A$205,0)))),IF('Deals'!B175="","",IF(COUNTIFS('Clients'!$A$6:$A$205,'Deals'!B175)&lt;&gt;1,"Check Client ID",INDEX('Clients'!$B$6:$B$205,MATCH('Deals'!B175,'Clients'!$A$6:$A$205,0)))),'Follow-ups'!K175,'Payments'!B175,'Expenses'!D175),IF(CHOOSE($M$42,'Clients'!B175,'Clients'!B175,'Viewings'!H175,IF('Deals'!B175="","",IF(COUNTIFS('Clients'!$A$6:$A$205,'Deals'!B175)&lt;&gt;1,"Check Client ID",INDEX('Clients'!$B$6:$B$205,MATCH('Deals'!B175,'Clients'!$A$6:$A$205,0)))),IF('Deals'!B175="","",IF(COUNTIFS('Clients'!$A$6:$A$205,'Deals'!B175)&lt;&gt;1,"Check Client ID",INDEX('Clients'!$B$6:$B$205,MATCH('Deals'!B175,'Clients'!$A$6:$A$205,0)))),IF('Deals'!B175="","",IF(COUNTIFS('Clients'!$A$6:$A$205,'Deals'!B175)&lt;&gt;1,"Check Client ID",INDEX('Clients'!$B$6:$B$205,MATCH('Deals'!B175,'Clients'!$A$6:$A$205,0)))),'Follow-ups'!K175,'Payments'!B175,'Expenses'!D175)="","",CHOOSE($M$42,'Clients'!B175,'Clients'!B175,'Viewings'!H175,IF('Deals'!B175="","",IF(COUNTIFS('Clients'!$A$6:$A$205,'Deals'!B175)&lt;&gt;1,"Check Client ID",INDEX('Clients'!$B$6:$B$205,MATCH('Deals'!B175,'Clients'!$A$6:$A$205,0)))),IF('Deals'!B175="","",IF(COUNTIFS('Clients'!$A$6:$A$205,'Deals'!B175)&lt;&gt;1,"Check Client ID",INDEX('Clients'!$B$6:$B$205,MATCH('Deals'!B175,'Clients'!$A$6:$A$205,0)))),IF('Deals'!B175="","",IF(COUNTIFS('Clients'!$A$6:$A$205,'Deals'!B175)&lt;&gt;1,"Check Client ID",INDEX('Clients'!$B$6:$B$205,MATCH('Deals'!B175,'Clients'!$A$6:$A$205,0)))),'Follow-ups'!K175,'Payments'!B175,'Expenses'!D175))))</x:f>
      </x:c>
      <x:c r="E217" s="432" t="str">
        <x:f>IF(B217="","",IF(ISNUMBER(CHOOSE($M$42,'Clients'!K175,'Clients'!K175,'Viewings'!I175,'Deals'!C175,'Deals'!C175,'Deals'!C175,'Follow-ups'!L175,'Payments'!G175,'Expenses'!F175)),CHOOSE($M$42,'Clients'!K175,'Clients'!K175,'Viewings'!I175,'Deals'!C175,'Deals'!C175,'Deals'!C175,'Follow-ups'!L175,'Payments'!G175,'Expenses'!F175),IF(CHOOSE($M$42,'Clients'!K175,'Clients'!K175,'Viewings'!I175,'Deals'!C175,'Deals'!C175,'Deals'!C175,'Follow-ups'!L175,'Payments'!G175,'Expenses'!F175)="","",CHOOSE($M$42,'Clients'!K175,'Clients'!K175,'Viewings'!I175,'Deals'!C175,'Deals'!C175,'Deals'!C175,'Follow-ups'!L175,'Payments'!G175,'Expenses'!F175))))</x:f>
      </x:c>
      <x:c r="F217" s="432" t="str">
        <x:f>IF(B217="","",IF(ISNUMBER(CHOOSE($M$42,'Clients'!H175,'Clients'!H175,'Viewings'!E175,'Deals'!E175,'Deals'!E175,'Deals'!E175,'Follow-ups'!I175,"Receipt",'Expenses'!C175)),CHOOSE($M$42,'Clients'!H175,'Clients'!H175,'Viewings'!E175,'Deals'!E175,'Deals'!E175,'Deals'!E175,'Follow-ups'!I175,"Receipt",'Expenses'!C175),IF(CHOOSE($M$42,'Clients'!H175,'Clients'!H175,'Viewings'!E175,'Deals'!E175,'Deals'!E175,'Deals'!E175,'Follow-ups'!I175,"Receipt",'Expenses'!C175)="","",CHOOSE($M$42,'Clients'!H175,'Clients'!H175,'Viewings'!E175,'Deals'!E175,'Deals'!E175,'Deals'!E175,'Follow-ups'!I175,"Receipt",'Expenses'!C175))))</x:f>
      </x:c>
      <x:c r="G217" s="473" t="str">
        <x:f>IF(B217="","",IF(ISNUMBER(CHOOSE($M$42,"","","",'Deals'!F175,'Deals'!F175,'Deals'!F175,"",'Payments'!D175,'Expenses'!G175)),CHOOSE($M$42,"","","",'Deals'!F175,'Deals'!F175,'Deals'!F175,"",'Payments'!D175,'Expenses'!G175),IF(CHOOSE($M$42,"","","",'Deals'!F175,'Deals'!F175,'Deals'!F175,"",'Payments'!D175,'Expenses'!G175)="","",CHOOSE($M$42,"","","",'Deals'!F175,'Deals'!F175,'Deals'!F175,"",'Payments'!D175,'Expenses'!G175))))</x:f>
      </x:c>
      <x:c r="H217" s="432" t="n">
        <x:f>IF(AND($M$43=1,B217&lt;&gt;"",ISNUMBER(C217),C217&gt;=$G$6,C217&lt;$K$6+1),1,0)</x:f>
        <x:v>0</x:v>
      </x:c>
      <x:c r="I217" s="432" t="str">
        <x:f>IF(H217=0,"",COUNTIFS($H$48:$H$247,1,$C$48:$C$247,"&lt;"&amp;C217)+COUNTIFS($H$48:H217,1,$C$48:C217,C217))</x:f>
      </x:c>
      <x:c r="J217" s="432"/>
      <x:c r="K217" s="432"/>
      <x:c r="L217" s="432"/>
      <x:c r="M217" s="432"/>
      <x:c r="N217" s="432"/>
      <x:c r="O217" s="432"/>
      <x:c r="P217" s="432"/>
      <x:c r="Q217" s="432"/>
    </x:row>
    <x:row r="218" ht="25" customHeight="1">
      <x:c r="A218" s="432"/>
      <x:c r="B218" s="432" t="str">
        <x:f>IF(CHOOSE($M$42,'Clients'!A176,'Clients'!A176,'Viewings'!A176,'Deals'!A176,'Deals'!A176,'Deals'!A176,'Follow-ups'!A176,'Payments'!A176,'Expenses'!A176)="","",CHOOSE($M$42,'Clients'!A176,'Clients'!A176,'Viewings'!A176,'Deals'!A176,'Deals'!A176,'Deals'!A176,'Follow-ups'!A176,'Payments'!A176,'Expenses'!A176))</x:f>
      </x:c>
      <x:c r="C218" s="472" t="str">
        <x:f>IF(B218="","",IF(CHOOSE($M$42,'Clients'!R176,'Clients'!Q176,'Viewings'!D176,'Deals'!X176,'Deals'!Y176,'Deals'!Z176,'Follow-ups'!H176,'Payments'!C176,'Expenses'!B176)="","",CHOOSE($M$42,'Clients'!R176,'Clients'!Q176,'Viewings'!D176,'Deals'!X176,'Deals'!Y176,'Deals'!Z176,'Follow-ups'!H176,'Payments'!C176,'Expenses'!B176)))</x:f>
      </x:c>
      <x:c r="D218" s="432" t="str">
        <x:f>IF(B218="","",IF(ISNUMBER(CHOOSE($M$42,'Clients'!B176,'Clients'!B176,'Viewings'!H176,IF('Deals'!B176="","",IF(COUNTIFS('Clients'!$A$6:$A$205,'Deals'!B176)&lt;&gt;1,"Check Client ID",INDEX('Clients'!$B$6:$B$205,MATCH('Deals'!B176,'Clients'!$A$6:$A$205,0)))),IF('Deals'!B176="","",IF(COUNTIFS('Clients'!$A$6:$A$205,'Deals'!B176)&lt;&gt;1,"Check Client ID",INDEX('Clients'!$B$6:$B$205,MATCH('Deals'!B176,'Clients'!$A$6:$A$205,0)))),IF('Deals'!B176="","",IF(COUNTIFS('Clients'!$A$6:$A$205,'Deals'!B176)&lt;&gt;1,"Check Client ID",INDEX('Clients'!$B$6:$B$205,MATCH('Deals'!B176,'Clients'!$A$6:$A$205,0)))),'Follow-ups'!K176,'Payments'!B176,'Expenses'!D176)),CHOOSE($M$42,'Clients'!B176,'Clients'!B176,'Viewings'!H176,IF('Deals'!B176="","",IF(COUNTIFS('Clients'!$A$6:$A$205,'Deals'!B176)&lt;&gt;1,"Check Client ID",INDEX('Clients'!$B$6:$B$205,MATCH('Deals'!B176,'Clients'!$A$6:$A$205,0)))),IF('Deals'!B176="","",IF(COUNTIFS('Clients'!$A$6:$A$205,'Deals'!B176)&lt;&gt;1,"Check Client ID",INDEX('Clients'!$B$6:$B$205,MATCH('Deals'!B176,'Clients'!$A$6:$A$205,0)))),IF('Deals'!B176="","",IF(COUNTIFS('Clients'!$A$6:$A$205,'Deals'!B176)&lt;&gt;1,"Check Client ID",INDEX('Clients'!$B$6:$B$205,MATCH('Deals'!B176,'Clients'!$A$6:$A$205,0)))),'Follow-ups'!K176,'Payments'!B176,'Expenses'!D176),IF(CHOOSE($M$42,'Clients'!B176,'Clients'!B176,'Viewings'!H176,IF('Deals'!B176="","",IF(COUNTIFS('Clients'!$A$6:$A$205,'Deals'!B176)&lt;&gt;1,"Check Client ID",INDEX('Clients'!$B$6:$B$205,MATCH('Deals'!B176,'Clients'!$A$6:$A$205,0)))),IF('Deals'!B176="","",IF(COUNTIFS('Clients'!$A$6:$A$205,'Deals'!B176)&lt;&gt;1,"Check Client ID",INDEX('Clients'!$B$6:$B$205,MATCH('Deals'!B176,'Clients'!$A$6:$A$205,0)))),IF('Deals'!B176="","",IF(COUNTIFS('Clients'!$A$6:$A$205,'Deals'!B176)&lt;&gt;1,"Check Client ID",INDEX('Clients'!$B$6:$B$205,MATCH('Deals'!B176,'Clients'!$A$6:$A$205,0)))),'Follow-ups'!K176,'Payments'!B176,'Expenses'!D176)="","",CHOOSE($M$42,'Clients'!B176,'Clients'!B176,'Viewings'!H176,IF('Deals'!B176="","",IF(COUNTIFS('Clients'!$A$6:$A$205,'Deals'!B176)&lt;&gt;1,"Check Client ID",INDEX('Clients'!$B$6:$B$205,MATCH('Deals'!B176,'Clients'!$A$6:$A$205,0)))),IF('Deals'!B176="","",IF(COUNTIFS('Clients'!$A$6:$A$205,'Deals'!B176)&lt;&gt;1,"Check Client ID",INDEX('Clients'!$B$6:$B$205,MATCH('Deals'!B176,'Clients'!$A$6:$A$205,0)))),IF('Deals'!B176="","",IF(COUNTIFS('Clients'!$A$6:$A$205,'Deals'!B176)&lt;&gt;1,"Check Client ID",INDEX('Clients'!$B$6:$B$205,MATCH('Deals'!B176,'Clients'!$A$6:$A$205,0)))),'Follow-ups'!K176,'Payments'!B176,'Expenses'!D176))))</x:f>
      </x:c>
      <x:c r="E218" s="432" t="str">
        <x:f>IF(B218="","",IF(ISNUMBER(CHOOSE($M$42,'Clients'!K176,'Clients'!K176,'Viewings'!I176,'Deals'!C176,'Deals'!C176,'Deals'!C176,'Follow-ups'!L176,'Payments'!G176,'Expenses'!F176)),CHOOSE($M$42,'Clients'!K176,'Clients'!K176,'Viewings'!I176,'Deals'!C176,'Deals'!C176,'Deals'!C176,'Follow-ups'!L176,'Payments'!G176,'Expenses'!F176),IF(CHOOSE($M$42,'Clients'!K176,'Clients'!K176,'Viewings'!I176,'Deals'!C176,'Deals'!C176,'Deals'!C176,'Follow-ups'!L176,'Payments'!G176,'Expenses'!F176)="","",CHOOSE($M$42,'Clients'!K176,'Clients'!K176,'Viewings'!I176,'Deals'!C176,'Deals'!C176,'Deals'!C176,'Follow-ups'!L176,'Payments'!G176,'Expenses'!F176))))</x:f>
      </x:c>
      <x:c r="F218" s="432" t="str">
        <x:f>IF(B218="","",IF(ISNUMBER(CHOOSE($M$42,'Clients'!H176,'Clients'!H176,'Viewings'!E176,'Deals'!E176,'Deals'!E176,'Deals'!E176,'Follow-ups'!I176,"Receipt",'Expenses'!C176)),CHOOSE($M$42,'Clients'!H176,'Clients'!H176,'Viewings'!E176,'Deals'!E176,'Deals'!E176,'Deals'!E176,'Follow-ups'!I176,"Receipt",'Expenses'!C176),IF(CHOOSE($M$42,'Clients'!H176,'Clients'!H176,'Viewings'!E176,'Deals'!E176,'Deals'!E176,'Deals'!E176,'Follow-ups'!I176,"Receipt",'Expenses'!C176)="","",CHOOSE($M$42,'Clients'!H176,'Clients'!H176,'Viewings'!E176,'Deals'!E176,'Deals'!E176,'Deals'!E176,'Follow-ups'!I176,"Receipt",'Expenses'!C176))))</x:f>
      </x:c>
      <x:c r="G218" s="473" t="str">
        <x:f>IF(B218="","",IF(ISNUMBER(CHOOSE($M$42,"","","",'Deals'!F176,'Deals'!F176,'Deals'!F176,"",'Payments'!D176,'Expenses'!G176)),CHOOSE($M$42,"","","",'Deals'!F176,'Deals'!F176,'Deals'!F176,"",'Payments'!D176,'Expenses'!G176),IF(CHOOSE($M$42,"","","",'Deals'!F176,'Deals'!F176,'Deals'!F176,"",'Payments'!D176,'Expenses'!G176)="","",CHOOSE($M$42,"","","",'Deals'!F176,'Deals'!F176,'Deals'!F176,"",'Payments'!D176,'Expenses'!G176))))</x:f>
      </x:c>
      <x:c r="H218" s="432" t="n">
        <x:f>IF(AND($M$43=1,B218&lt;&gt;"",ISNUMBER(C218),C218&gt;=$G$6,C218&lt;$K$6+1),1,0)</x:f>
        <x:v>0</x:v>
      </x:c>
      <x:c r="I218" s="432" t="str">
        <x:f>IF(H218=0,"",COUNTIFS($H$48:$H$247,1,$C$48:$C$247,"&lt;"&amp;C218)+COUNTIFS($H$48:H218,1,$C$48:C218,C218))</x:f>
      </x:c>
      <x:c r="J218" s="432"/>
      <x:c r="K218" s="432"/>
      <x:c r="L218" s="432"/>
      <x:c r="M218" s="432"/>
      <x:c r="N218" s="432"/>
      <x:c r="O218" s="432"/>
      <x:c r="P218" s="432"/>
      <x:c r="Q218" s="432"/>
    </x:row>
    <x:row r="219" ht="25" customHeight="1">
      <x:c r="A219" s="432"/>
      <x:c r="B219" s="432" t="str">
        <x:f>IF(CHOOSE($M$42,'Clients'!A177,'Clients'!A177,'Viewings'!A177,'Deals'!A177,'Deals'!A177,'Deals'!A177,'Follow-ups'!A177,'Payments'!A177,'Expenses'!A177)="","",CHOOSE($M$42,'Clients'!A177,'Clients'!A177,'Viewings'!A177,'Deals'!A177,'Deals'!A177,'Deals'!A177,'Follow-ups'!A177,'Payments'!A177,'Expenses'!A177))</x:f>
      </x:c>
      <x:c r="C219" s="472" t="str">
        <x:f>IF(B219="","",IF(CHOOSE($M$42,'Clients'!R177,'Clients'!Q177,'Viewings'!D177,'Deals'!X177,'Deals'!Y177,'Deals'!Z177,'Follow-ups'!H177,'Payments'!C177,'Expenses'!B177)="","",CHOOSE($M$42,'Clients'!R177,'Clients'!Q177,'Viewings'!D177,'Deals'!X177,'Deals'!Y177,'Deals'!Z177,'Follow-ups'!H177,'Payments'!C177,'Expenses'!B177)))</x:f>
      </x:c>
      <x:c r="D219" s="432" t="str">
        <x:f>IF(B219="","",IF(ISNUMBER(CHOOSE($M$42,'Clients'!B177,'Clients'!B177,'Viewings'!H177,IF('Deals'!B177="","",IF(COUNTIFS('Clients'!$A$6:$A$205,'Deals'!B177)&lt;&gt;1,"Check Client ID",INDEX('Clients'!$B$6:$B$205,MATCH('Deals'!B177,'Clients'!$A$6:$A$205,0)))),IF('Deals'!B177="","",IF(COUNTIFS('Clients'!$A$6:$A$205,'Deals'!B177)&lt;&gt;1,"Check Client ID",INDEX('Clients'!$B$6:$B$205,MATCH('Deals'!B177,'Clients'!$A$6:$A$205,0)))),IF('Deals'!B177="","",IF(COUNTIFS('Clients'!$A$6:$A$205,'Deals'!B177)&lt;&gt;1,"Check Client ID",INDEX('Clients'!$B$6:$B$205,MATCH('Deals'!B177,'Clients'!$A$6:$A$205,0)))),'Follow-ups'!K177,'Payments'!B177,'Expenses'!D177)),CHOOSE($M$42,'Clients'!B177,'Clients'!B177,'Viewings'!H177,IF('Deals'!B177="","",IF(COUNTIFS('Clients'!$A$6:$A$205,'Deals'!B177)&lt;&gt;1,"Check Client ID",INDEX('Clients'!$B$6:$B$205,MATCH('Deals'!B177,'Clients'!$A$6:$A$205,0)))),IF('Deals'!B177="","",IF(COUNTIFS('Clients'!$A$6:$A$205,'Deals'!B177)&lt;&gt;1,"Check Client ID",INDEX('Clients'!$B$6:$B$205,MATCH('Deals'!B177,'Clients'!$A$6:$A$205,0)))),IF('Deals'!B177="","",IF(COUNTIFS('Clients'!$A$6:$A$205,'Deals'!B177)&lt;&gt;1,"Check Client ID",INDEX('Clients'!$B$6:$B$205,MATCH('Deals'!B177,'Clients'!$A$6:$A$205,0)))),'Follow-ups'!K177,'Payments'!B177,'Expenses'!D177),IF(CHOOSE($M$42,'Clients'!B177,'Clients'!B177,'Viewings'!H177,IF('Deals'!B177="","",IF(COUNTIFS('Clients'!$A$6:$A$205,'Deals'!B177)&lt;&gt;1,"Check Client ID",INDEX('Clients'!$B$6:$B$205,MATCH('Deals'!B177,'Clients'!$A$6:$A$205,0)))),IF('Deals'!B177="","",IF(COUNTIFS('Clients'!$A$6:$A$205,'Deals'!B177)&lt;&gt;1,"Check Client ID",INDEX('Clients'!$B$6:$B$205,MATCH('Deals'!B177,'Clients'!$A$6:$A$205,0)))),IF('Deals'!B177="","",IF(COUNTIFS('Clients'!$A$6:$A$205,'Deals'!B177)&lt;&gt;1,"Check Client ID",INDEX('Clients'!$B$6:$B$205,MATCH('Deals'!B177,'Clients'!$A$6:$A$205,0)))),'Follow-ups'!K177,'Payments'!B177,'Expenses'!D177)="","",CHOOSE($M$42,'Clients'!B177,'Clients'!B177,'Viewings'!H177,IF('Deals'!B177="","",IF(COUNTIFS('Clients'!$A$6:$A$205,'Deals'!B177)&lt;&gt;1,"Check Client ID",INDEX('Clients'!$B$6:$B$205,MATCH('Deals'!B177,'Clients'!$A$6:$A$205,0)))),IF('Deals'!B177="","",IF(COUNTIFS('Clients'!$A$6:$A$205,'Deals'!B177)&lt;&gt;1,"Check Client ID",INDEX('Clients'!$B$6:$B$205,MATCH('Deals'!B177,'Clients'!$A$6:$A$205,0)))),IF('Deals'!B177="","",IF(COUNTIFS('Clients'!$A$6:$A$205,'Deals'!B177)&lt;&gt;1,"Check Client ID",INDEX('Clients'!$B$6:$B$205,MATCH('Deals'!B177,'Clients'!$A$6:$A$205,0)))),'Follow-ups'!K177,'Payments'!B177,'Expenses'!D177))))</x:f>
      </x:c>
      <x:c r="E219" s="432" t="str">
        <x:f>IF(B219="","",IF(ISNUMBER(CHOOSE($M$42,'Clients'!K177,'Clients'!K177,'Viewings'!I177,'Deals'!C177,'Deals'!C177,'Deals'!C177,'Follow-ups'!L177,'Payments'!G177,'Expenses'!F177)),CHOOSE($M$42,'Clients'!K177,'Clients'!K177,'Viewings'!I177,'Deals'!C177,'Deals'!C177,'Deals'!C177,'Follow-ups'!L177,'Payments'!G177,'Expenses'!F177),IF(CHOOSE($M$42,'Clients'!K177,'Clients'!K177,'Viewings'!I177,'Deals'!C177,'Deals'!C177,'Deals'!C177,'Follow-ups'!L177,'Payments'!G177,'Expenses'!F177)="","",CHOOSE($M$42,'Clients'!K177,'Clients'!K177,'Viewings'!I177,'Deals'!C177,'Deals'!C177,'Deals'!C177,'Follow-ups'!L177,'Payments'!G177,'Expenses'!F177))))</x:f>
      </x:c>
      <x:c r="F219" s="432" t="str">
        <x:f>IF(B219="","",IF(ISNUMBER(CHOOSE($M$42,'Clients'!H177,'Clients'!H177,'Viewings'!E177,'Deals'!E177,'Deals'!E177,'Deals'!E177,'Follow-ups'!I177,"Receipt",'Expenses'!C177)),CHOOSE($M$42,'Clients'!H177,'Clients'!H177,'Viewings'!E177,'Deals'!E177,'Deals'!E177,'Deals'!E177,'Follow-ups'!I177,"Receipt",'Expenses'!C177),IF(CHOOSE($M$42,'Clients'!H177,'Clients'!H177,'Viewings'!E177,'Deals'!E177,'Deals'!E177,'Deals'!E177,'Follow-ups'!I177,"Receipt",'Expenses'!C177)="","",CHOOSE($M$42,'Clients'!H177,'Clients'!H177,'Viewings'!E177,'Deals'!E177,'Deals'!E177,'Deals'!E177,'Follow-ups'!I177,"Receipt",'Expenses'!C177))))</x:f>
      </x:c>
      <x:c r="G219" s="473" t="str">
        <x:f>IF(B219="","",IF(ISNUMBER(CHOOSE($M$42,"","","",'Deals'!F177,'Deals'!F177,'Deals'!F177,"",'Payments'!D177,'Expenses'!G177)),CHOOSE($M$42,"","","",'Deals'!F177,'Deals'!F177,'Deals'!F177,"",'Payments'!D177,'Expenses'!G177),IF(CHOOSE($M$42,"","","",'Deals'!F177,'Deals'!F177,'Deals'!F177,"",'Payments'!D177,'Expenses'!G177)="","",CHOOSE($M$42,"","","",'Deals'!F177,'Deals'!F177,'Deals'!F177,"",'Payments'!D177,'Expenses'!G177))))</x:f>
      </x:c>
      <x:c r="H219" s="432" t="n">
        <x:f>IF(AND($M$43=1,B219&lt;&gt;"",ISNUMBER(C219),C219&gt;=$G$6,C219&lt;$K$6+1),1,0)</x:f>
        <x:v>0</x:v>
      </x:c>
      <x:c r="I219" s="432" t="str">
        <x:f>IF(H219=0,"",COUNTIFS($H$48:$H$247,1,$C$48:$C$247,"&lt;"&amp;C219)+COUNTIFS($H$48:H219,1,$C$48:C219,C219))</x:f>
      </x:c>
      <x:c r="J219" s="432"/>
      <x:c r="K219" s="432"/>
      <x:c r="L219" s="432"/>
      <x:c r="M219" s="432"/>
      <x:c r="N219" s="432"/>
      <x:c r="O219" s="432"/>
      <x:c r="P219" s="432"/>
      <x:c r="Q219" s="432"/>
    </x:row>
    <x:row r="220" ht="25" customHeight="1">
      <x:c r="A220" s="432"/>
      <x:c r="B220" s="432" t="str">
        <x:f>IF(CHOOSE($M$42,'Clients'!A178,'Clients'!A178,'Viewings'!A178,'Deals'!A178,'Deals'!A178,'Deals'!A178,'Follow-ups'!A178,'Payments'!A178,'Expenses'!A178)="","",CHOOSE($M$42,'Clients'!A178,'Clients'!A178,'Viewings'!A178,'Deals'!A178,'Deals'!A178,'Deals'!A178,'Follow-ups'!A178,'Payments'!A178,'Expenses'!A178))</x:f>
      </x:c>
      <x:c r="C220" s="472" t="str">
        <x:f>IF(B220="","",IF(CHOOSE($M$42,'Clients'!R178,'Clients'!Q178,'Viewings'!D178,'Deals'!X178,'Deals'!Y178,'Deals'!Z178,'Follow-ups'!H178,'Payments'!C178,'Expenses'!B178)="","",CHOOSE($M$42,'Clients'!R178,'Clients'!Q178,'Viewings'!D178,'Deals'!X178,'Deals'!Y178,'Deals'!Z178,'Follow-ups'!H178,'Payments'!C178,'Expenses'!B178)))</x:f>
      </x:c>
      <x:c r="D220" s="432" t="str">
        <x:f>IF(B220="","",IF(ISNUMBER(CHOOSE($M$42,'Clients'!B178,'Clients'!B178,'Viewings'!H178,IF('Deals'!B178="","",IF(COUNTIFS('Clients'!$A$6:$A$205,'Deals'!B178)&lt;&gt;1,"Check Client ID",INDEX('Clients'!$B$6:$B$205,MATCH('Deals'!B178,'Clients'!$A$6:$A$205,0)))),IF('Deals'!B178="","",IF(COUNTIFS('Clients'!$A$6:$A$205,'Deals'!B178)&lt;&gt;1,"Check Client ID",INDEX('Clients'!$B$6:$B$205,MATCH('Deals'!B178,'Clients'!$A$6:$A$205,0)))),IF('Deals'!B178="","",IF(COUNTIFS('Clients'!$A$6:$A$205,'Deals'!B178)&lt;&gt;1,"Check Client ID",INDEX('Clients'!$B$6:$B$205,MATCH('Deals'!B178,'Clients'!$A$6:$A$205,0)))),'Follow-ups'!K178,'Payments'!B178,'Expenses'!D178)),CHOOSE($M$42,'Clients'!B178,'Clients'!B178,'Viewings'!H178,IF('Deals'!B178="","",IF(COUNTIFS('Clients'!$A$6:$A$205,'Deals'!B178)&lt;&gt;1,"Check Client ID",INDEX('Clients'!$B$6:$B$205,MATCH('Deals'!B178,'Clients'!$A$6:$A$205,0)))),IF('Deals'!B178="","",IF(COUNTIFS('Clients'!$A$6:$A$205,'Deals'!B178)&lt;&gt;1,"Check Client ID",INDEX('Clients'!$B$6:$B$205,MATCH('Deals'!B178,'Clients'!$A$6:$A$205,0)))),IF('Deals'!B178="","",IF(COUNTIFS('Clients'!$A$6:$A$205,'Deals'!B178)&lt;&gt;1,"Check Client ID",INDEX('Clients'!$B$6:$B$205,MATCH('Deals'!B178,'Clients'!$A$6:$A$205,0)))),'Follow-ups'!K178,'Payments'!B178,'Expenses'!D178),IF(CHOOSE($M$42,'Clients'!B178,'Clients'!B178,'Viewings'!H178,IF('Deals'!B178="","",IF(COUNTIFS('Clients'!$A$6:$A$205,'Deals'!B178)&lt;&gt;1,"Check Client ID",INDEX('Clients'!$B$6:$B$205,MATCH('Deals'!B178,'Clients'!$A$6:$A$205,0)))),IF('Deals'!B178="","",IF(COUNTIFS('Clients'!$A$6:$A$205,'Deals'!B178)&lt;&gt;1,"Check Client ID",INDEX('Clients'!$B$6:$B$205,MATCH('Deals'!B178,'Clients'!$A$6:$A$205,0)))),IF('Deals'!B178="","",IF(COUNTIFS('Clients'!$A$6:$A$205,'Deals'!B178)&lt;&gt;1,"Check Client ID",INDEX('Clients'!$B$6:$B$205,MATCH('Deals'!B178,'Clients'!$A$6:$A$205,0)))),'Follow-ups'!K178,'Payments'!B178,'Expenses'!D178)="","",CHOOSE($M$42,'Clients'!B178,'Clients'!B178,'Viewings'!H178,IF('Deals'!B178="","",IF(COUNTIFS('Clients'!$A$6:$A$205,'Deals'!B178)&lt;&gt;1,"Check Client ID",INDEX('Clients'!$B$6:$B$205,MATCH('Deals'!B178,'Clients'!$A$6:$A$205,0)))),IF('Deals'!B178="","",IF(COUNTIFS('Clients'!$A$6:$A$205,'Deals'!B178)&lt;&gt;1,"Check Client ID",INDEX('Clients'!$B$6:$B$205,MATCH('Deals'!B178,'Clients'!$A$6:$A$205,0)))),IF('Deals'!B178="","",IF(COUNTIFS('Clients'!$A$6:$A$205,'Deals'!B178)&lt;&gt;1,"Check Client ID",INDEX('Clients'!$B$6:$B$205,MATCH('Deals'!B178,'Clients'!$A$6:$A$205,0)))),'Follow-ups'!K178,'Payments'!B178,'Expenses'!D178))))</x:f>
      </x:c>
      <x:c r="E220" s="432" t="str">
        <x:f>IF(B220="","",IF(ISNUMBER(CHOOSE($M$42,'Clients'!K178,'Clients'!K178,'Viewings'!I178,'Deals'!C178,'Deals'!C178,'Deals'!C178,'Follow-ups'!L178,'Payments'!G178,'Expenses'!F178)),CHOOSE($M$42,'Clients'!K178,'Clients'!K178,'Viewings'!I178,'Deals'!C178,'Deals'!C178,'Deals'!C178,'Follow-ups'!L178,'Payments'!G178,'Expenses'!F178),IF(CHOOSE($M$42,'Clients'!K178,'Clients'!K178,'Viewings'!I178,'Deals'!C178,'Deals'!C178,'Deals'!C178,'Follow-ups'!L178,'Payments'!G178,'Expenses'!F178)="","",CHOOSE($M$42,'Clients'!K178,'Clients'!K178,'Viewings'!I178,'Deals'!C178,'Deals'!C178,'Deals'!C178,'Follow-ups'!L178,'Payments'!G178,'Expenses'!F178))))</x:f>
      </x:c>
      <x:c r="F220" s="432" t="str">
        <x:f>IF(B220="","",IF(ISNUMBER(CHOOSE($M$42,'Clients'!H178,'Clients'!H178,'Viewings'!E178,'Deals'!E178,'Deals'!E178,'Deals'!E178,'Follow-ups'!I178,"Receipt",'Expenses'!C178)),CHOOSE($M$42,'Clients'!H178,'Clients'!H178,'Viewings'!E178,'Deals'!E178,'Deals'!E178,'Deals'!E178,'Follow-ups'!I178,"Receipt",'Expenses'!C178),IF(CHOOSE($M$42,'Clients'!H178,'Clients'!H178,'Viewings'!E178,'Deals'!E178,'Deals'!E178,'Deals'!E178,'Follow-ups'!I178,"Receipt",'Expenses'!C178)="","",CHOOSE($M$42,'Clients'!H178,'Clients'!H178,'Viewings'!E178,'Deals'!E178,'Deals'!E178,'Deals'!E178,'Follow-ups'!I178,"Receipt",'Expenses'!C178))))</x:f>
      </x:c>
      <x:c r="G220" s="473" t="str">
        <x:f>IF(B220="","",IF(ISNUMBER(CHOOSE($M$42,"","","",'Deals'!F178,'Deals'!F178,'Deals'!F178,"",'Payments'!D178,'Expenses'!G178)),CHOOSE($M$42,"","","",'Deals'!F178,'Deals'!F178,'Deals'!F178,"",'Payments'!D178,'Expenses'!G178),IF(CHOOSE($M$42,"","","",'Deals'!F178,'Deals'!F178,'Deals'!F178,"",'Payments'!D178,'Expenses'!G178)="","",CHOOSE($M$42,"","","",'Deals'!F178,'Deals'!F178,'Deals'!F178,"",'Payments'!D178,'Expenses'!G178))))</x:f>
      </x:c>
      <x:c r="H220" s="432" t="n">
        <x:f>IF(AND($M$43=1,B220&lt;&gt;"",ISNUMBER(C220),C220&gt;=$G$6,C220&lt;$K$6+1),1,0)</x:f>
        <x:v>0</x:v>
      </x:c>
      <x:c r="I220" s="432" t="str">
        <x:f>IF(H220=0,"",COUNTIFS($H$48:$H$247,1,$C$48:$C$247,"&lt;"&amp;C220)+COUNTIFS($H$48:H220,1,$C$48:C220,C220))</x:f>
      </x:c>
      <x:c r="J220" s="432"/>
      <x:c r="K220" s="432"/>
      <x:c r="L220" s="432"/>
      <x:c r="M220" s="432"/>
      <x:c r="N220" s="432"/>
      <x:c r="O220" s="432"/>
      <x:c r="P220" s="432"/>
      <x:c r="Q220" s="432"/>
    </x:row>
    <x:row r="221" ht="25" customHeight="1">
      <x:c r="A221" s="432"/>
      <x:c r="B221" s="432" t="str">
        <x:f>IF(CHOOSE($M$42,'Clients'!A179,'Clients'!A179,'Viewings'!A179,'Deals'!A179,'Deals'!A179,'Deals'!A179,'Follow-ups'!A179,'Payments'!A179,'Expenses'!A179)="","",CHOOSE($M$42,'Clients'!A179,'Clients'!A179,'Viewings'!A179,'Deals'!A179,'Deals'!A179,'Deals'!A179,'Follow-ups'!A179,'Payments'!A179,'Expenses'!A179))</x:f>
      </x:c>
      <x:c r="C221" s="472" t="str">
        <x:f>IF(B221="","",IF(CHOOSE($M$42,'Clients'!R179,'Clients'!Q179,'Viewings'!D179,'Deals'!X179,'Deals'!Y179,'Deals'!Z179,'Follow-ups'!H179,'Payments'!C179,'Expenses'!B179)="","",CHOOSE($M$42,'Clients'!R179,'Clients'!Q179,'Viewings'!D179,'Deals'!X179,'Deals'!Y179,'Deals'!Z179,'Follow-ups'!H179,'Payments'!C179,'Expenses'!B179)))</x:f>
      </x:c>
      <x:c r="D221" s="432" t="str">
        <x:f>IF(B221="","",IF(ISNUMBER(CHOOSE($M$42,'Clients'!B179,'Clients'!B179,'Viewings'!H179,IF('Deals'!B179="","",IF(COUNTIFS('Clients'!$A$6:$A$205,'Deals'!B179)&lt;&gt;1,"Check Client ID",INDEX('Clients'!$B$6:$B$205,MATCH('Deals'!B179,'Clients'!$A$6:$A$205,0)))),IF('Deals'!B179="","",IF(COUNTIFS('Clients'!$A$6:$A$205,'Deals'!B179)&lt;&gt;1,"Check Client ID",INDEX('Clients'!$B$6:$B$205,MATCH('Deals'!B179,'Clients'!$A$6:$A$205,0)))),IF('Deals'!B179="","",IF(COUNTIFS('Clients'!$A$6:$A$205,'Deals'!B179)&lt;&gt;1,"Check Client ID",INDEX('Clients'!$B$6:$B$205,MATCH('Deals'!B179,'Clients'!$A$6:$A$205,0)))),'Follow-ups'!K179,'Payments'!B179,'Expenses'!D179)),CHOOSE($M$42,'Clients'!B179,'Clients'!B179,'Viewings'!H179,IF('Deals'!B179="","",IF(COUNTIFS('Clients'!$A$6:$A$205,'Deals'!B179)&lt;&gt;1,"Check Client ID",INDEX('Clients'!$B$6:$B$205,MATCH('Deals'!B179,'Clients'!$A$6:$A$205,0)))),IF('Deals'!B179="","",IF(COUNTIFS('Clients'!$A$6:$A$205,'Deals'!B179)&lt;&gt;1,"Check Client ID",INDEX('Clients'!$B$6:$B$205,MATCH('Deals'!B179,'Clients'!$A$6:$A$205,0)))),IF('Deals'!B179="","",IF(COUNTIFS('Clients'!$A$6:$A$205,'Deals'!B179)&lt;&gt;1,"Check Client ID",INDEX('Clients'!$B$6:$B$205,MATCH('Deals'!B179,'Clients'!$A$6:$A$205,0)))),'Follow-ups'!K179,'Payments'!B179,'Expenses'!D179),IF(CHOOSE($M$42,'Clients'!B179,'Clients'!B179,'Viewings'!H179,IF('Deals'!B179="","",IF(COUNTIFS('Clients'!$A$6:$A$205,'Deals'!B179)&lt;&gt;1,"Check Client ID",INDEX('Clients'!$B$6:$B$205,MATCH('Deals'!B179,'Clients'!$A$6:$A$205,0)))),IF('Deals'!B179="","",IF(COUNTIFS('Clients'!$A$6:$A$205,'Deals'!B179)&lt;&gt;1,"Check Client ID",INDEX('Clients'!$B$6:$B$205,MATCH('Deals'!B179,'Clients'!$A$6:$A$205,0)))),IF('Deals'!B179="","",IF(COUNTIFS('Clients'!$A$6:$A$205,'Deals'!B179)&lt;&gt;1,"Check Client ID",INDEX('Clients'!$B$6:$B$205,MATCH('Deals'!B179,'Clients'!$A$6:$A$205,0)))),'Follow-ups'!K179,'Payments'!B179,'Expenses'!D179)="","",CHOOSE($M$42,'Clients'!B179,'Clients'!B179,'Viewings'!H179,IF('Deals'!B179="","",IF(COUNTIFS('Clients'!$A$6:$A$205,'Deals'!B179)&lt;&gt;1,"Check Client ID",INDEX('Clients'!$B$6:$B$205,MATCH('Deals'!B179,'Clients'!$A$6:$A$205,0)))),IF('Deals'!B179="","",IF(COUNTIFS('Clients'!$A$6:$A$205,'Deals'!B179)&lt;&gt;1,"Check Client ID",INDEX('Clients'!$B$6:$B$205,MATCH('Deals'!B179,'Clients'!$A$6:$A$205,0)))),IF('Deals'!B179="","",IF(COUNTIFS('Clients'!$A$6:$A$205,'Deals'!B179)&lt;&gt;1,"Check Client ID",INDEX('Clients'!$B$6:$B$205,MATCH('Deals'!B179,'Clients'!$A$6:$A$205,0)))),'Follow-ups'!K179,'Payments'!B179,'Expenses'!D179))))</x:f>
      </x:c>
      <x:c r="E221" s="432" t="str">
        <x:f>IF(B221="","",IF(ISNUMBER(CHOOSE($M$42,'Clients'!K179,'Clients'!K179,'Viewings'!I179,'Deals'!C179,'Deals'!C179,'Deals'!C179,'Follow-ups'!L179,'Payments'!G179,'Expenses'!F179)),CHOOSE($M$42,'Clients'!K179,'Clients'!K179,'Viewings'!I179,'Deals'!C179,'Deals'!C179,'Deals'!C179,'Follow-ups'!L179,'Payments'!G179,'Expenses'!F179),IF(CHOOSE($M$42,'Clients'!K179,'Clients'!K179,'Viewings'!I179,'Deals'!C179,'Deals'!C179,'Deals'!C179,'Follow-ups'!L179,'Payments'!G179,'Expenses'!F179)="","",CHOOSE($M$42,'Clients'!K179,'Clients'!K179,'Viewings'!I179,'Deals'!C179,'Deals'!C179,'Deals'!C179,'Follow-ups'!L179,'Payments'!G179,'Expenses'!F179))))</x:f>
      </x:c>
      <x:c r="F221" s="432" t="str">
        <x:f>IF(B221="","",IF(ISNUMBER(CHOOSE($M$42,'Clients'!H179,'Clients'!H179,'Viewings'!E179,'Deals'!E179,'Deals'!E179,'Deals'!E179,'Follow-ups'!I179,"Receipt",'Expenses'!C179)),CHOOSE($M$42,'Clients'!H179,'Clients'!H179,'Viewings'!E179,'Deals'!E179,'Deals'!E179,'Deals'!E179,'Follow-ups'!I179,"Receipt",'Expenses'!C179),IF(CHOOSE($M$42,'Clients'!H179,'Clients'!H179,'Viewings'!E179,'Deals'!E179,'Deals'!E179,'Deals'!E179,'Follow-ups'!I179,"Receipt",'Expenses'!C179)="","",CHOOSE($M$42,'Clients'!H179,'Clients'!H179,'Viewings'!E179,'Deals'!E179,'Deals'!E179,'Deals'!E179,'Follow-ups'!I179,"Receipt",'Expenses'!C179))))</x:f>
      </x:c>
      <x:c r="G221" s="473" t="str">
        <x:f>IF(B221="","",IF(ISNUMBER(CHOOSE($M$42,"","","",'Deals'!F179,'Deals'!F179,'Deals'!F179,"",'Payments'!D179,'Expenses'!G179)),CHOOSE($M$42,"","","",'Deals'!F179,'Deals'!F179,'Deals'!F179,"",'Payments'!D179,'Expenses'!G179),IF(CHOOSE($M$42,"","","",'Deals'!F179,'Deals'!F179,'Deals'!F179,"",'Payments'!D179,'Expenses'!G179)="","",CHOOSE($M$42,"","","",'Deals'!F179,'Deals'!F179,'Deals'!F179,"",'Payments'!D179,'Expenses'!G179))))</x:f>
      </x:c>
      <x:c r="H221" s="432" t="n">
        <x:f>IF(AND($M$43=1,B221&lt;&gt;"",ISNUMBER(C221),C221&gt;=$G$6,C221&lt;$K$6+1),1,0)</x:f>
        <x:v>0</x:v>
      </x:c>
      <x:c r="I221" s="432" t="str">
        <x:f>IF(H221=0,"",COUNTIFS($H$48:$H$247,1,$C$48:$C$247,"&lt;"&amp;C221)+COUNTIFS($H$48:H221,1,$C$48:C221,C221))</x:f>
      </x:c>
      <x:c r="J221" s="432"/>
      <x:c r="K221" s="432"/>
      <x:c r="L221" s="432"/>
      <x:c r="M221" s="432"/>
      <x:c r="N221" s="432"/>
      <x:c r="O221" s="432"/>
      <x:c r="P221" s="432"/>
      <x:c r="Q221" s="432"/>
    </x:row>
    <x:row r="222" ht="25" customHeight="1">
      <x:c r="A222" s="432"/>
      <x:c r="B222" s="432" t="str">
        <x:f>IF(CHOOSE($M$42,'Clients'!A180,'Clients'!A180,'Viewings'!A180,'Deals'!A180,'Deals'!A180,'Deals'!A180,'Follow-ups'!A180,'Payments'!A180,'Expenses'!A180)="","",CHOOSE($M$42,'Clients'!A180,'Clients'!A180,'Viewings'!A180,'Deals'!A180,'Deals'!A180,'Deals'!A180,'Follow-ups'!A180,'Payments'!A180,'Expenses'!A180))</x:f>
      </x:c>
      <x:c r="C222" s="472" t="str">
        <x:f>IF(B222="","",IF(CHOOSE($M$42,'Clients'!R180,'Clients'!Q180,'Viewings'!D180,'Deals'!X180,'Deals'!Y180,'Deals'!Z180,'Follow-ups'!H180,'Payments'!C180,'Expenses'!B180)="","",CHOOSE($M$42,'Clients'!R180,'Clients'!Q180,'Viewings'!D180,'Deals'!X180,'Deals'!Y180,'Deals'!Z180,'Follow-ups'!H180,'Payments'!C180,'Expenses'!B180)))</x:f>
      </x:c>
      <x:c r="D222" s="432" t="str">
        <x:f>IF(B222="","",IF(ISNUMBER(CHOOSE($M$42,'Clients'!B180,'Clients'!B180,'Viewings'!H180,IF('Deals'!B180="","",IF(COUNTIFS('Clients'!$A$6:$A$205,'Deals'!B180)&lt;&gt;1,"Check Client ID",INDEX('Clients'!$B$6:$B$205,MATCH('Deals'!B180,'Clients'!$A$6:$A$205,0)))),IF('Deals'!B180="","",IF(COUNTIFS('Clients'!$A$6:$A$205,'Deals'!B180)&lt;&gt;1,"Check Client ID",INDEX('Clients'!$B$6:$B$205,MATCH('Deals'!B180,'Clients'!$A$6:$A$205,0)))),IF('Deals'!B180="","",IF(COUNTIFS('Clients'!$A$6:$A$205,'Deals'!B180)&lt;&gt;1,"Check Client ID",INDEX('Clients'!$B$6:$B$205,MATCH('Deals'!B180,'Clients'!$A$6:$A$205,0)))),'Follow-ups'!K180,'Payments'!B180,'Expenses'!D180)),CHOOSE($M$42,'Clients'!B180,'Clients'!B180,'Viewings'!H180,IF('Deals'!B180="","",IF(COUNTIFS('Clients'!$A$6:$A$205,'Deals'!B180)&lt;&gt;1,"Check Client ID",INDEX('Clients'!$B$6:$B$205,MATCH('Deals'!B180,'Clients'!$A$6:$A$205,0)))),IF('Deals'!B180="","",IF(COUNTIFS('Clients'!$A$6:$A$205,'Deals'!B180)&lt;&gt;1,"Check Client ID",INDEX('Clients'!$B$6:$B$205,MATCH('Deals'!B180,'Clients'!$A$6:$A$205,0)))),IF('Deals'!B180="","",IF(COUNTIFS('Clients'!$A$6:$A$205,'Deals'!B180)&lt;&gt;1,"Check Client ID",INDEX('Clients'!$B$6:$B$205,MATCH('Deals'!B180,'Clients'!$A$6:$A$205,0)))),'Follow-ups'!K180,'Payments'!B180,'Expenses'!D180),IF(CHOOSE($M$42,'Clients'!B180,'Clients'!B180,'Viewings'!H180,IF('Deals'!B180="","",IF(COUNTIFS('Clients'!$A$6:$A$205,'Deals'!B180)&lt;&gt;1,"Check Client ID",INDEX('Clients'!$B$6:$B$205,MATCH('Deals'!B180,'Clients'!$A$6:$A$205,0)))),IF('Deals'!B180="","",IF(COUNTIFS('Clients'!$A$6:$A$205,'Deals'!B180)&lt;&gt;1,"Check Client ID",INDEX('Clients'!$B$6:$B$205,MATCH('Deals'!B180,'Clients'!$A$6:$A$205,0)))),IF('Deals'!B180="","",IF(COUNTIFS('Clients'!$A$6:$A$205,'Deals'!B180)&lt;&gt;1,"Check Client ID",INDEX('Clients'!$B$6:$B$205,MATCH('Deals'!B180,'Clients'!$A$6:$A$205,0)))),'Follow-ups'!K180,'Payments'!B180,'Expenses'!D180)="","",CHOOSE($M$42,'Clients'!B180,'Clients'!B180,'Viewings'!H180,IF('Deals'!B180="","",IF(COUNTIFS('Clients'!$A$6:$A$205,'Deals'!B180)&lt;&gt;1,"Check Client ID",INDEX('Clients'!$B$6:$B$205,MATCH('Deals'!B180,'Clients'!$A$6:$A$205,0)))),IF('Deals'!B180="","",IF(COUNTIFS('Clients'!$A$6:$A$205,'Deals'!B180)&lt;&gt;1,"Check Client ID",INDEX('Clients'!$B$6:$B$205,MATCH('Deals'!B180,'Clients'!$A$6:$A$205,0)))),IF('Deals'!B180="","",IF(COUNTIFS('Clients'!$A$6:$A$205,'Deals'!B180)&lt;&gt;1,"Check Client ID",INDEX('Clients'!$B$6:$B$205,MATCH('Deals'!B180,'Clients'!$A$6:$A$205,0)))),'Follow-ups'!K180,'Payments'!B180,'Expenses'!D180))))</x:f>
      </x:c>
      <x:c r="E222" s="432" t="str">
        <x:f>IF(B222="","",IF(ISNUMBER(CHOOSE($M$42,'Clients'!K180,'Clients'!K180,'Viewings'!I180,'Deals'!C180,'Deals'!C180,'Deals'!C180,'Follow-ups'!L180,'Payments'!G180,'Expenses'!F180)),CHOOSE($M$42,'Clients'!K180,'Clients'!K180,'Viewings'!I180,'Deals'!C180,'Deals'!C180,'Deals'!C180,'Follow-ups'!L180,'Payments'!G180,'Expenses'!F180),IF(CHOOSE($M$42,'Clients'!K180,'Clients'!K180,'Viewings'!I180,'Deals'!C180,'Deals'!C180,'Deals'!C180,'Follow-ups'!L180,'Payments'!G180,'Expenses'!F180)="","",CHOOSE($M$42,'Clients'!K180,'Clients'!K180,'Viewings'!I180,'Deals'!C180,'Deals'!C180,'Deals'!C180,'Follow-ups'!L180,'Payments'!G180,'Expenses'!F180))))</x:f>
      </x:c>
      <x:c r="F222" s="432" t="str">
        <x:f>IF(B222="","",IF(ISNUMBER(CHOOSE($M$42,'Clients'!H180,'Clients'!H180,'Viewings'!E180,'Deals'!E180,'Deals'!E180,'Deals'!E180,'Follow-ups'!I180,"Receipt",'Expenses'!C180)),CHOOSE($M$42,'Clients'!H180,'Clients'!H180,'Viewings'!E180,'Deals'!E180,'Deals'!E180,'Deals'!E180,'Follow-ups'!I180,"Receipt",'Expenses'!C180),IF(CHOOSE($M$42,'Clients'!H180,'Clients'!H180,'Viewings'!E180,'Deals'!E180,'Deals'!E180,'Deals'!E180,'Follow-ups'!I180,"Receipt",'Expenses'!C180)="","",CHOOSE($M$42,'Clients'!H180,'Clients'!H180,'Viewings'!E180,'Deals'!E180,'Deals'!E180,'Deals'!E180,'Follow-ups'!I180,"Receipt",'Expenses'!C180))))</x:f>
      </x:c>
      <x:c r="G222" s="473" t="str">
        <x:f>IF(B222="","",IF(ISNUMBER(CHOOSE($M$42,"","","",'Deals'!F180,'Deals'!F180,'Deals'!F180,"",'Payments'!D180,'Expenses'!G180)),CHOOSE($M$42,"","","",'Deals'!F180,'Deals'!F180,'Deals'!F180,"",'Payments'!D180,'Expenses'!G180),IF(CHOOSE($M$42,"","","",'Deals'!F180,'Deals'!F180,'Deals'!F180,"",'Payments'!D180,'Expenses'!G180)="","",CHOOSE($M$42,"","","",'Deals'!F180,'Deals'!F180,'Deals'!F180,"",'Payments'!D180,'Expenses'!G180))))</x:f>
      </x:c>
      <x:c r="H222" s="432" t="n">
        <x:f>IF(AND($M$43=1,B222&lt;&gt;"",ISNUMBER(C222),C222&gt;=$G$6,C222&lt;$K$6+1),1,0)</x:f>
        <x:v>0</x:v>
      </x:c>
      <x:c r="I222" s="432" t="str">
        <x:f>IF(H222=0,"",COUNTIFS($H$48:$H$247,1,$C$48:$C$247,"&lt;"&amp;C222)+COUNTIFS($H$48:H222,1,$C$48:C222,C222))</x:f>
      </x:c>
      <x:c r="J222" s="432"/>
      <x:c r="K222" s="432"/>
      <x:c r="L222" s="432"/>
      <x:c r="M222" s="432"/>
      <x:c r="N222" s="432"/>
      <x:c r="O222" s="432"/>
      <x:c r="P222" s="432"/>
      <x:c r="Q222" s="432"/>
    </x:row>
    <x:row r="223" ht="25" customHeight="1">
      <x:c r="A223" s="432"/>
      <x:c r="B223" s="432" t="str">
        <x:f>IF(CHOOSE($M$42,'Clients'!A181,'Clients'!A181,'Viewings'!A181,'Deals'!A181,'Deals'!A181,'Deals'!A181,'Follow-ups'!A181,'Payments'!A181,'Expenses'!A181)="","",CHOOSE($M$42,'Clients'!A181,'Clients'!A181,'Viewings'!A181,'Deals'!A181,'Deals'!A181,'Deals'!A181,'Follow-ups'!A181,'Payments'!A181,'Expenses'!A181))</x:f>
      </x:c>
      <x:c r="C223" s="472" t="str">
        <x:f>IF(B223="","",IF(CHOOSE($M$42,'Clients'!R181,'Clients'!Q181,'Viewings'!D181,'Deals'!X181,'Deals'!Y181,'Deals'!Z181,'Follow-ups'!H181,'Payments'!C181,'Expenses'!B181)="","",CHOOSE($M$42,'Clients'!R181,'Clients'!Q181,'Viewings'!D181,'Deals'!X181,'Deals'!Y181,'Deals'!Z181,'Follow-ups'!H181,'Payments'!C181,'Expenses'!B181)))</x:f>
      </x:c>
      <x:c r="D223" s="432" t="str">
        <x:f>IF(B223="","",IF(ISNUMBER(CHOOSE($M$42,'Clients'!B181,'Clients'!B181,'Viewings'!H181,IF('Deals'!B181="","",IF(COUNTIFS('Clients'!$A$6:$A$205,'Deals'!B181)&lt;&gt;1,"Check Client ID",INDEX('Clients'!$B$6:$B$205,MATCH('Deals'!B181,'Clients'!$A$6:$A$205,0)))),IF('Deals'!B181="","",IF(COUNTIFS('Clients'!$A$6:$A$205,'Deals'!B181)&lt;&gt;1,"Check Client ID",INDEX('Clients'!$B$6:$B$205,MATCH('Deals'!B181,'Clients'!$A$6:$A$205,0)))),IF('Deals'!B181="","",IF(COUNTIFS('Clients'!$A$6:$A$205,'Deals'!B181)&lt;&gt;1,"Check Client ID",INDEX('Clients'!$B$6:$B$205,MATCH('Deals'!B181,'Clients'!$A$6:$A$205,0)))),'Follow-ups'!K181,'Payments'!B181,'Expenses'!D181)),CHOOSE($M$42,'Clients'!B181,'Clients'!B181,'Viewings'!H181,IF('Deals'!B181="","",IF(COUNTIFS('Clients'!$A$6:$A$205,'Deals'!B181)&lt;&gt;1,"Check Client ID",INDEX('Clients'!$B$6:$B$205,MATCH('Deals'!B181,'Clients'!$A$6:$A$205,0)))),IF('Deals'!B181="","",IF(COUNTIFS('Clients'!$A$6:$A$205,'Deals'!B181)&lt;&gt;1,"Check Client ID",INDEX('Clients'!$B$6:$B$205,MATCH('Deals'!B181,'Clients'!$A$6:$A$205,0)))),IF('Deals'!B181="","",IF(COUNTIFS('Clients'!$A$6:$A$205,'Deals'!B181)&lt;&gt;1,"Check Client ID",INDEX('Clients'!$B$6:$B$205,MATCH('Deals'!B181,'Clients'!$A$6:$A$205,0)))),'Follow-ups'!K181,'Payments'!B181,'Expenses'!D181),IF(CHOOSE($M$42,'Clients'!B181,'Clients'!B181,'Viewings'!H181,IF('Deals'!B181="","",IF(COUNTIFS('Clients'!$A$6:$A$205,'Deals'!B181)&lt;&gt;1,"Check Client ID",INDEX('Clients'!$B$6:$B$205,MATCH('Deals'!B181,'Clients'!$A$6:$A$205,0)))),IF('Deals'!B181="","",IF(COUNTIFS('Clients'!$A$6:$A$205,'Deals'!B181)&lt;&gt;1,"Check Client ID",INDEX('Clients'!$B$6:$B$205,MATCH('Deals'!B181,'Clients'!$A$6:$A$205,0)))),IF('Deals'!B181="","",IF(COUNTIFS('Clients'!$A$6:$A$205,'Deals'!B181)&lt;&gt;1,"Check Client ID",INDEX('Clients'!$B$6:$B$205,MATCH('Deals'!B181,'Clients'!$A$6:$A$205,0)))),'Follow-ups'!K181,'Payments'!B181,'Expenses'!D181)="","",CHOOSE($M$42,'Clients'!B181,'Clients'!B181,'Viewings'!H181,IF('Deals'!B181="","",IF(COUNTIFS('Clients'!$A$6:$A$205,'Deals'!B181)&lt;&gt;1,"Check Client ID",INDEX('Clients'!$B$6:$B$205,MATCH('Deals'!B181,'Clients'!$A$6:$A$205,0)))),IF('Deals'!B181="","",IF(COUNTIFS('Clients'!$A$6:$A$205,'Deals'!B181)&lt;&gt;1,"Check Client ID",INDEX('Clients'!$B$6:$B$205,MATCH('Deals'!B181,'Clients'!$A$6:$A$205,0)))),IF('Deals'!B181="","",IF(COUNTIFS('Clients'!$A$6:$A$205,'Deals'!B181)&lt;&gt;1,"Check Client ID",INDEX('Clients'!$B$6:$B$205,MATCH('Deals'!B181,'Clients'!$A$6:$A$205,0)))),'Follow-ups'!K181,'Payments'!B181,'Expenses'!D181))))</x:f>
      </x:c>
      <x:c r="E223" s="432" t="str">
        <x:f>IF(B223="","",IF(ISNUMBER(CHOOSE($M$42,'Clients'!K181,'Clients'!K181,'Viewings'!I181,'Deals'!C181,'Deals'!C181,'Deals'!C181,'Follow-ups'!L181,'Payments'!G181,'Expenses'!F181)),CHOOSE($M$42,'Clients'!K181,'Clients'!K181,'Viewings'!I181,'Deals'!C181,'Deals'!C181,'Deals'!C181,'Follow-ups'!L181,'Payments'!G181,'Expenses'!F181),IF(CHOOSE($M$42,'Clients'!K181,'Clients'!K181,'Viewings'!I181,'Deals'!C181,'Deals'!C181,'Deals'!C181,'Follow-ups'!L181,'Payments'!G181,'Expenses'!F181)="","",CHOOSE($M$42,'Clients'!K181,'Clients'!K181,'Viewings'!I181,'Deals'!C181,'Deals'!C181,'Deals'!C181,'Follow-ups'!L181,'Payments'!G181,'Expenses'!F181))))</x:f>
      </x:c>
      <x:c r="F223" s="432" t="str">
        <x:f>IF(B223="","",IF(ISNUMBER(CHOOSE($M$42,'Clients'!H181,'Clients'!H181,'Viewings'!E181,'Deals'!E181,'Deals'!E181,'Deals'!E181,'Follow-ups'!I181,"Receipt",'Expenses'!C181)),CHOOSE($M$42,'Clients'!H181,'Clients'!H181,'Viewings'!E181,'Deals'!E181,'Deals'!E181,'Deals'!E181,'Follow-ups'!I181,"Receipt",'Expenses'!C181),IF(CHOOSE($M$42,'Clients'!H181,'Clients'!H181,'Viewings'!E181,'Deals'!E181,'Deals'!E181,'Deals'!E181,'Follow-ups'!I181,"Receipt",'Expenses'!C181)="","",CHOOSE($M$42,'Clients'!H181,'Clients'!H181,'Viewings'!E181,'Deals'!E181,'Deals'!E181,'Deals'!E181,'Follow-ups'!I181,"Receipt",'Expenses'!C181))))</x:f>
      </x:c>
      <x:c r="G223" s="473" t="str">
        <x:f>IF(B223="","",IF(ISNUMBER(CHOOSE($M$42,"","","",'Deals'!F181,'Deals'!F181,'Deals'!F181,"",'Payments'!D181,'Expenses'!G181)),CHOOSE($M$42,"","","",'Deals'!F181,'Deals'!F181,'Deals'!F181,"",'Payments'!D181,'Expenses'!G181),IF(CHOOSE($M$42,"","","",'Deals'!F181,'Deals'!F181,'Deals'!F181,"",'Payments'!D181,'Expenses'!G181)="","",CHOOSE($M$42,"","","",'Deals'!F181,'Deals'!F181,'Deals'!F181,"",'Payments'!D181,'Expenses'!G181))))</x:f>
      </x:c>
      <x:c r="H223" s="432" t="n">
        <x:f>IF(AND($M$43=1,B223&lt;&gt;"",ISNUMBER(C223),C223&gt;=$G$6,C223&lt;$K$6+1),1,0)</x:f>
        <x:v>0</x:v>
      </x:c>
      <x:c r="I223" s="432" t="str">
        <x:f>IF(H223=0,"",COUNTIFS($H$48:$H$247,1,$C$48:$C$247,"&lt;"&amp;C223)+COUNTIFS($H$48:H223,1,$C$48:C223,C223))</x:f>
      </x:c>
      <x:c r="J223" s="432"/>
      <x:c r="K223" s="432"/>
      <x:c r="L223" s="432"/>
      <x:c r="M223" s="432"/>
      <x:c r="N223" s="432"/>
      <x:c r="O223" s="432"/>
      <x:c r="P223" s="432"/>
      <x:c r="Q223" s="432"/>
    </x:row>
    <x:row r="224" ht="25" customHeight="1">
      <x:c r="A224" s="432"/>
      <x:c r="B224" s="432" t="str">
        <x:f>IF(CHOOSE($M$42,'Clients'!A182,'Clients'!A182,'Viewings'!A182,'Deals'!A182,'Deals'!A182,'Deals'!A182,'Follow-ups'!A182,'Payments'!A182,'Expenses'!A182)="","",CHOOSE($M$42,'Clients'!A182,'Clients'!A182,'Viewings'!A182,'Deals'!A182,'Deals'!A182,'Deals'!A182,'Follow-ups'!A182,'Payments'!A182,'Expenses'!A182))</x:f>
      </x:c>
      <x:c r="C224" s="472" t="str">
        <x:f>IF(B224="","",IF(CHOOSE($M$42,'Clients'!R182,'Clients'!Q182,'Viewings'!D182,'Deals'!X182,'Deals'!Y182,'Deals'!Z182,'Follow-ups'!H182,'Payments'!C182,'Expenses'!B182)="","",CHOOSE($M$42,'Clients'!R182,'Clients'!Q182,'Viewings'!D182,'Deals'!X182,'Deals'!Y182,'Deals'!Z182,'Follow-ups'!H182,'Payments'!C182,'Expenses'!B182)))</x:f>
      </x:c>
      <x:c r="D224" s="432" t="str">
        <x:f>IF(B224="","",IF(ISNUMBER(CHOOSE($M$42,'Clients'!B182,'Clients'!B182,'Viewings'!H182,IF('Deals'!B182="","",IF(COUNTIFS('Clients'!$A$6:$A$205,'Deals'!B182)&lt;&gt;1,"Check Client ID",INDEX('Clients'!$B$6:$B$205,MATCH('Deals'!B182,'Clients'!$A$6:$A$205,0)))),IF('Deals'!B182="","",IF(COUNTIFS('Clients'!$A$6:$A$205,'Deals'!B182)&lt;&gt;1,"Check Client ID",INDEX('Clients'!$B$6:$B$205,MATCH('Deals'!B182,'Clients'!$A$6:$A$205,0)))),IF('Deals'!B182="","",IF(COUNTIFS('Clients'!$A$6:$A$205,'Deals'!B182)&lt;&gt;1,"Check Client ID",INDEX('Clients'!$B$6:$B$205,MATCH('Deals'!B182,'Clients'!$A$6:$A$205,0)))),'Follow-ups'!K182,'Payments'!B182,'Expenses'!D182)),CHOOSE($M$42,'Clients'!B182,'Clients'!B182,'Viewings'!H182,IF('Deals'!B182="","",IF(COUNTIFS('Clients'!$A$6:$A$205,'Deals'!B182)&lt;&gt;1,"Check Client ID",INDEX('Clients'!$B$6:$B$205,MATCH('Deals'!B182,'Clients'!$A$6:$A$205,0)))),IF('Deals'!B182="","",IF(COUNTIFS('Clients'!$A$6:$A$205,'Deals'!B182)&lt;&gt;1,"Check Client ID",INDEX('Clients'!$B$6:$B$205,MATCH('Deals'!B182,'Clients'!$A$6:$A$205,0)))),IF('Deals'!B182="","",IF(COUNTIFS('Clients'!$A$6:$A$205,'Deals'!B182)&lt;&gt;1,"Check Client ID",INDEX('Clients'!$B$6:$B$205,MATCH('Deals'!B182,'Clients'!$A$6:$A$205,0)))),'Follow-ups'!K182,'Payments'!B182,'Expenses'!D182),IF(CHOOSE($M$42,'Clients'!B182,'Clients'!B182,'Viewings'!H182,IF('Deals'!B182="","",IF(COUNTIFS('Clients'!$A$6:$A$205,'Deals'!B182)&lt;&gt;1,"Check Client ID",INDEX('Clients'!$B$6:$B$205,MATCH('Deals'!B182,'Clients'!$A$6:$A$205,0)))),IF('Deals'!B182="","",IF(COUNTIFS('Clients'!$A$6:$A$205,'Deals'!B182)&lt;&gt;1,"Check Client ID",INDEX('Clients'!$B$6:$B$205,MATCH('Deals'!B182,'Clients'!$A$6:$A$205,0)))),IF('Deals'!B182="","",IF(COUNTIFS('Clients'!$A$6:$A$205,'Deals'!B182)&lt;&gt;1,"Check Client ID",INDEX('Clients'!$B$6:$B$205,MATCH('Deals'!B182,'Clients'!$A$6:$A$205,0)))),'Follow-ups'!K182,'Payments'!B182,'Expenses'!D182)="","",CHOOSE($M$42,'Clients'!B182,'Clients'!B182,'Viewings'!H182,IF('Deals'!B182="","",IF(COUNTIFS('Clients'!$A$6:$A$205,'Deals'!B182)&lt;&gt;1,"Check Client ID",INDEX('Clients'!$B$6:$B$205,MATCH('Deals'!B182,'Clients'!$A$6:$A$205,0)))),IF('Deals'!B182="","",IF(COUNTIFS('Clients'!$A$6:$A$205,'Deals'!B182)&lt;&gt;1,"Check Client ID",INDEX('Clients'!$B$6:$B$205,MATCH('Deals'!B182,'Clients'!$A$6:$A$205,0)))),IF('Deals'!B182="","",IF(COUNTIFS('Clients'!$A$6:$A$205,'Deals'!B182)&lt;&gt;1,"Check Client ID",INDEX('Clients'!$B$6:$B$205,MATCH('Deals'!B182,'Clients'!$A$6:$A$205,0)))),'Follow-ups'!K182,'Payments'!B182,'Expenses'!D182))))</x:f>
      </x:c>
      <x:c r="E224" s="432" t="str">
        <x:f>IF(B224="","",IF(ISNUMBER(CHOOSE($M$42,'Clients'!K182,'Clients'!K182,'Viewings'!I182,'Deals'!C182,'Deals'!C182,'Deals'!C182,'Follow-ups'!L182,'Payments'!G182,'Expenses'!F182)),CHOOSE($M$42,'Clients'!K182,'Clients'!K182,'Viewings'!I182,'Deals'!C182,'Deals'!C182,'Deals'!C182,'Follow-ups'!L182,'Payments'!G182,'Expenses'!F182),IF(CHOOSE($M$42,'Clients'!K182,'Clients'!K182,'Viewings'!I182,'Deals'!C182,'Deals'!C182,'Deals'!C182,'Follow-ups'!L182,'Payments'!G182,'Expenses'!F182)="","",CHOOSE($M$42,'Clients'!K182,'Clients'!K182,'Viewings'!I182,'Deals'!C182,'Deals'!C182,'Deals'!C182,'Follow-ups'!L182,'Payments'!G182,'Expenses'!F182))))</x:f>
      </x:c>
      <x:c r="F224" s="432" t="str">
        <x:f>IF(B224="","",IF(ISNUMBER(CHOOSE($M$42,'Clients'!H182,'Clients'!H182,'Viewings'!E182,'Deals'!E182,'Deals'!E182,'Deals'!E182,'Follow-ups'!I182,"Receipt",'Expenses'!C182)),CHOOSE($M$42,'Clients'!H182,'Clients'!H182,'Viewings'!E182,'Deals'!E182,'Deals'!E182,'Deals'!E182,'Follow-ups'!I182,"Receipt",'Expenses'!C182),IF(CHOOSE($M$42,'Clients'!H182,'Clients'!H182,'Viewings'!E182,'Deals'!E182,'Deals'!E182,'Deals'!E182,'Follow-ups'!I182,"Receipt",'Expenses'!C182)="","",CHOOSE($M$42,'Clients'!H182,'Clients'!H182,'Viewings'!E182,'Deals'!E182,'Deals'!E182,'Deals'!E182,'Follow-ups'!I182,"Receipt",'Expenses'!C182))))</x:f>
      </x:c>
      <x:c r="G224" s="473" t="str">
        <x:f>IF(B224="","",IF(ISNUMBER(CHOOSE($M$42,"","","",'Deals'!F182,'Deals'!F182,'Deals'!F182,"",'Payments'!D182,'Expenses'!G182)),CHOOSE($M$42,"","","",'Deals'!F182,'Deals'!F182,'Deals'!F182,"",'Payments'!D182,'Expenses'!G182),IF(CHOOSE($M$42,"","","",'Deals'!F182,'Deals'!F182,'Deals'!F182,"",'Payments'!D182,'Expenses'!G182)="","",CHOOSE($M$42,"","","",'Deals'!F182,'Deals'!F182,'Deals'!F182,"",'Payments'!D182,'Expenses'!G182))))</x:f>
      </x:c>
      <x:c r="H224" s="432" t="n">
        <x:f>IF(AND($M$43=1,B224&lt;&gt;"",ISNUMBER(C224),C224&gt;=$G$6,C224&lt;$K$6+1),1,0)</x:f>
        <x:v>0</x:v>
      </x:c>
      <x:c r="I224" s="432" t="str">
        <x:f>IF(H224=0,"",COUNTIFS($H$48:$H$247,1,$C$48:$C$247,"&lt;"&amp;C224)+COUNTIFS($H$48:H224,1,$C$48:C224,C224))</x:f>
      </x:c>
      <x:c r="J224" s="432"/>
      <x:c r="K224" s="432"/>
      <x:c r="L224" s="432"/>
      <x:c r="M224" s="432"/>
      <x:c r="N224" s="432"/>
      <x:c r="O224" s="432"/>
      <x:c r="P224" s="432"/>
      <x:c r="Q224" s="432"/>
    </x:row>
    <x:row r="225" ht="25" customHeight="1">
      <x:c r="A225" s="432"/>
      <x:c r="B225" s="432" t="str">
        <x:f>IF(CHOOSE($M$42,'Clients'!A183,'Clients'!A183,'Viewings'!A183,'Deals'!A183,'Deals'!A183,'Deals'!A183,'Follow-ups'!A183,'Payments'!A183,'Expenses'!A183)="","",CHOOSE($M$42,'Clients'!A183,'Clients'!A183,'Viewings'!A183,'Deals'!A183,'Deals'!A183,'Deals'!A183,'Follow-ups'!A183,'Payments'!A183,'Expenses'!A183))</x:f>
      </x:c>
      <x:c r="C225" s="472" t="str">
        <x:f>IF(B225="","",IF(CHOOSE($M$42,'Clients'!R183,'Clients'!Q183,'Viewings'!D183,'Deals'!X183,'Deals'!Y183,'Deals'!Z183,'Follow-ups'!H183,'Payments'!C183,'Expenses'!B183)="","",CHOOSE($M$42,'Clients'!R183,'Clients'!Q183,'Viewings'!D183,'Deals'!X183,'Deals'!Y183,'Deals'!Z183,'Follow-ups'!H183,'Payments'!C183,'Expenses'!B183)))</x:f>
      </x:c>
      <x:c r="D225" s="432" t="str">
        <x:f>IF(B225="","",IF(ISNUMBER(CHOOSE($M$42,'Clients'!B183,'Clients'!B183,'Viewings'!H183,IF('Deals'!B183="","",IF(COUNTIFS('Clients'!$A$6:$A$205,'Deals'!B183)&lt;&gt;1,"Check Client ID",INDEX('Clients'!$B$6:$B$205,MATCH('Deals'!B183,'Clients'!$A$6:$A$205,0)))),IF('Deals'!B183="","",IF(COUNTIFS('Clients'!$A$6:$A$205,'Deals'!B183)&lt;&gt;1,"Check Client ID",INDEX('Clients'!$B$6:$B$205,MATCH('Deals'!B183,'Clients'!$A$6:$A$205,0)))),IF('Deals'!B183="","",IF(COUNTIFS('Clients'!$A$6:$A$205,'Deals'!B183)&lt;&gt;1,"Check Client ID",INDEX('Clients'!$B$6:$B$205,MATCH('Deals'!B183,'Clients'!$A$6:$A$205,0)))),'Follow-ups'!K183,'Payments'!B183,'Expenses'!D183)),CHOOSE($M$42,'Clients'!B183,'Clients'!B183,'Viewings'!H183,IF('Deals'!B183="","",IF(COUNTIFS('Clients'!$A$6:$A$205,'Deals'!B183)&lt;&gt;1,"Check Client ID",INDEX('Clients'!$B$6:$B$205,MATCH('Deals'!B183,'Clients'!$A$6:$A$205,0)))),IF('Deals'!B183="","",IF(COUNTIFS('Clients'!$A$6:$A$205,'Deals'!B183)&lt;&gt;1,"Check Client ID",INDEX('Clients'!$B$6:$B$205,MATCH('Deals'!B183,'Clients'!$A$6:$A$205,0)))),IF('Deals'!B183="","",IF(COUNTIFS('Clients'!$A$6:$A$205,'Deals'!B183)&lt;&gt;1,"Check Client ID",INDEX('Clients'!$B$6:$B$205,MATCH('Deals'!B183,'Clients'!$A$6:$A$205,0)))),'Follow-ups'!K183,'Payments'!B183,'Expenses'!D183),IF(CHOOSE($M$42,'Clients'!B183,'Clients'!B183,'Viewings'!H183,IF('Deals'!B183="","",IF(COUNTIFS('Clients'!$A$6:$A$205,'Deals'!B183)&lt;&gt;1,"Check Client ID",INDEX('Clients'!$B$6:$B$205,MATCH('Deals'!B183,'Clients'!$A$6:$A$205,0)))),IF('Deals'!B183="","",IF(COUNTIFS('Clients'!$A$6:$A$205,'Deals'!B183)&lt;&gt;1,"Check Client ID",INDEX('Clients'!$B$6:$B$205,MATCH('Deals'!B183,'Clients'!$A$6:$A$205,0)))),IF('Deals'!B183="","",IF(COUNTIFS('Clients'!$A$6:$A$205,'Deals'!B183)&lt;&gt;1,"Check Client ID",INDEX('Clients'!$B$6:$B$205,MATCH('Deals'!B183,'Clients'!$A$6:$A$205,0)))),'Follow-ups'!K183,'Payments'!B183,'Expenses'!D183)="","",CHOOSE($M$42,'Clients'!B183,'Clients'!B183,'Viewings'!H183,IF('Deals'!B183="","",IF(COUNTIFS('Clients'!$A$6:$A$205,'Deals'!B183)&lt;&gt;1,"Check Client ID",INDEX('Clients'!$B$6:$B$205,MATCH('Deals'!B183,'Clients'!$A$6:$A$205,0)))),IF('Deals'!B183="","",IF(COUNTIFS('Clients'!$A$6:$A$205,'Deals'!B183)&lt;&gt;1,"Check Client ID",INDEX('Clients'!$B$6:$B$205,MATCH('Deals'!B183,'Clients'!$A$6:$A$205,0)))),IF('Deals'!B183="","",IF(COUNTIFS('Clients'!$A$6:$A$205,'Deals'!B183)&lt;&gt;1,"Check Client ID",INDEX('Clients'!$B$6:$B$205,MATCH('Deals'!B183,'Clients'!$A$6:$A$205,0)))),'Follow-ups'!K183,'Payments'!B183,'Expenses'!D183))))</x:f>
      </x:c>
      <x:c r="E225" s="432" t="str">
        <x:f>IF(B225="","",IF(ISNUMBER(CHOOSE($M$42,'Clients'!K183,'Clients'!K183,'Viewings'!I183,'Deals'!C183,'Deals'!C183,'Deals'!C183,'Follow-ups'!L183,'Payments'!G183,'Expenses'!F183)),CHOOSE($M$42,'Clients'!K183,'Clients'!K183,'Viewings'!I183,'Deals'!C183,'Deals'!C183,'Deals'!C183,'Follow-ups'!L183,'Payments'!G183,'Expenses'!F183),IF(CHOOSE($M$42,'Clients'!K183,'Clients'!K183,'Viewings'!I183,'Deals'!C183,'Deals'!C183,'Deals'!C183,'Follow-ups'!L183,'Payments'!G183,'Expenses'!F183)="","",CHOOSE($M$42,'Clients'!K183,'Clients'!K183,'Viewings'!I183,'Deals'!C183,'Deals'!C183,'Deals'!C183,'Follow-ups'!L183,'Payments'!G183,'Expenses'!F183))))</x:f>
      </x:c>
      <x:c r="F225" s="432" t="str">
        <x:f>IF(B225="","",IF(ISNUMBER(CHOOSE($M$42,'Clients'!H183,'Clients'!H183,'Viewings'!E183,'Deals'!E183,'Deals'!E183,'Deals'!E183,'Follow-ups'!I183,"Receipt",'Expenses'!C183)),CHOOSE($M$42,'Clients'!H183,'Clients'!H183,'Viewings'!E183,'Deals'!E183,'Deals'!E183,'Deals'!E183,'Follow-ups'!I183,"Receipt",'Expenses'!C183),IF(CHOOSE($M$42,'Clients'!H183,'Clients'!H183,'Viewings'!E183,'Deals'!E183,'Deals'!E183,'Deals'!E183,'Follow-ups'!I183,"Receipt",'Expenses'!C183)="","",CHOOSE($M$42,'Clients'!H183,'Clients'!H183,'Viewings'!E183,'Deals'!E183,'Deals'!E183,'Deals'!E183,'Follow-ups'!I183,"Receipt",'Expenses'!C183))))</x:f>
      </x:c>
      <x:c r="G225" s="473" t="str">
        <x:f>IF(B225="","",IF(ISNUMBER(CHOOSE($M$42,"","","",'Deals'!F183,'Deals'!F183,'Deals'!F183,"",'Payments'!D183,'Expenses'!G183)),CHOOSE($M$42,"","","",'Deals'!F183,'Deals'!F183,'Deals'!F183,"",'Payments'!D183,'Expenses'!G183),IF(CHOOSE($M$42,"","","",'Deals'!F183,'Deals'!F183,'Deals'!F183,"",'Payments'!D183,'Expenses'!G183)="","",CHOOSE($M$42,"","","",'Deals'!F183,'Deals'!F183,'Deals'!F183,"",'Payments'!D183,'Expenses'!G183))))</x:f>
      </x:c>
      <x:c r="H225" s="432" t="n">
        <x:f>IF(AND($M$43=1,B225&lt;&gt;"",ISNUMBER(C225),C225&gt;=$G$6,C225&lt;$K$6+1),1,0)</x:f>
        <x:v>0</x:v>
      </x:c>
      <x:c r="I225" s="432" t="str">
        <x:f>IF(H225=0,"",COUNTIFS($H$48:$H$247,1,$C$48:$C$247,"&lt;"&amp;C225)+COUNTIFS($H$48:H225,1,$C$48:C225,C225))</x:f>
      </x:c>
      <x:c r="J225" s="432"/>
      <x:c r="K225" s="432"/>
      <x:c r="L225" s="432"/>
      <x:c r="M225" s="432"/>
      <x:c r="N225" s="432"/>
      <x:c r="O225" s="432"/>
      <x:c r="P225" s="432"/>
      <x:c r="Q225" s="432"/>
    </x:row>
    <x:row r="226" ht="25" customHeight="1">
      <x:c r="A226" s="432"/>
      <x:c r="B226" s="432" t="str">
        <x:f>IF(CHOOSE($M$42,'Clients'!A184,'Clients'!A184,'Viewings'!A184,'Deals'!A184,'Deals'!A184,'Deals'!A184,'Follow-ups'!A184,'Payments'!A184,'Expenses'!A184)="","",CHOOSE($M$42,'Clients'!A184,'Clients'!A184,'Viewings'!A184,'Deals'!A184,'Deals'!A184,'Deals'!A184,'Follow-ups'!A184,'Payments'!A184,'Expenses'!A184))</x:f>
      </x:c>
      <x:c r="C226" s="472" t="str">
        <x:f>IF(B226="","",IF(CHOOSE($M$42,'Clients'!R184,'Clients'!Q184,'Viewings'!D184,'Deals'!X184,'Deals'!Y184,'Deals'!Z184,'Follow-ups'!H184,'Payments'!C184,'Expenses'!B184)="","",CHOOSE($M$42,'Clients'!R184,'Clients'!Q184,'Viewings'!D184,'Deals'!X184,'Deals'!Y184,'Deals'!Z184,'Follow-ups'!H184,'Payments'!C184,'Expenses'!B184)))</x:f>
      </x:c>
      <x:c r="D226" s="432" t="str">
        <x:f>IF(B226="","",IF(ISNUMBER(CHOOSE($M$42,'Clients'!B184,'Clients'!B184,'Viewings'!H184,IF('Deals'!B184="","",IF(COUNTIFS('Clients'!$A$6:$A$205,'Deals'!B184)&lt;&gt;1,"Check Client ID",INDEX('Clients'!$B$6:$B$205,MATCH('Deals'!B184,'Clients'!$A$6:$A$205,0)))),IF('Deals'!B184="","",IF(COUNTIFS('Clients'!$A$6:$A$205,'Deals'!B184)&lt;&gt;1,"Check Client ID",INDEX('Clients'!$B$6:$B$205,MATCH('Deals'!B184,'Clients'!$A$6:$A$205,0)))),IF('Deals'!B184="","",IF(COUNTIFS('Clients'!$A$6:$A$205,'Deals'!B184)&lt;&gt;1,"Check Client ID",INDEX('Clients'!$B$6:$B$205,MATCH('Deals'!B184,'Clients'!$A$6:$A$205,0)))),'Follow-ups'!K184,'Payments'!B184,'Expenses'!D184)),CHOOSE($M$42,'Clients'!B184,'Clients'!B184,'Viewings'!H184,IF('Deals'!B184="","",IF(COUNTIFS('Clients'!$A$6:$A$205,'Deals'!B184)&lt;&gt;1,"Check Client ID",INDEX('Clients'!$B$6:$B$205,MATCH('Deals'!B184,'Clients'!$A$6:$A$205,0)))),IF('Deals'!B184="","",IF(COUNTIFS('Clients'!$A$6:$A$205,'Deals'!B184)&lt;&gt;1,"Check Client ID",INDEX('Clients'!$B$6:$B$205,MATCH('Deals'!B184,'Clients'!$A$6:$A$205,0)))),IF('Deals'!B184="","",IF(COUNTIFS('Clients'!$A$6:$A$205,'Deals'!B184)&lt;&gt;1,"Check Client ID",INDEX('Clients'!$B$6:$B$205,MATCH('Deals'!B184,'Clients'!$A$6:$A$205,0)))),'Follow-ups'!K184,'Payments'!B184,'Expenses'!D184),IF(CHOOSE($M$42,'Clients'!B184,'Clients'!B184,'Viewings'!H184,IF('Deals'!B184="","",IF(COUNTIFS('Clients'!$A$6:$A$205,'Deals'!B184)&lt;&gt;1,"Check Client ID",INDEX('Clients'!$B$6:$B$205,MATCH('Deals'!B184,'Clients'!$A$6:$A$205,0)))),IF('Deals'!B184="","",IF(COUNTIFS('Clients'!$A$6:$A$205,'Deals'!B184)&lt;&gt;1,"Check Client ID",INDEX('Clients'!$B$6:$B$205,MATCH('Deals'!B184,'Clients'!$A$6:$A$205,0)))),IF('Deals'!B184="","",IF(COUNTIFS('Clients'!$A$6:$A$205,'Deals'!B184)&lt;&gt;1,"Check Client ID",INDEX('Clients'!$B$6:$B$205,MATCH('Deals'!B184,'Clients'!$A$6:$A$205,0)))),'Follow-ups'!K184,'Payments'!B184,'Expenses'!D184)="","",CHOOSE($M$42,'Clients'!B184,'Clients'!B184,'Viewings'!H184,IF('Deals'!B184="","",IF(COUNTIFS('Clients'!$A$6:$A$205,'Deals'!B184)&lt;&gt;1,"Check Client ID",INDEX('Clients'!$B$6:$B$205,MATCH('Deals'!B184,'Clients'!$A$6:$A$205,0)))),IF('Deals'!B184="","",IF(COUNTIFS('Clients'!$A$6:$A$205,'Deals'!B184)&lt;&gt;1,"Check Client ID",INDEX('Clients'!$B$6:$B$205,MATCH('Deals'!B184,'Clients'!$A$6:$A$205,0)))),IF('Deals'!B184="","",IF(COUNTIFS('Clients'!$A$6:$A$205,'Deals'!B184)&lt;&gt;1,"Check Client ID",INDEX('Clients'!$B$6:$B$205,MATCH('Deals'!B184,'Clients'!$A$6:$A$205,0)))),'Follow-ups'!K184,'Payments'!B184,'Expenses'!D184))))</x:f>
      </x:c>
      <x:c r="E226" s="432" t="str">
        <x:f>IF(B226="","",IF(ISNUMBER(CHOOSE($M$42,'Clients'!K184,'Clients'!K184,'Viewings'!I184,'Deals'!C184,'Deals'!C184,'Deals'!C184,'Follow-ups'!L184,'Payments'!G184,'Expenses'!F184)),CHOOSE($M$42,'Clients'!K184,'Clients'!K184,'Viewings'!I184,'Deals'!C184,'Deals'!C184,'Deals'!C184,'Follow-ups'!L184,'Payments'!G184,'Expenses'!F184),IF(CHOOSE($M$42,'Clients'!K184,'Clients'!K184,'Viewings'!I184,'Deals'!C184,'Deals'!C184,'Deals'!C184,'Follow-ups'!L184,'Payments'!G184,'Expenses'!F184)="","",CHOOSE($M$42,'Clients'!K184,'Clients'!K184,'Viewings'!I184,'Deals'!C184,'Deals'!C184,'Deals'!C184,'Follow-ups'!L184,'Payments'!G184,'Expenses'!F184))))</x:f>
      </x:c>
      <x:c r="F226" s="432" t="str">
        <x:f>IF(B226="","",IF(ISNUMBER(CHOOSE($M$42,'Clients'!H184,'Clients'!H184,'Viewings'!E184,'Deals'!E184,'Deals'!E184,'Deals'!E184,'Follow-ups'!I184,"Receipt",'Expenses'!C184)),CHOOSE($M$42,'Clients'!H184,'Clients'!H184,'Viewings'!E184,'Deals'!E184,'Deals'!E184,'Deals'!E184,'Follow-ups'!I184,"Receipt",'Expenses'!C184),IF(CHOOSE($M$42,'Clients'!H184,'Clients'!H184,'Viewings'!E184,'Deals'!E184,'Deals'!E184,'Deals'!E184,'Follow-ups'!I184,"Receipt",'Expenses'!C184)="","",CHOOSE($M$42,'Clients'!H184,'Clients'!H184,'Viewings'!E184,'Deals'!E184,'Deals'!E184,'Deals'!E184,'Follow-ups'!I184,"Receipt",'Expenses'!C184))))</x:f>
      </x:c>
      <x:c r="G226" s="473" t="str">
        <x:f>IF(B226="","",IF(ISNUMBER(CHOOSE($M$42,"","","",'Deals'!F184,'Deals'!F184,'Deals'!F184,"",'Payments'!D184,'Expenses'!G184)),CHOOSE($M$42,"","","",'Deals'!F184,'Deals'!F184,'Deals'!F184,"",'Payments'!D184,'Expenses'!G184),IF(CHOOSE($M$42,"","","",'Deals'!F184,'Deals'!F184,'Deals'!F184,"",'Payments'!D184,'Expenses'!G184)="","",CHOOSE($M$42,"","","",'Deals'!F184,'Deals'!F184,'Deals'!F184,"",'Payments'!D184,'Expenses'!G184))))</x:f>
      </x:c>
      <x:c r="H226" s="432" t="n">
        <x:f>IF(AND($M$43=1,B226&lt;&gt;"",ISNUMBER(C226),C226&gt;=$G$6,C226&lt;$K$6+1),1,0)</x:f>
        <x:v>0</x:v>
      </x:c>
      <x:c r="I226" s="432" t="str">
        <x:f>IF(H226=0,"",COUNTIFS($H$48:$H$247,1,$C$48:$C$247,"&lt;"&amp;C226)+COUNTIFS($H$48:H226,1,$C$48:C226,C226))</x:f>
      </x:c>
      <x:c r="J226" s="432"/>
      <x:c r="K226" s="432"/>
      <x:c r="L226" s="432"/>
      <x:c r="M226" s="432"/>
      <x:c r="N226" s="432"/>
      <x:c r="O226" s="432"/>
      <x:c r="P226" s="432"/>
      <x:c r="Q226" s="432"/>
    </x:row>
    <x:row r="227" ht="25" customHeight="1">
      <x:c r="A227" s="432"/>
      <x:c r="B227" s="432" t="str">
        <x:f>IF(CHOOSE($M$42,'Clients'!A185,'Clients'!A185,'Viewings'!A185,'Deals'!A185,'Deals'!A185,'Deals'!A185,'Follow-ups'!A185,'Payments'!A185,'Expenses'!A185)="","",CHOOSE($M$42,'Clients'!A185,'Clients'!A185,'Viewings'!A185,'Deals'!A185,'Deals'!A185,'Deals'!A185,'Follow-ups'!A185,'Payments'!A185,'Expenses'!A185))</x:f>
      </x:c>
      <x:c r="C227" s="472" t="str">
        <x:f>IF(B227="","",IF(CHOOSE($M$42,'Clients'!R185,'Clients'!Q185,'Viewings'!D185,'Deals'!X185,'Deals'!Y185,'Deals'!Z185,'Follow-ups'!H185,'Payments'!C185,'Expenses'!B185)="","",CHOOSE($M$42,'Clients'!R185,'Clients'!Q185,'Viewings'!D185,'Deals'!X185,'Deals'!Y185,'Deals'!Z185,'Follow-ups'!H185,'Payments'!C185,'Expenses'!B185)))</x:f>
      </x:c>
      <x:c r="D227" s="432" t="str">
        <x:f>IF(B227="","",IF(ISNUMBER(CHOOSE($M$42,'Clients'!B185,'Clients'!B185,'Viewings'!H185,IF('Deals'!B185="","",IF(COUNTIFS('Clients'!$A$6:$A$205,'Deals'!B185)&lt;&gt;1,"Check Client ID",INDEX('Clients'!$B$6:$B$205,MATCH('Deals'!B185,'Clients'!$A$6:$A$205,0)))),IF('Deals'!B185="","",IF(COUNTIFS('Clients'!$A$6:$A$205,'Deals'!B185)&lt;&gt;1,"Check Client ID",INDEX('Clients'!$B$6:$B$205,MATCH('Deals'!B185,'Clients'!$A$6:$A$205,0)))),IF('Deals'!B185="","",IF(COUNTIFS('Clients'!$A$6:$A$205,'Deals'!B185)&lt;&gt;1,"Check Client ID",INDEX('Clients'!$B$6:$B$205,MATCH('Deals'!B185,'Clients'!$A$6:$A$205,0)))),'Follow-ups'!K185,'Payments'!B185,'Expenses'!D185)),CHOOSE($M$42,'Clients'!B185,'Clients'!B185,'Viewings'!H185,IF('Deals'!B185="","",IF(COUNTIFS('Clients'!$A$6:$A$205,'Deals'!B185)&lt;&gt;1,"Check Client ID",INDEX('Clients'!$B$6:$B$205,MATCH('Deals'!B185,'Clients'!$A$6:$A$205,0)))),IF('Deals'!B185="","",IF(COUNTIFS('Clients'!$A$6:$A$205,'Deals'!B185)&lt;&gt;1,"Check Client ID",INDEX('Clients'!$B$6:$B$205,MATCH('Deals'!B185,'Clients'!$A$6:$A$205,0)))),IF('Deals'!B185="","",IF(COUNTIFS('Clients'!$A$6:$A$205,'Deals'!B185)&lt;&gt;1,"Check Client ID",INDEX('Clients'!$B$6:$B$205,MATCH('Deals'!B185,'Clients'!$A$6:$A$205,0)))),'Follow-ups'!K185,'Payments'!B185,'Expenses'!D185),IF(CHOOSE($M$42,'Clients'!B185,'Clients'!B185,'Viewings'!H185,IF('Deals'!B185="","",IF(COUNTIFS('Clients'!$A$6:$A$205,'Deals'!B185)&lt;&gt;1,"Check Client ID",INDEX('Clients'!$B$6:$B$205,MATCH('Deals'!B185,'Clients'!$A$6:$A$205,0)))),IF('Deals'!B185="","",IF(COUNTIFS('Clients'!$A$6:$A$205,'Deals'!B185)&lt;&gt;1,"Check Client ID",INDEX('Clients'!$B$6:$B$205,MATCH('Deals'!B185,'Clients'!$A$6:$A$205,0)))),IF('Deals'!B185="","",IF(COUNTIFS('Clients'!$A$6:$A$205,'Deals'!B185)&lt;&gt;1,"Check Client ID",INDEX('Clients'!$B$6:$B$205,MATCH('Deals'!B185,'Clients'!$A$6:$A$205,0)))),'Follow-ups'!K185,'Payments'!B185,'Expenses'!D185)="","",CHOOSE($M$42,'Clients'!B185,'Clients'!B185,'Viewings'!H185,IF('Deals'!B185="","",IF(COUNTIFS('Clients'!$A$6:$A$205,'Deals'!B185)&lt;&gt;1,"Check Client ID",INDEX('Clients'!$B$6:$B$205,MATCH('Deals'!B185,'Clients'!$A$6:$A$205,0)))),IF('Deals'!B185="","",IF(COUNTIFS('Clients'!$A$6:$A$205,'Deals'!B185)&lt;&gt;1,"Check Client ID",INDEX('Clients'!$B$6:$B$205,MATCH('Deals'!B185,'Clients'!$A$6:$A$205,0)))),IF('Deals'!B185="","",IF(COUNTIFS('Clients'!$A$6:$A$205,'Deals'!B185)&lt;&gt;1,"Check Client ID",INDEX('Clients'!$B$6:$B$205,MATCH('Deals'!B185,'Clients'!$A$6:$A$205,0)))),'Follow-ups'!K185,'Payments'!B185,'Expenses'!D185))))</x:f>
      </x:c>
      <x:c r="E227" s="432" t="str">
        <x:f>IF(B227="","",IF(ISNUMBER(CHOOSE($M$42,'Clients'!K185,'Clients'!K185,'Viewings'!I185,'Deals'!C185,'Deals'!C185,'Deals'!C185,'Follow-ups'!L185,'Payments'!G185,'Expenses'!F185)),CHOOSE($M$42,'Clients'!K185,'Clients'!K185,'Viewings'!I185,'Deals'!C185,'Deals'!C185,'Deals'!C185,'Follow-ups'!L185,'Payments'!G185,'Expenses'!F185),IF(CHOOSE($M$42,'Clients'!K185,'Clients'!K185,'Viewings'!I185,'Deals'!C185,'Deals'!C185,'Deals'!C185,'Follow-ups'!L185,'Payments'!G185,'Expenses'!F185)="","",CHOOSE($M$42,'Clients'!K185,'Clients'!K185,'Viewings'!I185,'Deals'!C185,'Deals'!C185,'Deals'!C185,'Follow-ups'!L185,'Payments'!G185,'Expenses'!F185))))</x:f>
      </x:c>
      <x:c r="F227" s="432" t="str">
        <x:f>IF(B227="","",IF(ISNUMBER(CHOOSE($M$42,'Clients'!H185,'Clients'!H185,'Viewings'!E185,'Deals'!E185,'Deals'!E185,'Deals'!E185,'Follow-ups'!I185,"Receipt",'Expenses'!C185)),CHOOSE($M$42,'Clients'!H185,'Clients'!H185,'Viewings'!E185,'Deals'!E185,'Deals'!E185,'Deals'!E185,'Follow-ups'!I185,"Receipt",'Expenses'!C185),IF(CHOOSE($M$42,'Clients'!H185,'Clients'!H185,'Viewings'!E185,'Deals'!E185,'Deals'!E185,'Deals'!E185,'Follow-ups'!I185,"Receipt",'Expenses'!C185)="","",CHOOSE($M$42,'Clients'!H185,'Clients'!H185,'Viewings'!E185,'Deals'!E185,'Deals'!E185,'Deals'!E185,'Follow-ups'!I185,"Receipt",'Expenses'!C185))))</x:f>
      </x:c>
      <x:c r="G227" s="473" t="str">
        <x:f>IF(B227="","",IF(ISNUMBER(CHOOSE($M$42,"","","",'Deals'!F185,'Deals'!F185,'Deals'!F185,"",'Payments'!D185,'Expenses'!G185)),CHOOSE($M$42,"","","",'Deals'!F185,'Deals'!F185,'Deals'!F185,"",'Payments'!D185,'Expenses'!G185),IF(CHOOSE($M$42,"","","",'Deals'!F185,'Deals'!F185,'Deals'!F185,"",'Payments'!D185,'Expenses'!G185)="","",CHOOSE($M$42,"","","",'Deals'!F185,'Deals'!F185,'Deals'!F185,"",'Payments'!D185,'Expenses'!G185))))</x:f>
      </x:c>
      <x:c r="H227" s="432" t="n">
        <x:f>IF(AND($M$43=1,B227&lt;&gt;"",ISNUMBER(C227),C227&gt;=$G$6,C227&lt;$K$6+1),1,0)</x:f>
        <x:v>0</x:v>
      </x:c>
      <x:c r="I227" s="432" t="str">
        <x:f>IF(H227=0,"",COUNTIFS($H$48:$H$247,1,$C$48:$C$247,"&lt;"&amp;C227)+COUNTIFS($H$48:H227,1,$C$48:C227,C227))</x:f>
      </x:c>
      <x:c r="J227" s="432"/>
      <x:c r="K227" s="432"/>
      <x:c r="L227" s="432"/>
      <x:c r="M227" s="432"/>
      <x:c r="N227" s="432"/>
      <x:c r="O227" s="432"/>
      <x:c r="P227" s="432"/>
      <x:c r="Q227" s="432"/>
    </x:row>
    <x:row r="228" ht="25" customHeight="1">
      <x:c r="A228" s="432"/>
      <x:c r="B228" s="432" t="str">
        <x:f>IF(CHOOSE($M$42,'Clients'!A186,'Clients'!A186,'Viewings'!A186,'Deals'!A186,'Deals'!A186,'Deals'!A186,'Follow-ups'!A186,'Payments'!A186,'Expenses'!A186)="","",CHOOSE($M$42,'Clients'!A186,'Clients'!A186,'Viewings'!A186,'Deals'!A186,'Deals'!A186,'Deals'!A186,'Follow-ups'!A186,'Payments'!A186,'Expenses'!A186))</x:f>
      </x:c>
      <x:c r="C228" s="472" t="str">
        <x:f>IF(B228="","",IF(CHOOSE($M$42,'Clients'!R186,'Clients'!Q186,'Viewings'!D186,'Deals'!X186,'Deals'!Y186,'Deals'!Z186,'Follow-ups'!H186,'Payments'!C186,'Expenses'!B186)="","",CHOOSE($M$42,'Clients'!R186,'Clients'!Q186,'Viewings'!D186,'Deals'!X186,'Deals'!Y186,'Deals'!Z186,'Follow-ups'!H186,'Payments'!C186,'Expenses'!B186)))</x:f>
      </x:c>
      <x:c r="D228" s="432" t="str">
        <x:f>IF(B228="","",IF(ISNUMBER(CHOOSE($M$42,'Clients'!B186,'Clients'!B186,'Viewings'!H186,IF('Deals'!B186="","",IF(COUNTIFS('Clients'!$A$6:$A$205,'Deals'!B186)&lt;&gt;1,"Check Client ID",INDEX('Clients'!$B$6:$B$205,MATCH('Deals'!B186,'Clients'!$A$6:$A$205,0)))),IF('Deals'!B186="","",IF(COUNTIFS('Clients'!$A$6:$A$205,'Deals'!B186)&lt;&gt;1,"Check Client ID",INDEX('Clients'!$B$6:$B$205,MATCH('Deals'!B186,'Clients'!$A$6:$A$205,0)))),IF('Deals'!B186="","",IF(COUNTIFS('Clients'!$A$6:$A$205,'Deals'!B186)&lt;&gt;1,"Check Client ID",INDEX('Clients'!$B$6:$B$205,MATCH('Deals'!B186,'Clients'!$A$6:$A$205,0)))),'Follow-ups'!K186,'Payments'!B186,'Expenses'!D186)),CHOOSE($M$42,'Clients'!B186,'Clients'!B186,'Viewings'!H186,IF('Deals'!B186="","",IF(COUNTIFS('Clients'!$A$6:$A$205,'Deals'!B186)&lt;&gt;1,"Check Client ID",INDEX('Clients'!$B$6:$B$205,MATCH('Deals'!B186,'Clients'!$A$6:$A$205,0)))),IF('Deals'!B186="","",IF(COUNTIFS('Clients'!$A$6:$A$205,'Deals'!B186)&lt;&gt;1,"Check Client ID",INDEX('Clients'!$B$6:$B$205,MATCH('Deals'!B186,'Clients'!$A$6:$A$205,0)))),IF('Deals'!B186="","",IF(COUNTIFS('Clients'!$A$6:$A$205,'Deals'!B186)&lt;&gt;1,"Check Client ID",INDEX('Clients'!$B$6:$B$205,MATCH('Deals'!B186,'Clients'!$A$6:$A$205,0)))),'Follow-ups'!K186,'Payments'!B186,'Expenses'!D186),IF(CHOOSE($M$42,'Clients'!B186,'Clients'!B186,'Viewings'!H186,IF('Deals'!B186="","",IF(COUNTIFS('Clients'!$A$6:$A$205,'Deals'!B186)&lt;&gt;1,"Check Client ID",INDEX('Clients'!$B$6:$B$205,MATCH('Deals'!B186,'Clients'!$A$6:$A$205,0)))),IF('Deals'!B186="","",IF(COUNTIFS('Clients'!$A$6:$A$205,'Deals'!B186)&lt;&gt;1,"Check Client ID",INDEX('Clients'!$B$6:$B$205,MATCH('Deals'!B186,'Clients'!$A$6:$A$205,0)))),IF('Deals'!B186="","",IF(COUNTIFS('Clients'!$A$6:$A$205,'Deals'!B186)&lt;&gt;1,"Check Client ID",INDEX('Clients'!$B$6:$B$205,MATCH('Deals'!B186,'Clients'!$A$6:$A$205,0)))),'Follow-ups'!K186,'Payments'!B186,'Expenses'!D186)="","",CHOOSE($M$42,'Clients'!B186,'Clients'!B186,'Viewings'!H186,IF('Deals'!B186="","",IF(COUNTIFS('Clients'!$A$6:$A$205,'Deals'!B186)&lt;&gt;1,"Check Client ID",INDEX('Clients'!$B$6:$B$205,MATCH('Deals'!B186,'Clients'!$A$6:$A$205,0)))),IF('Deals'!B186="","",IF(COUNTIFS('Clients'!$A$6:$A$205,'Deals'!B186)&lt;&gt;1,"Check Client ID",INDEX('Clients'!$B$6:$B$205,MATCH('Deals'!B186,'Clients'!$A$6:$A$205,0)))),IF('Deals'!B186="","",IF(COUNTIFS('Clients'!$A$6:$A$205,'Deals'!B186)&lt;&gt;1,"Check Client ID",INDEX('Clients'!$B$6:$B$205,MATCH('Deals'!B186,'Clients'!$A$6:$A$205,0)))),'Follow-ups'!K186,'Payments'!B186,'Expenses'!D186))))</x:f>
      </x:c>
      <x:c r="E228" s="432" t="str">
        <x:f>IF(B228="","",IF(ISNUMBER(CHOOSE($M$42,'Clients'!K186,'Clients'!K186,'Viewings'!I186,'Deals'!C186,'Deals'!C186,'Deals'!C186,'Follow-ups'!L186,'Payments'!G186,'Expenses'!F186)),CHOOSE($M$42,'Clients'!K186,'Clients'!K186,'Viewings'!I186,'Deals'!C186,'Deals'!C186,'Deals'!C186,'Follow-ups'!L186,'Payments'!G186,'Expenses'!F186),IF(CHOOSE($M$42,'Clients'!K186,'Clients'!K186,'Viewings'!I186,'Deals'!C186,'Deals'!C186,'Deals'!C186,'Follow-ups'!L186,'Payments'!G186,'Expenses'!F186)="","",CHOOSE($M$42,'Clients'!K186,'Clients'!K186,'Viewings'!I186,'Deals'!C186,'Deals'!C186,'Deals'!C186,'Follow-ups'!L186,'Payments'!G186,'Expenses'!F186))))</x:f>
      </x:c>
      <x:c r="F228" s="432" t="str">
        <x:f>IF(B228="","",IF(ISNUMBER(CHOOSE($M$42,'Clients'!H186,'Clients'!H186,'Viewings'!E186,'Deals'!E186,'Deals'!E186,'Deals'!E186,'Follow-ups'!I186,"Receipt",'Expenses'!C186)),CHOOSE($M$42,'Clients'!H186,'Clients'!H186,'Viewings'!E186,'Deals'!E186,'Deals'!E186,'Deals'!E186,'Follow-ups'!I186,"Receipt",'Expenses'!C186),IF(CHOOSE($M$42,'Clients'!H186,'Clients'!H186,'Viewings'!E186,'Deals'!E186,'Deals'!E186,'Deals'!E186,'Follow-ups'!I186,"Receipt",'Expenses'!C186)="","",CHOOSE($M$42,'Clients'!H186,'Clients'!H186,'Viewings'!E186,'Deals'!E186,'Deals'!E186,'Deals'!E186,'Follow-ups'!I186,"Receipt",'Expenses'!C186))))</x:f>
      </x:c>
      <x:c r="G228" s="473" t="str">
        <x:f>IF(B228="","",IF(ISNUMBER(CHOOSE($M$42,"","","",'Deals'!F186,'Deals'!F186,'Deals'!F186,"",'Payments'!D186,'Expenses'!G186)),CHOOSE($M$42,"","","",'Deals'!F186,'Deals'!F186,'Deals'!F186,"",'Payments'!D186,'Expenses'!G186),IF(CHOOSE($M$42,"","","",'Deals'!F186,'Deals'!F186,'Deals'!F186,"",'Payments'!D186,'Expenses'!G186)="","",CHOOSE($M$42,"","","",'Deals'!F186,'Deals'!F186,'Deals'!F186,"",'Payments'!D186,'Expenses'!G186))))</x:f>
      </x:c>
      <x:c r="H228" s="432" t="n">
        <x:f>IF(AND($M$43=1,B228&lt;&gt;"",ISNUMBER(C228),C228&gt;=$G$6,C228&lt;$K$6+1),1,0)</x:f>
        <x:v>0</x:v>
      </x:c>
      <x:c r="I228" s="432" t="str">
        <x:f>IF(H228=0,"",COUNTIFS($H$48:$H$247,1,$C$48:$C$247,"&lt;"&amp;C228)+COUNTIFS($H$48:H228,1,$C$48:C228,C228))</x:f>
      </x:c>
      <x:c r="J228" s="432"/>
      <x:c r="K228" s="432"/>
      <x:c r="L228" s="432"/>
      <x:c r="M228" s="432"/>
      <x:c r="N228" s="432"/>
      <x:c r="O228" s="432"/>
      <x:c r="P228" s="432"/>
      <x:c r="Q228" s="432"/>
    </x:row>
    <x:row r="229" ht="25" customHeight="1">
      <x:c r="A229" s="432"/>
      <x:c r="B229" s="432" t="str">
        <x:f>IF(CHOOSE($M$42,'Clients'!A187,'Clients'!A187,'Viewings'!A187,'Deals'!A187,'Deals'!A187,'Deals'!A187,'Follow-ups'!A187,'Payments'!A187,'Expenses'!A187)="","",CHOOSE($M$42,'Clients'!A187,'Clients'!A187,'Viewings'!A187,'Deals'!A187,'Deals'!A187,'Deals'!A187,'Follow-ups'!A187,'Payments'!A187,'Expenses'!A187))</x:f>
      </x:c>
      <x:c r="C229" s="472" t="str">
        <x:f>IF(B229="","",IF(CHOOSE($M$42,'Clients'!R187,'Clients'!Q187,'Viewings'!D187,'Deals'!X187,'Deals'!Y187,'Deals'!Z187,'Follow-ups'!H187,'Payments'!C187,'Expenses'!B187)="","",CHOOSE($M$42,'Clients'!R187,'Clients'!Q187,'Viewings'!D187,'Deals'!X187,'Deals'!Y187,'Deals'!Z187,'Follow-ups'!H187,'Payments'!C187,'Expenses'!B187)))</x:f>
      </x:c>
      <x:c r="D229" s="432" t="str">
        <x:f>IF(B229="","",IF(ISNUMBER(CHOOSE($M$42,'Clients'!B187,'Clients'!B187,'Viewings'!H187,IF('Deals'!B187="","",IF(COUNTIFS('Clients'!$A$6:$A$205,'Deals'!B187)&lt;&gt;1,"Check Client ID",INDEX('Clients'!$B$6:$B$205,MATCH('Deals'!B187,'Clients'!$A$6:$A$205,0)))),IF('Deals'!B187="","",IF(COUNTIFS('Clients'!$A$6:$A$205,'Deals'!B187)&lt;&gt;1,"Check Client ID",INDEX('Clients'!$B$6:$B$205,MATCH('Deals'!B187,'Clients'!$A$6:$A$205,0)))),IF('Deals'!B187="","",IF(COUNTIFS('Clients'!$A$6:$A$205,'Deals'!B187)&lt;&gt;1,"Check Client ID",INDEX('Clients'!$B$6:$B$205,MATCH('Deals'!B187,'Clients'!$A$6:$A$205,0)))),'Follow-ups'!K187,'Payments'!B187,'Expenses'!D187)),CHOOSE($M$42,'Clients'!B187,'Clients'!B187,'Viewings'!H187,IF('Deals'!B187="","",IF(COUNTIFS('Clients'!$A$6:$A$205,'Deals'!B187)&lt;&gt;1,"Check Client ID",INDEX('Clients'!$B$6:$B$205,MATCH('Deals'!B187,'Clients'!$A$6:$A$205,0)))),IF('Deals'!B187="","",IF(COUNTIFS('Clients'!$A$6:$A$205,'Deals'!B187)&lt;&gt;1,"Check Client ID",INDEX('Clients'!$B$6:$B$205,MATCH('Deals'!B187,'Clients'!$A$6:$A$205,0)))),IF('Deals'!B187="","",IF(COUNTIFS('Clients'!$A$6:$A$205,'Deals'!B187)&lt;&gt;1,"Check Client ID",INDEX('Clients'!$B$6:$B$205,MATCH('Deals'!B187,'Clients'!$A$6:$A$205,0)))),'Follow-ups'!K187,'Payments'!B187,'Expenses'!D187),IF(CHOOSE($M$42,'Clients'!B187,'Clients'!B187,'Viewings'!H187,IF('Deals'!B187="","",IF(COUNTIFS('Clients'!$A$6:$A$205,'Deals'!B187)&lt;&gt;1,"Check Client ID",INDEX('Clients'!$B$6:$B$205,MATCH('Deals'!B187,'Clients'!$A$6:$A$205,0)))),IF('Deals'!B187="","",IF(COUNTIFS('Clients'!$A$6:$A$205,'Deals'!B187)&lt;&gt;1,"Check Client ID",INDEX('Clients'!$B$6:$B$205,MATCH('Deals'!B187,'Clients'!$A$6:$A$205,0)))),IF('Deals'!B187="","",IF(COUNTIFS('Clients'!$A$6:$A$205,'Deals'!B187)&lt;&gt;1,"Check Client ID",INDEX('Clients'!$B$6:$B$205,MATCH('Deals'!B187,'Clients'!$A$6:$A$205,0)))),'Follow-ups'!K187,'Payments'!B187,'Expenses'!D187)="","",CHOOSE($M$42,'Clients'!B187,'Clients'!B187,'Viewings'!H187,IF('Deals'!B187="","",IF(COUNTIFS('Clients'!$A$6:$A$205,'Deals'!B187)&lt;&gt;1,"Check Client ID",INDEX('Clients'!$B$6:$B$205,MATCH('Deals'!B187,'Clients'!$A$6:$A$205,0)))),IF('Deals'!B187="","",IF(COUNTIFS('Clients'!$A$6:$A$205,'Deals'!B187)&lt;&gt;1,"Check Client ID",INDEX('Clients'!$B$6:$B$205,MATCH('Deals'!B187,'Clients'!$A$6:$A$205,0)))),IF('Deals'!B187="","",IF(COUNTIFS('Clients'!$A$6:$A$205,'Deals'!B187)&lt;&gt;1,"Check Client ID",INDEX('Clients'!$B$6:$B$205,MATCH('Deals'!B187,'Clients'!$A$6:$A$205,0)))),'Follow-ups'!K187,'Payments'!B187,'Expenses'!D187))))</x:f>
      </x:c>
      <x:c r="E229" s="432" t="str">
        <x:f>IF(B229="","",IF(ISNUMBER(CHOOSE($M$42,'Clients'!K187,'Clients'!K187,'Viewings'!I187,'Deals'!C187,'Deals'!C187,'Deals'!C187,'Follow-ups'!L187,'Payments'!G187,'Expenses'!F187)),CHOOSE($M$42,'Clients'!K187,'Clients'!K187,'Viewings'!I187,'Deals'!C187,'Deals'!C187,'Deals'!C187,'Follow-ups'!L187,'Payments'!G187,'Expenses'!F187),IF(CHOOSE($M$42,'Clients'!K187,'Clients'!K187,'Viewings'!I187,'Deals'!C187,'Deals'!C187,'Deals'!C187,'Follow-ups'!L187,'Payments'!G187,'Expenses'!F187)="","",CHOOSE($M$42,'Clients'!K187,'Clients'!K187,'Viewings'!I187,'Deals'!C187,'Deals'!C187,'Deals'!C187,'Follow-ups'!L187,'Payments'!G187,'Expenses'!F187))))</x:f>
      </x:c>
      <x:c r="F229" s="432" t="str">
        <x:f>IF(B229="","",IF(ISNUMBER(CHOOSE($M$42,'Clients'!H187,'Clients'!H187,'Viewings'!E187,'Deals'!E187,'Deals'!E187,'Deals'!E187,'Follow-ups'!I187,"Receipt",'Expenses'!C187)),CHOOSE($M$42,'Clients'!H187,'Clients'!H187,'Viewings'!E187,'Deals'!E187,'Deals'!E187,'Deals'!E187,'Follow-ups'!I187,"Receipt",'Expenses'!C187),IF(CHOOSE($M$42,'Clients'!H187,'Clients'!H187,'Viewings'!E187,'Deals'!E187,'Deals'!E187,'Deals'!E187,'Follow-ups'!I187,"Receipt",'Expenses'!C187)="","",CHOOSE($M$42,'Clients'!H187,'Clients'!H187,'Viewings'!E187,'Deals'!E187,'Deals'!E187,'Deals'!E187,'Follow-ups'!I187,"Receipt",'Expenses'!C187))))</x:f>
      </x:c>
      <x:c r="G229" s="473" t="str">
        <x:f>IF(B229="","",IF(ISNUMBER(CHOOSE($M$42,"","","",'Deals'!F187,'Deals'!F187,'Deals'!F187,"",'Payments'!D187,'Expenses'!G187)),CHOOSE($M$42,"","","",'Deals'!F187,'Deals'!F187,'Deals'!F187,"",'Payments'!D187,'Expenses'!G187),IF(CHOOSE($M$42,"","","",'Deals'!F187,'Deals'!F187,'Deals'!F187,"",'Payments'!D187,'Expenses'!G187)="","",CHOOSE($M$42,"","","",'Deals'!F187,'Deals'!F187,'Deals'!F187,"",'Payments'!D187,'Expenses'!G187))))</x:f>
      </x:c>
      <x:c r="H229" s="432" t="n">
        <x:f>IF(AND($M$43=1,B229&lt;&gt;"",ISNUMBER(C229),C229&gt;=$G$6,C229&lt;$K$6+1),1,0)</x:f>
        <x:v>0</x:v>
      </x:c>
      <x:c r="I229" s="432" t="str">
        <x:f>IF(H229=0,"",COUNTIFS($H$48:$H$247,1,$C$48:$C$247,"&lt;"&amp;C229)+COUNTIFS($H$48:H229,1,$C$48:C229,C229))</x:f>
      </x:c>
      <x:c r="J229" s="432"/>
      <x:c r="K229" s="432"/>
      <x:c r="L229" s="432"/>
      <x:c r="M229" s="432"/>
      <x:c r="N229" s="432"/>
      <x:c r="O229" s="432"/>
      <x:c r="P229" s="432"/>
      <x:c r="Q229" s="432"/>
    </x:row>
    <x:row r="230" ht="25" customHeight="1">
      <x:c r="A230" s="432"/>
      <x:c r="B230" s="432" t="str">
        <x:f>IF(CHOOSE($M$42,'Clients'!A188,'Clients'!A188,'Viewings'!A188,'Deals'!A188,'Deals'!A188,'Deals'!A188,'Follow-ups'!A188,'Payments'!A188,'Expenses'!A188)="","",CHOOSE($M$42,'Clients'!A188,'Clients'!A188,'Viewings'!A188,'Deals'!A188,'Deals'!A188,'Deals'!A188,'Follow-ups'!A188,'Payments'!A188,'Expenses'!A188))</x:f>
      </x:c>
      <x:c r="C230" s="472" t="str">
        <x:f>IF(B230="","",IF(CHOOSE($M$42,'Clients'!R188,'Clients'!Q188,'Viewings'!D188,'Deals'!X188,'Deals'!Y188,'Deals'!Z188,'Follow-ups'!H188,'Payments'!C188,'Expenses'!B188)="","",CHOOSE($M$42,'Clients'!R188,'Clients'!Q188,'Viewings'!D188,'Deals'!X188,'Deals'!Y188,'Deals'!Z188,'Follow-ups'!H188,'Payments'!C188,'Expenses'!B188)))</x:f>
      </x:c>
      <x:c r="D230" s="432" t="str">
        <x:f>IF(B230="","",IF(ISNUMBER(CHOOSE($M$42,'Clients'!B188,'Clients'!B188,'Viewings'!H188,IF('Deals'!B188="","",IF(COUNTIFS('Clients'!$A$6:$A$205,'Deals'!B188)&lt;&gt;1,"Check Client ID",INDEX('Clients'!$B$6:$B$205,MATCH('Deals'!B188,'Clients'!$A$6:$A$205,0)))),IF('Deals'!B188="","",IF(COUNTIFS('Clients'!$A$6:$A$205,'Deals'!B188)&lt;&gt;1,"Check Client ID",INDEX('Clients'!$B$6:$B$205,MATCH('Deals'!B188,'Clients'!$A$6:$A$205,0)))),IF('Deals'!B188="","",IF(COUNTIFS('Clients'!$A$6:$A$205,'Deals'!B188)&lt;&gt;1,"Check Client ID",INDEX('Clients'!$B$6:$B$205,MATCH('Deals'!B188,'Clients'!$A$6:$A$205,0)))),'Follow-ups'!K188,'Payments'!B188,'Expenses'!D188)),CHOOSE($M$42,'Clients'!B188,'Clients'!B188,'Viewings'!H188,IF('Deals'!B188="","",IF(COUNTIFS('Clients'!$A$6:$A$205,'Deals'!B188)&lt;&gt;1,"Check Client ID",INDEX('Clients'!$B$6:$B$205,MATCH('Deals'!B188,'Clients'!$A$6:$A$205,0)))),IF('Deals'!B188="","",IF(COUNTIFS('Clients'!$A$6:$A$205,'Deals'!B188)&lt;&gt;1,"Check Client ID",INDEX('Clients'!$B$6:$B$205,MATCH('Deals'!B188,'Clients'!$A$6:$A$205,0)))),IF('Deals'!B188="","",IF(COUNTIFS('Clients'!$A$6:$A$205,'Deals'!B188)&lt;&gt;1,"Check Client ID",INDEX('Clients'!$B$6:$B$205,MATCH('Deals'!B188,'Clients'!$A$6:$A$205,0)))),'Follow-ups'!K188,'Payments'!B188,'Expenses'!D188),IF(CHOOSE($M$42,'Clients'!B188,'Clients'!B188,'Viewings'!H188,IF('Deals'!B188="","",IF(COUNTIFS('Clients'!$A$6:$A$205,'Deals'!B188)&lt;&gt;1,"Check Client ID",INDEX('Clients'!$B$6:$B$205,MATCH('Deals'!B188,'Clients'!$A$6:$A$205,0)))),IF('Deals'!B188="","",IF(COUNTIFS('Clients'!$A$6:$A$205,'Deals'!B188)&lt;&gt;1,"Check Client ID",INDEX('Clients'!$B$6:$B$205,MATCH('Deals'!B188,'Clients'!$A$6:$A$205,0)))),IF('Deals'!B188="","",IF(COUNTIFS('Clients'!$A$6:$A$205,'Deals'!B188)&lt;&gt;1,"Check Client ID",INDEX('Clients'!$B$6:$B$205,MATCH('Deals'!B188,'Clients'!$A$6:$A$205,0)))),'Follow-ups'!K188,'Payments'!B188,'Expenses'!D188)="","",CHOOSE($M$42,'Clients'!B188,'Clients'!B188,'Viewings'!H188,IF('Deals'!B188="","",IF(COUNTIFS('Clients'!$A$6:$A$205,'Deals'!B188)&lt;&gt;1,"Check Client ID",INDEX('Clients'!$B$6:$B$205,MATCH('Deals'!B188,'Clients'!$A$6:$A$205,0)))),IF('Deals'!B188="","",IF(COUNTIFS('Clients'!$A$6:$A$205,'Deals'!B188)&lt;&gt;1,"Check Client ID",INDEX('Clients'!$B$6:$B$205,MATCH('Deals'!B188,'Clients'!$A$6:$A$205,0)))),IF('Deals'!B188="","",IF(COUNTIFS('Clients'!$A$6:$A$205,'Deals'!B188)&lt;&gt;1,"Check Client ID",INDEX('Clients'!$B$6:$B$205,MATCH('Deals'!B188,'Clients'!$A$6:$A$205,0)))),'Follow-ups'!K188,'Payments'!B188,'Expenses'!D188))))</x:f>
      </x:c>
      <x:c r="E230" s="432" t="str">
        <x:f>IF(B230="","",IF(ISNUMBER(CHOOSE($M$42,'Clients'!K188,'Clients'!K188,'Viewings'!I188,'Deals'!C188,'Deals'!C188,'Deals'!C188,'Follow-ups'!L188,'Payments'!G188,'Expenses'!F188)),CHOOSE($M$42,'Clients'!K188,'Clients'!K188,'Viewings'!I188,'Deals'!C188,'Deals'!C188,'Deals'!C188,'Follow-ups'!L188,'Payments'!G188,'Expenses'!F188),IF(CHOOSE($M$42,'Clients'!K188,'Clients'!K188,'Viewings'!I188,'Deals'!C188,'Deals'!C188,'Deals'!C188,'Follow-ups'!L188,'Payments'!G188,'Expenses'!F188)="","",CHOOSE($M$42,'Clients'!K188,'Clients'!K188,'Viewings'!I188,'Deals'!C188,'Deals'!C188,'Deals'!C188,'Follow-ups'!L188,'Payments'!G188,'Expenses'!F188))))</x:f>
      </x:c>
      <x:c r="F230" s="432" t="str">
        <x:f>IF(B230="","",IF(ISNUMBER(CHOOSE($M$42,'Clients'!H188,'Clients'!H188,'Viewings'!E188,'Deals'!E188,'Deals'!E188,'Deals'!E188,'Follow-ups'!I188,"Receipt",'Expenses'!C188)),CHOOSE($M$42,'Clients'!H188,'Clients'!H188,'Viewings'!E188,'Deals'!E188,'Deals'!E188,'Deals'!E188,'Follow-ups'!I188,"Receipt",'Expenses'!C188),IF(CHOOSE($M$42,'Clients'!H188,'Clients'!H188,'Viewings'!E188,'Deals'!E188,'Deals'!E188,'Deals'!E188,'Follow-ups'!I188,"Receipt",'Expenses'!C188)="","",CHOOSE($M$42,'Clients'!H188,'Clients'!H188,'Viewings'!E188,'Deals'!E188,'Deals'!E188,'Deals'!E188,'Follow-ups'!I188,"Receipt",'Expenses'!C188))))</x:f>
      </x:c>
      <x:c r="G230" s="473" t="str">
        <x:f>IF(B230="","",IF(ISNUMBER(CHOOSE($M$42,"","","",'Deals'!F188,'Deals'!F188,'Deals'!F188,"",'Payments'!D188,'Expenses'!G188)),CHOOSE($M$42,"","","",'Deals'!F188,'Deals'!F188,'Deals'!F188,"",'Payments'!D188,'Expenses'!G188),IF(CHOOSE($M$42,"","","",'Deals'!F188,'Deals'!F188,'Deals'!F188,"",'Payments'!D188,'Expenses'!G188)="","",CHOOSE($M$42,"","","",'Deals'!F188,'Deals'!F188,'Deals'!F188,"",'Payments'!D188,'Expenses'!G188))))</x:f>
      </x:c>
      <x:c r="H230" s="432" t="n">
        <x:f>IF(AND($M$43=1,B230&lt;&gt;"",ISNUMBER(C230),C230&gt;=$G$6,C230&lt;$K$6+1),1,0)</x:f>
        <x:v>0</x:v>
      </x:c>
      <x:c r="I230" s="432" t="str">
        <x:f>IF(H230=0,"",COUNTIFS($H$48:$H$247,1,$C$48:$C$247,"&lt;"&amp;C230)+COUNTIFS($H$48:H230,1,$C$48:C230,C230))</x:f>
      </x:c>
      <x:c r="J230" s="432"/>
      <x:c r="K230" s="432"/>
      <x:c r="L230" s="432"/>
      <x:c r="M230" s="432"/>
      <x:c r="N230" s="432"/>
      <x:c r="O230" s="432"/>
      <x:c r="P230" s="432"/>
      <x:c r="Q230" s="432"/>
    </x:row>
    <x:row r="231" ht="25" customHeight="1">
      <x:c r="A231" s="432"/>
      <x:c r="B231" s="432" t="str">
        <x:f>IF(CHOOSE($M$42,'Clients'!A189,'Clients'!A189,'Viewings'!A189,'Deals'!A189,'Deals'!A189,'Deals'!A189,'Follow-ups'!A189,'Payments'!A189,'Expenses'!A189)="","",CHOOSE($M$42,'Clients'!A189,'Clients'!A189,'Viewings'!A189,'Deals'!A189,'Deals'!A189,'Deals'!A189,'Follow-ups'!A189,'Payments'!A189,'Expenses'!A189))</x:f>
      </x:c>
      <x:c r="C231" s="472" t="str">
        <x:f>IF(B231="","",IF(CHOOSE($M$42,'Clients'!R189,'Clients'!Q189,'Viewings'!D189,'Deals'!X189,'Deals'!Y189,'Deals'!Z189,'Follow-ups'!H189,'Payments'!C189,'Expenses'!B189)="","",CHOOSE($M$42,'Clients'!R189,'Clients'!Q189,'Viewings'!D189,'Deals'!X189,'Deals'!Y189,'Deals'!Z189,'Follow-ups'!H189,'Payments'!C189,'Expenses'!B189)))</x:f>
      </x:c>
      <x:c r="D231" s="432" t="str">
        <x:f>IF(B231="","",IF(ISNUMBER(CHOOSE($M$42,'Clients'!B189,'Clients'!B189,'Viewings'!H189,IF('Deals'!B189="","",IF(COUNTIFS('Clients'!$A$6:$A$205,'Deals'!B189)&lt;&gt;1,"Check Client ID",INDEX('Clients'!$B$6:$B$205,MATCH('Deals'!B189,'Clients'!$A$6:$A$205,0)))),IF('Deals'!B189="","",IF(COUNTIFS('Clients'!$A$6:$A$205,'Deals'!B189)&lt;&gt;1,"Check Client ID",INDEX('Clients'!$B$6:$B$205,MATCH('Deals'!B189,'Clients'!$A$6:$A$205,0)))),IF('Deals'!B189="","",IF(COUNTIFS('Clients'!$A$6:$A$205,'Deals'!B189)&lt;&gt;1,"Check Client ID",INDEX('Clients'!$B$6:$B$205,MATCH('Deals'!B189,'Clients'!$A$6:$A$205,0)))),'Follow-ups'!K189,'Payments'!B189,'Expenses'!D189)),CHOOSE($M$42,'Clients'!B189,'Clients'!B189,'Viewings'!H189,IF('Deals'!B189="","",IF(COUNTIFS('Clients'!$A$6:$A$205,'Deals'!B189)&lt;&gt;1,"Check Client ID",INDEX('Clients'!$B$6:$B$205,MATCH('Deals'!B189,'Clients'!$A$6:$A$205,0)))),IF('Deals'!B189="","",IF(COUNTIFS('Clients'!$A$6:$A$205,'Deals'!B189)&lt;&gt;1,"Check Client ID",INDEX('Clients'!$B$6:$B$205,MATCH('Deals'!B189,'Clients'!$A$6:$A$205,0)))),IF('Deals'!B189="","",IF(COUNTIFS('Clients'!$A$6:$A$205,'Deals'!B189)&lt;&gt;1,"Check Client ID",INDEX('Clients'!$B$6:$B$205,MATCH('Deals'!B189,'Clients'!$A$6:$A$205,0)))),'Follow-ups'!K189,'Payments'!B189,'Expenses'!D189),IF(CHOOSE($M$42,'Clients'!B189,'Clients'!B189,'Viewings'!H189,IF('Deals'!B189="","",IF(COUNTIFS('Clients'!$A$6:$A$205,'Deals'!B189)&lt;&gt;1,"Check Client ID",INDEX('Clients'!$B$6:$B$205,MATCH('Deals'!B189,'Clients'!$A$6:$A$205,0)))),IF('Deals'!B189="","",IF(COUNTIFS('Clients'!$A$6:$A$205,'Deals'!B189)&lt;&gt;1,"Check Client ID",INDEX('Clients'!$B$6:$B$205,MATCH('Deals'!B189,'Clients'!$A$6:$A$205,0)))),IF('Deals'!B189="","",IF(COUNTIFS('Clients'!$A$6:$A$205,'Deals'!B189)&lt;&gt;1,"Check Client ID",INDEX('Clients'!$B$6:$B$205,MATCH('Deals'!B189,'Clients'!$A$6:$A$205,0)))),'Follow-ups'!K189,'Payments'!B189,'Expenses'!D189)="","",CHOOSE($M$42,'Clients'!B189,'Clients'!B189,'Viewings'!H189,IF('Deals'!B189="","",IF(COUNTIFS('Clients'!$A$6:$A$205,'Deals'!B189)&lt;&gt;1,"Check Client ID",INDEX('Clients'!$B$6:$B$205,MATCH('Deals'!B189,'Clients'!$A$6:$A$205,0)))),IF('Deals'!B189="","",IF(COUNTIFS('Clients'!$A$6:$A$205,'Deals'!B189)&lt;&gt;1,"Check Client ID",INDEX('Clients'!$B$6:$B$205,MATCH('Deals'!B189,'Clients'!$A$6:$A$205,0)))),IF('Deals'!B189="","",IF(COUNTIFS('Clients'!$A$6:$A$205,'Deals'!B189)&lt;&gt;1,"Check Client ID",INDEX('Clients'!$B$6:$B$205,MATCH('Deals'!B189,'Clients'!$A$6:$A$205,0)))),'Follow-ups'!K189,'Payments'!B189,'Expenses'!D189))))</x:f>
      </x:c>
      <x:c r="E231" s="432" t="str">
        <x:f>IF(B231="","",IF(ISNUMBER(CHOOSE($M$42,'Clients'!K189,'Clients'!K189,'Viewings'!I189,'Deals'!C189,'Deals'!C189,'Deals'!C189,'Follow-ups'!L189,'Payments'!G189,'Expenses'!F189)),CHOOSE($M$42,'Clients'!K189,'Clients'!K189,'Viewings'!I189,'Deals'!C189,'Deals'!C189,'Deals'!C189,'Follow-ups'!L189,'Payments'!G189,'Expenses'!F189),IF(CHOOSE($M$42,'Clients'!K189,'Clients'!K189,'Viewings'!I189,'Deals'!C189,'Deals'!C189,'Deals'!C189,'Follow-ups'!L189,'Payments'!G189,'Expenses'!F189)="","",CHOOSE($M$42,'Clients'!K189,'Clients'!K189,'Viewings'!I189,'Deals'!C189,'Deals'!C189,'Deals'!C189,'Follow-ups'!L189,'Payments'!G189,'Expenses'!F189))))</x:f>
      </x:c>
      <x:c r="F231" s="432" t="str">
        <x:f>IF(B231="","",IF(ISNUMBER(CHOOSE($M$42,'Clients'!H189,'Clients'!H189,'Viewings'!E189,'Deals'!E189,'Deals'!E189,'Deals'!E189,'Follow-ups'!I189,"Receipt",'Expenses'!C189)),CHOOSE($M$42,'Clients'!H189,'Clients'!H189,'Viewings'!E189,'Deals'!E189,'Deals'!E189,'Deals'!E189,'Follow-ups'!I189,"Receipt",'Expenses'!C189),IF(CHOOSE($M$42,'Clients'!H189,'Clients'!H189,'Viewings'!E189,'Deals'!E189,'Deals'!E189,'Deals'!E189,'Follow-ups'!I189,"Receipt",'Expenses'!C189)="","",CHOOSE($M$42,'Clients'!H189,'Clients'!H189,'Viewings'!E189,'Deals'!E189,'Deals'!E189,'Deals'!E189,'Follow-ups'!I189,"Receipt",'Expenses'!C189))))</x:f>
      </x:c>
      <x:c r="G231" s="473" t="str">
        <x:f>IF(B231="","",IF(ISNUMBER(CHOOSE($M$42,"","","",'Deals'!F189,'Deals'!F189,'Deals'!F189,"",'Payments'!D189,'Expenses'!G189)),CHOOSE($M$42,"","","",'Deals'!F189,'Deals'!F189,'Deals'!F189,"",'Payments'!D189,'Expenses'!G189),IF(CHOOSE($M$42,"","","",'Deals'!F189,'Deals'!F189,'Deals'!F189,"",'Payments'!D189,'Expenses'!G189)="","",CHOOSE($M$42,"","","",'Deals'!F189,'Deals'!F189,'Deals'!F189,"",'Payments'!D189,'Expenses'!G189))))</x:f>
      </x:c>
      <x:c r="H231" s="432" t="n">
        <x:f>IF(AND($M$43=1,B231&lt;&gt;"",ISNUMBER(C231),C231&gt;=$G$6,C231&lt;$K$6+1),1,0)</x:f>
        <x:v>0</x:v>
      </x:c>
      <x:c r="I231" s="432" t="str">
        <x:f>IF(H231=0,"",COUNTIFS($H$48:$H$247,1,$C$48:$C$247,"&lt;"&amp;C231)+COUNTIFS($H$48:H231,1,$C$48:C231,C231))</x:f>
      </x:c>
      <x:c r="J231" s="432"/>
      <x:c r="K231" s="432"/>
      <x:c r="L231" s="432"/>
      <x:c r="M231" s="432"/>
      <x:c r="N231" s="432"/>
      <x:c r="O231" s="432"/>
      <x:c r="P231" s="432"/>
      <x:c r="Q231" s="432"/>
    </x:row>
    <x:row r="232" ht="25" customHeight="1">
      <x:c r="A232" s="432"/>
      <x:c r="B232" s="432" t="str">
        <x:f>IF(CHOOSE($M$42,'Clients'!A190,'Clients'!A190,'Viewings'!A190,'Deals'!A190,'Deals'!A190,'Deals'!A190,'Follow-ups'!A190,'Payments'!A190,'Expenses'!A190)="","",CHOOSE($M$42,'Clients'!A190,'Clients'!A190,'Viewings'!A190,'Deals'!A190,'Deals'!A190,'Deals'!A190,'Follow-ups'!A190,'Payments'!A190,'Expenses'!A190))</x:f>
      </x:c>
      <x:c r="C232" s="472" t="str">
        <x:f>IF(B232="","",IF(CHOOSE($M$42,'Clients'!R190,'Clients'!Q190,'Viewings'!D190,'Deals'!X190,'Deals'!Y190,'Deals'!Z190,'Follow-ups'!H190,'Payments'!C190,'Expenses'!B190)="","",CHOOSE($M$42,'Clients'!R190,'Clients'!Q190,'Viewings'!D190,'Deals'!X190,'Deals'!Y190,'Deals'!Z190,'Follow-ups'!H190,'Payments'!C190,'Expenses'!B190)))</x:f>
      </x:c>
      <x:c r="D232" s="432" t="str">
        <x:f>IF(B232="","",IF(ISNUMBER(CHOOSE($M$42,'Clients'!B190,'Clients'!B190,'Viewings'!H190,IF('Deals'!B190="","",IF(COUNTIFS('Clients'!$A$6:$A$205,'Deals'!B190)&lt;&gt;1,"Check Client ID",INDEX('Clients'!$B$6:$B$205,MATCH('Deals'!B190,'Clients'!$A$6:$A$205,0)))),IF('Deals'!B190="","",IF(COUNTIFS('Clients'!$A$6:$A$205,'Deals'!B190)&lt;&gt;1,"Check Client ID",INDEX('Clients'!$B$6:$B$205,MATCH('Deals'!B190,'Clients'!$A$6:$A$205,0)))),IF('Deals'!B190="","",IF(COUNTIFS('Clients'!$A$6:$A$205,'Deals'!B190)&lt;&gt;1,"Check Client ID",INDEX('Clients'!$B$6:$B$205,MATCH('Deals'!B190,'Clients'!$A$6:$A$205,0)))),'Follow-ups'!K190,'Payments'!B190,'Expenses'!D190)),CHOOSE($M$42,'Clients'!B190,'Clients'!B190,'Viewings'!H190,IF('Deals'!B190="","",IF(COUNTIFS('Clients'!$A$6:$A$205,'Deals'!B190)&lt;&gt;1,"Check Client ID",INDEX('Clients'!$B$6:$B$205,MATCH('Deals'!B190,'Clients'!$A$6:$A$205,0)))),IF('Deals'!B190="","",IF(COUNTIFS('Clients'!$A$6:$A$205,'Deals'!B190)&lt;&gt;1,"Check Client ID",INDEX('Clients'!$B$6:$B$205,MATCH('Deals'!B190,'Clients'!$A$6:$A$205,0)))),IF('Deals'!B190="","",IF(COUNTIFS('Clients'!$A$6:$A$205,'Deals'!B190)&lt;&gt;1,"Check Client ID",INDEX('Clients'!$B$6:$B$205,MATCH('Deals'!B190,'Clients'!$A$6:$A$205,0)))),'Follow-ups'!K190,'Payments'!B190,'Expenses'!D190),IF(CHOOSE($M$42,'Clients'!B190,'Clients'!B190,'Viewings'!H190,IF('Deals'!B190="","",IF(COUNTIFS('Clients'!$A$6:$A$205,'Deals'!B190)&lt;&gt;1,"Check Client ID",INDEX('Clients'!$B$6:$B$205,MATCH('Deals'!B190,'Clients'!$A$6:$A$205,0)))),IF('Deals'!B190="","",IF(COUNTIFS('Clients'!$A$6:$A$205,'Deals'!B190)&lt;&gt;1,"Check Client ID",INDEX('Clients'!$B$6:$B$205,MATCH('Deals'!B190,'Clients'!$A$6:$A$205,0)))),IF('Deals'!B190="","",IF(COUNTIFS('Clients'!$A$6:$A$205,'Deals'!B190)&lt;&gt;1,"Check Client ID",INDEX('Clients'!$B$6:$B$205,MATCH('Deals'!B190,'Clients'!$A$6:$A$205,0)))),'Follow-ups'!K190,'Payments'!B190,'Expenses'!D190)="","",CHOOSE($M$42,'Clients'!B190,'Clients'!B190,'Viewings'!H190,IF('Deals'!B190="","",IF(COUNTIFS('Clients'!$A$6:$A$205,'Deals'!B190)&lt;&gt;1,"Check Client ID",INDEX('Clients'!$B$6:$B$205,MATCH('Deals'!B190,'Clients'!$A$6:$A$205,0)))),IF('Deals'!B190="","",IF(COUNTIFS('Clients'!$A$6:$A$205,'Deals'!B190)&lt;&gt;1,"Check Client ID",INDEX('Clients'!$B$6:$B$205,MATCH('Deals'!B190,'Clients'!$A$6:$A$205,0)))),IF('Deals'!B190="","",IF(COUNTIFS('Clients'!$A$6:$A$205,'Deals'!B190)&lt;&gt;1,"Check Client ID",INDEX('Clients'!$B$6:$B$205,MATCH('Deals'!B190,'Clients'!$A$6:$A$205,0)))),'Follow-ups'!K190,'Payments'!B190,'Expenses'!D190))))</x:f>
      </x:c>
      <x:c r="E232" s="432" t="str">
        <x:f>IF(B232="","",IF(ISNUMBER(CHOOSE($M$42,'Clients'!K190,'Clients'!K190,'Viewings'!I190,'Deals'!C190,'Deals'!C190,'Deals'!C190,'Follow-ups'!L190,'Payments'!G190,'Expenses'!F190)),CHOOSE($M$42,'Clients'!K190,'Clients'!K190,'Viewings'!I190,'Deals'!C190,'Deals'!C190,'Deals'!C190,'Follow-ups'!L190,'Payments'!G190,'Expenses'!F190),IF(CHOOSE($M$42,'Clients'!K190,'Clients'!K190,'Viewings'!I190,'Deals'!C190,'Deals'!C190,'Deals'!C190,'Follow-ups'!L190,'Payments'!G190,'Expenses'!F190)="","",CHOOSE($M$42,'Clients'!K190,'Clients'!K190,'Viewings'!I190,'Deals'!C190,'Deals'!C190,'Deals'!C190,'Follow-ups'!L190,'Payments'!G190,'Expenses'!F190))))</x:f>
      </x:c>
      <x:c r="F232" s="432" t="str">
        <x:f>IF(B232="","",IF(ISNUMBER(CHOOSE($M$42,'Clients'!H190,'Clients'!H190,'Viewings'!E190,'Deals'!E190,'Deals'!E190,'Deals'!E190,'Follow-ups'!I190,"Receipt",'Expenses'!C190)),CHOOSE($M$42,'Clients'!H190,'Clients'!H190,'Viewings'!E190,'Deals'!E190,'Deals'!E190,'Deals'!E190,'Follow-ups'!I190,"Receipt",'Expenses'!C190),IF(CHOOSE($M$42,'Clients'!H190,'Clients'!H190,'Viewings'!E190,'Deals'!E190,'Deals'!E190,'Deals'!E190,'Follow-ups'!I190,"Receipt",'Expenses'!C190)="","",CHOOSE($M$42,'Clients'!H190,'Clients'!H190,'Viewings'!E190,'Deals'!E190,'Deals'!E190,'Deals'!E190,'Follow-ups'!I190,"Receipt",'Expenses'!C190))))</x:f>
      </x:c>
      <x:c r="G232" s="473" t="str">
        <x:f>IF(B232="","",IF(ISNUMBER(CHOOSE($M$42,"","","",'Deals'!F190,'Deals'!F190,'Deals'!F190,"",'Payments'!D190,'Expenses'!G190)),CHOOSE($M$42,"","","",'Deals'!F190,'Deals'!F190,'Deals'!F190,"",'Payments'!D190,'Expenses'!G190),IF(CHOOSE($M$42,"","","",'Deals'!F190,'Deals'!F190,'Deals'!F190,"",'Payments'!D190,'Expenses'!G190)="","",CHOOSE($M$42,"","","",'Deals'!F190,'Deals'!F190,'Deals'!F190,"",'Payments'!D190,'Expenses'!G190))))</x:f>
      </x:c>
      <x:c r="H232" s="432" t="n">
        <x:f>IF(AND($M$43=1,B232&lt;&gt;"",ISNUMBER(C232),C232&gt;=$G$6,C232&lt;$K$6+1),1,0)</x:f>
        <x:v>0</x:v>
      </x:c>
      <x:c r="I232" s="432" t="str">
        <x:f>IF(H232=0,"",COUNTIFS($H$48:$H$247,1,$C$48:$C$247,"&lt;"&amp;C232)+COUNTIFS($H$48:H232,1,$C$48:C232,C232))</x:f>
      </x:c>
      <x:c r="J232" s="432"/>
      <x:c r="K232" s="432"/>
      <x:c r="L232" s="432"/>
      <x:c r="M232" s="432"/>
      <x:c r="N232" s="432"/>
      <x:c r="O232" s="432"/>
      <x:c r="P232" s="432"/>
      <x:c r="Q232" s="432"/>
    </x:row>
    <x:row r="233" ht="25" customHeight="1">
      <x:c r="A233" s="432"/>
      <x:c r="B233" s="432" t="str">
        <x:f>IF(CHOOSE($M$42,'Clients'!A191,'Clients'!A191,'Viewings'!A191,'Deals'!A191,'Deals'!A191,'Deals'!A191,'Follow-ups'!A191,'Payments'!A191,'Expenses'!A191)="","",CHOOSE($M$42,'Clients'!A191,'Clients'!A191,'Viewings'!A191,'Deals'!A191,'Deals'!A191,'Deals'!A191,'Follow-ups'!A191,'Payments'!A191,'Expenses'!A191))</x:f>
      </x:c>
      <x:c r="C233" s="472" t="str">
        <x:f>IF(B233="","",IF(CHOOSE($M$42,'Clients'!R191,'Clients'!Q191,'Viewings'!D191,'Deals'!X191,'Deals'!Y191,'Deals'!Z191,'Follow-ups'!H191,'Payments'!C191,'Expenses'!B191)="","",CHOOSE($M$42,'Clients'!R191,'Clients'!Q191,'Viewings'!D191,'Deals'!X191,'Deals'!Y191,'Deals'!Z191,'Follow-ups'!H191,'Payments'!C191,'Expenses'!B191)))</x:f>
      </x:c>
      <x:c r="D233" s="432" t="str">
        <x:f>IF(B233="","",IF(ISNUMBER(CHOOSE($M$42,'Clients'!B191,'Clients'!B191,'Viewings'!H191,IF('Deals'!B191="","",IF(COUNTIFS('Clients'!$A$6:$A$205,'Deals'!B191)&lt;&gt;1,"Check Client ID",INDEX('Clients'!$B$6:$B$205,MATCH('Deals'!B191,'Clients'!$A$6:$A$205,0)))),IF('Deals'!B191="","",IF(COUNTIFS('Clients'!$A$6:$A$205,'Deals'!B191)&lt;&gt;1,"Check Client ID",INDEX('Clients'!$B$6:$B$205,MATCH('Deals'!B191,'Clients'!$A$6:$A$205,0)))),IF('Deals'!B191="","",IF(COUNTIFS('Clients'!$A$6:$A$205,'Deals'!B191)&lt;&gt;1,"Check Client ID",INDEX('Clients'!$B$6:$B$205,MATCH('Deals'!B191,'Clients'!$A$6:$A$205,0)))),'Follow-ups'!K191,'Payments'!B191,'Expenses'!D191)),CHOOSE($M$42,'Clients'!B191,'Clients'!B191,'Viewings'!H191,IF('Deals'!B191="","",IF(COUNTIFS('Clients'!$A$6:$A$205,'Deals'!B191)&lt;&gt;1,"Check Client ID",INDEX('Clients'!$B$6:$B$205,MATCH('Deals'!B191,'Clients'!$A$6:$A$205,0)))),IF('Deals'!B191="","",IF(COUNTIFS('Clients'!$A$6:$A$205,'Deals'!B191)&lt;&gt;1,"Check Client ID",INDEX('Clients'!$B$6:$B$205,MATCH('Deals'!B191,'Clients'!$A$6:$A$205,0)))),IF('Deals'!B191="","",IF(COUNTIFS('Clients'!$A$6:$A$205,'Deals'!B191)&lt;&gt;1,"Check Client ID",INDEX('Clients'!$B$6:$B$205,MATCH('Deals'!B191,'Clients'!$A$6:$A$205,0)))),'Follow-ups'!K191,'Payments'!B191,'Expenses'!D191),IF(CHOOSE($M$42,'Clients'!B191,'Clients'!B191,'Viewings'!H191,IF('Deals'!B191="","",IF(COUNTIFS('Clients'!$A$6:$A$205,'Deals'!B191)&lt;&gt;1,"Check Client ID",INDEX('Clients'!$B$6:$B$205,MATCH('Deals'!B191,'Clients'!$A$6:$A$205,0)))),IF('Deals'!B191="","",IF(COUNTIFS('Clients'!$A$6:$A$205,'Deals'!B191)&lt;&gt;1,"Check Client ID",INDEX('Clients'!$B$6:$B$205,MATCH('Deals'!B191,'Clients'!$A$6:$A$205,0)))),IF('Deals'!B191="","",IF(COUNTIFS('Clients'!$A$6:$A$205,'Deals'!B191)&lt;&gt;1,"Check Client ID",INDEX('Clients'!$B$6:$B$205,MATCH('Deals'!B191,'Clients'!$A$6:$A$205,0)))),'Follow-ups'!K191,'Payments'!B191,'Expenses'!D191)="","",CHOOSE($M$42,'Clients'!B191,'Clients'!B191,'Viewings'!H191,IF('Deals'!B191="","",IF(COUNTIFS('Clients'!$A$6:$A$205,'Deals'!B191)&lt;&gt;1,"Check Client ID",INDEX('Clients'!$B$6:$B$205,MATCH('Deals'!B191,'Clients'!$A$6:$A$205,0)))),IF('Deals'!B191="","",IF(COUNTIFS('Clients'!$A$6:$A$205,'Deals'!B191)&lt;&gt;1,"Check Client ID",INDEX('Clients'!$B$6:$B$205,MATCH('Deals'!B191,'Clients'!$A$6:$A$205,0)))),IF('Deals'!B191="","",IF(COUNTIFS('Clients'!$A$6:$A$205,'Deals'!B191)&lt;&gt;1,"Check Client ID",INDEX('Clients'!$B$6:$B$205,MATCH('Deals'!B191,'Clients'!$A$6:$A$205,0)))),'Follow-ups'!K191,'Payments'!B191,'Expenses'!D191))))</x:f>
      </x:c>
      <x:c r="E233" s="432" t="str">
        <x:f>IF(B233="","",IF(ISNUMBER(CHOOSE($M$42,'Clients'!K191,'Clients'!K191,'Viewings'!I191,'Deals'!C191,'Deals'!C191,'Deals'!C191,'Follow-ups'!L191,'Payments'!G191,'Expenses'!F191)),CHOOSE($M$42,'Clients'!K191,'Clients'!K191,'Viewings'!I191,'Deals'!C191,'Deals'!C191,'Deals'!C191,'Follow-ups'!L191,'Payments'!G191,'Expenses'!F191),IF(CHOOSE($M$42,'Clients'!K191,'Clients'!K191,'Viewings'!I191,'Deals'!C191,'Deals'!C191,'Deals'!C191,'Follow-ups'!L191,'Payments'!G191,'Expenses'!F191)="","",CHOOSE($M$42,'Clients'!K191,'Clients'!K191,'Viewings'!I191,'Deals'!C191,'Deals'!C191,'Deals'!C191,'Follow-ups'!L191,'Payments'!G191,'Expenses'!F191))))</x:f>
      </x:c>
      <x:c r="F233" s="432" t="str">
        <x:f>IF(B233="","",IF(ISNUMBER(CHOOSE($M$42,'Clients'!H191,'Clients'!H191,'Viewings'!E191,'Deals'!E191,'Deals'!E191,'Deals'!E191,'Follow-ups'!I191,"Receipt",'Expenses'!C191)),CHOOSE($M$42,'Clients'!H191,'Clients'!H191,'Viewings'!E191,'Deals'!E191,'Deals'!E191,'Deals'!E191,'Follow-ups'!I191,"Receipt",'Expenses'!C191),IF(CHOOSE($M$42,'Clients'!H191,'Clients'!H191,'Viewings'!E191,'Deals'!E191,'Deals'!E191,'Deals'!E191,'Follow-ups'!I191,"Receipt",'Expenses'!C191)="","",CHOOSE($M$42,'Clients'!H191,'Clients'!H191,'Viewings'!E191,'Deals'!E191,'Deals'!E191,'Deals'!E191,'Follow-ups'!I191,"Receipt",'Expenses'!C191))))</x:f>
      </x:c>
      <x:c r="G233" s="473" t="str">
        <x:f>IF(B233="","",IF(ISNUMBER(CHOOSE($M$42,"","","",'Deals'!F191,'Deals'!F191,'Deals'!F191,"",'Payments'!D191,'Expenses'!G191)),CHOOSE($M$42,"","","",'Deals'!F191,'Deals'!F191,'Deals'!F191,"",'Payments'!D191,'Expenses'!G191),IF(CHOOSE($M$42,"","","",'Deals'!F191,'Deals'!F191,'Deals'!F191,"",'Payments'!D191,'Expenses'!G191)="","",CHOOSE($M$42,"","","",'Deals'!F191,'Deals'!F191,'Deals'!F191,"",'Payments'!D191,'Expenses'!G191))))</x:f>
      </x:c>
      <x:c r="H233" s="432" t="n">
        <x:f>IF(AND($M$43=1,B233&lt;&gt;"",ISNUMBER(C233),C233&gt;=$G$6,C233&lt;$K$6+1),1,0)</x:f>
        <x:v>0</x:v>
      </x:c>
      <x:c r="I233" s="432" t="str">
        <x:f>IF(H233=0,"",COUNTIFS($H$48:$H$247,1,$C$48:$C$247,"&lt;"&amp;C233)+COUNTIFS($H$48:H233,1,$C$48:C233,C233))</x:f>
      </x:c>
      <x:c r="J233" s="432"/>
      <x:c r="K233" s="432"/>
      <x:c r="L233" s="432"/>
      <x:c r="M233" s="432"/>
      <x:c r="N233" s="432"/>
      <x:c r="O233" s="432"/>
      <x:c r="P233" s="432"/>
      <x:c r="Q233" s="432"/>
    </x:row>
    <x:row r="234" ht="25" customHeight="1">
      <x:c r="A234" s="432"/>
      <x:c r="B234" s="432" t="str">
        <x:f>IF(CHOOSE($M$42,'Clients'!A192,'Clients'!A192,'Viewings'!A192,'Deals'!A192,'Deals'!A192,'Deals'!A192,'Follow-ups'!A192,'Payments'!A192,'Expenses'!A192)="","",CHOOSE($M$42,'Clients'!A192,'Clients'!A192,'Viewings'!A192,'Deals'!A192,'Deals'!A192,'Deals'!A192,'Follow-ups'!A192,'Payments'!A192,'Expenses'!A192))</x:f>
      </x:c>
      <x:c r="C234" s="472" t="str">
        <x:f>IF(B234="","",IF(CHOOSE($M$42,'Clients'!R192,'Clients'!Q192,'Viewings'!D192,'Deals'!X192,'Deals'!Y192,'Deals'!Z192,'Follow-ups'!H192,'Payments'!C192,'Expenses'!B192)="","",CHOOSE($M$42,'Clients'!R192,'Clients'!Q192,'Viewings'!D192,'Deals'!X192,'Deals'!Y192,'Deals'!Z192,'Follow-ups'!H192,'Payments'!C192,'Expenses'!B192)))</x:f>
      </x:c>
      <x:c r="D234" s="432" t="str">
        <x:f>IF(B234="","",IF(ISNUMBER(CHOOSE($M$42,'Clients'!B192,'Clients'!B192,'Viewings'!H192,IF('Deals'!B192="","",IF(COUNTIFS('Clients'!$A$6:$A$205,'Deals'!B192)&lt;&gt;1,"Check Client ID",INDEX('Clients'!$B$6:$B$205,MATCH('Deals'!B192,'Clients'!$A$6:$A$205,0)))),IF('Deals'!B192="","",IF(COUNTIFS('Clients'!$A$6:$A$205,'Deals'!B192)&lt;&gt;1,"Check Client ID",INDEX('Clients'!$B$6:$B$205,MATCH('Deals'!B192,'Clients'!$A$6:$A$205,0)))),IF('Deals'!B192="","",IF(COUNTIFS('Clients'!$A$6:$A$205,'Deals'!B192)&lt;&gt;1,"Check Client ID",INDEX('Clients'!$B$6:$B$205,MATCH('Deals'!B192,'Clients'!$A$6:$A$205,0)))),'Follow-ups'!K192,'Payments'!B192,'Expenses'!D192)),CHOOSE($M$42,'Clients'!B192,'Clients'!B192,'Viewings'!H192,IF('Deals'!B192="","",IF(COUNTIFS('Clients'!$A$6:$A$205,'Deals'!B192)&lt;&gt;1,"Check Client ID",INDEX('Clients'!$B$6:$B$205,MATCH('Deals'!B192,'Clients'!$A$6:$A$205,0)))),IF('Deals'!B192="","",IF(COUNTIFS('Clients'!$A$6:$A$205,'Deals'!B192)&lt;&gt;1,"Check Client ID",INDEX('Clients'!$B$6:$B$205,MATCH('Deals'!B192,'Clients'!$A$6:$A$205,0)))),IF('Deals'!B192="","",IF(COUNTIFS('Clients'!$A$6:$A$205,'Deals'!B192)&lt;&gt;1,"Check Client ID",INDEX('Clients'!$B$6:$B$205,MATCH('Deals'!B192,'Clients'!$A$6:$A$205,0)))),'Follow-ups'!K192,'Payments'!B192,'Expenses'!D192),IF(CHOOSE($M$42,'Clients'!B192,'Clients'!B192,'Viewings'!H192,IF('Deals'!B192="","",IF(COUNTIFS('Clients'!$A$6:$A$205,'Deals'!B192)&lt;&gt;1,"Check Client ID",INDEX('Clients'!$B$6:$B$205,MATCH('Deals'!B192,'Clients'!$A$6:$A$205,0)))),IF('Deals'!B192="","",IF(COUNTIFS('Clients'!$A$6:$A$205,'Deals'!B192)&lt;&gt;1,"Check Client ID",INDEX('Clients'!$B$6:$B$205,MATCH('Deals'!B192,'Clients'!$A$6:$A$205,0)))),IF('Deals'!B192="","",IF(COUNTIFS('Clients'!$A$6:$A$205,'Deals'!B192)&lt;&gt;1,"Check Client ID",INDEX('Clients'!$B$6:$B$205,MATCH('Deals'!B192,'Clients'!$A$6:$A$205,0)))),'Follow-ups'!K192,'Payments'!B192,'Expenses'!D192)="","",CHOOSE($M$42,'Clients'!B192,'Clients'!B192,'Viewings'!H192,IF('Deals'!B192="","",IF(COUNTIFS('Clients'!$A$6:$A$205,'Deals'!B192)&lt;&gt;1,"Check Client ID",INDEX('Clients'!$B$6:$B$205,MATCH('Deals'!B192,'Clients'!$A$6:$A$205,0)))),IF('Deals'!B192="","",IF(COUNTIFS('Clients'!$A$6:$A$205,'Deals'!B192)&lt;&gt;1,"Check Client ID",INDEX('Clients'!$B$6:$B$205,MATCH('Deals'!B192,'Clients'!$A$6:$A$205,0)))),IF('Deals'!B192="","",IF(COUNTIFS('Clients'!$A$6:$A$205,'Deals'!B192)&lt;&gt;1,"Check Client ID",INDEX('Clients'!$B$6:$B$205,MATCH('Deals'!B192,'Clients'!$A$6:$A$205,0)))),'Follow-ups'!K192,'Payments'!B192,'Expenses'!D192))))</x:f>
      </x:c>
      <x:c r="E234" s="432" t="str">
        <x:f>IF(B234="","",IF(ISNUMBER(CHOOSE($M$42,'Clients'!K192,'Clients'!K192,'Viewings'!I192,'Deals'!C192,'Deals'!C192,'Deals'!C192,'Follow-ups'!L192,'Payments'!G192,'Expenses'!F192)),CHOOSE($M$42,'Clients'!K192,'Clients'!K192,'Viewings'!I192,'Deals'!C192,'Deals'!C192,'Deals'!C192,'Follow-ups'!L192,'Payments'!G192,'Expenses'!F192),IF(CHOOSE($M$42,'Clients'!K192,'Clients'!K192,'Viewings'!I192,'Deals'!C192,'Deals'!C192,'Deals'!C192,'Follow-ups'!L192,'Payments'!G192,'Expenses'!F192)="","",CHOOSE($M$42,'Clients'!K192,'Clients'!K192,'Viewings'!I192,'Deals'!C192,'Deals'!C192,'Deals'!C192,'Follow-ups'!L192,'Payments'!G192,'Expenses'!F192))))</x:f>
      </x:c>
      <x:c r="F234" s="432" t="str">
        <x:f>IF(B234="","",IF(ISNUMBER(CHOOSE($M$42,'Clients'!H192,'Clients'!H192,'Viewings'!E192,'Deals'!E192,'Deals'!E192,'Deals'!E192,'Follow-ups'!I192,"Receipt",'Expenses'!C192)),CHOOSE($M$42,'Clients'!H192,'Clients'!H192,'Viewings'!E192,'Deals'!E192,'Deals'!E192,'Deals'!E192,'Follow-ups'!I192,"Receipt",'Expenses'!C192),IF(CHOOSE($M$42,'Clients'!H192,'Clients'!H192,'Viewings'!E192,'Deals'!E192,'Deals'!E192,'Deals'!E192,'Follow-ups'!I192,"Receipt",'Expenses'!C192)="","",CHOOSE($M$42,'Clients'!H192,'Clients'!H192,'Viewings'!E192,'Deals'!E192,'Deals'!E192,'Deals'!E192,'Follow-ups'!I192,"Receipt",'Expenses'!C192))))</x:f>
      </x:c>
      <x:c r="G234" s="473" t="str">
        <x:f>IF(B234="","",IF(ISNUMBER(CHOOSE($M$42,"","","",'Deals'!F192,'Deals'!F192,'Deals'!F192,"",'Payments'!D192,'Expenses'!G192)),CHOOSE($M$42,"","","",'Deals'!F192,'Deals'!F192,'Deals'!F192,"",'Payments'!D192,'Expenses'!G192),IF(CHOOSE($M$42,"","","",'Deals'!F192,'Deals'!F192,'Deals'!F192,"",'Payments'!D192,'Expenses'!G192)="","",CHOOSE($M$42,"","","",'Deals'!F192,'Deals'!F192,'Deals'!F192,"",'Payments'!D192,'Expenses'!G192))))</x:f>
      </x:c>
      <x:c r="H234" s="432" t="n">
        <x:f>IF(AND($M$43=1,B234&lt;&gt;"",ISNUMBER(C234),C234&gt;=$G$6,C234&lt;$K$6+1),1,0)</x:f>
        <x:v>0</x:v>
      </x:c>
      <x:c r="I234" s="432" t="str">
        <x:f>IF(H234=0,"",COUNTIFS($H$48:$H$247,1,$C$48:$C$247,"&lt;"&amp;C234)+COUNTIFS($H$48:H234,1,$C$48:C234,C234))</x:f>
      </x:c>
      <x:c r="J234" s="432"/>
      <x:c r="K234" s="432"/>
      <x:c r="L234" s="432"/>
      <x:c r="M234" s="432"/>
      <x:c r="N234" s="432"/>
      <x:c r="O234" s="432"/>
      <x:c r="P234" s="432"/>
      <x:c r="Q234" s="432"/>
    </x:row>
    <x:row r="235" ht="25" customHeight="1">
      <x:c r="A235" s="432"/>
      <x:c r="B235" s="432" t="str">
        <x:f>IF(CHOOSE($M$42,'Clients'!A193,'Clients'!A193,'Viewings'!A193,'Deals'!A193,'Deals'!A193,'Deals'!A193,'Follow-ups'!A193,'Payments'!A193,'Expenses'!A193)="","",CHOOSE($M$42,'Clients'!A193,'Clients'!A193,'Viewings'!A193,'Deals'!A193,'Deals'!A193,'Deals'!A193,'Follow-ups'!A193,'Payments'!A193,'Expenses'!A193))</x:f>
      </x:c>
      <x:c r="C235" s="472" t="str">
        <x:f>IF(B235="","",IF(CHOOSE($M$42,'Clients'!R193,'Clients'!Q193,'Viewings'!D193,'Deals'!X193,'Deals'!Y193,'Deals'!Z193,'Follow-ups'!H193,'Payments'!C193,'Expenses'!B193)="","",CHOOSE($M$42,'Clients'!R193,'Clients'!Q193,'Viewings'!D193,'Deals'!X193,'Deals'!Y193,'Deals'!Z193,'Follow-ups'!H193,'Payments'!C193,'Expenses'!B193)))</x:f>
      </x:c>
      <x:c r="D235" s="432" t="str">
        <x:f>IF(B235="","",IF(ISNUMBER(CHOOSE($M$42,'Clients'!B193,'Clients'!B193,'Viewings'!H193,IF('Deals'!B193="","",IF(COUNTIFS('Clients'!$A$6:$A$205,'Deals'!B193)&lt;&gt;1,"Check Client ID",INDEX('Clients'!$B$6:$B$205,MATCH('Deals'!B193,'Clients'!$A$6:$A$205,0)))),IF('Deals'!B193="","",IF(COUNTIFS('Clients'!$A$6:$A$205,'Deals'!B193)&lt;&gt;1,"Check Client ID",INDEX('Clients'!$B$6:$B$205,MATCH('Deals'!B193,'Clients'!$A$6:$A$205,0)))),IF('Deals'!B193="","",IF(COUNTIFS('Clients'!$A$6:$A$205,'Deals'!B193)&lt;&gt;1,"Check Client ID",INDEX('Clients'!$B$6:$B$205,MATCH('Deals'!B193,'Clients'!$A$6:$A$205,0)))),'Follow-ups'!K193,'Payments'!B193,'Expenses'!D193)),CHOOSE($M$42,'Clients'!B193,'Clients'!B193,'Viewings'!H193,IF('Deals'!B193="","",IF(COUNTIFS('Clients'!$A$6:$A$205,'Deals'!B193)&lt;&gt;1,"Check Client ID",INDEX('Clients'!$B$6:$B$205,MATCH('Deals'!B193,'Clients'!$A$6:$A$205,0)))),IF('Deals'!B193="","",IF(COUNTIFS('Clients'!$A$6:$A$205,'Deals'!B193)&lt;&gt;1,"Check Client ID",INDEX('Clients'!$B$6:$B$205,MATCH('Deals'!B193,'Clients'!$A$6:$A$205,0)))),IF('Deals'!B193="","",IF(COUNTIFS('Clients'!$A$6:$A$205,'Deals'!B193)&lt;&gt;1,"Check Client ID",INDEX('Clients'!$B$6:$B$205,MATCH('Deals'!B193,'Clients'!$A$6:$A$205,0)))),'Follow-ups'!K193,'Payments'!B193,'Expenses'!D193),IF(CHOOSE($M$42,'Clients'!B193,'Clients'!B193,'Viewings'!H193,IF('Deals'!B193="","",IF(COUNTIFS('Clients'!$A$6:$A$205,'Deals'!B193)&lt;&gt;1,"Check Client ID",INDEX('Clients'!$B$6:$B$205,MATCH('Deals'!B193,'Clients'!$A$6:$A$205,0)))),IF('Deals'!B193="","",IF(COUNTIFS('Clients'!$A$6:$A$205,'Deals'!B193)&lt;&gt;1,"Check Client ID",INDEX('Clients'!$B$6:$B$205,MATCH('Deals'!B193,'Clients'!$A$6:$A$205,0)))),IF('Deals'!B193="","",IF(COUNTIFS('Clients'!$A$6:$A$205,'Deals'!B193)&lt;&gt;1,"Check Client ID",INDEX('Clients'!$B$6:$B$205,MATCH('Deals'!B193,'Clients'!$A$6:$A$205,0)))),'Follow-ups'!K193,'Payments'!B193,'Expenses'!D193)="","",CHOOSE($M$42,'Clients'!B193,'Clients'!B193,'Viewings'!H193,IF('Deals'!B193="","",IF(COUNTIFS('Clients'!$A$6:$A$205,'Deals'!B193)&lt;&gt;1,"Check Client ID",INDEX('Clients'!$B$6:$B$205,MATCH('Deals'!B193,'Clients'!$A$6:$A$205,0)))),IF('Deals'!B193="","",IF(COUNTIFS('Clients'!$A$6:$A$205,'Deals'!B193)&lt;&gt;1,"Check Client ID",INDEX('Clients'!$B$6:$B$205,MATCH('Deals'!B193,'Clients'!$A$6:$A$205,0)))),IF('Deals'!B193="","",IF(COUNTIFS('Clients'!$A$6:$A$205,'Deals'!B193)&lt;&gt;1,"Check Client ID",INDEX('Clients'!$B$6:$B$205,MATCH('Deals'!B193,'Clients'!$A$6:$A$205,0)))),'Follow-ups'!K193,'Payments'!B193,'Expenses'!D193))))</x:f>
      </x:c>
      <x:c r="E235" s="432" t="str">
        <x:f>IF(B235="","",IF(ISNUMBER(CHOOSE($M$42,'Clients'!K193,'Clients'!K193,'Viewings'!I193,'Deals'!C193,'Deals'!C193,'Deals'!C193,'Follow-ups'!L193,'Payments'!G193,'Expenses'!F193)),CHOOSE($M$42,'Clients'!K193,'Clients'!K193,'Viewings'!I193,'Deals'!C193,'Deals'!C193,'Deals'!C193,'Follow-ups'!L193,'Payments'!G193,'Expenses'!F193),IF(CHOOSE($M$42,'Clients'!K193,'Clients'!K193,'Viewings'!I193,'Deals'!C193,'Deals'!C193,'Deals'!C193,'Follow-ups'!L193,'Payments'!G193,'Expenses'!F193)="","",CHOOSE($M$42,'Clients'!K193,'Clients'!K193,'Viewings'!I193,'Deals'!C193,'Deals'!C193,'Deals'!C193,'Follow-ups'!L193,'Payments'!G193,'Expenses'!F193))))</x:f>
      </x:c>
      <x:c r="F235" s="432" t="str">
        <x:f>IF(B235="","",IF(ISNUMBER(CHOOSE($M$42,'Clients'!H193,'Clients'!H193,'Viewings'!E193,'Deals'!E193,'Deals'!E193,'Deals'!E193,'Follow-ups'!I193,"Receipt",'Expenses'!C193)),CHOOSE($M$42,'Clients'!H193,'Clients'!H193,'Viewings'!E193,'Deals'!E193,'Deals'!E193,'Deals'!E193,'Follow-ups'!I193,"Receipt",'Expenses'!C193),IF(CHOOSE($M$42,'Clients'!H193,'Clients'!H193,'Viewings'!E193,'Deals'!E193,'Deals'!E193,'Deals'!E193,'Follow-ups'!I193,"Receipt",'Expenses'!C193)="","",CHOOSE($M$42,'Clients'!H193,'Clients'!H193,'Viewings'!E193,'Deals'!E193,'Deals'!E193,'Deals'!E193,'Follow-ups'!I193,"Receipt",'Expenses'!C193))))</x:f>
      </x:c>
      <x:c r="G235" s="473" t="str">
        <x:f>IF(B235="","",IF(ISNUMBER(CHOOSE($M$42,"","","",'Deals'!F193,'Deals'!F193,'Deals'!F193,"",'Payments'!D193,'Expenses'!G193)),CHOOSE($M$42,"","","",'Deals'!F193,'Deals'!F193,'Deals'!F193,"",'Payments'!D193,'Expenses'!G193),IF(CHOOSE($M$42,"","","",'Deals'!F193,'Deals'!F193,'Deals'!F193,"",'Payments'!D193,'Expenses'!G193)="","",CHOOSE($M$42,"","","",'Deals'!F193,'Deals'!F193,'Deals'!F193,"",'Payments'!D193,'Expenses'!G193))))</x:f>
      </x:c>
      <x:c r="H235" s="432" t="n">
        <x:f>IF(AND($M$43=1,B235&lt;&gt;"",ISNUMBER(C235),C235&gt;=$G$6,C235&lt;$K$6+1),1,0)</x:f>
        <x:v>0</x:v>
      </x:c>
      <x:c r="I235" s="432" t="str">
        <x:f>IF(H235=0,"",COUNTIFS($H$48:$H$247,1,$C$48:$C$247,"&lt;"&amp;C235)+COUNTIFS($H$48:H235,1,$C$48:C235,C235))</x:f>
      </x:c>
      <x:c r="J235" s="432"/>
      <x:c r="K235" s="432"/>
      <x:c r="L235" s="432"/>
      <x:c r="M235" s="432"/>
      <x:c r="N235" s="432"/>
      <x:c r="O235" s="432"/>
      <x:c r="P235" s="432"/>
      <x:c r="Q235" s="432"/>
    </x:row>
    <x:row r="236" ht="25" customHeight="1">
      <x:c r="A236" s="432"/>
      <x:c r="B236" s="432" t="str">
        <x:f>IF(CHOOSE($M$42,'Clients'!A194,'Clients'!A194,'Viewings'!A194,'Deals'!A194,'Deals'!A194,'Deals'!A194,'Follow-ups'!A194,'Payments'!A194,'Expenses'!A194)="","",CHOOSE($M$42,'Clients'!A194,'Clients'!A194,'Viewings'!A194,'Deals'!A194,'Deals'!A194,'Deals'!A194,'Follow-ups'!A194,'Payments'!A194,'Expenses'!A194))</x:f>
      </x:c>
      <x:c r="C236" s="472" t="str">
        <x:f>IF(B236="","",IF(CHOOSE($M$42,'Clients'!R194,'Clients'!Q194,'Viewings'!D194,'Deals'!X194,'Deals'!Y194,'Deals'!Z194,'Follow-ups'!H194,'Payments'!C194,'Expenses'!B194)="","",CHOOSE($M$42,'Clients'!R194,'Clients'!Q194,'Viewings'!D194,'Deals'!X194,'Deals'!Y194,'Deals'!Z194,'Follow-ups'!H194,'Payments'!C194,'Expenses'!B194)))</x:f>
      </x:c>
      <x:c r="D236" s="432" t="str">
        <x:f>IF(B236="","",IF(ISNUMBER(CHOOSE($M$42,'Clients'!B194,'Clients'!B194,'Viewings'!H194,IF('Deals'!B194="","",IF(COUNTIFS('Clients'!$A$6:$A$205,'Deals'!B194)&lt;&gt;1,"Check Client ID",INDEX('Clients'!$B$6:$B$205,MATCH('Deals'!B194,'Clients'!$A$6:$A$205,0)))),IF('Deals'!B194="","",IF(COUNTIFS('Clients'!$A$6:$A$205,'Deals'!B194)&lt;&gt;1,"Check Client ID",INDEX('Clients'!$B$6:$B$205,MATCH('Deals'!B194,'Clients'!$A$6:$A$205,0)))),IF('Deals'!B194="","",IF(COUNTIFS('Clients'!$A$6:$A$205,'Deals'!B194)&lt;&gt;1,"Check Client ID",INDEX('Clients'!$B$6:$B$205,MATCH('Deals'!B194,'Clients'!$A$6:$A$205,0)))),'Follow-ups'!K194,'Payments'!B194,'Expenses'!D194)),CHOOSE($M$42,'Clients'!B194,'Clients'!B194,'Viewings'!H194,IF('Deals'!B194="","",IF(COUNTIFS('Clients'!$A$6:$A$205,'Deals'!B194)&lt;&gt;1,"Check Client ID",INDEX('Clients'!$B$6:$B$205,MATCH('Deals'!B194,'Clients'!$A$6:$A$205,0)))),IF('Deals'!B194="","",IF(COUNTIFS('Clients'!$A$6:$A$205,'Deals'!B194)&lt;&gt;1,"Check Client ID",INDEX('Clients'!$B$6:$B$205,MATCH('Deals'!B194,'Clients'!$A$6:$A$205,0)))),IF('Deals'!B194="","",IF(COUNTIFS('Clients'!$A$6:$A$205,'Deals'!B194)&lt;&gt;1,"Check Client ID",INDEX('Clients'!$B$6:$B$205,MATCH('Deals'!B194,'Clients'!$A$6:$A$205,0)))),'Follow-ups'!K194,'Payments'!B194,'Expenses'!D194),IF(CHOOSE($M$42,'Clients'!B194,'Clients'!B194,'Viewings'!H194,IF('Deals'!B194="","",IF(COUNTIFS('Clients'!$A$6:$A$205,'Deals'!B194)&lt;&gt;1,"Check Client ID",INDEX('Clients'!$B$6:$B$205,MATCH('Deals'!B194,'Clients'!$A$6:$A$205,0)))),IF('Deals'!B194="","",IF(COUNTIFS('Clients'!$A$6:$A$205,'Deals'!B194)&lt;&gt;1,"Check Client ID",INDEX('Clients'!$B$6:$B$205,MATCH('Deals'!B194,'Clients'!$A$6:$A$205,0)))),IF('Deals'!B194="","",IF(COUNTIFS('Clients'!$A$6:$A$205,'Deals'!B194)&lt;&gt;1,"Check Client ID",INDEX('Clients'!$B$6:$B$205,MATCH('Deals'!B194,'Clients'!$A$6:$A$205,0)))),'Follow-ups'!K194,'Payments'!B194,'Expenses'!D194)="","",CHOOSE($M$42,'Clients'!B194,'Clients'!B194,'Viewings'!H194,IF('Deals'!B194="","",IF(COUNTIFS('Clients'!$A$6:$A$205,'Deals'!B194)&lt;&gt;1,"Check Client ID",INDEX('Clients'!$B$6:$B$205,MATCH('Deals'!B194,'Clients'!$A$6:$A$205,0)))),IF('Deals'!B194="","",IF(COUNTIFS('Clients'!$A$6:$A$205,'Deals'!B194)&lt;&gt;1,"Check Client ID",INDEX('Clients'!$B$6:$B$205,MATCH('Deals'!B194,'Clients'!$A$6:$A$205,0)))),IF('Deals'!B194="","",IF(COUNTIFS('Clients'!$A$6:$A$205,'Deals'!B194)&lt;&gt;1,"Check Client ID",INDEX('Clients'!$B$6:$B$205,MATCH('Deals'!B194,'Clients'!$A$6:$A$205,0)))),'Follow-ups'!K194,'Payments'!B194,'Expenses'!D194))))</x:f>
      </x:c>
      <x:c r="E236" s="432" t="str">
        <x:f>IF(B236="","",IF(ISNUMBER(CHOOSE($M$42,'Clients'!K194,'Clients'!K194,'Viewings'!I194,'Deals'!C194,'Deals'!C194,'Deals'!C194,'Follow-ups'!L194,'Payments'!G194,'Expenses'!F194)),CHOOSE($M$42,'Clients'!K194,'Clients'!K194,'Viewings'!I194,'Deals'!C194,'Deals'!C194,'Deals'!C194,'Follow-ups'!L194,'Payments'!G194,'Expenses'!F194),IF(CHOOSE($M$42,'Clients'!K194,'Clients'!K194,'Viewings'!I194,'Deals'!C194,'Deals'!C194,'Deals'!C194,'Follow-ups'!L194,'Payments'!G194,'Expenses'!F194)="","",CHOOSE($M$42,'Clients'!K194,'Clients'!K194,'Viewings'!I194,'Deals'!C194,'Deals'!C194,'Deals'!C194,'Follow-ups'!L194,'Payments'!G194,'Expenses'!F194))))</x:f>
      </x:c>
      <x:c r="F236" s="432" t="str">
        <x:f>IF(B236="","",IF(ISNUMBER(CHOOSE($M$42,'Clients'!H194,'Clients'!H194,'Viewings'!E194,'Deals'!E194,'Deals'!E194,'Deals'!E194,'Follow-ups'!I194,"Receipt",'Expenses'!C194)),CHOOSE($M$42,'Clients'!H194,'Clients'!H194,'Viewings'!E194,'Deals'!E194,'Deals'!E194,'Deals'!E194,'Follow-ups'!I194,"Receipt",'Expenses'!C194),IF(CHOOSE($M$42,'Clients'!H194,'Clients'!H194,'Viewings'!E194,'Deals'!E194,'Deals'!E194,'Deals'!E194,'Follow-ups'!I194,"Receipt",'Expenses'!C194)="","",CHOOSE($M$42,'Clients'!H194,'Clients'!H194,'Viewings'!E194,'Deals'!E194,'Deals'!E194,'Deals'!E194,'Follow-ups'!I194,"Receipt",'Expenses'!C194))))</x:f>
      </x:c>
      <x:c r="G236" s="473" t="str">
        <x:f>IF(B236="","",IF(ISNUMBER(CHOOSE($M$42,"","","",'Deals'!F194,'Deals'!F194,'Deals'!F194,"",'Payments'!D194,'Expenses'!G194)),CHOOSE($M$42,"","","",'Deals'!F194,'Deals'!F194,'Deals'!F194,"",'Payments'!D194,'Expenses'!G194),IF(CHOOSE($M$42,"","","",'Deals'!F194,'Deals'!F194,'Deals'!F194,"",'Payments'!D194,'Expenses'!G194)="","",CHOOSE($M$42,"","","",'Deals'!F194,'Deals'!F194,'Deals'!F194,"",'Payments'!D194,'Expenses'!G194))))</x:f>
      </x:c>
      <x:c r="H236" s="432" t="n">
        <x:f>IF(AND($M$43=1,B236&lt;&gt;"",ISNUMBER(C236),C236&gt;=$G$6,C236&lt;$K$6+1),1,0)</x:f>
        <x:v>0</x:v>
      </x:c>
      <x:c r="I236" s="432" t="str">
        <x:f>IF(H236=0,"",COUNTIFS($H$48:$H$247,1,$C$48:$C$247,"&lt;"&amp;C236)+COUNTIFS($H$48:H236,1,$C$48:C236,C236))</x:f>
      </x:c>
      <x:c r="J236" s="432"/>
      <x:c r="K236" s="432"/>
      <x:c r="L236" s="432"/>
      <x:c r="M236" s="432"/>
      <x:c r="N236" s="432"/>
      <x:c r="O236" s="432"/>
      <x:c r="P236" s="432"/>
      <x:c r="Q236" s="432"/>
    </x:row>
    <x:row r="237" ht="25" customHeight="1">
      <x:c r="A237" s="432"/>
      <x:c r="B237" s="432" t="str">
        <x:f>IF(CHOOSE($M$42,'Clients'!A195,'Clients'!A195,'Viewings'!A195,'Deals'!A195,'Deals'!A195,'Deals'!A195,'Follow-ups'!A195,'Payments'!A195,'Expenses'!A195)="","",CHOOSE($M$42,'Clients'!A195,'Clients'!A195,'Viewings'!A195,'Deals'!A195,'Deals'!A195,'Deals'!A195,'Follow-ups'!A195,'Payments'!A195,'Expenses'!A195))</x:f>
      </x:c>
      <x:c r="C237" s="472" t="str">
        <x:f>IF(B237="","",IF(CHOOSE($M$42,'Clients'!R195,'Clients'!Q195,'Viewings'!D195,'Deals'!X195,'Deals'!Y195,'Deals'!Z195,'Follow-ups'!H195,'Payments'!C195,'Expenses'!B195)="","",CHOOSE($M$42,'Clients'!R195,'Clients'!Q195,'Viewings'!D195,'Deals'!X195,'Deals'!Y195,'Deals'!Z195,'Follow-ups'!H195,'Payments'!C195,'Expenses'!B195)))</x:f>
      </x:c>
      <x:c r="D237" s="432" t="str">
        <x:f>IF(B237="","",IF(ISNUMBER(CHOOSE($M$42,'Clients'!B195,'Clients'!B195,'Viewings'!H195,IF('Deals'!B195="","",IF(COUNTIFS('Clients'!$A$6:$A$205,'Deals'!B195)&lt;&gt;1,"Check Client ID",INDEX('Clients'!$B$6:$B$205,MATCH('Deals'!B195,'Clients'!$A$6:$A$205,0)))),IF('Deals'!B195="","",IF(COUNTIFS('Clients'!$A$6:$A$205,'Deals'!B195)&lt;&gt;1,"Check Client ID",INDEX('Clients'!$B$6:$B$205,MATCH('Deals'!B195,'Clients'!$A$6:$A$205,0)))),IF('Deals'!B195="","",IF(COUNTIFS('Clients'!$A$6:$A$205,'Deals'!B195)&lt;&gt;1,"Check Client ID",INDEX('Clients'!$B$6:$B$205,MATCH('Deals'!B195,'Clients'!$A$6:$A$205,0)))),'Follow-ups'!K195,'Payments'!B195,'Expenses'!D195)),CHOOSE($M$42,'Clients'!B195,'Clients'!B195,'Viewings'!H195,IF('Deals'!B195="","",IF(COUNTIFS('Clients'!$A$6:$A$205,'Deals'!B195)&lt;&gt;1,"Check Client ID",INDEX('Clients'!$B$6:$B$205,MATCH('Deals'!B195,'Clients'!$A$6:$A$205,0)))),IF('Deals'!B195="","",IF(COUNTIFS('Clients'!$A$6:$A$205,'Deals'!B195)&lt;&gt;1,"Check Client ID",INDEX('Clients'!$B$6:$B$205,MATCH('Deals'!B195,'Clients'!$A$6:$A$205,0)))),IF('Deals'!B195="","",IF(COUNTIFS('Clients'!$A$6:$A$205,'Deals'!B195)&lt;&gt;1,"Check Client ID",INDEX('Clients'!$B$6:$B$205,MATCH('Deals'!B195,'Clients'!$A$6:$A$205,0)))),'Follow-ups'!K195,'Payments'!B195,'Expenses'!D195),IF(CHOOSE($M$42,'Clients'!B195,'Clients'!B195,'Viewings'!H195,IF('Deals'!B195="","",IF(COUNTIFS('Clients'!$A$6:$A$205,'Deals'!B195)&lt;&gt;1,"Check Client ID",INDEX('Clients'!$B$6:$B$205,MATCH('Deals'!B195,'Clients'!$A$6:$A$205,0)))),IF('Deals'!B195="","",IF(COUNTIFS('Clients'!$A$6:$A$205,'Deals'!B195)&lt;&gt;1,"Check Client ID",INDEX('Clients'!$B$6:$B$205,MATCH('Deals'!B195,'Clients'!$A$6:$A$205,0)))),IF('Deals'!B195="","",IF(COUNTIFS('Clients'!$A$6:$A$205,'Deals'!B195)&lt;&gt;1,"Check Client ID",INDEX('Clients'!$B$6:$B$205,MATCH('Deals'!B195,'Clients'!$A$6:$A$205,0)))),'Follow-ups'!K195,'Payments'!B195,'Expenses'!D195)="","",CHOOSE($M$42,'Clients'!B195,'Clients'!B195,'Viewings'!H195,IF('Deals'!B195="","",IF(COUNTIFS('Clients'!$A$6:$A$205,'Deals'!B195)&lt;&gt;1,"Check Client ID",INDEX('Clients'!$B$6:$B$205,MATCH('Deals'!B195,'Clients'!$A$6:$A$205,0)))),IF('Deals'!B195="","",IF(COUNTIFS('Clients'!$A$6:$A$205,'Deals'!B195)&lt;&gt;1,"Check Client ID",INDEX('Clients'!$B$6:$B$205,MATCH('Deals'!B195,'Clients'!$A$6:$A$205,0)))),IF('Deals'!B195="","",IF(COUNTIFS('Clients'!$A$6:$A$205,'Deals'!B195)&lt;&gt;1,"Check Client ID",INDEX('Clients'!$B$6:$B$205,MATCH('Deals'!B195,'Clients'!$A$6:$A$205,0)))),'Follow-ups'!K195,'Payments'!B195,'Expenses'!D195))))</x:f>
      </x:c>
      <x:c r="E237" s="432" t="str">
        <x:f>IF(B237="","",IF(ISNUMBER(CHOOSE($M$42,'Clients'!K195,'Clients'!K195,'Viewings'!I195,'Deals'!C195,'Deals'!C195,'Deals'!C195,'Follow-ups'!L195,'Payments'!G195,'Expenses'!F195)),CHOOSE($M$42,'Clients'!K195,'Clients'!K195,'Viewings'!I195,'Deals'!C195,'Deals'!C195,'Deals'!C195,'Follow-ups'!L195,'Payments'!G195,'Expenses'!F195),IF(CHOOSE($M$42,'Clients'!K195,'Clients'!K195,'Viewings'!I195,'Deals'!C195,'Deals'!C195,'Deals'!C195,'Follow-ups'!L195,'Payments'!G195,'Expenses'!F195)="","",CHOOSE($M$42,'Clients'!K195,'Clients'!K195,'Viewings'!I195,'Deals'!C195,'Deals'!C195,'Deals'!C195,'Follow-ups'!L195,'Payments'!G195,'Expenses'!F195))))</x:f>
      </x:c>
      <x:c r="F237" s="432" t="str">
        <x:f>IF(B237="","",IF(ISNUMBER(CHOOSE($M$42,'Clients'!H195,'Clients'!H195,'Viewings'!E195,'Deals'!E195,'Deals'!E195,'Deals'!E195,'Follow-ups'!I195,"Receipt",'Expenses'!C195)),CHOOSE($M$42,'Clients'!H195,'Clients'!H195,'Viewings'!E195,'Deals'!E195,'Deals'!E195,'Deals'!E195,'Follow-ups'!I195,"Receipt",'Expenses'!C195),IF(CHOOSE($M$42,'Clients'!H195,'Clients'!H195,'Viewings'!E195,'Deals'!E195,'Deals'!E195,'Deals'!E195,'Follow-ups'!I195,"Receipt",'Expenses'!C195)="","",CHOOSE($M$42,'Clients'!H195,'Clients'!H195,'Viewings'!E195,'Deals'!E195,'Deals'!E195,'Deals'!E195,'Follow-ups'!I195,"Receipt",'Expenses'!C195))))</x:f>
      </x:c>
      <x:c r="G237" s="473" t="str">
        <x:f>IF(B237="","",IF(ISNUMBER(CHOOSE($M$42,"","","",'Deals'!F195,'Deals'!F195,'Deals'!F195,"",'Payments'!D195,'Expenses'!G195)),CHOOSE($M$42,"","","",'Deals'!F195,'Deals'!F195,'Deals'!F195,"",'Payments'!D195,'Expenses'!G195),IF(CHOOSE($M$42,"","","",'Deals'!F195,'Deals'!F195,'Deals'!F195,"",'Payments'!D195,'Expenses'!G195)="","",CHOOSE($M$42,"","","",'Deals'!F195,'Deals'!F195,'Deals'!F195,"",'Payments'!D195,'Expenses'!G195))))</x:f>
      </x:c>
      <x:c r="H237" s="432" t="n">
        <x:f>IF(AND($M$43=1,B237&lt;&gt;"",ISNUMBER(C237),C237&gt;=$G$6,C237&lt;$K$6+1),1,0)</x:f>
        <x:v>0</x:v>
      </x:c>
      <x:c r="I237" s="432" t="str">
        <x:f>IF(H237=0,"",COUNTIFS($H$48:$H$247,1,$C$48:$C$247,"&lt;"&amp;C237)+COUNTIFS($H$48:H237,1,$C$48:C237,C237))</x:f>
      </x:c>
      <x:c r="J237" s="432"/>
      <x:c r="K237" s="432"/>
      <x:c r="L237" s="432"/>
      <x:c r="M237" s="432"/>
      <x:c r="N237" s="432"/>
      <x:c r="O237" s="432"/>
      <x:c r="P237" s="432"/>
      <x:c r="Q237" s="432"/>
    </x:row>
    <x:row r="238" ht="25" customHeight="1">
      <x:c r="A238" s="432"/>
      <x:c r="B238" s="432" t="str">
        <x:f>IF(CHOOSE($M$42,'Clients'!A196,'Clients'!A196,'Viewings'!A196,'Deals'!A196,'Deals'!A196,'Deals'!A196,'Follow-ups'!A196,'Payments'!A196,'Expenses'!A196)="","",CHOOSE($M$42,'Clients'!A196,'Clients'!A196,'Viewings'!A196,'Deals'!A196,'Deals'!A196,'Deals'!A196,'Follow-ups'!A196,'Payments'!A196,'Expenses'!A196))</x:f>
      </x:c>
      <x:c r="C238" s="472" t="str">
        <x:f>IF(B238="","",IF(CHOOSE($M$42,'Clients'!R196,'Clients'!Q196,'Viewings'!D196,'Deals'!X196,'Deals'!Y196,'Deals'!Z196,'Follow-ups'!H196,'Payments'!C196,'Expenses'!B196)="","",CHOOSE($M$42,'Clients'!R196,'Clients'!Q196,'Viewings'!D196,'Deals'!X196,'Deals'!Y196,'Deals'!Z196,'Follow-ups'!H196,'Payments'!C196,'Expenses'!B196)))</x:f>
      </x:c>
      <x:c r="D238" s="432" t="str">
        <x:f>IF(B238="","",IF(ISNUMBER(CHOOSE($M$42,'Clients'!B196,'Clients'!B196,'Viewings'!H196,IF('Deals'!B196="","",IF(COUNTIFS('Clients'!$A$6:$A$205,'Deals'!B196)&lt;&gt;1,"Check Client ID",INDEX('Clients'!$B$6:$B$205,MATCH('Deals'!B196,'Clients'!$A$6:$A$205,0)))),IF('Deals'!B196="","",IF(COUNTIFS('Clients'!$A$6:$A$205,'Deals'!B196)&lt;&gt;1,"Check Client ID",INDEX('Clients'!$B$6:$B$205,MATCH('Deals'!B196,'Clients'!$A$6:$A$205,0)))),IF('Deals'!B196="","",IF(COUNTIFS('Clients'!$A$6:$A$205,'Deals'!B196)&lt;&gt;1,"Check Client ID",INDEX('Clients'!$B$6:$B$205,MATCH('Deals'!B196,'Clients'!$A$6:$A$205,0)))),'Follow-ups'!K196,'Payments'!B196,'Expenses'!D196)),CHOOSE($M$42,'Clients'!B196,'Clients'!B196,'Viewings'!H196,IF('Deals'!B196="","",IF(COUNTIFS('Clients'!$A$6:$A$205,'Deals'!B196)&lt;&gt;1,"Check Client ID",INDEX('Clients'!$B$6:$B$205,MATCH('Deals'!B196,'Clients'!$A$6:$A$205,0)))),IF('Deals'!B196="","",IF(COUNTIFS('Clients'!$A$6:$A$205,'Deals'!B196)&lt;&gt;1,"Check Client ID",INDEX('Clients'!$B$6:$B$205,MATCH('Deals'!B196,'Clients'!$A$6:$A$205,0)))),IF('Deals'!B196="","",IF(COUNTIFS('Clients'!$A$6:$A$205,'Deals'!B196)&lt;&gt;1,"Check Client ID",INDEX('Clients'!$B$6:$B$205,MATCH('Deals'!B196,'Clients'!$A$6:$A$205,0)))),'Follow-ups'!K196,'Payments'!B196,'Expenses'!D196),IF(CHOOSE($M$42,'Clients'!B196,'Clients'!B196,'Viewings'!H196,IF('Deals'!B196="","",IF(COUNTIFS('Clients'!$A$6:$A$205,'Deals'!B196)&lt;&gt;1,"Check Client ID",INDEX('Clients'!$B$6:$B$205,MATCH('Deals'!B196,'Clients'!$A$6:$A$205,0)))),IF('Deals'!B196="","",IF(COUNTIFS('Clients'!$A$6:$A$205,'Deals'!B196)&lt;&gt;1,"Check Client ID",INDEX('Clients'!$B$6:$B$205,MATCH('Deals'!B196,'Clients'!$A$6:$A$205,0)))),IF('Deals'!B196="","",IF(COUNTIFS('Clients'!$A$6:$A$205,'Deals'!B196)&lt;&gt;1,"Check Client ID",INDEX('Clients'!$B$6:$B$205,MATCH('Deals'!B196,'Clients'!$A$6:$A$205,0)))),'Follow-ups'!K196,'Payments'!B196,'Expenses'!D196)="","",CHOOSE($M$42,'Clients'!B196,'Clients'!B196,'Viewings'!H196,IF('Deals'!B196="","",IF(COUNTIFS('Clients'!$A$6:$A$205,'Deals'!B196)&lt;&gt;1,"Check Client ID",INDEX('Clients'!$B$6:$B$205,MATCH('Deals'!B196,'Clients'!$A$6:$A$205,0)))),IF('Deals'!B196="","",IF(COUNTIFS('Clients'!$A$6:$A$205,'Deals'!B196)&lt;&gt;1,"Check Client ID",INDEX('Clients'!$B$6:$B$205,MATCH('Deals'!B196,'Clients'!$A$6:$A$205,0)))),IF('Deals'!B196="","",IF(COUNTIFS('Clients'!$A$6:$A$205,'Deals'!B196)&lt;&gt;1,"Check Client ID",INDEX('Clients'!$B$6:$B$205,MATCH('Deals'!B196,'Clients'!$A$6:$A$205,0)))),'Follow-ups'!K196,'Payments'!B196,'Expenses'!D196))))</x:f>
      </x:c>
      <x:c r="E238" s="432" t="str">
        <x:f>IF(B238="","",IF(ISNUMBER(CHOOSE($M$42,'Clients'!K196,'Clients'!K196,'Viewings'!I196,'Deals'!C196,'Deals'!C196,'Deals'!C196,'Follow-ups'!L196,'Payments'!G196,'Expenses'!F196)),CHOOSE($M$42,'Clients'!K196,'Clients'!K196,'Viewings'!I196,'Deals'!C196,'Deals'!C196,'Deals'!C196,'Follow-ups'!L196,'Payments'!G196,'Expenses'!F196),IF(CHOOSE($M$42,'Clients'!K196,'Clients'!K196,'Viewings'!I196,'Deals'!C196,'Deals'!C196,'Deals'!C196,'Follow-ups'!L196,'Payments'!G196,'Expenses'!F196)="","",CHOOSE($M$42,'Clients'!K196,'Clients'!K196,'Viewings'!I196,'Deals'!C196,'Deals'!C196,'Deals'!C196,'Follow-ups'!L196,'Payments'!G196,'Expenses'!F196))))</x:f>
      </x:c>
      <x:c r="F238" s="432" t="str">
        <x:f>IF(B238="","",IF(ISNUMBER(CHOOSE($M$42,'Clients'!H196,'Clients'!H196,'Viewings'!E196,'Deals'!E196,'Deals'!E196,'Deals'!E196,'Follow-ups'!I196,"Receipt",'Expenses'!C196)),CHOOSE($M$42,'Clients'!H196,'Clients'!H196,'Viewings'!E196,'Deals'!E196,'Deals'!E196,'Deals'!E196,'Follow-ups'!I196,"Receipt",'Expenses'!C196),IF(CHOOSE($M$42,'Clients'!H196,'Clients'!H196,'Viewings'!E196,'Deals'!E196,'Deals'!E196,'Deals'!E196,'Follow-ups'!I196,"Receipt",'Expenses'!C196)="","",CHOOSE($M$42,'Clients'!H196,'Clients'!H196,'Viewings'!E196,'Deals'!E196,'Deals'!E196,'Deals'!E196,'Follow-ups'!I196,"Receipt",'Expenses'!C196))))</x:f>
      </x:c>
      <x:c r="G238" s="473" t="str">
        <x:f>IF(B238="","",IF(ISNUMBER(CHOOSE($M$42,"","","",'Deals'!F196,'Deals'!F196,'Deals'!F196,"",'Payments'!D196,'Expenses'!G196)),CHOOSE($M$42,"","","",'Deals'!F196,'Deals'!F196,'Deals'!F196,"",'Payments'!D196,'Expenses'!G196),IF(CHOOSE($M$42,"","","",'Deals'!F196,'Deals'!F196,'Deals'!F196,"",'Payments'!D196,'Expenses'!G196)="","",CHOOSE($M$42,"","","",'Deals'!F196,'Deals'!F196,'Deals'!F196,"",'Payments'!D196,'Expenses'!G196))))</x:f>
      </x:c>
      <x:c r="H238" s="432" t="n">
        <x:f>IF(AND($M$43=1,B238&lt;&gt;"",ISNUMBER(C238),C238&gt;=$G$6,C238&lt;$K$6+1),1,0)</x:f>
        <x:v>0</x:v>
      </x:c>
      <x:c r="I238" s="432" t="str">
        <x:f>IF(H238=0,"",COUNTIFS($H$48:$H$247,1,$C$48:$C$247,"&lt;"&amp;C238)+COUNTIFS($H$48:H238,1,$C$48:C238,C238))</x:f>
      </x:c>
      <x:c r="J238" s="432"/>
      <x:c r="K238" s="432"/>
      <x:c r="L238" s="432"/>
      <x:c r="M238" s="432"/>
      <x:c r="N238" s="432"/>
      <x:c r="O238" s="432"/>
      <x:c r="P238" s="432"/>
      <x:c r="Q238" s="432"/>
    </x:row>
    <x:row r="239" ht="25" customHeight="1">
      <x:c r="A239" s="432"/>
      <x:c r="B239" s="432" t="str">
        <x:f>IF(CHOOSE($M$42,'Clients'!A197,'Clients'!A197,'Viewings'!A197,'Deals'!A197,'Deals'!A197,'Deals'!A197,'Follow-ups'!A197,'Payments'!A197,'Expenses'!A197)="","",CHOOSE($M$42,'Clients'!A197,'Clients'!A197,'Viewings'!A197,'Deals'!A197,'Deals'!A197,'Deals'!A197,'Follow-ups'!A197,'Payments'!A197,'Expenses'!A197))</x:f>
      </x:c>
      <x:c r="C239" s="472" t="str">
        <x:f>IF(B239="","",IF(CHOOSE($M$42,'Clients'!R197,'Clients'!Q197,'Viewings'!D197,'Deals'!X197,'Deals'!Y197,'Deals'!Z197,'Follow-ups'!H197,'Payments'!C197,'Expenses'!B197)="","",CHOOSE($M$42,'Clients'!R197,'Clients'!Q197,'Viewings'!D197,'Deals'!X197,'Deals'!Y197,'Deals'!Z197,'Follow-ups'!H197,'Payments'!C197,'Expenses'!B197)))</x:f>
      </x:c>
      <x:c r="D239" s="432" t="str">
        <x:f>IF(B239="","",IF(ISNUMBER(CHOOSE($M$42,'Clients'!B197,'Clients'!B197,'Viewings'!H197,IF('Deals'!B197="","",IF(COUNTIFS('Clients'!$A$6:$A$205,'Deals'!B197)&lt;&gt;1,"Check Client ID",INDEX('Clients'!$B$6:$B$205,MATCH('Deals'!B197,'Clients'!$A$6:$A$205,0)))),IF('Deals'!B197="","",IF(COUNTIFS('Clients'!$A$6:$A$205,'Deals'!B197)&lt;&gt;1,"Check Client ID",INDEX('Clients'!$B$6:$B$205,MATCH('Deals'!B197,'Clients'!$A$6:$A$205,0)))),IF('Deals'!B197="","",IF(COUNTIFS('Clients'!$A$6:$A$205,'Deals'!B197)&lt;&gt;1,"Check Client ID",INDEX('Clients'!$B$6:$B$205,MATCH('Deals'!B197,'Clients'!$A$6:$A$205,0)))),'Follow-ups'!K197,'Payments'!B197,'Expenses'!D197)),CHOOSE($M$42,'Clients'!B197,'Clients'!B197,'Viewings'!H197,IF('Deals'!B197="","",IF(COUNTIFS('Clients'!$A$6:$A$205,'Deals'!B197)&lt;&gt;1,"Check Client ID",INDEX('Clients'!$B$6:$B$205,MATCH('Deals'!B197,'Clients'!$A$6:$A$205,0)))),IF('Deals'!B197="","",IF(COUNTIFS('Clients'!$A$6:$A$205,'Deals'!B197)&lt;&gt;1,"Check Client ID",INDEX('Clients'!$B$6:$B$205,MATCH('Deals'!B197,'Clients'!$A$6:$A$205,0)))),IF('Deals'!B197="","",IF(COUNTIFS('Clients'!$A$6:$A$205,'Deals'!B197)&lt;&gt;1,"Check Client ID",INDEX('Clients'!$B$6:$B$205,MATCH('Deals'!B197,'Clients'!$A$6:$A$205,0)))),'Follow-ups'!K197,'Payments'!B197,'Expenses'!D197),IF(CHOOSE($M$42,'Clients'!B197,'Clients'!B197,'Viewings'!H197,IF('Deals'!B197="","",IF(COUNTIFS('Clients'!$A$6:$A$205,'Deals'!B197)&lt;&gt;1,"Check Client ID",INDEX('Clients'!$B$6:$B$205,MATCH('Deals'!B197,'Clients'!$A$6:$A$205,0)))),IF('Deals'!B197="","",IF(COUNTIFS('Clients'!$A$6:$A$205,'Deals'!B197)&lt;&gt;1,"Check Client ID",INDEX('Clients'!$B$6:$B$205,MATCH('Deals'!B197,'Clients'!$A$6:$A$205,0)))),IF('Deals'!B197="","",IF(COUNTIFS('Clients'!$A$6:$A$205,'Deals'!B197)&lt;&gt;1,"Check Client ID",INDEX('Clients'!$B$6:$B$205,MATCH('Deals'!B197,'Clients'!$A$6:$A$205,0)))),'Follow-ups'!K197,'Payments'!B197,'Expenses'!D197)="","",CHOOSE($M$42,'Clients'!B197,'Clients'!B197,'Viewings'!H197,IF('Deals'!B197="","",IF(COUNTIFS('Clients'!$A$6:$A$205,'Deals'!B197)&lt;&gt;1,"Check Client ID",INDEX('Clients'!$B$6:$B$205,MATCH('Deals'!B197,'Clients'!$A$6:$A$205,0)))),IF('Deals'!B197="","",IF(COUNTIFS('Clients'!$A$6:$A$205,'Deals'!B197)&lt;&gt;1,"Check Client ID",INDEX('Clients'!$B$6:$B$205,MATCH('Deals'!B197,'Clients'!$A$6:$A$205,0)))),IF('Deals'!B197="","",IF(COUNTIFS('Clients'!$A$6:$A$205,'Deals'!B197)&lt;&gt;1,"Check Client ID",INDEX('Clients'!$B$6:$B$205,MATCH('Deals'!B197,'Clients'!$A$6:$A$205,0)))),'Follow-ups'!K197,'Payments'!B197,'Expenses'!D197))))</x:f>
      </x:c>
      <x:c r="E239" s="432" t="str">
        <x:f>IF(B239="","",IF(ISNUMBER(CHOOSE($M$42,'Clients'!K197,'Clients'!K197,'Viewings'!I197,'Deals'!C197,'Deals'!C197,'Deals'!C197,'Follow-ups'!L197,'Payments'!G197,'Expenses'!F197)),CHOOSE($M$42,'Clients'!K197,'Clients'!K197,'Viewings'!I197,'Deals'!C197,'Deals'!C197,'Deals'!C197,'Follow-ups'!L197,'Payments'!G197,'Expenses'!F197),IF(CHOOSE($M$42,'Clients'!K197,'Clients'!K197,'Viewings'!I197,'Deals'!C197,'Deals'!C197,'Deals'!C197,'Follow-ups'!L197,'Payments'!G197,'Expenses'!F197)="","",CHOOSE($M$42,'Clients'!K197,'Clients'!K197,'Viewings'!I197,'Deals'!C197,'Deals'!C197,'Deals'!C197,'Follow-ups'!L197,'Payments'!G197,'Expenses'!F197))))</x:f>
      </x:c>
      <x:c r="F239" s="432" t="str">
        <x:f>IF(B239="","",IF(ISNUMBER(CHOOSE($M$42,'Clients'!H197,'Clients'!H197,'Viewings'!E197,'Deals'!E197,'Deals'!E197,'Deals'!E197,'Follow-ups'!I197,"Receipt",'Expenses'!C197)),CHOOSE($M$42,'Clients'!H197,'Clients'!H197,'Viewings'!E197,'Deals'!E197,'Deals'!E197,'Deals'!E197,'Follow-ups'!I197,"Receipt",'Expenses'!C197),IF(CHOOSE($M$42,'Clients'!H197,'Clients'!H197,'Viewings'!E197,'Deals'!E197,'Deals'!E197,'Deals'!E197,'Follow-ups'!I197,"Receipt",'Expenses'!C197)="","",CHOOSE($M$42,'Clients'!H197,'Clients'!H197,'Viewings'!E197,'Deals'!E197,'Deals'!E197,'Deals'!E197,'Follow-ups'!I197,"Receipt",'Expenses'!C197))))</x:f>
      </x:c>
      <x:c r="G239" s="473" t="str">
        <x:f>IF(B239="","",IF(ISNUMBER(CHOOSE($M$42,"","","",'Deals'!F197,'Deals'!F197,'Deals'!F197,"",'Payments'!D197,'Expenses'!G197)),CHOOSE($M$42,"","","",'Deals'!F197,'Deals'!F197,'Deals'!F197,"",'Payments'!D197,'Expenses'!G197),IF(CHOOSE($M$42,"","","",'Deals'!F197,'Deals'!F197,'Deals'!F197,"",'Payments'!D197,'Expenses'!G197)="","",CHOOSE($M$42,"","","",'Deals'!F197,'Deals'!F197,'Deals'!F197,"",'Payments'!D197,'Expenses'!G197))))</x:f>
      </x:c>
      <x:c r="H239" s="432" t="n">
        <x:f>IF(AND($M$43=1,B239&lt;&gt;"",ISNUMBER(C239),C239&gt;=$G$6,C239&lt;$K$6+1),1,0)</x:f>
        <x:v>0</x:v>
      </x:c>
      <x:c r="I239" s="432" t="str">
        <x:f>IF(H239=0,"",COUNTIFS($H$48:$H$247,1,$C$48:$C$247,"&lt;"&amp;C239)+COUNTIFS($H$48:H239,1,$C$48:C239,C239))</x:f>
      </x:c>
      <x:c r="J239" s="432"/>
      <x:c r="K239" s="432"/>
      <x:c r="L239" s="432"/>
      <x:c r="M239" s="432"/>
      <x:c r="N239" s="432"/>
      <x:c r="O239" s="432"/>
      <x:c r="P239" s="432"/>
      <x:c r="Q239" s="432"/>
    </x:row>
    <x:row r="240" ht="25" customHeight="1">
      <x:c r="A240" s="432"/>
      <x:c r="B240" s="432" t="str">
        <x:f>IF(CHOOSE($M$42,'Clients'!A198,'Clients'!A198,'Viewings'!A198,'Deals'!A198,'Deals'!A198,'Deals'!A198,'Follow-ups'!A198,'Payments'!A198,'Expenses'!A198)="","",CHOOSE($M$42,'Clients'!A198,'Clients'!A198,'Viewings'!A198,'Deals'!A198,'Deals'!A198,'Deals'!A198,'Follow-ups'!A198,'Payments'!A198,'Expenses'!A198))</x:f>
      </x:c>
      <x:c r="C240" s="472" t="str">
        <x:f>IF(B240="","",IF(CHOOSE($M$42,'Clients'!R198,'Clients'!Q198,'Viewings'!D198,'Deals'!X198,'Deals'!Y198,'Deals'!Z198,'Follow-ups'!H198,'Payments'!C198,'Expenses'!B198)="","",CHOOSE($M$42,'Clients'!R198,'Clients'!Q198,'Viewings'!D198,'Deals'!X198,'Deals'!Y198,'Deals'!Z198,'Follow-ups'!H198,'Payments'!C198,'Expenses'!B198)))</x:f>
      </x:c>
      <x:c r="D240" s="432" t="str">
        <x:f>IF(B240="","",IF(ISNUMBER(CHOOSE($M$42,'Clients'!B198,'Clients'!B198,'Viewings'!H198,IF('Deals'!B198="","",IF(COUNTIFS('Clients'!$A$6:$A$205,'Deals'!B198)&lt;&gt;1,"Check Client ID",INDEX('Clients'!$B$6:$B$205,MATCH('Deals'!B198,'Clients'!$A$6:$A$205,0)))),IF('Deals'!B198="","",IF(COUNTIFS('Clients'!$A$6:$A$205,'Deals'!B198)&lt;&gt;1,"Check Client ID",INDEX('Clients'!$B$6:$B$205,MATCH('Deals'!B198,'Clients'!$A$6:$A$205,0)))),IF('Deals'!B198="","",IF(COUNTIFS('Clients'!$A$6:$A$205,'Deals'!B198)&lt;&gt;1,"Check Client ID",INDEX('Clients'!$B$6:$B$205,MATCH('Deals'!B198,'Clients'!$A$6:$A$205,0)))),'Follow-ups'!K198,'Payments'!B198,'Expenses'!D198)),CHOOSE($M$42,'Clients'!B198,'Clients'!B198,'Viewings'!H198,IF('Deals'!B198="","",IF(COUNTIFS('Clients'!$A$6:$A$205,'Deals'!B198)&lt;&gt;1,"Check Client ID",INDEX('Clients'!$B$6:$B$205,MATCH('Deals'!B198,'Clients'!$A$6:$A$205,0)))),IF('Deals'!B198="","",IF(COUNTIFS('Clients'!$A$6:$A$205,'Deals'!B198)&lt;&gt;1,"Check Client ID",INDEX('Clients'!$B$6:$B$205,MATCH('Deals'!B198,'Clients'!$A$6:$A$205,0)))),IF('Deals'!B198="","",IF(COUNTIFS('Clients'!$A$6:$A$205,'Deals'!B198)&lt;&gt;1,"Check Client ID",INDEX('Clients'!$B$6:$B$205,MATCH('Deals'!B198,'Clients'!$A$6:$A$205,0)))),'Follow-ups'!K198,'Payments'!B198,'Expenses'!D198),IF(CHOOSE($M$42,'Clients'!B198,'Clients'!B198,'Viewings'!H198,IF('Deals'!B198="","",IF(COUNTIFS('Clients'!$A$6:$A$205,'Deals'!B198)&lt;&gt;1,"Check Client ID",INDEX('Clients'!$B$6:$B$205,MATCH('Deals'!B198,'Clients'!$A$6:$A$205,0)))),IF('Deals'!B198="","",IF(COUNTIFS('Clients'!$A$6:$A$205,'Deals'!B198)&lt;&gt;1,"Check Client ID",INDEX('Clients'!$B$6:$B$205,MATCH('Deals'!B198,'Clients'!$A$6:$A$205,0)))),IF('Deals'!B198="","",IF(COUNTIFS('Clients'!$A$6:$A$205,'Deals'!B198)&lt;&gt;1,"Check Client ID",INDEX('Clients'!$B$6:$B$205,MATCH('Deals'!B198,'Clients'!$A$6:$A$205,0)))),'Follow-ups'!K198,'Payments'!B198,'Expenses'!D198)="","",CHOOSE($M$42,'Clients'!B198,'Clients'!B198,'Viewings'!H198,IF('Deals'!B198="","",IF(COUNTIFS('Clients'!$A$6:$A$205,'Deals'!B198)&lt;&gt;1,"Check Client ID",INDEX('Clients'!$B$6:$B$205,MATCH('Deals'!B198,'Clients'!$A$6:$A$205,0)))),IF('Deals'!B198="","",IF(COUNTIFS('Clients'!$A$6:$A$205,'Deals'!B198)&lt;&gt;1,"Check Client ID",INDEX('Clients'!$B$6:$B$205,MATCH('Deals'!B198,'Clients'!$A$6:$A$205,0)))),IF('Deals'!B198="","",IF(COUNTIFS('Clients'!$A$6:$A$205,'Deals'!B198)&lt;&gt;1,"Check Client ID",INDEX('Clients'!$B$6:$B$205,MATCH('Deals'!B198,'Clients'!$A$6:$A$205,0)))),'Follow-ups'!K198,'Payments'!B198,'Expenses'!D198))))</x:f>
      </x:c>
      <x:c r="E240" s="432" t="str">
        <x:f>IF(B240="","",IF(ISNUMBER(CHOOSE($M$42,'Clients'!K198,'Clients'!K198,'Viewings'!I198,'Deals'!C198,'Deals'!C198,'Deals'!C198,'Follow-ups'!L198,'Payments'!G198,'Expenses'!F198)),CHOOSE($M$42,'Clients'!K198,'Clients'!K198,'Viewings'!I198,'Deals'!C198,'Deals'!C198,'Deals'!C198,'Follow-ups'!L198,'Payments'!G198,'Expenses'!F198),IF(CHOOSE($M$42,'Clients'!K198,'Clients'!K198,'Viewings'!I198,'Deals'!C198,'Deals'!C198,'Deals'!C198,'Follow-ups'!L198,'Payments'!G198,'Expenses'!F198)="","",CHOOSE($M$42,'Clients'!K198,'Clients'!K198,'Viewings'!I198,'Deals'!C198,'Deals'!C198,'Deals'!C198,'Follow-ups'!L198,'Payments'!G198,'Expenses'!F198))))</x:f>
      </x:c>
      <x:c r="F240" s="432" t="str">
        <x:f>IF(B240="","",IF(ISNUMBER(CHOOSE($M$42,'Clients'!H198,'Clients'!H198,'Viewings'!E198,'Deals'!E198,'Deals'!E198,'Deals'!E198,'Follow-ups'!I198,"Receipt",'Expenses'!C198)),CHOOSE($M$42,'Clients'!H198,'Clients'!H198,'Viewings'!E198,'Deals'!E198,'Deals'!E198,'Deals'!E198,'Follow-ups'!I198,"Receipt",'Expenses'!C198),IF(CHOOSE($M$42,'Clients'!H198,'Clients'!H198,'Viewings'!E198,'Deals'!E198,'Deals'!E198,'Deals'!E198,'Follow-ups'!I198,"Receipt",'Expenses'!C198)="","",CHOOSE($M$42,'Clients'!H198,'Clients'!H198,'Viewings'!E198,'Deals'!E198,'Deals'!E198,'Deals'!E198,'Follow-ups'!I198,"Receipt",'Expenses'!C198))))</x:f>
      </x:c>
      <x:c r="G240" s="473" t="str">
        <x:f>IF(B240="","",IF(ISNUMBER(CHOOSE($M$42,"","","",'Deals'!F198,'Deals'!F198,'Deals'!F198,"",'Payments'!D198,'Expenses'!G198)),CHOOSE($M$42,"","","",'Deals'!F198,'Deals'!F198,'Deals'!F198,"",'Payments'!D198,'Expenses'!G198),IF(CHOOSE($M$42,"","","",'Deals'!F198,'Deals'!F198,'Deals'!F198,"",'Payments'!D198,'Expenses'!G198)="","",CHOOSE($M$42,"","","",'Deals'!F198,'Deals'!F198,'Deals'!F198,"",'Payments'!D198,'Expenses'!G198))))</x:f>
      </x:c>
      <x:c r="H240" s="432" t="n">
        <x:f>IF(AND($M$43=1,B240&lt;&gt;"",ISNUMBER(C240),C240&gt;=$G$6,C240&lt;$K$6+1),1,0)</x:f>
        <x:v>0</x:v>
      </x:c>
      <x:c r="I240" s="432" t="str">
        <x:f>IF(H240=0,"",COUNTIFS($H$48:$H$247,1,$C$48:$C$247,"&lt;"&amp;C240)+COUNTIFS($H$48:H240,1,$C$48:C240,C240))</x:f>
      </x:c>
      <x:c r="J240" s="432"/>
      <x:c r="K240" s="432"/>
      <x:c r="L240" s="432"/>
      <x:c r="M240" s="432"/>
      <x:c r="N240" s="432"/>
      <x:c r="O240" s="432"/>
      <x:c r="P240" s="432"/>
      <x:c r="Q240" s="432"/>
    </x:row>
    <x:row r="241" ht="25" customHeight="1">
      <x:c r="A241" s="432"/>
      <x:c r="B241" s="432" t="str">
        <x:f>IF(CHOOSE($M$42,'Clients'!A199,'Clients'!A199,'Viewings'!A199,'Deals'!A199,'Deals'!A199,'Deals'!A199,'Follow-ups'!A199,'Payments'!A199,'Expenses'!A199)="","",CHOOSE($M$42,'Clients'!A199,'Clients'!A199,'Viewings'!A199,'Deals'!A199,'Deals'!A199,'Deals'!A199,'Follow-ups'!A199,'Payments'!A199,'Expenses'!A199))</x:f>
      </x:c>
      <x:c r="C241" s="472" t="str">
        <x:f>IF(B241="","",IF(CHOOSE($M$42,'Clients'!R199,'Clients'!Q199,'Viewings'!D199,'Deals'!X199,'Deals'!Y199,'Deals'!Z199,'Follow-ups'!H199,'Payments'!C199,'Expenses'!B199)="","",CHOOSE($M$42,'Clients'!R199,'Clients'!Q199,'Viewings'!D199,'Deals'!X199,'Deals'!Y199,'Deals'!Z199,'Follow-ups'!H199,'Payments'!C199,'Expenses'!B199)))</x:f>
      </x:c>
      <x:c r="D241" s="432" t="str">
        <x:f>IF(B241="","",IF(ISNUMBER(CHOOSE($M$42,'Clients'!B199,'Clients'!B199,'Viewings'!H199,IF('Deals'!B199="","",IF(COUNTIFS('Clients'!$A$6:$A$205,'Deals'!B199)&lt;&gt;1,"Check Client ID",INDEX('Clients'!$B$6:$B$205,MATCH('Deals'!B199,'Clients'!$A$6:$A$205,0)))),IF('Deals'!B199="","",IF(COUNTIFS('Clients'!$A$6:$A$205,'Deals'!B199)&lt;&gt;1,"Check Client ID",INDEX('Clients'!$B$6:$B$205,MATCH('Deals'!B199,'Clients'!$A$6:$A$205,0)))),IF('Deals'!B199="","",IF(COUNTIFS('Clients'!$A$6:$A$205,'Deals'!B199)&lt;&gt;1,"Check Client ID",INDEX('Clients'!$B$6:$B$205,MATCH('Deals'!B199,'Clients'!$A$6:$A$205,0)))),'Follow-ups'!K199,'Payments'!B199,'Expenses'!D199)),CHOOSE($M$42,'Clients'!B199,'Clients'!B199,'Viewings'!H199,IF('Deals'!B199="","",IF(COUNTIFS('Clients'!$A$6:$A$205,'Deals'!B199)&lt;&gt;1,"Check Client ID",INDEX('Clients'!$B$6:$B$205,MATCH('Deals'!B199,'Clients'!$A$6:$A$205,0)))),IF('Deals'!B199="","",IF(COUNTIFS('Clients'!$A$6:$A$205,'Deals'!B199)&lt;&gt;1,"Check Client ID",INDEX('Clients'!$B$6:$B$205,MATCH('Deals'!B199,'Clients'!$A$6:$A$205,0)))),IF('Deals'!B199="","",IF(COUNTIFS('Clients'!$A$6:$A$205,'Deals'!B199)&lt;&gt;1,"Check Client ID",INDEX('Clients'!$B$6:$B$205,MATCH('Deals'!B199,'Clients'!$A$6:$A$205,0)))),'Follow-ups'!K199,'Payments'!B199,'Expenses'!D199),IF(CHOOSE($M$42,'Clients'!B199,'Clients'!B199,'Viewings'!H199,IF('Deals'!B199="","",IF(COUNTIFS('Clients'!$A$6:$A$205,'Deals'!B199)&lt;&gt;1,"Check Client ID",INDEX('Clients'!$B$6:$B$205,MATCH('Deals'!B199,'Clients'!$A$6:$A$205,0)))),IF('Deals'!B199="","",IF(COUNTIFS('Clients'!$A$6:$A$205,'Deals'!B199)&lt;&gt;1,"Check Client ID",INDEX('Clients'!$B$6:$B$205,MATCH('Deals'!B199,'Clients'!$A$6:$A$205,0)))),IF('Deals'!B199="","",IF(COUNTIFS('Clients'!$A$6:$A$205,'Deals'!B199)&lt;&gt;1,"Check Client ID",INDEX('Clients'!$B$6:$B$205,MATCH('Deals'!B199,'Clients'!$A$6:$A$205,0)))),'Follow-ups'!K199,'Payments'!B199,'Expenses'!D199)="","",CHOOSE($M$42,'Clients'!B199,'Clients'!B199,'Viewings'!H199,IF('Deals'!B199="","",IF(COUNTIFS('Clients'!$A$6:$A$205,'Deals'!B199)&lt;&gt;1,"Check Client ID",INDEX('Clients'!$B$6:$B$205,MATCH('Deals'!B199,'Clients'!$A$6:$A$205,0)))),IF('Deals'!B199="","",IF(COUNTIFS('Clients'!$A$6:$A$205,'Deals'!B199)&lt;&gt;1,"Check Client ID",INDEX('Clients'!$B$6:$B$205,MATCH('Deals'!B199,'Clients'!$A$6:$A$205,0)))),IF('Deals'!B199="","",IF(COUNTIFS('Clients'!$A$6:$A$205,'Deals'!B199)&lt;&gt;1,"Check Client ID",INDEX('Clients'!$B$6:$B$205,MATCH('Deals'!B199,'Clients'!$A$6:$A$205,0)))),'Follow-ups'!K199,'Payments'!B199,'Expenses'!D199))))</x:f>
      </x:c>
      <x:c r="E241" s="432" t="str">
        <x:f>IF(B241="","",IF(ISNUMBER(CHOOSE($M$42,'Clients'!K199,'Clients'!K199,'Viewings'!I199,'Deals'!C199,'Deals'!C199,'Deals'!C199,'Follow-ups'!L199,'Payments'!G199,'Expenses'!F199)),CHOOSE($M$42,'Clients'!K199,'Clients'!K199,'Viewings'!I199,'Deals'!C199,'Deals'!C199,'Deals'!C199,'Follow-ups'!L199,'Payments'!G199,'Expenses'!F199),IF(CHOOSE($M$42,'Clients'!K199,'Clients'!K199,'Viewings'!I199,'Deals'!C199,'Deals'!C199,'Deals'!C199,'Follow-ups'!L199,'Payments'!G199,'Expenses'!F199)="","",CHOOSE($M$42,'Clients'!K199,'Clients'!K199,'Viewings'!I199,'Deals'!C199,'Deals'!C199,'Deals'!C199,'Follow-ups'!L199,'Payments'!G199,'Expenses'!F199))))</x:f>
      </x:c>
      <x:c r="F241" s="432" t="str">
        <x:f>IF(B241="","",IF(ISNUMBER(CHOOSE($M$42,'Clients'!H199,'Clients'!H199,'Viewings'!E199,'Deals'!E199,'Deals'!E199,'Deals'!E199,'Follow-ups'!I199,"Receipt",'Expenses'!C199)),CHOOSE($M$42,'Clients'!H199,'Clients'!H199,'Viewings'!E199,'Deals'!E199,'Deals'!E199,'Deals'!E199,'Follow-ups'!I199,"Receipt",'Expenses'!C199),IF(CHOOSE($M$42,'Clients'!H199,'Clients'!H199,'Viewings'!E199,'Deals'!E199,'Deals'!E199,'Deals'!E199,'Follow-ups'!I199,"Receipt",'Expenses'!C199)="","",CHOOSE($M$42,'Clients'!H199,'Clients'!H199,'Viewings'!E199,'Deals'!E199,'Deals'!E199,'Deals'!E199,'Follow-ups'!I199,"Receipt",'Expenses'!C199))))</x:f>
      </x:c>
      <x:c r="G241" s="473" t="str">
        <x:f>IF(B241="","",IF(ISNUMBER(CHOOSE($M$42,"","","",'Deals'!F199,'Deals'!F199,'Deals'!F199,"",'Payments'!D199,'Expenses'!G199)),CHOOSE($M$42,"","","",'Deals'!F199,'Deals'!F199,'Deals'!F199,"",'Payments'!D199,'Expenses'!G199),IF(CHOOSE($M$42,"","","",'Deals'!F199,'Deals'!F199,'Deals'!F199,"",'Payments'!D199,'Expenses'!G199)="","",CHOOSE($M$42,"","","",'Deals'!F199,'Deals'!F199,'Deals'!F199,"",'Payments'!D199,'Expenses'!G199))))</x:f>
      </x:c>
      <x:c r="H241" s="432" t="n">
        <x:f>IF(AND($M$43=1,B241&lt;&gt;"",ISNUMBER(C241),C241&gt;=$G$6,C241&lt;$K$6+1),1,0)</x:f>
        <x:v>0</x:v>
      </x:c>
      <x:c r="I241" s="432" t="str">
        <x:f>IF(H241=0,"",COUNTIFS($H$48:$H$247,1,$C$48:$C$247,"&lt;"&amp;C241)+COUNTIFS($H$48:H241,1,$C$48:C241,C241))</x:f>
      </x:c>
      <x:c r="J241" s="432"/>
      <x:c r="K241" s="432"/>
      <x:c r="L241" s="432"/>
      <x:c r="M241" s="432"/>
      <x:c r="N241" s="432"/>
      <x:c r="O241" s="432"/>
      <x:c r="P241" s="432"/>
      <x:c r="Q241" s="432"/>
    </x:row>
    <x:row r="242" ht="25" customHeight="1">
      <x:c r="A242" s="432"/>
      <x:c r="B242" s="432" t="str">
        <x:f>IF(CHOOSE($M$42,'Clients'!A200,'Clients'!A200,'Viewings'!A200,'Deals'!A200,'Deals'!A200,'Deals'!A200,'Follow-ups'!A200,'Payments'!A200,'Expenses'!A200)="","",CHOOSE($M$42,'Clients'!A200,'Clients'!A200,'Viewings'!A200,'Deals'!A200,'Deals'!A200,'Deals'!A200,'Follow-ups'!A200,'Payments'!A200,'Expenses'!A200))</x:f>
      </x:c>
      <x:c r="C242" s="472" t="str">
        <x:f>IF(B242="","",IF(CHOOSE($M$42,'Clients'!R200,'Clients'!Q200,'Viewings'!D200,'Deals'!X200,'Deals'!Y200,'Deals'!Z200,'Follow-ups'!H200,'Payments'!C200,'Expenses'!B200)="","",CHOOSE($M$42,'Clients'!R200,'Clients'!Q200,'Viewings'!D200,'Deals'!X200,'Deals'!Y200,'Deals'!Z200,'Follow-ups'!H200,'Payments'!C200,'Expenses'!B200)))</x:f>
      </x:c>
      <x:c r="D242" s="432" t="str">
        <x:f>IF(B242="","",IF(ISNUMBER(CHOOSE($M$42,'Clients'!B200,'Clients'!B200,'Viewings'!H200,IF('Deals'!B200="","",IF(COUNTIFS('Clients'!$A$6:$A$205,'Deals'!B200)&lt;&gt;1,"Check Client ID",INDEX('Clients'!$B$6:$B$205,MATCH('Deals'!B200,'Clients'!$A$6:$A$205,0)))),IF('Deals'!B200="","",IF(COUNTIFS('Clients'!$A$6:$A$205,'Deals'!B200)&lt;&gt;1,"Check Client ID",INDEX('Clients'!$B$6:$B$205,MATCH('Deals'!B200,'Clients'!$A$6:$A$205,0)))),IF('Deals'!B200="","",IF(COUNTIFS('Clients'!$A$6:$A$205,'Deals'!B200)&lt;&gt;1,"Check Client ID",INDEX('Clients'!$B$6:$B$205,MATCH('Deals'!B200,'Clients'!$A$6:$A$205,0)))),'Follow-ups'!K200,'Payments'!B200,'Expenses'!D200)),CHOOSE($M$42,'Clients'!B200,'Clients'!B200,'Viewings'!H200,IF('Deals'!B200="","",IF(COUNTIFS('Clients'!$A$6:$A$205,'Deals'!B200)&lt;&gt;1,"Check Client ID",INDEX('Clients'!$B$6:$B$205,MATCH('Deals'!B200,'Clients'!$A$6:$A$205,0)))),IF('Deals'!B200="","",IF(COUNTIFS('Clients'!$A$6:$A$205,'Deals'!B200)&lt;&gt;1,"Check Client ID",INDEX('Clients'!$B$6:$B$205,MATCH('Deals'!B200,'Clients'!$A$6:$A$205,0)))),IF('Deals'!B200="","",IF(COUNTIFS('Clients'!$A$6:$A$205,'Deals'!B200)&lt;&gt;1,"Check Client ID",INDEX('Clients'!$B$6:$B$205,MATCH('Deals'!B200,'Clients'!$A$6:$A$205,0)))),'Follow-ups'!K200,'Payments'!B200,'Expenses'!D200),IF(CHOOSE($M$42,'Clients'!B200,'Clients'!B200,'Viewings'!H200,IF('Deals'!B200="","",IF(COUNTIFS('Clients'!$A$6:$A$205,'Deals'!B200)&lt;&gt;1,"Check Client ID",INDEX('Clients'!$B$6:$B$205,MATCH('Deals'!B200,'Clients'!$A$6:$A$205,0)))),IF('Deals'!B200="","",IF(COUNTIFS('Clients'!$A$6:$A$205,'Deals'!B200)&lt;&gt;1,"Check Client ID",INDEX('Clients'!$B$6:$B$205,MATCH('Deals'!B200,'Clients'!$A$6:$A$205,0)))),IF('Deals'!B200="","",IF(COUNTIFS('Clients'!$A$6:$A$205,'Deals'!B200)&lt;&gt;1,"Check Client ID",INDEX('Clients'!$B$6:$B$205,MATCH('Deals'!B200,'Clients'!$A$6:$A$205,0)))),'Follow-ups'!K200,'Payments'!B200,'Expenses'!D200)="","",CHOOSE($M$42,'Clients'!B200,'Clients'!B200,'Viewings'!H200,IF('Deals'!B200="","",IF(COUNTIFS('Clients'!$A$6:$A$205,'Deals'!B200)&lt;&gt;1,"Check Client ID",INDEX('Clients'!$B$6:$B$205,MATCH('Deals'!B200,'Clients'!$A$6:$A$205,0)))),IF('Deals'!B200="","",IF(COUNTIFS('Clients'!$A$6:$A$205,'Deals'!B200)&lt;&gt;1,"Check Client ID",INDEX('Clients'!$B$6:$B$205,MATCH('Deals'!B200,'Clients'!$A$6:$A$205,0)))),IF('Deals'!B200="","",IF(COUNTIFS('Clients'!$A$6:$A$205,'Deals'!B200)&lt;&gt;1,"Check Client ID",INDEX('Clients'!$B$6:$B$205,MATCH('Deals'!B200,'Clients'!$A$6:$A$205,0)))),'Follow-ups'!K200,'Payments'!B200,'Expenses'!D200))))</x:f>
      </x:c>
      <x:c r="E242" s="432" t="str">
        <x:f>IF(B242="","",IF(ISNUMBER(CHOOSE($M$42,'Clients'!K200,'Clients'!K200,'Viewings'!I200,'Deals'!C200,'Deals'!C200,'Deals'!C200,'Follow-ups'!L200,'Payments'!G200,'Expenses'!F200)),CHOOSE($M$42,'Clients'!K200,'Clients'!K200,'Viewings'!I200,'Deals'!C200,'Deals'!C200,'Deals'!C200,'Follow-ups'!L200,'Payments'!G200,'Expenses'!F200),IF(CHOOSE($M$42,'Clients'!K200,'Clients'!K200,'Viewings'!I200,'Deals'!C200,'Deals'!C200,'Deals'!C200,'Follow-ups'!L200,'Payments'!G200,'Expenses'!F200)="","",CHOOSE($M$42,'Clients'!K200,'Clients'!K200,'Viewings'!I200,'Deals'!C200,'Deals'!C200,'Deals'!C200,'Follow-ups'!L200,'Payments'!G200,'Expenses'!F200))))</x:f>
      </x:c>
      <x:c r="F242" s="432" t="str">
        <x:f>IF(B242="","",IF(ISNUMBER(CHOOSE($M$42,'Clients'!H200,'Clients'!H200,'Viewings'!E200,'Deals'!E200,'Deals'!E200,'Deals'!E200,'Follow-ups'!I200,"Receipt",'Expenses'!C200)),CHOOSE($M$42,'Clients'!H200,'Clients'!H200,'Viewings'!E200,'Deals'!E200,'Deals'!E200,'Deals'!E200,'Follow-ups'!I200,"Receipt",'Expenses'!C200),IF(CHOOSE($M$42,'Clients'!H200,'Clients'!H200,'Viewings'!E200,'Deals'!E200,'Deals'!E200,'Deals'!E200,'Follow-ups'!I200,"Receipt",'Expenses'!C200)="","",CHOOSE($M$42,'Clients'!H200,'Clients'!H200,'Viewings'!E200,'Deals'!E200,'Deals'!E200,'Deals'!E200,'Follow-ups'!I200,"Receipt",'Expenses'!C200))))</x:f>
      </x:c>
      <x:c r="G242" s="473" t="str">
        <x:f>IF(B242="","",IF(ISNUMBER(CHOOSE($M$42,"","","",'Deals'!F200,'Deals'!F200,'Deals'!F200,"",'Payments'!D200,'Expenses'!G200)),CHOOSE($M$42,"","","",'Deals'!F200,'Deals'!F200,'Deals'!F200,"",'Payments'!D200,'Expenses'!G200),IF(CHOOSE($M$42,"","","",'Deals'!F200,'Deals'!F200,'Deals'!F200,"",'Payments'!D200,'Expenses'!G200)="","",CHOOSE($M$42,"","","",'Deals'!F200,'Deals'!F200,'Deals'!F200,"",'Payments'!D200,'Expenses'!G200))))</x:f>
      </x:c>
      <x:c r="H242" s="432" t="n">
        <x:f>IF(AND($M$43=1,B242&lt;&gt;"",ISNUMBER(C242),C242&gt;=$G$6,C242&lt;$K$6+1),1,0)</x:f>
        <x:v>0</x:v>
      </x:c>
      <x:c r="I242" s="432" t="str">
        <x:f>IF(H242=0,"",COUNTIFS($H$48:$H$247,1,$C$48:$C$247,"&lt;"&amp;C242)+COUNTIFS($H$48:H242,1,$C$48:C242,C242))</x:f>
      </x:c>
      <x:c r="J242" s="432"/>
      <x:c r="K242" s="432"/>
      <x:c r="L242" s="432"/>
      <x:c r="M242" s="432"/>
      <x:c r="N242" s="432"/>
      <x:c r="O242" s="432"/>
      <x:c r="P242" s="432"/>
      <x:c r="Q242" s="432"/>
    </x:row>
    <x:row r="243" ht="25" customHeight="1">
      <x:c r="A243" s="432"/>
      <x:c r="B243" s="432" t="str">
        <x:f>IF(CHOOSE($M$42,'Clients'!A201,'Clients'!A201,'Viewings'!A201,'Deals'!A201,'Deals'!A201,'Deals'!A201,'Follow-ups'!A201,'Payments'!A201,'Expenses'!A201)="","",CHOOSE($M$42,'Clients'!A201,'Clients'!A201,'Viewings'!A201,'Deals'!A201,'Deals'!A201,'Deals'!A201,'Follow-ups'!A201,'Payments'!A201,'Expenses'!A201))</x:f>
      </x:c>
      <x:c r="C243" s="472" t="str">
        <x:f>IF(B243="","",IF(CHOOSE($M$42,'Clients'!R201,'Clients'!Q201,'Viewings'!D201,'Deals'!X201,'Deals'!Y201,'Deals'!Z201,'Follow-ups'!H201,'Payments'!C201,'Expenses'!B201)="","",CHOOSE($M$42,'Clients'!R201,'Clients'!Q201,'Viewings'!D201,'Deals'!X201,'Deals'!Y201,'Deals'!Z201,'Follow-ups'!H201,'Payments'!C201,'Expenses'!B201)))</x:f>
      </x:c>
      <x:c r="D243" s="432" t="str">
        <x:f>IF(B243="","",IF(ISNUMBER(CHOOSE($M$42,'Clients'!B201,'Clients'!B201,'Viewings'!H201,IF('Deals'!B201="","",IF(COUNTIFS('Clients'!$A$6:$A$205,'Deals'!B201)&lt;&gt;1,"Check Client ID",INDEX('Clients'!$B$6:$B$205,MATCH('Deals'!B201,'Clients'!$A$6:$A$205,0)))),IF('Deals'!B201="","",IF(COUNTIFS('Clients'!$A$6:$A$205,'Deals'!B201)&lt;&gt;1,"Check Client ID",INDEX('Clients'!$B$6:$B$205,MATCH('Deals'!B201,'Clients'!$A$6:$A$205,0)))),IF('Deals'!B201="","",IF(COUNTIFS('Clients'!$A$6:$A$205,'Deals'!B201)&lt;&gt;1,"Check Client ID",INDEX('Clients'!$B$6:$B$205,MATCH('Deals'!B201,'Clients'!$A$6:$A$205,0)))),'Follow-ups'!K201,'Payments'!B201,'Expenses'!D201)),CHOOSE($M$42,'Clients'!B201,'Clients'!B201,'Viewings'!H201,IF('Deals'!B201="","",IF(COUNTIFS('Clients'!$A$6:$A$205,'Deals'!B201)&lt;&gt;1,"Check Client ID",INDEX('Clients'!$B$6:$B$205,MATCH('Deals'!B201,'Clients'!$A$6:$A$205,0)))),IF('Deals'!B201="","",IF(COUNTIFS('Clients'!$A$6:$A$205,'Deals'!B201)&lt;&gt;1,"Check Client ID",INDEX('Clients'!$B$6:$B$205,MATCH('Deals'!B201,'Clients'!$A$6:$A$205,0)))),IF('Deals'!B201="","",IF(COUNTIFS('Clients'!$A$6:$A$205,'Deals'!B201)&lt;&gt;1,"Check Client ID",INDEX('Clients'!$B$6:$B$205,MATCH('Deals'!B201,'Clients'!$A$6:$A$205,0)))),'Follow-ups'!K201,'Payments'!B201,'Expenses'!D201),IF(CHOOSE($M$42,'Clients'!B201,'Clients'!B201,'Viewings'!H201,IF('Deals'!B201="","",IF(COUNTIFS('Clients'!$A$6:$A$205,'Deals'!B201)&lt;&gt;1,"Check Client ID",INDEX('Clients'!$B$6:$B$205,MATCH('Deals'!B201,'Clients'!$A$6:$A$205,0)))),IF('Deals'!B201="","",IF(COUNTIFS('Clients'!$A$6:$A$205,'Deals'!B201)&lt;&gt;1,"Check Client ID",INDEX('Clients'!$B$6:$B$205,MATCH('Deals'!B201,'Clients'!$A$6:$A$205,0)))),IF('Deals'!B201="","",IF(COUNTIFS('Clients'!$A$6:$A$205,'Deals'!B201)&lt;&gt;1,"Check Client ID",INDEX('Clients'!$B$6:$B$205,MATCH('Deals'!B201,'Clients'!$A$6:$A$205,0)))),'Follow-ups'!K201,'Payments'!B201,'Expenses'!D201)="","",CHOOSE($M$42,'Clients'!B201,'Clients'!B201,'Viewings'!H201,IF('Deals'!B201="","",IF(COUNTIFS('Clients'!$A$6:$A$205,'Deals'!B201)&lt;&gt;1,"Check Client ID",INDEX('Clients'!$B$6:$B$205,MATCH('Deals'!B201,'Clients'!$A$6:$A$205,0)))),IF('Deals'!B201="","",IF(COUNTIFS('Clients'!$A$6:$A$205,'Deals'!B201)&lt;&gt;1,"Check Client ID",INDEX('Clients'!$B$6:$B$205,MATCH('Deals'!B201,'Clients'!$A$6:$A$205,0)))),IF('Deals'!B201="","",IF(COUNTIFS('Clients'!$A$6:$A$205,'Deals'!B201)&lt;&gt;1,"Check Client ID",INDEX('Clients'!$B$6:$B$205,MATCH('Deals'!B201,'Clients'!$A$6:$A$205,0)))),'Follow-ups'!K201,'Payments'!B201,'Expenses'!D201))))</x:f>
      </x:c>
      <x:c r="E243" s="432" t="str">
        <x:f>IF(B243="","",IF(ISNUMBER(CHOOSE($M$42,'Clients'!K201,'Clients'!K201,'Viewings'!I201,'Deals'!C201,'Deals'!C201,'Deals'!C201,'Follow-ups'!L201,'Payments'!G201,'Expenses'!F201)),CHOOSE($M$42,'Clients'!K201,'Clients'!K201,'Viewings'!I201,'Deals'!C201,'Deals'!C201,'Deals'!C201,'Follow-ups'!L201,'Payments'!G201,'Expenses'!F201),IF(CHOOSE($M$42,'Clients'!K201,'Clients'!K201,'Viewings'!I201,'Deals'!C201,'Deals'!C201,'Deals'!C201,'Follow-ups'!L201,'Payments'!G201,'Expenses'!F201)="","",CHOOSE($M$42,'Clients'!K201,'Clients'!K201,'Viewings'!I201,'Deals'!C201,'Deals'!C201,'Deals'!C201,'Follow-ups'!L201,'Payments'!G201,'Expenses'!F201))))</x:f>
      </x:c>
      <x:c r="F243" s="432" t="str">
        <x:f>IF(B243="","",IF(ISNUMBER(CHOOSE($M$42,'Clients'!H201,'Clients'!H201,'Viewings'!E201,'Deals'!E201,'Deals'!E201,'Deals'!E201,'Follow-ups'!I201,"Receipt",'Expenses'!C201)),CHOOSE($M$42,'Clients'!H201,'Clients'!H201,'Viewings'!E201,'Deals'!E201,'Deals'!E201,'Deals'!E201,'Follow-ups'!I201,"Receipt",'Expenses'!C201),IF(CHOOSE($M$42,'Clients'!H201,'Clients'!H201,'Viewings'!E201,'Deals'!E201,'Deals'!E201,'Deals'!E201,'Follow-ups'!I201,"Receipt",'Expenses'!C201)="","",CHOOSE($M$42,'Clients'!H201,'Clients'!H201,'Viewings'!E201,'Deals'!E201,'Deals'!E201,'Deals'!E201,'Follow-ups'!I201,"Receipt",'Expenses'!C201))))</x:f>
      </x:c>
      <x:c r="G243" s="473" t="str">
        <x:f>IF(B243="","",IF(ISNUMBER(CHOOSE($M$42,"","","",'Deals'!F201,'Deals'!F201,'Deals'!F201,"",'Payments'!D201,'Expenses'!G201)),CHOOSE($M$42,"","","",'Deals'!F201,'Deals'!F201,'Deals'!F201,"",'Payments'!D201,'Expenses'!G201),IF(CHOOSE($M$42,"","","",'Deals'!F201,'Deals'!F201,'Deals'!F201,"",'Payments'!D201,'Expenses'!G201)="","",CHOOSE($M$42,"","","",'Deals'!F201,'Deals'!F201,'Deals'!F201,"",'Payments'!D201,'Expenses'!G201))))</x:f>
      </x:c>
      <x:c r="H243" s="432" t="n">
        <x:f>IF(AND($M$43=1,B243&lt;&gt;"",ISNUMBER(C243),C243&gt;=$G$6,C243&lt;$K$6+1),1,0)</x:f>
        <x:v>0</x:v>
      </x:c>
      <x:c r="I243" s="432" t="str">
        <x:f>IF(H243=0,"",COUNTIFS($H$48:$H$247,1,$C$48:$C$247,"&lt;"&amp;C243)+COUNTIFS($H$48:H243,1,$C$48:C243,C243))</x:f>
      </x:c>
      <x:c r="J243" s="432"/>
      <x:c r="K243" s="432"/>
      <x:c r="L243" s="432"/>
      <x:c r="M243" s="432"/>
      <x:c r="N243" s="432"/>
      <x:c r="O243" s="432"/>
      <x:c r="P243" s="432"/>
      <x:c r="Q243" s="432"/>
    </x:row>
    <x:row r="244" ht="25" customHeight="1">
      <x:c r="A244" s="432"/>
      <x:c r="B244" s="432" t="str">
        <x:f>IF(CHOOSE($M$42,'Clients'!A202,'Clients'!A202,'Viewings'!A202,'Deals'!A202,'Deals'!A202,'Deals'!A202,'Follow-ups'!A202,'Payments'!A202,'Expenses'!A202)="","",CHOOSE($M$42,'Clients'!A202,'Clients'!A202,'Viewings'!A202,'Deals'!A202,'Deals'!A202,'Deals'!A202,'Follow-ups'!A202,'Payments'!A202,'Expenses'!A202))</x:f>
      </x:c>
      <x:c r="C244" s="472" t="str">
        <x:f>IF(B244="","",IF(CHOOSE($M$42,'Clients'!R202,'Clients'!Q202,'Viewings'!D202,'Deals'!X202,'Deals'!Y202,'Deals'!Z202,'Follow-ups'!H202,'Payments'!C202,'Expenses'!B202)="","",CHOOSE($M$42,'Clients'!R202,'Clients'!Q202,'Viewings'!D202,'Deals'!X202,'Deals'!Y202,'Deals'!Z202,'Follow-ups'!H202,'Payments'!C202,'Expenses'!B202)))</x:f>
      </x:c>
      <x:c r="D244" s="432" t="str">
        <x:f>IF(B244="","",IF(ISNUMBER(CHOOSE($M$42,'Clients'!B202,'Clients'!B202,'Viewings'!H202,IF('Deals'!B202="","",IF(COUNTIFS('Clients'!$A$6:$A$205,'Deals'!B202)&lt;&gt;1,"Check Client ID",INDEX('Clients'!$B$6:$B$205,MATCH('Deals'!B202,'Clients'!$A$6:$A$205,0)))),IF('Deals'!B202="","",IF(COUNTIFS('Clients'!$A$6:$A$205,'Deals'!B202)&lt;&gt;1,"Check Client ID",INDEX('Clients'!$B$6:$B$205,MATCH('Deals'!B202,'Clients'!$A$6:$A$205,0)))),IF('Deals'!B202="","",IF(COUNTIFS('Clients'!$A$6:$A$205,'Deals'!B202)&lt;&gt;1,"Check Client ID",INDEX('Clients'!$B$6:$B$205,MATCH('Deals'!B202,'Clients'!$A$6:$A$205,0)))),'Follow-ups'!K202,'Payments'!B202,'Expenses'!D202)),CHOOSE($M$42,'Clients'!B202,'Clients'!B202,'Viewings'!H202,IF('Deals'!B202="","",IF(COUNTIFS('Clients'!$A$6:$A$205,'Deals'!B202)&lt;&gt;1,"Check Client ID",INDEX('Clients'!$B$6:$B$205,MATCH('Deals'!B202,'Clients'!$A$6:$A$205,0)))),IF('Deals'!B202="","",IF(COUNTIFS('Clients'!$A$6:$A$205,'Deals'!B202)&lt;&gt;1,"Check Client ID",INDEX('Clients'!$B$6:$B$205,MATCH('Deals'!B202,'Clients'!$A$6:$A$205,0)))),IF('Deals'!B202="","",IF(COUNTIFS('Clients'!$A$6:$A$205,'Deals'!B202)&lt;&gt;1,"Check Client ID",INDEX('Clients'!$B$6:$B$205,MATCH('Deals'!B202,'Clients'!$A$6:$A$205,0)))),'Follow-ups'!K202,'Payments'!B202,'Expenses'!D202),IF(CHOOSE($M$42,'Clients'!B202,'Clients'!B202,'Viewings'!H202,IF('Deals'!B202="","",IF(COUNTIFS('Clients'!$A$6:$A$205,'Deals'!B202)&lt;&gt;1,"Check Client ID",INDEX('Clients'!$B$6:$B$205,MATCH('Deals'!B202,'Clients'!$A$6:$A$205,0)))),IF('Deals'!B202="","",IF(COUNTIFS('Clients'!$A$6:$A$205,'Deals'!B202)&lt;&gt;1,"Check Client ID",INDEX('Clients'!$B$6:$B$205,MATCH('Deals'!B202,'Clients'!$A$6:$A$205,0)))),IF('Deals'!B202="","",IF(COUNTIFS('Clients'!$A$6:$A$205,'Deals'!B202)&lt;&gt;1,"Check Client ID",INDEX('Clients'!$B$6:$B$205,MATCH('Deals'!B202,'Clients'!$A$6:$A$205,0)))),'Follow-ups'!K202,'Payments'!B202,'Expenses'!D202)="","",CHOOSE($M$42,'Clients'!B202,'Clients'!B202,'Viewings'!H202,IF('Deals'!B202="","",IF(COUNTIFS('Clients'!$A$6:$A$205,'Deals'!B202)&lt;&gt;1,"Check Client ID",INDEX('Clients'!$B$6:$B$205,MATCH('Deals'!B202,'Clients'!$A$6:$A$205,0)))),IF('Deals'!B202="","",IF(COUNTIFS('Clients'!$A$6:$A$205,'Deals'!B202)&lt;&gt;1,"Check Client ID",INDEX('Clients'!$B$6:$B$205,MATCH('Deals'!B202,'Clients'!$A$6:$A$205,0)))),IF('Deals'!B202="","",IF(COUNTIFS('Clients'!$A$6:$A$205,'Deals'!B202)&lt;&gt;1,"Check Client ID",INDEX('Clients'!$B$6:$B$205,MATCH('Deals'!B202,'Clients'!$A$6:$A$205,0)))),'Follow-ups'!K202,'Payments'!B202,'Expenses'!D202))))</x:f>
      </x:c>
      <x:c r="E244" s="432" t="str">
        <x:f>IF(B244="","",IF(ISNUMBER(CHOOSE($M$42,'Clients'!K202,'Clients'!K202,'Viewings'!I202,'Deals'!C202,'Deals'!C202,'Deals'!C202,'Follow-ups'!L202,'Payments'!G202,'Expenses'!F202)),CHOOSE($M$42,'Clients'!K202,'Clients'!K202,'Viewings'!I202,'Deals'!C202,'Deals'!C202,'Deals'!C202,'Follow-ups'!L202,'Payments'!G202,'Expenses'!F202),IF(CHOOSE($M$42,'Clients'!K202,'Clients'!K202,'Viewings'!I202,'Deals'!C202,'Deals'!C202,'Deals'!C202,'Follow-ups'!L202,'Payments'!G202,'Expenses'!F202)="","",CHOOSE($M$42,'Clients'!K202,'Clients'!K202,'Viewings'!I202,'Deals'!C202,'Deals'!C202,'Deals'!C202,'Follow-ups'!L202,'Payments'!G202,'Expenses'!F202))))</x:f>
      </x:c>
      <x:c r="F244" s="432" t="str">
        <x:f>IF(B244="","",IF(ISNUMBER(CHOOSE($M$42,'Clients'!H202,'Clients'!H202,'Viewings'!E202,'Deals'!E202,'Deals'!E202,'Deals'!E202,'Follow-ups'!I202,"Receipt",'Expenses'!C202)),CHOOSE($M$42,'Clients'!H202,'Clients'!H202,'Viewings'!E202,'Deals'!E202,'Deals'!E202,'Deals'!E202,'Follow-ups'!I202,"Receipt",'Expenses'!C202),IF(CHOOSE($M$42,'Clients'!H202,'Clients'!H202,'Viewings'!E202,'Deals'!E202,'Deals'!E202,'Deals'!E202,'Follow-ups'!I202,"Receipt",'Expenses'!C202)="","",CHOOSE($M$42,'Clients'!H202,'Clients'!H202,'Viewings'!E202,'Deals'!E202,'Deals'!E202,'Deals'!E202,'Follow-ups'!I202,"Receipt",'Expenses'!C202))))</x:f>
      </x:c>
      <x:c r="G244" s="473" t="str">
        <x:f>IF(B244="","",IF(ISNUMBER(CHOOSE($M$42,"","","",'Deals'!F202,'Deals'!F202,'Deals'!F202,"",'Payments'!D202,'Expenses'!G202)),CHOOSE($M$42,"","","",'Deals'!F202,'Deals'!F202,'Deals'!F202,"",'Payments'!D202,'Expenses'!G202),IF(CHOOSE($M$42,"","","",'Deals'!F202,'Deals'!F202,'Deals'!F202,"",'Payments'!D202,'Expenses'!G202)="","",CHOOSE($M$42,"","","",'Deals'!F202,'Deals'!F202,'Deals'!F202,"",'Payments'!D202,'Expenses'!G202))))</x:f>
      </x:c>
      <x:c r="H244" s="432" t="n">
        <x:f>IF(AND($M$43=1,B244&lt;&gt;"",ISNUMBER(C244),C244&gt;=$G$6,C244&lt;$K$6+1),1,0)</x:f>
        <x:v>0</x:v>
      </x:c>
      <x:c r="I244" s="432" t="str">
        <x:f>IF(H244=0,"",COUNTIFS($H$48:$H$247,1,$C$48:$C$247,"&lt;"&amp;C244)+COUNTIFS($H$48:H244,1,$C$48:C244,C244))</x:f>
      </x:c>
      <x:c r="J244" s="432"/>
      <x:c r="K244" s="432"/>
      <x:c r="L244" s="432"/>
      <x:c r="M244" s="432"/>
      <x:c r="N244" s="432"/>
      <x:c r="O244" s="432"/>
      <x:c r="P244" s="432"/>
      <x:c r="Q244" s="432"/>
    </x:row>
    <x:row r="245" ht="25" customHeight="1">
      <x:c r="A245" s="432"/>
      <x:c r="B245" s="432" t="str">
        <x:f>IF(CHOOSE($M$42,'Clients'!A203,'Clients'!A203,'Viewings'!A203,'Deals'!A203,'Deals'!A203,'Deals'!A203,'Follow-ups'!A203,'Payments'!A203,'Expenses'!A203)="","",CHOOSE($M$42,'Clients'!A203,'Clients'!A203,'Viewings'!A203,'Deals'!A203,'Deals'!A203,'Deals'!A203,'Follow-ups'!A203,'Payments'!A203,'Expenses'!A203))</x:f>
      </x:c>
      <x:c r="C245" s="472" t="str">
        <x:f>IF(B245="","",IF(CHOOSE($M$42,'Clients'!R203,'Clients'!Q203,'Viewings'!D203,'Deals'!X203,'Deals'!Y203,'Deals'!Z203,'Follow-ups'!H203,'Payments'!C203,'Expenses'!B203)="","",CHOOSE($M$42,'Clients'!R203,'Clients'!Q203,'Viewings'!D203,'Deals'!X203,'Deals'!Y203,'Deals'!Z203,'Follow-ups'!H203,'Payments'!C203,'Expenses'!B203)))</x:f>
      </x:c>
      <x:c r="D245" s="432" t="str">
        <x:f>IF(B245="","",IF(ISNUMBER(CHOOSE($M$42,'Clients'!B203,'Clients'!B203,'Viewings'!H203,IF('Deals'!B203="","",IF(COUNTIFS('Clients'!$A$6:$A$205,'Deals'!B203)&lt;&gt;1,"Check Client ID",INDEX('Clients'!$B$6:$B$205,MATCH('Deals'!B203,'Clients'!$A$6:$A$205,0)))),IF('Deals'!B203="","",IF(COUNTIFS('Clients'!$A$6:$A$205,'Deals'!B203)&lt;&gt;1,"Check Client ID",INDEX('Clients'!$B$6:$B$205,MATCH('Deals'!B203,'Clients'!$A$6:$A$205,0)))),IF('Deals'!B203="","",IF(COUNTIFS('Clients'!$A$6:$A$205,'Deals'!B203)&lt;&gt;1,"Check Client ID",INDEX('Clients'!$B$6:$B$205,MATCH('Deals'!B203,'Clients'!$A$6:$A$205,0)))),'Follow-ups'!K203,'Payments'!B203,'Expenses'!D203)),CHOOSE($M$42,'Clients'!B203,'Clients'!B203,'Viewings'!H203,IF('Deals'!B203="","",IF(COUNTIFS('Clients'!$A$6:$A$205,'Deals'!B203)&lt;&gt;1,"Check Client ID",INDEX('Clients'!$B$6:$B$205,MATCH('Deals'!B203,'Clients'!$A$6:$A$205,0)))),IF('Deals'!B203="","",IF(COUNTIFS('Clients'!$A$6:$A$205,'Deals'!B203)&lt;&gt;1,"Check Client ID",INDEX('Clients'!$B$6:$B$205,MATCH('Deals'!B203,'Clients'!$A$6:$A$205,0)))),IF('Deals'!B203="","",IF(COUNTIFS('Clients'!$A$6:$A$205,'Deals'!B203)&lt;&gt;1,"Check Client ID",INDEX('Clients'!$B$6:$B$205,MATCH('Deals'!B203,'Clients'!$A$6:$A$205,0)))),'Follow-ups'!K203,'Payments'!B203,'Expenses'!D203),IF(CHOOSE($M$42,'Clients'!B203,'Clients'!B203,'Viewings'!H203,IF('Deals'!B203="","",IF(COUNTIFS('Clients'!$A$6:$A$205,'Deals'!B203)&lt;&gt;1,"Check Client ID",INDEX('Clients'!$B$6:$B$205,MATCH('Deals'!B203,'Clients'!$A$6:$A$205,0)))),IF('Deals'!B203="","",IF(COUNTIFS('Clients'!$A$6:$A$205,'Deals'!B203)&lt;&gt;1,"Check Client ID",INDEX('Clients'!$B$6:$B$205,MATCH('Deals'!B203,'Clients'!$A$6:$A$205,0)))),IF('Deals'!B203="","",IF(COUNTIFS('Clients'!$A$6:$A$205,'Deals'!B203)&lt;&gt;1,"Check Client ID",INDEX('Clients'!$B$6:$B$205,MATCH('Deals'!B203,'Clients'!$A$6:$A$205,0)))),'Follow-ups'!K203,'Payments'!B203,'Expenses'!D203)="","",CHOOSE($M$42,'Clients'!B203,'Clients'!B203,'Viewings'!H203,IF('Deals'!B203="","",IF(COUNTIFS('Clients'!$A$6:$A$205,'Deals'!B203)&lt;&gt;1,"Check Client ID",INDEX('Clients'!$B$6:$B$205,MATCH('Deals'!B203,'Clients'!$A$6:$A$205,0)))),IF('Deals'!B203="","",IF(COUNTIFS('Clients'!$A$6:$A$205,'Deals'!B203)&lt;&gt;1,"Check Client ID",INDEX('Clients'!$B$6:$B$205,MATCH('Deals'!B203,'Clients'!$A$6:$A$205,0)))),IF('Deals'!B203="","",IF(COUNTIFS('Clients'!$A$6:$A$205,'Deals'!B203)&lt;&gt;1,"Check Client ID",INDEX('Clients'!$B$6:$B$205,MATCH('Deals'!B203,'Clients'!$A$6:$A$205,0)))),'Follow-ups'!K203,'Payments'!B203,'Expenses'!D203))))</x:f>
      </x:c>
      <x:c r="E245" s="432" t="str">
        <x:f>IF(B245="","",IF(ISNUMBER(CHOOSE($M$42,'Clients'!K203,'Clients'!K203,'Viewings'!I203,'Deals'!C203,'Deals'!C203,'Deals'!C203,'Follow-ups'!L203,'Payments'!G203,'Expenses'!F203)),CHOOSE($M$42,'Clients'!K203,'Clients'!K203,'Viewings'!I203,'Deals'!C203,'Deals'!C203,'Deals'!C203,'Follow-ups'!L203,'Payments'!G203,'Expenses'!F203),IF(CHOOSE($M$42,'Clients'!K203,'Clients'!K203,'Viewings'!I203,'Deals'!C203,'Deals'!C203,'Deals'!C203,'Follow-ups'!L203,'Payments'!G203,'Expenses'!F203)="","",CHOOSE($M$42,'Clients'!K203,'Clients'!K203,'Viewings'!I203,'Deals'!C203,'Deals'!C203,'Deals'!C203,'Follow-ups'!L203,'Payments'!G203,'Expenses'!F203))))</x:f>
      </x:c>
      <x:c r="F245" s="432" t="str">
        <x:f>IF(B245="","",IF(ISNUMBER(CHOOSE($M$42,'Clients'!H203,'Clients'!H203,'Viewings'!E203,'Deals'!E203,'Deals'!E203,'Deals'!E203,'Follow-ups'!I203,"Receipt",'Expenses'!C203)),CHOOSE($M$42,'Clients'!H203,'Clients'!H203,'Viewings'!E203,'Deals'!E203,'Deals'!E203,'Deals'!E203,'Follow-ups'!I203,"Receipt",'Expenses'!C203),IF(CHOOSE($M$42,'Clients'!H203,'Clients'!H203,'Viewings'!E203,'Deals'!E203,'Deals'!E203,'Deals'!E203,'Follow-ups'!I203,"Receipt",'Expenses'!C203)="","",CHOOSE($M$42,'Clients'!H203,'Clients'!H203,'Viewings'!E203,'Deals'!E203,'Deals'!E203,'Deals'!E203,'Follow-ups'!I203,"Receipt",'Expenses'!C203))))</x:f>
      </x:c>
      <x:c r="G245" s="473" t="str">
        <x:f>IF(B245="","",IF(ISNUMBER(CHOOSE($M$42,"","","",'Deals'!F203,'Deals'!F203,'Deals'!F203,"",'Payments'!D203,'Expenses'!G203)),CHOOSE($M$42,"","","",'Deals'!F203,'Deals'!F203,'Deals'!F203,"",'Payments'!D203,'Expenses'!G203),IF(CHOOSE($M$42,"","","",'Deals'!F203,'Deals'!F203,'Deals'!F203,"",'Payments'!D203,'Expenses'!G203)="","",CHOOSE($M$42,"","","",'Deals'!F203,'Deals'!F203,'Deals'!F203,"",'Payments'!D203,'Expenses'!G203))))</x:f>
      </x:c>
      <x:c r="H245" s="432" t="n">
        <x:f>IF(AND($M$43=1,B245&lt;&gt;"",ISNUMBER(C245),C245&gt;=$G$6,C245&lt;$K$6+1),1,0)</x:f>
        <x:v>0</x:v>
      </x:c>
      <x:c r="I245" s="432" t="str">
        <x:f>IF(H245=0,"",COUNTIFS($H$48:$H$247,1,$C$48:$C$247,"&lt;"&amp;C245)+COUNTIFS($H$48:H245,1,$C$48:C245,C245))</x:f>
      </x:c>
      <x:c r="J245" s="432"/>
      <x:c r="K245" s="432"/>
      <x:c r="L245" s="432"/>
      <x:c r="M245" s="432"/>
      <x:c r="N245" s="432"/>
      <x:c r="O245" s="432"/>
      <x:c r="P245" s="432"/>
      <x:c r="Q245" s="432"/>
    </x:row>
    <x:row r="246" ht="25" customHeight="1">
      <x:c r="A246" s="432"/>
      <x:c r="B246" s="432" t="str">
        <x:f>IF(CHOOSE($M$42,'Clients'!A204,'Clients'!A204,'Viewings'!A204,'Deals'!A204,'Deals'!A204,'Deals'!A204,'Follow-ups'!A204,'Payments'!A204,'Expenses'!A204)="","",CHOOSE($M$42,'Clients'!A204,'Clients'!A204,'Viewings'!A204,'Deals'!A204,'Deals'!A204,'Deals'!A204,'Follow-ups'!A204,'Payments'!A204,'Expenses'!A204))</x:f>
      </x:c>
      <x:c r="C246" s="472" t="str">
        <x:f>IF(B246="","",IF(CHOOSE($M$42,'Clients'!R204,'Clients'!Q204,'Viewings'!D204,'Deals'!X204,'Deals'!Y204,'Deals'!Z204,'Follow-ups'!H204,'Payments'!C204,'Expenses'!B204)="","",CHOOSE($M$42,'Clients'!R204,'Clients'!Q204,'Viewings'!D204,'Deals'!X204,'Deals'!Y204,'Deals'!Z204,'Follow-ups'!H204,'Payments'!C204,'Expenses'!B204)))</x:f>
      </x:c>
      <x:c r="D246" s="432" t="str">
        <x:f>IF(B246="","",IF(ISNUMBER(CHOOSE($M$42,'Clients'!B204,'Clients'!B204,'Viewings'!H204,IF('Deals'!B204="","",IF(COUNTIFS('Clients'!$A$6:$A$205,'Deals'!B204)&lt;&gt;1,"Check Client ID",INDEX('Clients'!$B$6:$B$205,MATCH('Deals'!B204,'Clients'!$A$6:$A$205,0)))),IF('Deals'!B204="","",IF(COUNTIFS('Clients'!$A$6:$A$205,'Deals'!B204)&lt;&gt;1,"Check Client ID",INDEX('Clients'!$B$6:$B$205,MATCH('Deals'!B204,'Clients'!$A$6:$A$205,0)))),IF('Deals'!B204="","",IF(COUNTIFS('Clients'!$A$6:$A$205,'Deals'!B204)&lt;&gt;1,"Check Client ID",INDEX('Clients'!$B$6:$B$205,MATCH('Deals'!B204,'Clients'!$A$6:$A$205,0)))),'Follow-ups'!K204,'Payments'!B204,'Expenses'!D204)),CHOOSE($M$42,'Clients'!B204,'Clients'!B204,'Viewings'!H204,IF('Deals'!B204="","",IF(COUNTIFS('Clients'!$A$6:$A$205,'Deals'!B204)&lt;&gt;1,"Check Client ID",INDEX('Clients'!$B$6:$B$205,MATCH('Deals'!B204,'Clients'!$A$6:$A$205,0)))),IF('Deals'!B204="","",IF(COUNTIFS('Clients'!$A$6:$A$205,'Deals'!B204)&lt;&gt;1,"Check Client ID",INDEX('Clients'!$B$6:$B$205,MATCH('Deals'!B204,'Clients'!$A$6:$A$205,0)))),IF('Deals'!B204="","",IF(COUNTIFS('Clients'!$A$6:$A$205,'Deals'!B204)&lt;&gt;1,"Check Client ID",INDEX('Clients'!$B$6:$B$205,MATCH('Deals'!B204,'Clients'!$A$6:$A$205,0)))),'Follow-ups'!K204,'Payments'!B204,'Expenses'!D204),IF(CHOOSE($M$42,'Clients'!B204,'Clients'!B204,'Viewings'!H204,IF('Deals'!B204="","",IF(COUNTIFS('Clients'!$A$6:$A$205,'Deals'!B204)&lt;&gt;1,"Check Client ID",INDEX('Clients'!$B$6:$B$205,MATCH('Deals'!B204,'Clients'!$A$6:$A$205,0)))),IF('Deals'!B204="","",IF(COUNTIFS('Clients'!$A$6:$A$205,'Deals'!B204)&lt;&gt;1,"Check Client ID",INDEX('Clients'!$B$6:$B$205,MATCH('Deals'!B204,'Clients'!$A$6:$A$205,0)))),IF('Deals'!B204="","",IF(COUNTIFS('Clients'!$A$6:$A$205,'Deals'!B204)&lt;&gt;1,"Check Client ID",INDEX('Clients'!$B$6:$B$205,MATCH('Deals'!B204,'Clients'!$A$6:$A$205,0)))),'Follow-ups'!K204,'Payments'!B204,'Expenses'!D204)="","",CHOOSE($M$42,'Clients'!B204,'Clients'!B204,'Viewings'!H204,IF('Deals'!B204="","",IF(COUNTIFS('Clients'!$A$6:$A$205,'Deals'!B204)&lt;&gt;1,"Check Client ID",INDEX('Clients'!$B$6:$B$205,MATCH('Deals'!B204,'Clients'!$A$6:$A$205,0)))),IF('Deals'!B204="","",IF(COUNTIFS('Clients'!$A$6:$A$205,'Deals'!B204)&lt;&gt;1,"Check Client ID",INDEX('Clients'!$B$6:$B$205,MATCH('Deals'!B204,'Clients'!$A$6:$A$205,0)))),IF('Deals'!B204="","",IF(COUNTIFS('Clients'!$A$6:$A$205,'Deals'!B204)&lt;&gt;1,"Check Client ID",INDEX('Clients'!$B$6:$B$205,MATCH('Deals'!B204,'Clients'!$A$6:$A$205,0)))),'Follow-ups'!K204,'Payments'!B204,'Expenses'!D204))))</x:f>
      </x:c>
      <x:c r="E246" s="432" t="str">
        <x:f>IF(B246="","",IF(ISNUMBER(CHOOSE($M$42,'Clients'!K204,'Clients'!K204,'Viewings'!I204,'Deals'!C204,'Deals'!C204,'Deals'!C204,'Follow-ups'!L204,'Payments'!G204,'Expenses'!F204)),CHOOSE($M$42,'Clients'!K204,'Clients'!K204,'Viewings'!I204,'Deals'!C204,'Deals'!C204,'Deals'!C204,'Follow-ups'!L204,'Payments'!G204,'Expenses'!F204),IF(CHOOSE($M$42,'Clients'!K204,'Clients'!K204,'Viewings'!I204,'Deals'!C204,'Deals'!C204,'Deals'!C204,'Follow-ups'!L204,'Payments'!G204,'Expenses'!F204)="","",CHOOSE($M$42,'Clients'!K204,'Clients'!K204,'Viewings'!I204,'Deals'!C204,'Deals'!C204,'Deals'!C204,'Follow-ups'!L204,'Payments'!G204,'Expenses'!F204))))</x:f>
      </x:c>
      <x:c r="F246" s="432" t="str">
        <x:f>IF(B246="","",IF(ISNUMBER(CHOOSE($M$42,'Clients'!H204,'Clients'!H204,'Viewings'!E204,'Deals'!E204,'Deals'!E204,'Deals'!E204,'Follow-ups'!I204,"Receipt",'Expenses'!C204)),CHOOSE($M$42,'Clients'!H204,'Clients'!H204,'Viewings'!E204,'Deals'!E204,'Deals'!E204,'Deals'!E204,'Follow-ups'!I204,"Receipt",'Expenses'!C204),IF(CHOOSE($M$42,'Clients'!H204,'Clients'!H204,'Viewings'!E204,'Deals'!E204,'Deals'!E204,'Deals'!E204,'Follow-ups'!I204,"Receipt",'Expenses'!C204)="","",CHOOSE($M$42,'Clients'!H204,'Clients'!H204,'Viewings'!E204,'Deals'!E204,'Deals'!E204,'Deals'!E204,'Follow-ups'!I204,"Receipt",'Expenses'!C204))))</x:f>
      </x:c>
      <x:c r="G246" s="473" t="str">
        <x:f>IF(B246="","",IF(ISNUMBER(CHOOSE($M$42,"","","",'Deals'!F204,'Deals'!F204,'Deals'!F204,"",'Payments'!D204,'Expenses'!G204)),CHOOSE($M$42,"","","",'Deals'!F204,'Deals'!F204,'Deals'!F204,"",'Payments'!D204,'Expenses'!G204),IF(CHOOSE($M$42,"","","",'Deals'!F204,'Deals'!F204,'Deals'!F204,"",'Payments'!D204,'Expenses'!G204)="","",CHOOSE($M$42,"","","",'Deals'!F204,'Deals'!F204,'Deals'!F204,"",'Payments'!D204,'Expenses'!G204))))</x:f>
      </x:c>
      <x:c r="H246" s="432" t="n">
        <x:f>IF(AND($M$43=1,B246&lt;&gt;"",ISNUMBER(C246),C246&gt;=$G$6,C246&lt;$K$6+1),1,0)</x:f>
        <x:v>0</x:v>
      </x:c>
      <x:c r="I246" s="432" t="str">
        <x:f>IF(H246=0,"",COUNTIFS($H$48:$H$247,1,$C$48:$C$247,"&lt;"&amp;C246)+COUNTIFS($H$48:H246,1,$C$48:C246,C246))</x:f>
      </x:c>
      <x:c r="J246" s="432"/>
      <x:c r="K246" s="432"/>
      <x:c r="L246" s="432"/>
      <x:c r="M246" s="432"/>
      <x:c r="N246" s="432"/>
      <x:c r="O246" s="432"/>
      <x:c r="P246" s="432"/>
      <x:c r="Q246" s="432"/>
    </x:row>
    <x:row r="247" ht="25" customHeight="1">
      <x:c r="A247" s="432"/>
      <x:c r="B247" s="432" t="str">
        <x:f>IF(CHOOSE($M$42,'Clients'!A205,'Clients'!A205,'Viewings'!A205,'Deals'!A205,'Deals'!A205,'Deals'!A205,'Follow-ups'!A205,'Payments'!A205,'Expenses'!A205)="","",CHOOSE($M$42,'Clients'!A205,'Clients'!A205,'Viewings'!A205,'Deals'!A205,'Deals'!A205,'Deals'!A205,'Follow-ups'!A205,'Payments'!A205,'Expenses'!A205))</x:f>
      </x:c>
      <x:c r="C247" s="472" t="str">
        <x:f>IF(B247="","",IF(CHOOSE($M$42,'Clients'!R205,'Clients'!Q205,'Viewings'!D205,'Deals'!X205,'Deals'!Y205,'Deals'!Z205,'Follow-ups'!H205,'Payments'!C205,'Expenses'!B205)="","",CHOOSE($M$42,'Clients'!R205,'Clients'!Q205,'Viewings'!D205,'Deals'!X205,'Deals'!Y205,'Deals'!Z205,'Follow-ups'!H205,'Payments'!C205,'Expenses'!B205)))</x:f>
      </x:c>
      <x:c r="D247" s="432" t="str">
        <x:f>IF(B247="","",IF(ISNUMBER(CHOOSE($M$42,'Clients'!B205,'Clients'!B205,'Viewings'!H205,IF('Deals'!B205="","",IF(COUNTIFS('Clients'!$A$6:$A$205,'Deals'!B205)&lt;&gt;1,"Check Client ID",INDEX('Clients'!$B$6:$B$205,MATCH('Deals'!B205,'Clients'!$A$6:$A$205,0)))),IF('Deals'!B205="","",IF(COUNTIFS('Clients'!$A$6:$A$205,'Deals'!B205)&lt;&gt;1,"Check Client ID",INDEX('Clients'!$B$6:$B$205,MATCH('Deals'!B205,'Clients'!$A$6:$A$205,0)))),IF('Deals'!B205="","",IF(COUNTIFS('Clients'!$A$6:$A$205,'Deals'!B205)&lt;&gt;1,"Check Client ID",INDEX('Clients'!$B$6:$B$205,MATCH('Deals'!B205,'Clients'!$A$6:$A$205,0)))),'Follow-ups'!K205,'Payments'!B205,'Expenses'!D205)),CHOOSE($M$42,'Clients'!B205,'Clients'!B205,'Viewings'!H205,IF('Deals'!B205="","",IF(COUNTIFS('Clients'!$A$6:$A$205,'Deals'!B205)&lt;&gt;1,"Check Client ID",INDEX('Clients'!$B$6:$B$205,MATCH('Deals'!B205,'Clients'!$A$6:$A$205,0)))),IF('Deals'!B205="","",IF(COUNTIFS('Clients'!$A$6:$A$205,'Deals'!B205)&lt;&gt;1,"Check Client ID",INDEX('Clients'!$B$6:$B$205,MATCH('Deals'!B205,'Clients'!$A$6:$A$205,0)))),IF('Deals'!B205="","",IF(COUNTIFS('Clients'!$A$6:$A$205,'Deals'!B205)&lt;&gt;1,"Check Client ID",INDEX('Clients'!$B$6:$B$205,MATCH('Deals'!B205,'Clients'!$A$6:$A$205,0)))),'Follow-ups'!K205,'Payments'!B205,'Expenses'!D205),IF(CHOOSE($M$42,'Clients'!B205,'Clients'!B205,'Viewings'!H205,IF('Deals'!B205="","",IF(COUNTIFS('Clients'!$A$6:$A$205,'Deals'!B205)&lt;&gt;1,"Check Client ID",INDEX('Clients'!$B$6:$B$205,MATCH('Deals'!B205,'Clients'!$A$6:$A$205,0)))),IF('Deals'!B205="","",IF(COUNTIFS('Clients'!$A$6:$A$205,'Deals'!B205)&lt;&gt;1,"Check Client ID",INDEX('Clients'!$B$6:$B$205,MATCH('Deals'!B205,'Clients'!$A$6:$A$205,0)))),IF('Deals'!B205="","",IF(COUNTIFS('Clients'!$A$6:$A$205,'Deals'!B205)&lt;&gt;1,"Check Client ID",INDEX('Clients'!$B$6:$B$205,MATCH('Deals'!B205,'Clients'!$A$6:$A$205,0)))),'Follow-ups'!K205,'Payments'!B205,'Expenses'!D205)="","",CHOOSE($M$42,'Clients'!B205,'Clients'!B205,'Viewings'!H205,IF('Deals'!B205="","",IF(COUNTIFS('Clients'!$A$6:$A$205,'Deals'!B205)&lt;&gt;1,"Check Client ID",INDEX('Clients'!$B$6:$B$205,MATCH('Deals'!B205,'Clients'!$A$6:$A$205,0)))),IF('Deals'!B205="","",IF(COUNTIFS('Clients'!$A$6:$A$205,'Deals'!B205)&lt;&gt;1,"Check Client ID",INDEX('Clients'!$B$6:$B$205,MATCH('Deals'!B205,'Clients'!$A$6:$A$205,0)))),IF('Deals'!B205="","",IF(COUNTIFS('Clients'!$A$6:$A$205,'Deals'!B205)&lt;&gt;1,"Check Client ID",INDEX('Clients'!$B$6:$B$205,MATCH('Deals'!B205,'Clients'!$A$6:$A$205,0)))),'Follow-ups'!K205,'Payments'!B205,'Expenses'!D205))))</x:f>
      </x:c>
      <x:c r="E247" s="432" t="str">
        <x:f>IF(B247="","",IF(ISNUMBER(CHOOSE($M$42,'Clients'!K205,'Clients'!K205,'Viewings'!I205,'Deals'!C205,'Deals'!C205,'Deals'!C205,'Follow-ups'!L205,'Payments'!G205,'Expenses'!F205)),CHOOSE($M$42,'Clients'!K205,'Clients'!K205,'Viewings'!I205,'Deals'!C205,'Deals'!C205,'Deals'!C205,'Follow-ups'!L205,'Payments'!G205,'Expenses'!F205),IF(CHOOSE($M$42,'Clients'!K205,'Clients'!K205,'Viewings'!I205,'Deals'!C205,'Deals'!C205,'Deals'!C205,'Follow-ups'!L205,'Payments'!G205,'Expenses'!F205)="","",CHOOSE($M$42,'Clients'!K205,'Clients'!K205,'Viewings'!I205,'Deals'!C205,'Deals'!C205,'Deals'!C205,'Follow-ups'!L205,'Payments'!G205,'Expenses'!F205))))</x:f>
      </x:c>
      <x:c r="F247" s="432" t="str">
        <x:f>IF(B247="","",IF(ISNUMBER(CHOOSE($M$42,'Clients'!H205,'Clients'!H205,'Viewings'!E205,'Deals'!E205,'Deals'!E205,'Deals'!E205,'Follow-ups'!I205,"Receipt",'Expenses'!C205)),CHOOSE($M$42,'Clients'!H205,'Clients'!H205,'Viewings'!E205,'Deals'!E205,'Deals'!E205,'Deals'!E205,'Follow-ups'!I205,"Receipt",'Expenses'!C205),IF(CHOOSE($M$42,'Clients'!H205,'Clients'!H205,'Viewings'!E205,'Deals'!E205,'Deals'!E205,'Deals'!E205,'Follow-ups'!I205,"Receipt",'Expenses'!C205)="","",CHOOSE($M$42,'Clients'!H205,'Clients'!H205,'Viewings'!E205,'Deals'!E205,'Deals'!E205,'Deals'!E205,'Follow-ups'!I205,"Receipt",'Expenses'!C205))))</x:f>
      </x:c>
      <x:c r="G247" s="473" t="str">
        <x:f>IF(B247="","",IF(ISNUMBER(CHOOSE($M$42,"","","",'Deals'!F205,'Deals'!F205,'Deals'!F205,"",'Payments'!D205,'Expenses'!G205)),CHOOSE($M$42,"","","",'Deals'!F205,'Deals'!F205,'Deals'!F205,"",'Payments'!D205,'Expenses'!G205),IF(CHOOSE($M$42,"","","",'Deals'!F205,'Deals'!F205,'Deals'!F205,"",'Payments'!D205,'Expenses'!G205)="","",CHOOSE($M$42,"","","",'Deals'!F205,'Deals'!F205,'Deals'!F205,"",'Payments'!D205,'Expenses'!G205))))</x:f>
      </x:c>
      <x:c r="H247" s="432" t="n">
        <x:f>IF(AND($M$43=1,B247&lt;&gt;"",ISNUMBER(C247),C247&gt;=$G$6,C247&lt;$K$6+1),1,0)</x:f>
        <x:v>0</x:v>
      </x:c>
      <x:c r="I247" s="432" t="str">
        <x:f>IF(H247=0,"",COUNTIFS($H$48:$H$247,1,$C$48:$C$247,"&lt;"&amp;C247)+COUNTIFS($H$48:H247,1,$C$48:C247,C247))</x:f>
      </x:c>
      <x:c r="J247" s="432"/>
      <x:c r="K247" s="432"/>
      <x:c r="L247" s="432"/>
      <x:c r="M247" s="432"/>
      <x:c r="N247" s="432"/>
      <x:c r="O247" s="432"/>
      <x:c r="P247" s="432"/>
      <x:c r="Q247" s="432"/>
    </x:row>
    <x:row r="248" ht="25" customHeight="1">
      <x:c r="A248" s="432"/>
      <x:c r="B248" s="432"/>
      <x:c r="C248" s="432"/>
      <x:c r="D248" s="432"/>
      <x:c r="E248" s="432"/>
      <x:c r="F248" s="432"/>
      <x:c r="G248" s="432"/>
      <x:c r="H248" s="432"/>
      <x:c r="I248" s="432"/>
      <x:c r="J248" s="432"/>
      <x:c r="K248" s="432"/>
      <x:c r="L248" s="432"/>
      <x:c r="M248" s="432"/>
      <x:c r="N248" s="432"/>
      <x:c r="O248" s="432"/>
      <x:c r="P248" s="432"/>
      <x:c r="Q248" s="432"/>
    </x:row>
    <x:row r="249" ht="25" customHeight="1">
      <x:c r="A249" s="432"/>
      <x:c r="B249" s="432"/>
      <x:c r="C249" s="432"/>
      <x:c r="D249" s="432"/>
      <x:c r="E249" s="432"/>
      <x:c r="F249" s="432"/>
      <x:c r="G249" s="432"/>
      <x:c r="H249" s="432"/>
      <x:c r="I249" s="432"/>
      <x:c r="J249" s="432"/>
      <x:c r="K249" s="432"/>
      <x:c r="L249" s="432"/>
      <x:c r="M249" s="432"/>
      <x:c r="N249" s="432"/>
      <x:c r="O249" s="432"/>
      <x:c r="P249" s="432"/>
      <x:c r="Q249" s="432"/>
    </x:row>
    <x:row r="250" ht="25" customHeight="1">
      <x:c r="A250" s="432"/>
      <x:c r="B250" s="432"/>
      <x:c r="C250" s="432"/>
      <x:c r="D250" s="432"/>
      <x:c r="E250" s="432"/>
      <x:c r="F250" s="432"/>
      <x:c r="G250" s="432"/>
      <x:c r="H250" s="432"/>
      <x:c r="I250" s="432"/>
      <x:c r="J250" s="432"/>
      <x:c r="K250" s="432"/>
      <x:c r="L250" s="432"/>
      <x:c r="M250" s="432"/>
      <x:c r="N250" s="432"/>
      <x:c r="O250" s="432"/>
      <x:c r="P250" s="432"/>
      <x:c r="Q250" s="432"/>
    </x:row>
    <x:row r="251" ht="25" customHeight="1">
      <x:c r="A251" s="432"/>
      <x:c r="B251" s="432"/>
      <x:c r="C251" s="432"/>
      <x:c r="D251" s="432"/>
      <x:c r="E251" s="432"/>
      <x:c r="F251" s="432"/>
      <x:c r="G251" s="432"/>
      <x:c r="H251" s="432"/>
      <x:c r="I251" s="432"/>
      <x:c r="J251" s="432"/>
      <x:c r="K251" s="432"/>
      <x:c r="L251" s="432"/>
      <x:c r="M251" s="432"/>
      <x:c r="N251" s="432"/>
      <x:c r="O251" s="432"/>
      <x:c r="P251" s="432"/>
      <x:c r="Q251" s="432"/>
    </x:row>
    <x:row r="252" ht="25" customHeight="1">
      <x:c r="A252" s="432"/>
      <x:c r="B252" s="432"/>
      <x:c r="C252" s="432"/>
      <x:c r="D252" s="432"/>
      <x:c r="E252" s="432"/>
      <x:c r="F252" s="432"/>
      <x:c r="G252" s="432"/>
      <x:c r="H252" s="432"/>
      <x:c r="I252" s="432"/>
      <x:c r="J252" s="432"/>
      <x:c r="K252" s="432"/>
      <x:c r="L252" s="432"/>
      <x:c r="M252" s="432"/>
      <x:c r="N252" s="432"/>
      <x:c r="O252" s="432"/>
      <x:c r="P252" s="432"/>
      <x:c r="Q252" s="432"/>
    </x:row>
    <x:row r="253" ht="25" customHeight="1">
      <x:c r="A253" s="432"/>
      <x:c r="B253" s="432"/>
      <x:c r="C253" s="432"/>
      <x:c r="D253" s="432"/>
      <x:c r="E253" s="432"/>
      <x:c r="F253" s="432"/>
      <x:c r="G253" s="432"/>
      <x:c r="H253" s="432"/>
      <x:c r="I253" s="432"/>
      <x:c r="J253" s="432"/>
      <x:c r="K253" s="432"/>
      <x:c r="L253" s="432"/>
      <x:c r="M253" s="432"/>
      <x:c r="N253" s="432"/>
      <x:c r="O253" s="432"/>
      <x:c r="P253" s="432"/>
      <x:c r="Q253" s="432"/>
    </x:row>
    <x:row r="254" ht="25" customHeight="1">
      <x:c r="A254" s="432"/>
      <x:c r="B254" s="432"/>
      <x:c r="C254" s="432"/>
      <x:c r="D254" s="432"/>
      <x:c r="E254" s="432"/>
      <x:c r="F254" s="432"/>
      <x:c r="G254" s="432"/>
      <x:c r="H254" s="432"/>
      <x:c r="I254" s="432"/>
      <x:c r="J254" s="432"/>
      <x:c r="K254" s="432"/>
      <x:c r="L254" s="432"/>
      <x:c r="M254" s="432"/>
      <x:c r="N254" s="432"/>
      <x:c r="O254" s="432"/>
      <x:c r="P254" s="432"/>
      <x:c r="Q254" s="432"/>
    </x:row>
    <x:row r="255" ht="25" customHeight="1">
      <x:c r="A255" s="432"/>
      <x:c r="B255" s="432"/>
      <x:c r="C255" s="432"/>
      <x:c r="D255" s="432"/>
      <x:c r="E255" s="432"/>
      <x:c r="F255" s="432"/>
      <x:c r="G255" s="432"/>
      <x:c r="H255" s="432"/>
      <x:c r="I255" s="432"/>
      <x:c r="J255" s="432"/>
      <x:c r="K255" s="432"/>
      <x:c r="L255" s="432"/>
      <x:c r="M255" s="432"/>
      <x:c r="N255" s="432"/>
      <x:c r="O255" s="432"/>
      <x:c r="P255" s="432"/>
      <x:c r="Q255" s="432"/>
    </x:row>
    <x:row r="256" ht="25" customHeight="1">
      <x:c r="A256" s="432"/>
      <x:c r="B256" s="432"/>
      <x:c r="C256" s="432"/>
      <x:c r="D256" s="432"/>
      <x:c r="E256" s="432"/>
      <x:c r="F256" s="432"/>
      <x:c r="G256" s="432"/>
      <x:c r="H256" s="432"/>
      <x:c r="I256" s="432"/>
      <x:c r="J256" s="432"/>
      <x:c r="K256" s="432"/>
      <x:c r="L256" s="432"/>
      <x:c r="M256" s="432"/>
      <x:c r="N256" s="432"/>
      <x:c r="O256" s="432"/>
      <x:c r="P256" s="432"/>
      <x:c r="Q256" s="432"/>
    </x:row>
    <x:row r="257" ht="25" customHeight="1">
      <x:c r="A257" s="432"/>
      <x:c r="B257" s="432"/>
      <x:c r="C257" s="432"/>
      <x:c r="D257" s="432"/>
      <x:c r="E257" s="432"/>
      <x:c r="F257" s="432"/>
      <x:c r="G257" s="432"/>
      <x:c r="H257" s="432"/>
      <x:c r="I257" s="432"/>
      <x:c r="J257" s="432"/>
      <x:c r="K257" s="432"/>
      <x:c r="L257" s="432"/>
      <x:c r="M257" s="432"/>
      <x:c r="N257" s="432"/>
      <x:c r="O257" s="432"/>
      <x:c r="P257" s="432"/>
      <x:c r="Q257" s="432"/>
    </x:row>
    <x:row r="258" ht="25" customHeight="1">
      <x:c r="A258" s="432"/>
      <x:c r="B258" s="432"/>
      <x:c r="C258" s="432"/>
      <x:c r="D258" s="432"/>
      <x:c r="E258" s="432"/>
      <x:c r="F258" s="432"/>
      <x:c r="G258" s="432"/>
      <x:c r="H258" s="432"/>
      <x:c r="I258" s="432"/>
      <x:c r="J258" s="432"/>
      <x:c r="K258" s="432"/>
      <x:c r="L258" s="432"/>
      <x:c r="M258" s="432"/>
      <x:c r="N258" s="432"/>
      <x:c r="O258" s="432"/>
      <x:c r="P258" s="432"/>
      <x:c r="Q258" s="432"/>
    </x:row>
    <x:row r="259" ht="25" customHeight="1">
      <x:c r="A259" s="432"/>
      <x:c r="B259" s="432"/>
      <x:c r="C259" s="432"/>
      <x:c r="D259" s="432"/>
      <x:c r="E259" s="432"/>
      <x:c r="F259" s="432"/>
      <x:c r="G259" s="432"/>
      <x:c r="H259" s="432"/>
      <x:c r="I259" s="432"/>
      <x:c r="J259" s="432"/>
      <x:c r="K259" s="432"/>
      <x:c r="L259" s="432"/>
      <x:c r="M259" s="432"/>
      <x:c r="N259" s="432"/>
      <x:c r="O259" s="432"/>
      <x:c r="P259" s="432"/>
      <x:c r="Q259" s="432"/>
    </x:row>
    <x:row r="260" ht="25" customHeight="1">
      <x:c r="A260" s="432"/>
      <x:c r="B260" s="432"/>
      <x:c r="C260" s="432"/>
      <x:c r="D260" s="432"/>
      <x:c r="E260" s="432"/>
      <x:c r="F260" s="432"/>
      <x:c r="G260" s="432"/>
      <x:c r="H260" s="432"/>
      <x:c r="I260" s="432"/>
      <x:c r="J260" s="432"/>
      <x:c r="K260" s="432"/>
      <x:c r="L260" s="432"/>
      <x:c r="M260" s="432"/>
      <x:c r="N260" s="432"/>
      <x:c r="O260" s="432"/>
      <x:c r="P260" s="432"/>
      <x:c r="Q260" s="432"/>
    </x:row>
  </x:sheetData>
  <x:mergeCells>
    <x:mergeCell ref="B2:P2"/>
    <x:mergeCell ref="B3:P3"/>
    <x:mergeCell ref="B4:P4"/>
    <x:mergeCell ref="B5:F5"/>
    <x:mergeCell ref="G5:J5"/>
    <x:mergeCell ref="K5:N5"/>
    <x:mergeCell ref="O5:P5"/>
    <x:mergeCell ref="B6:F6"/>
    <x:mergeCell ref="G6:J6"/>
    <x:mergeCell ref="K6:N6"/>
    <x:mergeCell ref="O6:P6"/>
    <x:mergeCell ref="B8:P8"/>
    <x:mergeCell ref="B10:C10"/>
    <x:mergeCell ref="D10:F10"/>
    <x:mergeCell ref="G10:J10"/>
    <x:mergeCell ref="K10:M10"/>
    <x:mergeCell ref="N10:O10"/>
    <x:mergeCell ref="B33:P34"/>
    <x:mergeCell ref="B37:H37"/>
    <x:mergeCell ref="B11:C11"/>
    <x:mergeCell ref="D11:F11"/>
    <x:mergeCell ref="G11:J11"/>
    <x:mergeCell ref="K11:M11"/>
    <x:mergeCell ref="N11:O11"/>
    <x:mergeCell ref="B12:C12"/>
    <x:mergeCell ref="D12:F12"/>
    <x:mergeCell ref="G12:J12"/>
    <x:mergeCell ref="K12:M12"/>
    <x:mergeCell ref="N12:O12"/>
    <x:mergeCell ref="B13:C13"/>
    <x:mergeCell ref="D13:F13"/>
    <x:mergeCell ref="G13:J13"/>
    <x:mergeCell ref="K13:M13"/>
    <x:mergeCell ref="N13:O13"/>
    <x:mergeCell ref="B14:C14"/>
    <x:mergeCell ref="D14:F14"/>
    <x:mergeCell ref="G14:J14"/>
    <x:mergeCell ref="K14:M14"/>
    <x:mergeCell ref="N14:O14"/>
    <x:mergeCell ref="B15:C15"/>
    <x:mergeCell ref="D15:F15"/>
    <x:mergeCell ref="G15:J15"/>
    <x:mergeCell ref="K15:M15"/>
    <x:mergeCell ref="N15:O15"/>
    <x:mergeCell ref="B16:C16"/>
    <x:mergeCell ref="D16:F16"/>
    <x:mergeCell ref="G16:J16"/>
    <x:mergeCell ref="K16:M16"/>
    <x:mergeCell ref="N16:O16"/>
    <x:mergeCell ref="B17:C17"/>
    <x:mergeCell ref="D17:F17"/>
    <x:mergeCell ref="G17:J17"/>
    <x:mergeCell ref="K17:M17"/>
    <x:mergeCell ref="N17:O17"/>
    <x:mergeCell ref="B18:C18"/>
    <x:mergeCell ref="D18:F18"/>
    <x:mergeCell ref="G18:J18"/>
    <x:mergeCell ref="K18:M18"/>
    <x:mergeCell ref="N18:O18"/>
    <x:mergeCell ref="B19:C19"/>
    <x:mergeCell ref="D19:F19"/>
    <x:mergeCell ref="G19:J19"/>
    <x:mergeCell ref="K19:M19"/>
    <x:mergeCell ref="N19:O19"/>
    <x:mergeCell ref="B20:C20"/>
    <x:mergeCell ref="D20:F20"/>
    <x:mergeCell ref="G20:J20"/>
    <x:mergeCell ref="K20:M20"/>
    <x:mergeCell ref="N20:O20"/>
    <x:mergeCell ref="B21:C21"/>
    <x:mergeCell ref="D21:F21"/>
    <x:mergeCell ref="G21:J21"/>
    <x:mergeCell ref="K21:M21"/>
    <x:mergeCell ref="N21:O21"/>
    <x:mergeCell ref="B22:C22"/>
    <x:mergeCell ref="D22:F22"/>
    <x:mergeCell ref="G22:J22"/>
    <x:mergeCell ref="K22:M22"/>
    <x:mergeCell ref="N22:O22"/>
    <x:mergeCell ref="B23:C23"/>
    <x:mergeCell ref="D23:F23"/>
    <x:mergeCell ref="G23:J23"/>
    <x:mergeCell ref="K23:M23"/>
    <x:mergeCell ref="N23:O23"/>
    <x:mergeCell ref="B24:C24"/>
    <x:mergeCell ref="D24:F24"/>
    <x:mergeCell ref="G24:J24"/>
    <x:mergeCell ref="K24:M24"/>
    <x:mergeCell ref="N24:O24"/>
    <x:mergeCell ref="B25:C25"/>
    <x:mergeCell ref="D25:F25"/>
    <x:mergeCell ref="G25:J25"/>
    <x:mergeCell ref="K25:M25"/>
    <x:mergeCell ref="N25:O25"/>
    <x:mergeCell ref="B26:C26"/>
    <x:mergeCell ref="D26:F26"/>
    <x:mergeCell ref="G26:J26"/>
    <x:mergeCell ref="K26:M26"/>
    <x:mergeCell ref="N26:O26"/>
    <x:mergeCell ref="B27:C27"/>
    <x:mergeCell ref="D27:F27"/>
    <x:mergeCell ref="G27:J27"/>
    <x:mergeCell ref="K27:M27"/>
    <x:mergeCell ref="N27:O27"/>
    <x:mergeCell ref="B28:C28"/>
    <x:mergeCell ref="D28:F28"/>
    <x:mergeCell ref="G28:J28"/>
    <x:mergeCell ref="K28:M28"/>
    <x:mergeCell ref="N28:O28"/>
    <x:mergeCell ref="B29:C29"/>
    <x:mergeCell ref="D29:F29"/>
    <x:mergeCell ref="G29:J29"/>
    <x:mergeCell ref="K29:M29"/>
    <x:mergeCell ref="N29:O29"/>
    <x:mergeCell ref="B30:C30"/>
    <x:mergeCell ref="D30:F30"/>
    <x:mergeCell ref="G30:J30"/>
    <x:mergeCell ref="K30:M30"/>
    <x:mergeCell ref="N30:O30"/>
  </x:mergeCells>
  <x:dataValidations count="2">
    <x:dataValidation type="list" sqref="B6">
      <x:formula1>"New enquiries,Client target dates,Viewings,Deals opened,Target close dates,Deals closed,Follow-ups due,Payments received,Expenses paid"</x:formula1>
    </x:dataValidation>
    <x:dataValidation type="whole" operator="between" sqref="O6">
      <x:formula1>1</x:formula1>
      <x:formula2>10</x:formula2>
    </x:dataValidation>
  </x:dataValidations>
  <x:pageMargins left="0.7" right="0.7" top="0.75" bottom="0.75" header="0.3" footer="0.3"/>
</x:worksheet>
</file>

<file path=xl/worksheets/sheet14.xml><?xml version="1.0" encoding="utf-8"?>
<x:worksheet xmlns:x="http://schemas.openxmlformats.org/spreadsheetml/2006/main">
  <x:sheetPr>
    <x:tabColor rgb="FFA18350"/>
  </x:sheetPr>
  <x:sheetViews>
    <x:sheetView showGridLines="0" workbookViewId="0">
      <x:pane ySplit="6" topLeftCell="A7" activePane="bottomLeft" state="frozen"/>
    </x:sheetView>
  </x:sheetViews>
  <x:sheetFormatPr defaultRowHeight="15"/>
  <x:cols>
    <x:col min="1" max="1" width="3"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3" hidden="0" customWidth="1"/>
    <x:col min="18" max="18" width="19" hidden="0" customWidth="1"/>
    <x:col min="19" max="19" width="19" hidden="0" customWidth="1"/>
  </x:cols>
  <x:sheetData>
    <x:row r="1" ht="25" customHeight="1">
      <x:c r="A1" s="432"/>
      <x:c r="B1" s="432"/>
      <x:c r="C1" s="432"/>
      <x:c r="D1" s="432"/>
      <x:c r="E1" s="432"/>
      <x:c r="F1" s="432"/>
      <x:c r="G1" s="432"/>
      <x:c r="H1" s="432"/>
      <x:c r="I1" s="432"/>
      <x:c r="J1" s="432"/>
      <x:c r="K1" s="432"/>
      <x:c r="L1" s="432"/>
      <x:c r="M1" s="432"/>
      <x:c r="N1" s="432"/>
      <x:c r="O1" s="432"/>
      <x:c r="P1" s="432"/>
      <x:c r="Q1" s="432"/>
    </x:row>
    <x:row r="2" ht="25" customHeight="1">
      <x:c r="A2" s="432"/>
      <x:c r="B2" s="434" t="str">
        <x:v>KEYS WITH SIMONI</x:v>
      </x:c>
      <x:c r="C2" s="434"/>
      <x:c r="D2" s="434"/>
      <x:c r="E2" s="434"/>
      <x:c r="F2" s="434"/>
      <x:c r="G2" s="434"/>
      <x:c r="H2" s="434"/>
      <x:c r="I2" s="434"/>
      <x:c r="J2" s="434"/>
      <x:c r="K2" s="434"/>
      <x:c r="L2" s="434"/>
      <x:c r="M2" s="434"/>
      <x:c r="N2" s="434"/>
      <x:c r="O2" s="434"/>
      <x:c r="P2" s="434"/>
      <x:c r="Q2" s="432"/>
    </x:row>
    <x:row r="3" ht="37" customHeight="1">
      <x:c r="A3" s="432"/>
      <x:c r="B3" s="436" t="str">
        <x:v>Targets, lead sources &amp; capacity</x:v>
      </x:c>
      <x:c r="C3" s="436"/>
      <x:c r="D3" s="436"/>
      <x:c r="E3" s="436"/>
      <x:c r="F3" s="436"/>
      <x:c r="G3" s="436"/>
      <x:c r="H3" s="436"/>
      <x:c r="I3" s="436"/>
      <x:c r="J3" s="436"/>
      <x:c r="K3" s="436"/>
      <x:c r="L3" s="436"/>
      <x:c r="M3" s="436"/>
      <x:c r="N3" s="436"/>
      <x:c r="O3" s="436"/>
      <x:c r="P3" s="436"/>
      <x:c r="Q3" s="432"/>
    </x:row>
    <x:row r="4" ht="30" customHeight="1">
      <x:c r="A4" s="432"/>
      <x:c r="B4" s="438" t="str">
        <x:v>Results use the Reporting month on Dashboard. Enter your monthly targets in the amber cells.</x:v>
      </x:c>
      <x:c r="C4" s="438"/>
      <x:c r="D4" s="438"/>
      <x:c r="E4" s="438"/>
      <x:c r="F4" s="438"/>
      <x:c r="G4" s="438"/>
      <x:c r="H4" s="438"/>
      <x:c r="I4" s="438"/>
      <x:c r="J4" s="438"/>
      <x:c r="K4" s="438"/>
      <x:c r="L4" s="438"/>
      <x:c r="M4" s="438"/>
      <x:c r="N4" s="438"/>
      <x:c r="O4" s="438"/>
      <x:c r="P4" s="438"/>
      <x:c r="Q4" s="432"/>
    </x:row>
    <x:row r="5" ht="25" customHeight="1">
      <x:c r="A5" s="432"/>
      <x:c r="B5" s="432"/>
      <x:c r="C5" s="432"/>
      <x:c r="D5" s="432"/>
      <x:c r="E5" s="432"/>
      <x:c r="F5" s="432"/>
      <x:c r="G5" s="432"/>
      <x:c r="H5" s="432"/>
      <x:c r="I5" s="432"/>
      <x:c r="J5" s="432"/>
      <x:c r="K5" s="432"/>
      <x:c r="L5" s="432"/>
      <x:c r="M5" s="432"/>
      <x:c r="N5" s="432"/>
      <x:c r="O5" s="432"/>
      <x:c r="P5" s="432"/>
      <x:c r="Q5" s="432"/>
      <x:c r="R5" s="481" t="str">
        <x:v>Deal lead source</x:v>
      </x:c>
      <x:c r="S5" s="481" t="str">
        <x:v>Completed date</x:v>
      </x:c>
    </x:row>
    <x:row r="6" ht="28" customHeight="1">
      <x:c r="A6" s="432"/>
      <x:c r="B6" s="444" t="str">
        <x:v>Monthly targets</x:v>
      </x:c>
      <x:c r="C6" s="444"/>
      <x:c r="D6" s="444"/>
      <x:c r="E6" s="444"/>
      <x:c r="F6" s="444"/>
      <x:c r="G6" s="432"/>
      <x:c r="H6" s="444" t="str">
        <x:v>Progress in the reporting month</x:v>
      </x:c>
      <x:c r="I6" s="444"/>
      <x:c r="J6" s="444"/>
      <x:c r="K6" s="444"/>
      <x:c r="L6" s="444"/>
      <x:c r="M6" s="444"/>
      <x:c r="N6" s="444"/>
      <x:c r="O6" s="444"/>
      <x:c r="P6" s="444"/>
      <x:c r="Q6" s="432"/>
      <x:c r="R6" s="481" t="str">
        <x:f>IF('Deals'!A6="","",IF(COUNTIFS('Clients'!$A$6:$A$205,'Deals'!B6)&lt;&gt;1,"Unlinked",INDEX('Clients'!$G$6:$G$205,MATCH('Deals'!B6,'Clients'!$A$6:$A$205,0))))</x:f>
      </x:c>
      <x:c r="S6" s="482" t="str">
        <x:f>IF(AND('Deals'!A6&lt;&gt;"",'Deals'!E6="Completed",ISNUMBER('Deals'!Z6)),'Deals'!Z6,"")</x:f>
      </x:c>
    </x:row>
    <x:row r="7" ht="36" customHeight="1">
      <x:c r="A7" s="432"/>
      <x:c r="B7" s="464" t="str">
        <x:v>Month</x:v>
      </x:c>
      <x:c r="C7" s="464" t="str">
        <x:v>New leads</x:v>
      </x:c>
      <x:c r="D7" s="464" t="str">
        <x:v>Viewings completed</x:v>
      </x:c>
      <x:c r="E7" s="464" t="str">
        <x:v>Deals completed</x:v>
      </x:c>
      <x:c r="F7" s="464" t="str">
        <x:v>Earned fee AED</x:v>
      </x:c>
      <x:c r="G7" s="432"/>
      <x:c r="H7" s="447" t="str">
        <x:v>Metric</x:v>
      </x:c>
      <x:c r="I7" s="447"/>
      <x:c r="J7" s="447"/>
      <x:c r="K7" s="539" t="str">
        <x:v>Target</x:v>
      </x:c>
      <x:c r="L7" s="539"/>
      <x:c r="M7" s="539" t="str">
        <x:v>Actual</x:v>
      </x:c>
      <x:c r="N7" s="539"/>
      <x:c r="O7" s="539" t="str">
        <x:v>Progress</x:v>
      </x:c>
      <x:c r="P7" s="539"/>
      <x:c r="Q7" s="432"/>
      <x:c r="R7" s="481" t="str">
        <x:f>IF('Deals'!A7="","",IF(COUNTIFS('Clients'!$A$6:$A$205,'Deals'!B7)&lt;&gt;1,"Unlinked",INDEX('Clients'!$G$6:$G$205,MATCH('Deals'!B7,'Clients'!$A$6:$A$205,0))))</x:f>
      </x:c>
      <x:c r="S7" s="482" t="str">
        <x:f>IF(AND('Deals'!A7&lt;&gt;"",'Deals'!E7="Completed",ISNUMBER('Deals'!Z7)),'Deals'!Z7,"")</x:f>
      </x:c>
    </x:row>
    <x:row r="8" ht="36" customHeight="1">
      <x:c r="A8" s="432"/>
      <x:c r="B8" s="476" t="n">
        <x:v>46023</x:v>
      </x:c>
      <x:c r="C8" s="530"/>
      <x:c r="D8" s="531"/>
      <x:c r="E8" s="531"/>
      <x:c r="F8" s="532"/>
      <x:c r="G8" s="432"/>
      <x:c r="H8" s="478" t="str">
        <x:v>New enquiries</x:v>
      </x:c>
      <x:c r="I8" s="478"/>
      <x:c r="J8" s="478"/>
      <x:c r="K8" s="540" t="str">
        <x:f>IF(COUNTIFS($B$8:$B$43,DATE(YEAR('Dashboard'!$N$4),MONTH('Dashboard'!$N$4),1),$C$8:$C$43,"&lt;&gt;")=1,SUMIFS($C$8:$C$43,$B$8:$B$43,DATE(YEAR('Dashboard'!$N$4),MONTH('Dashboard'!$N$4),1)),"")</x:f>
      </x:c>
      <x:c r="L8" s="540"/>
      <x:c r="M8" s="540" t="n">
        <x:f>'Dashboard'!N13</x:f>
        <x:v>0</x:v>
      </x:c>
      <x:c r="N8" s="540"/>
      <x:c r="O8" s="541" t="str">
        <x:f>IF(AND(ISNUMBER(K8),K8&gt;0),M8/K8,"")</x:f>
      </x:c>
      <x:c r="P8" s="541"/>
      <x:c r="Q8" s="432"/>
      <x:c r="R8" s="481" t="str">
        <x:f>IF('Deals'!A8="","",IF(COUNTIFS('Clients'!$A$6:$A$205,'Deals'!B8)&lt;&gt;1,"Unlinked",INDEX('Clients'!$G$6:$G$205,MATCH('Deals'!B8,'Clients'!$A$6:$A$205,0))))</x:f>
      </x:c>
      <x:c r="S8" s="482" t="str">
        <x:f>IF(AND('Deals'!A8&lt;&gt;"",'Deals'!E8="Completed",ISNUMBER('Deals'!Z8)),'Deals'!Z8,"")</x:f>
      </x:c>
    </x:row>
    <x:row r="9" ht="36" customHeight="1">
      <x:c r="A9" s="432"/>
      <x:c r="B9" s="476" t="n">
        <x:v>46054</x:v>
      </x:c>
      <x:c r="C9" s="533"/>
      <x:c r="D9" s="534"/>
      <x:c r="E9" s="534"/>
      <x:c r="F9" s="535"/>
      <x:c r="G9" s="432"/>
      <x:c r="H9" s="465" t="str">
        <x:v>Completed viewings</x:v>
      </x:c>
      <x:c r="I9" s="465"/>
      <x:c r="J9" s="465"/>
      <x:c r="K9" s="542" t="str">
        <x:f>IF(COUNTIFS($B$8:$B$43,DATE(YEAR('Dashboard'!$N$4),MONTH('Dashboard'!$N$4),1),$D$8:$D$43,"&lt;&gt;")=1,SUMIFS($D$8:$D$43,$B$8:$B$43,DATE(YEAR('Dashboard'!$N$4),MONTH('Dashboard'!$N$4),1)),"")</x:f>
      </x:c>
      <x:c r="L9" s="542"/>
      <x:c r="M9" s="542" t="n">
        <x:f>COUNTIFS('Viewings'!$A$6:$A$205,"&lt;&gt;",'Viewings'!$E$6:$E$205,"Completed",'Viewings'!$D$6:$D$205,"&gt;="&amp;DATE(YEAR('Dashboard'!$N$4),MONTH('Dashboard'!$N$4),1),'Viewings'!$D$6:$D$205,"&lt;"&amp;DATE(YEAR('Dashboard'!$N$4),MONTH('Dashboard'!$N$4)+1,1))</x:f>
        <x:v>0</x:v>
      </x:c>
      <x:c r="N9" s="542"/>
      <x:c r="O9" s="543" t="str">
        <x:f>IF(AND(ISNUMBER(K9),K9&gt;0),M9/K9,"")</x:f>
      </x:c>
      <x:c r="P9" s="543"/>
      <x:c r="Q9" s="432"/>
      <x:c r="R9" s="481" t="str">
        <x:f>IF('Deals'!A9="","",IF(COUNTIFS('Clients'!$A$6:$A$205,'Deals'!B9)&lt;&gt;1,"Unlinked",INDEX('Clients'!$G$6:$G$205,MATCH('Deals'!B9,'Clients'!$A$6:$A$205,0))))</x:f>
      </x:c>
      <x:c r="S9" s="482" t="str">
        <x:f>IF(AND('Deals'!A9&lt;&gt;"",'Deals'!E9="Completed",ISNUMBER('Deals'!Z9)),'Deals'!Z9,"")</x:f>
      </x:c>
    </x:row>
    <x:row r="10" ht="36" customHeight="1">
      <x:c r="A10" s="432"/>
      <x:c r="B10" s="476" t="n">
        <x:v>46082</x:v>
      </x:c>
      <x:c r="C10" s="533"/>
      <x:c r="D10" s="534"/>
      <x:c r="E10" s="534"/>
      <x:c r="F10" s="535"/>
      <x:c r="G10" s="432"/>
      <x:c r="H10" s="478" t="str">
        <x:v>Completed deals</x:v>
      </x:c>
      <x:c r="I10" s="478"/>
      <x:c r="J10" s="478"/>
      <x:c r="K10" s="540" t="str">
        <x:f>IF(COUNTIFS($B$8:$B$43,DATE(YEAR('Dashboard'!$N$4),MONTH('Dashboard'!$N$4),1),$E$8:$E$43,"&lt;&gt;")=1,SUMIFS($E$8:$E$43,$B$8:$B$43,DATE(YEAR('Dashboard'!$N$4),MONTH('Dashboard'!$N$4),1)),"")</x:f>
      </x:c>
      <x:c r="L10" s="540"/>
      <x:c r="M10" s="540" t="n">
        <x:f>'Dashboard'!N14+'Dashboard'!N15</x:f>
        <x:v>0</x:v>
      </x:c>
      <x:c r="N10" s="540"/>
      <x:c r="O10" s="541" t="str">
        <x:f>IF(AND(ISNUMBER(K10),K10&gt;0),M10/K10,"")</x:f>
      </x:c>
      <x:c r="P10" s="541"/>
      <x:c r="Q10" s="432"/>
      <x:c r="R10" s="481" t="str">
        <x:f>IF('Deals'!A10="","",IF(COUNTIFS('Clients'!$A$6:$A$205,'Deals'!B10)&lt;&gt;1,"Unlinked",INDEX('Clients'!$G$6:$G$205,MATCH('Deals'!B10,'Clients'!$A$6:$A$205,0))))</x:f>
      </x:c>
      <x:c r="S10" s="482" t="str">
        <x:f>IF(AND('Deals'!A10&lt;&gt;"",'Deals'!E10="Completed",ISNUMBER('Deals'!Z10)),'Deals'!Z10,"")</x:f>
      </x:c>
    </x:row>
    <x:row r="11" ht="36" customHeight="1">
      <x:c r="A11" s="432"/>
      <x:c r="B11" s="476" t="n">
        <x:v>46113</x:v>
      </x:c>
      <x:c r="C11" s="533"/>
      <x:c r="D11" s="534"/>
      <x:c r="E11" s="534"/>
      <x:c r="F11" s="535"/>
      <x:c r="G11" s="432"/>
      <x:c r="H11" s="465" t="str">
        <x:v>Earned fee AED</x:v>
      </x:c>
      <x:c r="I11" s="465"/>
      <x:c r="J11" s="465"/>
      <x:c r="K11" s="544" t="str">
        <x:f>IF(COUNTIFS($B$8:$B$43,DATE(YEAR('Dashboard'!$N$4),MONTH('Dashboard'!$N$4),1),$F$8:$F$43,"&lt;&gt;")=1,SUMIFS($F$8:$F$43,$B$8:$B$43,DATE(YEAR('Dashboard'!$N$4),MONTH('Dashboard'!$N$4),1)),"")</x:f>
      </x:c>
      <x:c r="L11" s="544"/>
      <x:c r="M11" s="544" t="n">
        <x:f>'Dashboard'!N16</x:f>
        <x:v>0</x:v>
      </x:c>
      <x:c r="N11" s="544"/>
      <x:c r="O11" s="543" t="str">
        <x:f>IF(AND(ISNUMBER(K11),K11&gt;0),M11/K11,"")</x:f>
      </x:c>
      <x:c r="P11" s="543"/>
      <x:c r="Q11" s="432"/>
      <x:c r="R11" s="481" t="str">
        <x:f>IF('Deals'!A11="","",IF(COUNTIFS('Clients'!$A$6:$A$205,'Deals'!B11)&lt;&gt;1,"Unlinked",INDEX('Clients'!$G$6:$G$205,MATCH('Deals'!B11,'Clients'!$A$6:$A$205,0))))</x:f>
      </x:c>
      <x:c r="S11" s="482" t="str">
        <x:f>IF(AND('Deals'!A11&lt;&gt;"",'Deals'!E11="Completed",ISNUMBER('Deals'!Z11)),'Deals'!Z11,"")</x:f>
      </x:c>
    </x:row>
    <x:row r="12" ht="25" customHeight="1">
      <x:c r="A12" s="432"/>
      <x:c r="B12" s="476" t="n">
        <x:v>46143</x:v>
      </x:c>
      <x:c r="C12" s="533"/>
      <x:c r="D12" s="534"/>
      <x:c r="E12" s="534"/>
      <x:c r="F12" s="535"/>
      <x:c r="G12" s="432"/>
      <x:c r="H12" s="432"/>
      <x:c r="I12" s="432"/>
      <x:c r="J12" s="432"/>
      <x:c r="K12" s="432"/>
      <x:c r="L12" s="432"/>
      <x:c r="M12" s="432"/>
      <x:c r="N12" s="432"/>
      <x:c r="O12" s="432"/>
      <x:c r="P12" s="432"/>
      <x:c r="Q12" s="432"/>
      <x:c r="R12" s="481" t="str">
        <x:f>IF('Deals'!A12="","",IF(COUNTIFS('Clients'!$A$6:$A$205,'Deals'!B12)&lt;&gt;1,"Unlinked",INDEX('Clients'!$G$6:$G$205,MATCH('Deals'!B12,'Clients'!$A$6:$A$205,0))))</x:f>
      </x:c>
      <x:c r="S12" s="482" t="str">
        <x:f>IF(AND('Deals'!A12&lt;&gt;"",'Deals'!E12="Completed",ISNUMBER('Deals'!Z12)),'Deals'!Z12,"")</x:f>
      </x:c>
    </x:row>
    <x:row r="13" ht="25" customHeight="1">
      <x:c r="A13" s="432"/>
      <x:c r="B13" s="476" t="n">
        <x:v>46174</x:v>
      </x:c>
      <x:c r="C13" s="533"/>
      <x:c r="D13" s="534"/>
      <x:c r="E13" s="534"/>
      <x:c r="F13" s="535"/>
      <x:c r="G13" s="432"/>
      <x:c r="H13" s="461" t="str">
        <x:v>Targets are optional. Leave a target blank until you set it. A zero target has no progress percentage. Target history covers January 2026 to December 2028.</x:v>
      </x:c>
      <x:c r="I13" s="461"/>
      <x:c r="J13" s="461"/>
      <x:c r="K13" s="461"/>
      <x:c r="L13" s="461"/>
      <x:c r="M13" s="461"/>
      <x:c r="N13" s="461"/>
      <x:c r="O13" s="461"/>
      <x:c r="P13" s="461"/>
      <x:c r="Q13" s="432"/>
      <x:c r="R13" s="481" t="str">
        <x:f>IF('Deals'!A13="","",IF(COUNTIFS('Clients'!$A$6:$A$205,'Deals'!B13)&lt;&gt;1,"Unlinked",INDEX('Clients'!$G$6:$G$205,MATCH('Deals'!B13,'Clients'!$A$6:$A$205,0))))</x:f>
      </x:c>
      <x:c r="S13" s="482" t="str">
        <x:f>IF(AND('Deals'!A13&lt;&gt;"",'Deals'!E13="Completed",ISNUMBER('Deals'!Z13)),'Deals'!Z13,"")</x:f>
      </x:c>
    </x:row>
    <x:row r="14" ht="25" customHeight="1">
      <x:c r="A14" s="432"/>
      <x:c r="B14" s="476" t="n">
        <x:v>46204</x:v>
      </x:c>
      <x:c r="C14" s="533"/>
      <x:c r="D14" s="534"/>
      <x:c r="E14" s="534"/>
      <x:c r="F14" s="535"/>
      <x:c r="G14" s="432"/>
      <x:c r="H14" s="461"/>
      <x:c r="I14" s="461"/>
      <x:c r="J14" s="461"/>
      <x:c r="K14" s="461"/>
      <x:c r="L14" s="461"/>
      <x:c r="M14" s="461"/>
      <x:c r="N14" s="461"/>
      <x:c r="O14" s="461"/>
      <x:c r="P14" s="461"/>
      <x:c r="Q14" s="432"/>
      <x:c r="R14" s="481" t="str">
        <x:f>IF('Deals'!A14="","",IF(COUNTIFS('Clients'!$A$6:$A$205,'Deals'!B14)&lt;&gt;1,"Unlinked",INDEX('Clients'!$G$6:$G$205,MATCH('Deals'!B14,'Clients'!$A$6:$A$205,0))))</x:f>
      </x:c>
      <x:c r="S14" s="482" t="str">
        <x:f>IF(AND('Deals'!A14&lt;&gt;"",'Deals'!E14="Completed",ISNUMBER('Deals'!Z14)),'Deals'!Z14,"")</x:f>
      </x:c>
    </x:row>
    <x:row r="15" ht="25" customHeight="1">
      <x:c r="A15" s="432"/>
      <x:c r="B15" s="476" t="n">
        <x:v>46235</x:v>
      </x:c>
      <x:c r="C15" s="533"/>
      <x:c r="D15" s="534"/>
      <x:c r="E15" s="534"/>
      <x:c r="F15" s="535"/>
      <x:c r="G15" s="432"/>
      <x:c r="H15" s="461"/>
      <x:c r="I15" s="461"/>
      <x:c r="J15" s="461"/>
      <x:c r="K15" s="461"/>
      <x:c r="L15" s="461"/>
      <x:c r="M15" s="461"/>
      <x:c r="N15" s="461"/>
      <x:c r="O15" s="461"/>
      <x:c r="P15" s="461"/>
      <x:c r="Q15" s="432"/>
      <x:c r="R15" s="481" t="str">
        <x:f>IF('Deals'!A15="","",IF(COUNTIFS('Clients'!$A$6:$A$205,'Deals'!B15)&lt;&gt;1,"Unlinked",INDEX('Clients'!$G$6:$G$205,MATCH('Deals'!B15,'Clients'!$A$6:$A$205,0))))</x:f>
      </x:c>
      <x:c r="S15" s="482" t="str">
        <x:f>IF(AND('Deals'!A15&lt;&gt;"",'Deals'!E15="Completed",ISNUMBER('Deals'!Z15)),'Deals'!Z15,"")</x:f>
      </x:c>
    </x:row>
    <x:row r="16" ht="25" customHeight="1">
      <x:c r="A16" s="432"/>
      <x:c r="B16" s="476" t="n">
        <x:v>46266</x:v>
      </x:c>
      <x:c r="C16" s="533"/>
      <x:c r="D16" s="534"/>
      <x:c r="E16" s="534"/>
      <x:c r="F16" s="535"/>
      <x:c r="G16" s="432"/>
      <x:c r="H16" s="432"/>
      <x:c r="I16" s="432"/>
      <x:c r="J16" s="432"/>
      <x:c r="K16" s="432"/>
      <x:c r="L16" s="432"/>
      <x:c r="M16" s="432"/>
      <x:c r="N16" s="432"/>
      <x:c r="O16" s="432"/>
      <x:c r="P16" s="432"/>
      <x:c r="Q16" s="432"/>
      <x:c r="R16" s="481" t="str">
        <x:f>IF('Deals'!A16="","",IF(COUNTIFS('Clients'!$A$6:$A$205,'Deals'!B16)&lt;&gt;1,"Unlinked",INDEX('Clients'!$G$6:$G$205,MATCH('Deals'!B16,'Clients'!$A$6:$A$205,0))))</x:f>
      </x:c>
      <x:c r="S16" s="482" t="str">
        <x:f>IF(AND('Deals'!A16&lt;&gt;"",'Deals'!E16="Completed",ISNUMBER('Deals'!Z16)),'Deals'!Z16,"")</x:f>
      </x:c>
    </x:row>
    <x:row r="17" ht="28" customHeight="1">
      <x:c r="A17" s="432"/>
      <x:c r="B17" s="476" t="n">
        <x:v>46296</x:v>
      </x:c>
      <x:c r="C17" s="533"/>
      <x:c r="D17" s="534"/>
      <x:c r="E17" s="534"/>
      <x:c r="F17" s="535"/>
      <x:c r="G17" s="432"/>
      <x:c r="H17" s="444" t="str">
        <x:v>Lead source performance</x:v>
      </x:c>
      <x:c r="I17" s="444"/>
      <x:c r="J17" s="444"/>
      <x:c r="K17" s="444"/>
      <x:c r="L17" s="444"/>
      <x:c r="M17" s="444"/>
      <x:c r="N17" s="444"/>
      <x:c r="O17" s="444"/>
      <x:c r="P17" s="444"/>
      <x:c r="Q17" s="432"/>
      <x:c r="R17" s="481" t="str">
        <x:f>IF('Deals'!A17="","",IF(COUNTIFS('Clients'!$A$6:$A$205,'Deals'!B17)&lt;&gt;1,"Unlinked",INDEX('Clients'!$G$6:$G$205,MATCH('Deals'!B17,'Clients'!$A$6:$A$205,0))))</x:f>
      </x:c>
      <x:c r="S17" s="482" t="str">
        <x:f>IF(AND('Deals'!A17&lt;&gt;"",'Deals'!E17="Completed",ISNUMBER('Deals'!Z17)),'Deals'!Z17,"")</x:f>
      </x:c>
    </x:row>
    <x:row r="18" ht="36" customHeight="1">
      <x:c r="A18" s="432"/>
      <x:c r="B18" s="476" t="n">
        <x:v>46327</x:v>
      </x:c>
      <x:c r="C18" s="533"/>
      <x:c r="D18" s="534"/>
      <x:c r="E18" s="534"/>
      <x:c r="F18" s="535"/>
      <x:c r="G18" s="432"/>
      <x:c r="H18" s="447" t="str">
        <x:v>Source</x:v>
      </x:c>
      <x:c r="I18" s="447"/>
      <x:c r="J18" s="447"/>
      <x:c r="K18" s="539" t="str">
        <x:v>New leads</x:v>
      </x:c>
      <x:c r="L18" s="539"/>
      <x:c r="M18" s="539" t="str">
        <x:v>Converted leads</x:v>
      </x:c>
      <x:c r="N18" s="539"/>
      <x:c r="O18" s="539" t="str">
        <x:v>Closed deals</x:v>
      </x:c>
      <x:c r="P18" s="539"/>
      <x:c r="Q18" s="432"/>
      <x:c r="R18" s="481" t="str">
        <x:f>IF('Deals'!A18="","",IF(COUNTIFS('Clients'!$A$6:$A$205,'Deals'!B18)&lt;&gt;1,"Unlinked",INDEX('Clients'!$G$6:$G$205,MATCH('Deals'!B18,'Clients'!$A$6:$A$205,0))))</x:f>
      </x:c>
      <x:c r="S18" s="482" t="str">
        <x:f>IF(AND('Deals'!A18&lt;&gt;"",'Deals'!E18="Completed",ISNUMBER('Deals'!Z18)),'Deals'!Z18,"")</x:f>
      </x:c>
    </x:row>
    <x:row r="19" ht="25" customHeight="1">
      <x:c r="A19" s="432"/>
      <x:c r="B19" s="476" t="n">
        <x:v>46357</x:v>
      </x:c>
      <x:c r="C19" s="533"/>
      <x:c r="D19" s="534"/>
      <x:c r="E19" s="534"/>
      <x:c r="F19" s="535"/>
      <x:c r="G19" s="432"/>
      <x:c r="H19" s="452" t="str">
        <x:v>Instagram</x:v>
      </x:c>
      <x:c r="I19" s="452"/>
      <x:c r="J19" s="452"/>
      <x:c r="K19" s="545" t="n">
        <x:f>COUNTIFS('Clients'!$A$6:$A$205,"&lt;&gt;",'Clients'!$G$6:$G$205,H19,'Clients'!$R$6:$R$205,"&gt;="&amp;DATE(YEAR('Dashboard'!$N$4),MONTH('Dashboard'!$N$4),1),'Clients'!$R$6:$R$205,"&lt;"&amp;DATE(YEAR('Dashboard'!$N$4),MONTH('Dashboard'!$N$4)+1,1))</x:f>
        <x:v>0</x:v>
      </x:c>
      <x:c r="L19" s="545"/>
      <x:c r="M19" s="545" t="n">
        <x:f>COUNTIFS('Clients'!$A$6:$A$205,"&lt;&gt;",'Clients'!$G$6:$G$205,H19,'Clients'!$R$6:$R$205,"&gt;="&amp;DATE(YEAR('Dashboard'!$N$4),MONTH('Dashboard'!$N$4),1),'Clients'!$R$6:$R$205,"&lt;"&amp;DATE(YEAR('Dashboard'!$N$4),MONTH('Dashboard'!$N$4)+1,1),'Clients'!$H$6:$H$205,"Converted")</x:f>
        <x:v>0</x:v>
      </x:c>
      <x:c r="N19" s="545"/>
      <x:c r="O19" s="545" t="n">
        <x:f>COUNTIFS($R$6:$R$205,H19,$S$6:$S$205,"&gt;="&amp;DATE(YEAR('Dashboard'!$N$4),MONTH('Dashboard'!$N$4),1),$S$6:$S$205,"&lt;"&amp;DATE(YEAR('Dashboard'!$N$4),MONTH('Dashboard'!$N$4)+1,1))</x:f>
        <x:v>0</x:v>
      </x:c>
      <x:c r="P19" s="545"/>
      <x:c r="Q19" s="432"/>
      <x:c r="R19" s="481" t="str">
        <x:f>IF('Deals'!A19="","",IF(COUNTIFS('Clients'!$A$6:$A$205,'Deals'!B19)&lt;&gt;1,"Unlinked",INDEX('Clients'!$G$6:$G$205,MATCH('Deals'!B19,'Clients'!$A$6:$A$205,0))))</x:f>
      </x:c>
      <x:c r="S19" s="482" t="str">
        <x:f>IF(AND('Deals'!A19&lt;&gt;"",'Deals'!E19="Completed",ISNUMBER('Deals'!Z19)),'Deals'!Z19,"")</x:f>
      </x:c>
    </x:row>
    <x:row r="20" ht="25" customHeight="1">
      <x:c r="A20" s="432"/>
      <x:c r="B20" s="476" t="n">
        <x:v>46388</x:v>
      </x:c>
      <x:c r="C20" s="533"/>
      <x:c r="D20" s="534"/>
      <x:c r="E20" s="534"/>
      <x:c r="F20" s="535"/>
      <x:c r="G20" s="432"/>
      <x:c r="H20" s="448" t="str">
        <x:v>TikTok</x:v>
      </x:c>
      <x:c r="I20" s="448"/>
      <x:c r="J20" s="448"/>
      <x:c r="K20" s="546" t="n">
        <x:f>COUNTIFS('Clients'!$A$6:$A$205,"&lt;&gt;",'Clients'!$G$6:$G$205,H20,'Clients'!$R$6:$R$205,"&gt;="&amp;DATE(YEAR('Dashboard'!$N$4),MONTH('Dashboard'!$N$4),1),'Clients'!$R$6:$R$205,"&lt;"&amp;DATE(YEAR('Dashboard'!$N$4),MONTH('Dashboard'!$N$4)+1,1))</x:f>
        <x:v>0</x:v>
      </x:c>
      <x:c r="L20" s="546"/>
      <x:c r="M20" s="546" t="n">
        <x:f>COUNTIFS('Clients'!$A$6:$A$205,"&lt;&gt;",'Clients'!$G$6:$G$205,H20,'Clients'!$R$6:$R$205,"&gt;="&amp;DATE(YEAR('Dashboard'!$N$4),MONTH('Dashboard'!$N$4),1),'Clients'!$R$6:$R$205,"&lt;"&amp;DATE(YEAR('Dashboard'!$N$4),MONTH('Dashboard'!$N$4)+1,1),'Clients'!$H$6:$H$205,"Converted")</x:f>
        <x:v>0</x:v>
      </x:c>
      <x:c r="N20" s="546"/>
      <x:c r="O20" s="546" t="n">
        <x:f>COUNTIFS($R$6:$R$205,H20,$S$6:$S$205,"&gt;="&amp;DATE(YEAR('Dashboard'!$N$4),MONTH('Dashboard'!$N$4),1),$S$6:$S$205,"&lt;"&amp;DATE(YEAR('Dashboard'!$N$4),MONTH('Dashboard'!$N$4)+1,1))</x:f>
        <x:v>0</x:v>
      </x:c>
      <x:c r="P20" s="546"/>
      <x:c r="Q20" s="432"/>
      <x:c r="R20" s="481" t="str">
        <x:f>IF('Deals'!A20="","",IF(COUNTIFS('Clients'!$A$6:$A$205,'Deals'!B20)&lt;&gt;1,"Unlinked",INDEX('Clients'!$G$6:$G$205,MATCH('Deals'!B20,'Clients'!$A$6:$A$205,0))))</x:f>
      </x:c>
      <x:c r="S20" s="482" t="str">
        <x:f>IF(AND('Deals'!A20&lt;&gt;"",'Deals'!E20="Completed",ISNUMBER('Deals'!Z20)),'Deals'!Z20,"")</x:f>
      </x:c>
    </x:row>
    <x:row r="21" ht="25" customHeight="1">
      <x:c r="A21" s="432"/>
      <x:c r="B21" s="476" t="n">
        <x:v>46419</x:v>
      </x:c>
      <x:c r="C21" s="533"/>
      <x:c r="D21" s="534"/>
      <x:c r="E21" s="534"/>
      <x:c r="F21" s="535"/>
      <x:c r="G21" s="432"/>
      <x:c r="H21" s="452" t="str">
        <x:v>Facebook</x:v>
      </x:c>
      <x:c r="I21" s="452"/>
      <x:c r="J21" s="452"/>
      <x:c r="K21" s="545" t="n">
        <x:f>COUNTIFS('Clients'!$A$6:$A$205,"&lt;&gt;",'Clients'!$G$6:$G$205,H21,'Clients'!$R$6:$R$205,"&gt;="&amp;DATE(YEAR('Dashboard'!$N$4),MONTH('Dashboard'!$N$4),1),'Clients'!$R$6:$R$205,"&lt;"&amp;DATE(YEAR('Dashboard'!$N$4),MONTH('Dashboard'!$N$4)+1,1))</x:f>
        <x:v>0</x:v>
      </x:c>
      <x:c r="L21" s="545"/>
      <x:c r="M21" s="545" t="n">
        <x:f>COUNTIFS('Clients'!$A$6:$A$205,"&lt;&gt;",'Clients'!$G$6:$G$205,H21,'Clients'!$R$6:$R$205,"&gt;="&amp;DATE(YEAR('Dashboard'!$N$4),MONTH('Dashboard'!$N$4),1),'Clients'!$R$6:$R$205,"&lt;"&amp;DATE(YEAR('Dashboard'!$N$4),MONTH('Dashboard'!$N$4)+1,1),'Clients'!$H$6:$H$205,"Converted")</x:f>
        <x:v>0</x:v>
      </x:c>
      <x:c r="N21" s="545"/>
      <x:c r="O21" s="545" t="n">
        <x:f>COUNTIFS($R$6:$R$205,H21,$S$6:$S$205,"&gt;="&amp;DATE(YEAR('Dashboard'!$N$4),MONTH('Dashboard'!$N$4),1),$S$6:$S$205,"&lt;"&amp;DATE(YEAR('Dashboard'!$N$4),MONTH('Dashboard'!$N$4)+1,1))</x:f>
        <x:v>0</x:v>
      </x:c>
      <x:c r="P21" s="545"/>
      <x:c r="Q21" s="432"/>
      <x:c r="R21" s="481" t="str">
        <x:f>IF('Deals'!A21="","",IF(COUNTIFS('Clients'!$A$6:$A$205,'Deals'!B21)&lt;&gt;1,"Unlinked",INDEX('Clients'!$G$6:$G$205,MATCH('Deals'!B21,'Clients'!$A$6:$A$205,0))))</x:f>
      </x:c>
      <x:c r="S21" s="482" t="str">
        <x:f>IF(AND('Deals'!A21&lt;&gt;"",'Deals'!E21="Completed",ISNUMBER('Deals'!Z21)),'Deals'!Z21,"")</x:f>
      </x:c>
    </x:row>
    <x:row r="22" ht="25" customHeight="1">
      <x:c r="A22" s="432"/>
      <x:c r="B22" s="476" t="n">
        <x:v>46447</x:v>
      </x:c>
      <x:c r="C22" s="533"/>
      <x:c r="D22" s="534"/>
      <x:c r="E22" s="534"/>
      <x:c r="F22" s="535"/>
      <x:c r="G22" s="432"/>
      <x:c r="H22" s="448" t="str">
        <x:v>YouTube</x:v>
      </x:c>
      <x:c r="I22" s="448"/>
      <x:c r="J22" s="448"/>
      <x:c r="K22" s="546" t="n">
        <x:f>COUNTIFS('Clients'!$A$6:$A$205,"&lt;&gt;",'Clients'!$G$6:$G$205,H22,'Clients'!$R$6:$R$205,"&gt;="&amp;DATE(YEAR('Dashboard'!$N$4),MONTH('Dashboard'!$N$4),1),'Clients'!$R$6:$R$205,"&lt;"&amp;DATE(YEAR('Dashboard'!$N$4),MONTH('Dashboard'!$N$4)+1,1))</x:f>
        <x:v>0</x:v>
      </x:c>
      <x:c r="L22" s="546"/>
      <x:c r="M22" s="546" t="n">
        <x:f>COUNTIFS('Clients'!$A$6:$A$205,"&lt;&gt;",'Clients'!$G$6:$G$205,H22,'Clients'!$R$6:$R$205,"&gt;="&amp;DATE(YEAR('Dashboard'!$N$4),MONTH('Dashboard'!$N$4),1),'Clients'!$R$6:$R$205,"&lt;"&amp;DATE(YEAR('Dashboard'!$N$4),MONTH('Dashboard'!$N$4)+1,1),'Clients'!$H$6:$H$205,"Converted")</x:f>
        <x:v>0</x:v>
      </x:c>
      <x:c r="N22" s="546"/>
      <x:c r="O22" s="546" t="n">
        <x:f>COUNTIFS($R$6:$R$205,H22,$S$6:$S$205,"&gt;="&amp;DATE(YEAR('Dashboard'!$N$4),MONTH('Dashboard'!$N$4),1),$S$6:$S$205,"&lt;"&amp;DATE(YEAR('Dashboard'!$N$4),MONTH('Dashboard'!$N$4)+1,1))</x:f>
        <x:v>0</x:v>
      </x:c>
      <x:c r="P22" s="546"/>
      <x:c r="Q22" s="432"/>
      <x:c r="R22" s="481" t="str">
        <x:f>IF('Deals'!A22="","",IF(COUNTIFS('Clients'!$A$6:$A$205,'Deals'!B22)&lt;&gt;1,"Unlinked",INDEX('Clients'!$G$6:$G$205,MATCH('Deals'!B22,'Clients'!$A$6:$A$205,0))))</x:f>
      </x:c>
      <x:c r="S22" s="482" t="str">
        <x:f>IF(AND('Deals'!A22&lt;&gt;"",'Deals'!E22="Completed",ISNUMBER('Deals'!Z22)),'Deals'!Z22,"")</x:f>
      </x:c>
    </x:row>
    <x:row r="23" ht="25" customHeight="1">
      <x:c r="A23" s="432"/>
      <x:c r="B23" s="476" t="n">
        <x:v>46478</x:v>
      </x:c>
      <x:c r="C23" s="533"/>
      <x:c r="D23" s="534"/>
      <x:c r="E23" s="534"/>
      <x:c r="F23" s="535"/>
      <x:c r="G23" s="432"/>
      <x:c r="H23" s="452" t="str">
        <x:v>LinkedIn</x:v>
      </x:c>
      <x:c r="I23" s="452"/>
      <x:c r="J23" s="452"/>
      <x:c r="K23" s="545" t="n">
        <x:f>COUNTIFS('Clients'!$A$6:$A$205,"&lt;&gt;",'Clients'!$G$6:$G$205,H23,'Clients'!$R$6:$R$205,"&gt;="&amp;DATE(YEAR('Dashboard'!$N$4),MONTH('Dashboard'!$N$4),1),'Clients'!$R$6:$R$205,"&lt;"&amp;DATE(YEAR('Dashboard'!$N$4),MONTH('Dashboard'!$N$4)+1,1))</x:f>
        <x:v>0</x:v>
      </x:c>
      <x:c r="L23" s="545"/>
      <x:c r="M23" s="545" t="n">
        <x:f>COUNTIFS('Clients'!$A$6:$A$205,"&lt;&gt;",'Clients'!$G$6:$G$205,H23,'Clients'!$R$6:$R$205,"&gt;="&amp;DATE(YEAR('Dashboard'!$N$4),MONTH('Dashboard'!$N$4),1),'Clients'!$R$6:$R$205,"&lt;"&amp;DATE(YEAR('Dashboard'!$N$4),MONTH('Dashboard'!$N$4)+1,1),'Clients'!$H$6:$H$205,"Converted")</x:f>
        <x:v>0</x:v>
      </x:c>
      <x:c r="N23" s="545"/>
      <x:c r="O23" s="545" t="n">
        <x:f>COUNTIFS($R$6:$R$205,H23,$S$6:$S$205,"&gt;="&amp;DATE(YEAR('Dashboard'!$N$4),MONTH('Dashboard'!$N$4),1),$S$6:$S$205,"&lt;"&amp;DATE(YEAR('Dashboard'!$N$4),MONTH('Dashboard'!$N$4)+1,1))</x:f>
        <x:v>0</x:v>
      </x:c>
      <x:c r="P23" s="545"/>
      <x:c r="Q23" s="432"/>
      <x:c r="R23" s="481" t="str">
        <x:f>IF('Deals'!A23="","",IF(COUNTIFS('Clients'!$A$6:$A$205,'Deals'!B23)&lt;&gt;1,"Unlinked",INDEX('Clients'!$G$6:$G$205,MATCH('Deals'!B23,'Clients'!$A$6:$A$205,0))))</x:f>
      </x:c>
      <x:c r="S23" s="482" t="str">
        <x:f>IF(AND('Deals'!A23&lt;&gt;"",'Deals'!E23="Completed",ISNUMBER('Deals'!Z23)),'Deals'!Z23,"")</x:f>
      </x:c>
    </x:row>
    <x:row r="24" ht="25" customHeight="1">
      <x:c r="A24" s="432"/>
      <x:c r="B24" s="476" t="n">
        <x:v>46508</x:v>
      </x:c>
      <x:c r="C24" s="533"/>
      <x:c r="D24" s="534"/>
      <x:c r="E24" s="534"/>
      <x:c r="F24" s="535"/>
      <x:c r="G24" s="432"/>
      <x:c r="H24" s="448" t="str">
        <x:v>Website</x:v>
      </x:c>
      <x:c r="I24" s="448"/>
      <x:c r="J24" s="448"/>
      <x:c r="K24" s="546" t="n">
        <x:f>COUNTIFS('Clients'!$A$6:$A$205,"&lt;&gt;",'Clients'!$G$6:$G$205,H24,'Clients'!$R$6:$R$205,"&gt;="&amp;DATE(YEAR('Dashboard'!$N$4),MONTH('Dashboard'!$N$4),1),'Clients'!$R$6:$R$205,"&lt;"&amp;DATE(YEAR('Dashboard'!$N$4),MONTH('Dashboard'!$N$4)+1,1))</x:f>
        <x:v>0</x:v>
      </x:c>
      <x:c r="L24" s="546"/>
      <x:c r="M24" s="546" t="n">
        <x:f>COUNTIFS('Clients'!$A$6:$A$205,"&lt;&gt;",'Clients'!$G$6:$G$205,H24,'Clients'!$R$6:$R$205,"&gt;="&amp;DATE(YEAR('Dashboard'!$N$4),MONTH('Dashboard'!$N$4),1),'Clients'!$R$6:$R$205,"&lt;"&amp;DATE(YEAR('Dashboard'!$N$4),MONTH('Dashboard'!$N$4)+1,1),'Clients'!$H$6:$H$205,"Converted")</x:f>
        <x:v>0</x:v>
      </x:c>
      <x:c r="N24" s="546"/>
      <x:c r="O24" s="546" t="n">
        <x:f>COUNTIFS($R$6:$R$205,H24,$S$6:$S$205,"&gt;="&amp;DATE(YEAR('Dashboard'!$N$4),MONTH('Dashboard'!$N$4),1),$S$6:$S$205,"&lt;"&amp;DATE(YEAR('Dashboard'!$N$4),MONTH('Dashboard'!$N$4)+1,1))</x:f>
        <x:v>0</x:v>
      </x:c>
      <x:c r="P24" s="546"/>
      <x:c r="Q24" s="432"/>
      <x:c r="R24" s="481" t="str">
        <x:f>IF('Deals'!A24="","",IF(COUNTIFS('Clients'!$A$6:$A$205,'Deals'!B24)&lt;&gt;1,"Unlinked",INDEX('Clients'!$G$6:$G$205,MATCH('Deals'!B24,'Clients'!$A$6:$A$205,0))))</x:f>
      </x:c>
      <x:c r="S24" s="482" t="str">
        <x:f>IF(AND('Deals'!A24&lt;&gt;"",'Deals'!E24="Completed",ISNUMBER('Deals'!Z24)),'Deals'!Z24,"")</x:f>
      </x:c>
    </x:row>
    <x:row r="25" ht="25" customHeight="1">
      <x:c r="A25" s="432"/>
      <x:c r="B25" s="476" t="n">
        <x:v>46539</x:v>
      </x:c>
      <x:c r="C25" s="533"/>
      <x:c r="D25" s="534"/>
      <x:c r="E25" s="534"/>
      <x:c r="F25" s="535"/>
      <x:c r="G25" s="432"/>
      <x:c r="H25" s="452" t="str">
        <x:v>Property portal</x:v>
      </x:c>
      <x:c r="I25" s="452"/>
      <x:c r="J25" s="452"/>
      <x:c r="K25" s="545" t="n">
        <x:f>COUNTIFS('Clients'!$A$6:$A$205,"&lt;&gt;",'Clients'!$G$6:$G$205,H25,'Clients'!$R$6:$R$205,"&gt;="&amp;DATE(YEAR('Dashboard'!$N$4),MONTH('Dashboard'!$N$4),1),'Clients'!$R$6:$R$205,"&lt;"&amp;DATE(YEAR('Dashboard'!$N$4),MONTH('Dashboard'!$N$4)+1,1))</x:f>
        <x:v>0</x:v>
      </x:c>
      <x:c r="L25" s="545"/>
      <x:c r="M25" s="545" t="n">
        <x:f>COUNTIFS('Clients'!$A$6:$A$205,"&lt;&gt;",'Clients'!$G$6:$G$205,H25,'Clients'!$R$6:$R$205,"&gt;="&amp;DATE(YEAR('Dashboard'!$N$4),MONTH('Dashboard'!$N$4),1),'Clients'!$R$6:$R$205,"&lt;"&amp;DATE(YEAR('Dashboard'!$N$4),MONTH('Dashboard'!$N$4)+1,1),'Clients'!$H$6:$H$205,"Converted")</x:f>
        <x:v>0</x:v>
      </x:c>
      <x:c r="N25" s="545"/>
      <x:c r="O25" s="545" t="n">
        <x:f>COUNTIFS($R$6:$R$205,H25,$S$6:$S$205,"&gt;="&amp;DATE(YEAR('Dashboard'!$N$4),MONTH('Dashboard'!$N$4),1),$S$6:$S$205,"&lt;"&amp;DATE(YEAR('Dashboard'!$N$4),MONTH('Dashboard'!$N$4)+1,1))</x:f>
        <x:v>0</x:v>
      </x:c>
      <x:c r="P25" s="545"/>
      <x:c r="Q25" s="432"/>
      <x:c r="R25" s="481" t="str">
        <x:f>IF('Deals'!A25="","",IF(COUNTIFS('Clients'!$A$6:$A$205,'Deals'!B25)&lt;&gt;1,"Unlinked",INDEX('Clients'!$G$6:$G$205,MATCH('Deals'!B25,'Clients'!$A$6:$A$205,0))))</x:f>
      </x:c>
      <x:c r="S25" s="482" t="str">
        <x:f>IF(AND('Deals'!A25&lt;&gt;"",'Deals'!E25="Completed",ISNUMBER('Deals'!Z25)),'Deals'!Z25,"")</x:f>
      </x:c>
    </x:row>
    <x:row r="26" ht="25" customHeight="1">
      <x:c r="A26" s="432"/>
      <x:c r="B26" s="476" t="n">
        <x:v>46569</x:v>
      </x:c>
      <x:c r="C26" s="533"/>
      <x:c r="D26" s="534"/>
      <x:c r="E26" s="534"/>
      <x:c r="F26" s="535"/>
      <x:c r="G26" s="432"/>
      <x:c r="H26" s="448" t="str">
        <x:v>Referral</x:v>
      </x:c>
      <x:c r="I26" s="448"/>
      <x:c r="J26" s="448"/>
      <x:c r="K26" s="546" t="n">
        <x:f>COUNTIFS('Clients'!$A$6:$A$205,"&lt;&gt;",'Clients'!$G$6:$G$205,H26,'Clients'!$R$6:$R$205,"&gt;="&amp;DATE(YEAR('Dashboard'!$N$4),MONTH('Dashboard'!$N$4),1),'Clients'!$R$6:$R$205,"&lt;"&amp;DATE(YEAR('Dashboard'!$N$4),MONTH('Dashboard'!$N$4)+1,1))</x:f>
        <x:v>0</x:v>
      </x:c>
      <x:c r="L26" s="546"/>
      <x:c r="M26" s="546" t="n">
        <x:f>COUNTIFS('Clients'!$A$6:$A$205,"&lt;&gt;",'Clients'!$G$6:$G$205,H26,'Clients'!$R$6:$R$205,"&gt;="&amp;DATE(YEAR('Dashboard'!$N$4),MONTH('Dashboard'!$N$4),1),'Clients'!$R$6:$R$205,"&lt;"&amp;DATE(YEAR('Dashboard'!$N$4),MONTH('Dashboard'!$N$4)+1,1),'Clients'!$H$6:$H$205,"Converted")</x:f>
        <x:v>0</x:v>
      </x:c>
      <x:c r="N26" s="546"/>
      <x:c r="O26" s="546" t="n">
        <x:f>COUNTIFS($R$6:$R$205,H26,$S$6:$S$205,"&gt;="&amp;DATE(YEAR('Dashboard'!$N$4),MONTH('Dashboard'!$N$4),1),$S$6:$S$205,"&lt;"&amp;DATE(YEAR('Dashboard'!$N$4),MONTH('Dashboard'!$N$4)+1,1))</x:f>
        <x:v>0</x:v>
      </x:c>
      <x:c r="P26" s="546"/>
      <x:c r="Q26" s="432"/>
      <x:c r="R26" s="481" t="str">
        <x:f>IF('Deals'!A26="","",IF(COUNTIFS('Clients'!$A$6:$A$205,'Deals'!B26)&lt;&gt;1,"Unlinked",INDEX('Clients'!$G$6:$G$205,MATCH('Deals'!B26,'Clients'!$A$6:$A$205,0))))</x:f>
      </x:c>
      <x:c r="S26" s="482" t="str">
        <x:f>IF(AND('Deals'!A26&lt;&gt;"",'Deals'!E26="Completed",ISNUMBER('Deals'!Z26)),'Deals'!Z26,"")</x:f>
      </x:c>
    </x:row>
    <x:row r="27" ht="25" customHeight="1">
      <x:c r="A27" s="432"/>
      <x:c r="B27" s="476" t="n">
        <x:v>46600</x:v>
      </x:c>
      <x:c r="C27" s="533"/>
      <x:c r="D27" s="534"/>
      <x:c r="E27" s="534"/>
      <x:c r="F27" s="535"/>
      <x:c r="G27" s="432"/>
      <x:c r="H27" s="452" t="str">
        <x:v>WhatsApp</x:v>
      </x:c>
      <x:c r="I27" s="452"/>
      <x:c r="J27" s="452"/>
      <x:c r="K27" s="545" t="n">
        <x:f>COUNTIFS('Clients'!$A$6:$A$205,"&lt;&gt;",'Clients'!$G$6:$G$205,H27,'Clients'!$R$6:$R$205,"&gt;="&amp;DATE(YEAR('Dashboard'!$N$4),MONTH('Dashboard'!$N$4),1),'Clients'!$R$6:$R$205,"&lt;"&amp;DATE(YEAR('Dashboard'!$N$4),MONTH('Dashboard'!$N$4)+1,1))</x:f>
        <x:v>0</x:v>
      </x:c>
      <x:c r="L27" s="545"/>
      <x:c r="M27" s="545" t="n">
        <x:f>COUNTIFS('Clients'!$A$6:$A$205,"&lt;&gt;",'Clients'!$G$6:$G$205,H27,'Clients'!$R$6:$R$205,"&gt;="&amp;DATE(YEAR('Dashboard'!$N$4),MONTH('Dashboard'!$N$4),1),'Clients'!$R$6:$R$205,"&lt;"&amp;DATE(YEAR('Dashboard'!$N$4),MONTH('Dashboard'!$N$4)+1,1),'Clients'!$H$6:$H$205,"Converted")</x:f>
        <x:v>0</x:v>
      </x:c>
      <x:c r="N27" s="545"/>
      <x:c r="O27" s="545" t="n">
        <x:f>COUNTIFS($R$6:$R$205,H27,$S$6:$S$205,"&gt;="&amp;DATE(YEAR('Dashboard'!$N$4),MONTH('Dashboard'!$N$4),1),$S$6:$S$205,"&lt;"&amp;DATE(YEAR('Dashboard'!$N$4),MONTH('Dashboard'!$N$4)+1,1))</x:f>
        <x:v>0</x:v>
      </x:c>
      <x:c r="P27" s="545"/>
      <x:c r="Q27" s="432"/>
      <x:c r="R27" s="481" t="str">
        <x:f>IF('Deals'!A27="","",IF(COUNTIFS('Clients'!$A$6:$A$205,'Deals'!B27)&lt;&gt;1,"Unlinked",INDEX('Clients'!$G$6:$G$205,MATCH('Deals'!B27,'Clients'!$A$6:$A$205,0))))</x:f>
      </x:c>
      <x:c r="S27" s="482" t="str">
        <x:f>IF(AND('Deals'!A27&lt;&gt;"",'Deals'!E27="Completed",ISNUMBER('Deals'!Z27)),'Deals'!Z27,"")</x:f>
      </x:c>
    </x:row>
    <x:row r="28" ht="25" customHeight="1">
      <x:c r="A28" s="432"/>
      <x:c r="B28" s="476" t="n">
        <x:v>46631</x:v>
      </x:c>
      <x:c r="C28" s="533"/>
      <x:c r="D28" s="534"/>
      <x:c r="E28" s="534"/>
      <x:c r="F28" s="535"/>
      <x:c r="G28" s="432"/>
      <x:c r="H28" s="448" t="str">
        <x:v>Walk-in</x:v>
      </x:c>
      <x:c r="I28" s="448"/>
      <x:c r="J28" s="448"/>
      <x:c r="K28" s="546" t="n">
        <x:f>COUNTIFS('Clients'!$A$6:$A$205,"&lt;&gt;",'Clients'!$G$6:$G$205,H28,'Clients'!$R$6:$R$205,"&gt;="&amp;DATE(YEAR('Dashboard'!$N$4),MONTH('Dashboard'!$N$4),1),'Clients'!$R$6:$R$205,"&lt;"&amp;DATE(YEAR('Dashboard'!$N$4),MONTH('Dashboard'!$N$4)+1,1))</x:f>
        <x:v>0</x:v>
      </x:c>
      <x:c r="L28" s="546"/>
      <x:c r="M28" s="546" t="n">
        <x:f>COUNTIFS('Clients'!$A$6:$A$205,"&lt;&gt;",'Clients'!$G$6:$G$205,H28,'Clients'!$R$6:$R$205,"&gt;="&amp;DATE(YEAR('Dashboard'!$N$4),MONTH('Dashboard'!$N$4),1),'Clients'!$R$6:$R$205,"&lt;"&amp;DATE(YEAR('Dashboard'!$N$4),MONTH('Dashboard'!$N$4)+1,1),'Clients'!$H$6:$H$205,"Converted")</x:f>
        <x:v>0</x:v>
      </x:c>
      <x:c r="N28" s="546"/>
      <x:c r="O28" s="546" t="n">
        <x:f>COUNTIFS($R$6:$R$205,H28,$S$6:$S$205,"&gt;="&amp;DATE(YEAR('Dashboard'!$N$4),MONTH('Dashboard'!$N$4),1),$S$6:$S$205,"&lt;"&amp;DATE(YEAR('Dashboard'!$N$4),MONTH('Dashboard'!$N$4)+1,1))</x:f>
        <x:v>0</x:v>
      </x:c>
      <x:c r="P28" s="546"/>
      <x:c r="Q28" s="432"/>
      <x:c r="R28" s="481" t="str">
        <x:f>IF('Deals'!A28="","",IF(COUNTIFS('Clients'!$A$6:$A$205,'Deals'!B28)&lt;&gt;1,"Unlinked",INDEX('Clients'!$G$6:$G$205,MATCH('Deals'!B28,'Clients'!$A$6:$A$205,0))))</x:f>
      </x:c>
      <x:c r="S28" s="482" t="str">
        <x:f>IF(AND('Deals'!A28&lt;&gt;"",'Deals'!E28="Completed",ISNUMBER('Deals'!Z28)),'Deals'!Z28,"")</x:f>
      </x:c>
    </x:row>
    <x:row r="29" ht="25" customHeight="1">
      <x:c r="A29" s="432"/>
      <x:c r="B29" s="476" t="n">
        <x:v>46661</x:v>
      </x:c>
      <x:c r="C29" s="533"/>
      <x:c r="D29" s="534"/>
      <x:c r="E29" s="534"/>
      <x:c r="F29" s="535"/>
      <x:c r="G29" s="432"/>
      <x:c r="H29" s="452" t="str">
        <x:v>Other</x:v>
      </x:c>
      <x:c r="I29" s="452"/>
      <x:c r="J29" s="452"/>
      <x:c r="K29" s="545" t="n">
        <x:f>COUNTIFS('Clients'!$A$6:$A$205,"&lt;&gt;",'Clients'!$G$6:$G$205,H29,'Clients'!$R$6:$R$205,"&gt;="&amp;DATE(YEAR('Dashboard'!$N$4),MONTH('Dashboard'!$N$4),1),'Clients'!$R$6:$R$205,"&lt;"&amp;DATE(YEAR('Dashboard'!$N$4),MONTH('Dashboard'!$N$4)+1,1))</x:f>
        <x:v>0</x:v>
      </x:c>
      <x:c r="L29" s="545"/>
      <x:c r="M29" s="545" t="n">
        <x:f>COUNTIFS('Clients'!$A$6:$A$205,"&lt;&gt;",'Clients'!$G$6:$G$205,H29,'Clients'!$R$6:$R$205,"&gt;="&amp;DATE(YEAR('Dashboard'!$N$4),MONTH('Dashboard'!$N$4),1),'Clients'!$R$6:$R$205,"&lt;"&amp;DATE(YEAR('Dashboard'!$N$4),MONTH('Dashboard'!$N$4)+1,1),'Clients'!$H$6:$H$205,"Converted")</x:f>
        <x:v>0</x:v>
      </x:c>
      <x:c r="N29" s="545"/>
      <x:c r="O29" s="545" t="n">
        <x:f>COUNTIFS($R$6:$R$205,H29,$S$6:$S$205,"&gt;="&amp;DATE(YEAR('Dashboard'!$N$4),MONTH('Dashboard'!$N$4),1),$S$6:$S$205,"&lt;"&amp;DATE(YEAR('Dashboard'!$N$4),MONTH('Dashboard'!$N$4)+1,1))</x:f>
        <x:v>0</x:v>
      </x:c>
      <x:c r="P29" s="545"/>
      <x:c r="Q29" s="432"/>
      <x:c r="R29" s="481" t="str">
        <x:f>IF('Deals'!A29="","",IF(COUNTIFS('Clients'!$A$6:$A$205,'Deals'!B29)&lt;&gt;1,"Unlinked",INDEX('Clients'!$G$6:$G$205,MATCH('Deals'!B29,'Clients'!$A$6:$A$205,0))))</x:f>
      </x:c>
      <x:c r="S29" s="482" t="str">
        <x:f>IF(AND('Deals'!A29&lt;&gt;"",'Deals'!E29="Completed",ISNUMBER('Deals'!Z29)),'Deals'!Z29,"")</x:f>
      </x:c>
    </x:row>
    <x:row r="30" ht="25" customHeight="1">
      <x:c r="A30" s="432"/>
      <x:c r="B30" s="476" t="n">
        <x:v>46692</x:v>
      </x:c>
      <x:c r="C30" s="533"/>
      <x:c r="D30" s="534"/>
      <x:c r="E30" s="534"/>
      <x:c r="F30" s="535"/>
      <x:c r="G30" s="432"/>
      <x:c r="H30" s="432"/>
      <x:c r="I30" s="432"/>
      <x:c r="J30" s="432"/>
      <x:c r="K30" s="432"/>
      <x:c r="L30" s="432"/>
      <x:c r="M30" s="432"/>
      <x:c r="N30" s="432"/>
      <x:c r="O30" s="432"/>
      <x:c r="P30" s="432"/>
      <x:c r="Q30" s="432"/>
      <x:c r="R30" s="481" t="str">
        <x:f>IF('Deals'!A30="","",IF(COUNTIFS('Clients'!$A$6:$A$205,'Deals'!B30)&lt;&gt;1,"Unlinked",INDEX('Clients'!$G$6:$G$205,MATCH('Deals'!B30,'Clients'!$A$6:$A$205,0))))</x:f>
      </x:c>
      <x:c r="S30" s="482" t="str">
        <x:f>IF(AND('Deals'!A30&lt;&gt;"",'Deals'!E30="Completed",ISNUMBER('Deals'!Z30)),'Deals'!Z30,"")</x:f>
      </x:c>
    </x:row>
    <x:row r="31" ht="25" customHeight="1">
      <x:c r="A31" s="432"/>
      <x:c r="B31" s="476" t="n">
        <x:v>46722</x:v>
      </x:c>
      <x:c r="C31" s="533"/>
      <x:c r="D31" s="534"/>
      <x:c r="E31" s="534"/>
      <x:c r="F31" s="535"/>
      <x:c r="G31" s="432"/>
      <x:c r="H31" s="461" t="str">
        <x:v>New leads = added this month. Converted leads = those same leads now marked Converted. Closed deals = completed this month, grouped by the linked client’s source. Missing or unlinked sources are not assigned to a channel.</x:v>
      </x:c>
      <x:c r="I31" s="461"/>
      <x:c r="J31" s="461"/>
      <x:c r="K31" s="461"/>
      <x:c r="L31" s="461"/>
      <x:c r="M31" s="461"/>
      <x:c r="N31" s="461"/>
      <x:c r="O31" s="461"/>
      <x:c r="P31" s="461"/>
      <x:c r="Q31" s="432"/>
      <x:c r="R31" s="481" t="str">
        <x:f>IF('Deals'!A31="","",IF(COUNTIFS('Clients'!$A$6:$A$205,'Deals'!B31)&lt;&gt;1,"Unlinked",INDEX('Clients'!$G$6:$G$205,MATCH('Deals'!B31,'Clients'!$A$6:$A$205,0))))</x:f>
      </x:c>
      <x:c r="S31" s="482" t="str">
        <x:f>IF(AND('Deals'!A31&lt;&gt;"",'Deals'!E31="Completed",ISNUMBER('Deals'!Z31)),'Deals'!Z31,"")</x:f>
      </x:c>
    </x:row>
    <x:row r="32" ht="25" customHeight="1">
      <x:c r="A32" s="432"/>
      <x:c r="B32" s="476" t="n">
        <x:v>46753</x:v>
      </x:c>
      <x:c r="C32" s="533"/>
      <x:c r="D32" s="534"/>
      <x:c r="E32" s="534"/>
      <x:c r="F32" s="535"/>
      <x:c r="G32" s="432"/>
      <x:c r="H32" s="461"/>
      <x:c r="I32" s="461"/>
      <x:c r="J32" s="461"/>
      <x:c r="K32" s="461"/>
      <x:c r="L32" s="461"/>
      <x:c r="M32" s="461"/>
      <x:c r="N32" s="461"/>
      <x:c r="O32" s="461"/>
      <x:c r="P32" s="461"/>
      <x:c r="Q32" s="432"/>
      <x:c r="R32" s="481" t="str">
        <x:f>IF('Deals'!A32="","",IF(COUNTIFS('Clients'!$A$6:$A$205,'Deals'!B32)&lt;&gt;1,"Unlinked",INDEX('Clients'!$G$6:$G$205,MATCH('Deals'!B32,'Clients'!$A$6:$A$205,0))))</x:f>
      </x:c>
      <x:c r="S32" s="482" t="str">
        <x:f>IF(AND('Deals'!A32&lt;&gt;"",'Deals'!E32="Completed",ISNUMBER('Deals'!Z32)),'Deals'!Z32,"")</x:f>
      </x:c>
    </x:row>
    <x:row r="33" ht="25" customHeight="1">
      <x:c r="A33" s="432"/>
      <x:c r="B33" s="476" t="n">
        <x:v>46784</x:v>
      </x:c>
      <x:c r="C33" s="533"/>
      <x:c r="D33" s="534"/>
      <x:c r="E33" s="534"/>
      <x:c r="F33" s="535"/>
      <x:c r="G33" s="432"/>
      <x:c r="H33" s="461"/>
      <x:c r="I33" s="461"/>
      <x:c r="J33" s="461"/>
      <x:c r="K33" s="461"/>
      <x:c r="L33" s="461"/>
      <x:c r="M33" s="461"/>
      <x:c r="N33" s="461"/>
      <x:c r="O33" s="461"/>
      <x:c r="P33" s="461"/>
      <x:c r="Q33" s="432"/>
      <x:c r="R33" s="481" t="str">
        <x:f>IF('Deals'!A33="","",IF(COUNTIFS('Clients'!$A$6:$A$205,'Deals'!B33)&lt;&gt;1,"Unlinked",INDEX('Clients'!$G$6:$G$205,MATCH('Deals'!B33,'Clients'!$A$6:$A$205,0))))</x:f>
      </x:c>
      <x:c r="S33" s="482" t="str">
        <x:f>IF(AND('Deals'!A33&lt;&gt;"",'Deals'!E33="Completed",ISNUMBER('Deals'!Z33)),'Deals'!Z33,"")</x:f>
      </x:c>
    </x:row>
    <x:row r="34" ht="25" customHeight="1">
      <x:c r="A34" s="432"/>
      <x:c r="B34" s="476" t="n">
        <x:v>46813</x:v>
      </x:c>
      <x:c r="C34" s="533"/>
      <x:c r="D34" s="534"/>
      <x:c r="E34" s="534"/>
      <x:c r="F34" s="535"/>
      <x:c r="G34" s="432"/>
      <x:c r="H34" s="432"/>
      <x:c r="I34" s="432"/>
      <x:c r="J34" s="432"/>
      <x:c r="K34" s="432"/>
      <x:c r="L34" s="432"/>
      <x:c r="M34" s="432"/>
      <x:c r="N34" s="432"/>
      <x:c r="O34" s="432"/>
      <x:c r="P34" s="432"/>
      <x:c r="Q34" s="432"/>
      <x:c r="R34" s="481" t="str">
        <x:f>IF('Deals'!A34="","",IF(COUNTIFS('Clients'!$A$6:$A$205,'Deals'!B34)&lt;&gt;1,"Unlinked",INDEX('Clients'!$G$6:$G$205,MATCH('Deals'!B34,'Clients'!$A$6:$A$205,0))))</x:f>
      </x:c>
      <x:c r="S34" s="482" t="str">
        <x:f>IF(AND('Deals'!A34&lt;&gt;"",'Deals'!E34="Completed",ISNUMBER('Deals'!Z34)),'Deals'!Z34,"")</x:f>
      </x:c>
    </x:row>
    <x:row r="35" ht="28" customHeight="1">
      <x:c r="A35" s="432"/>
      <x:c r="B35" s="476" t="n">
        <x:v>46844</x:v>
      </x:c>
      <x:c r="C35" s="533"/>
      <x:c r="D35" s="534"/>
      <x:c r="E35" s="534"/>
      <x:c r="F35" s="535"/>
      <x:c r="G35" s="432"/>
      <x:c r="H35" s="444" t="str">
        <x:v>Tracker capacity</x:v>
      </x:c>
      <x:c r="I35" s="444"/>
      <x:c r="J35" s="444"/>
      <x:c r="K35" s="444"/>
      <x:c r="L35" s="444"/>
      <x:c r="M35" s="444"/>
      <x:c r="N35" s="444"/>
      <x:c r="O35" s="444"/>
      <x:c r="P35" s="444"/>
      <x:c r="Q35" s="432"/>
      <x:c r="R35" s="481" t="str">
        <x:f>IF('Deals'!A35="","",IF(COUNTIFS('Clients'!$A$6:$A$205,'Deals'!B35)&lt;&gt;1,"Unlinked",INDEX('Clients'!$G$6:$G$205,MATCH('Deals'!B35,'Clients'!$A$6:$A$205,0))))</x:f>
      </x:c>
      <x:c r="S35" s="482" t="str">
        <x:f>IF(AND('Deals'!A35&lt;&gt;"",'Deals'!E35="Completed",ISNUMBER('Deals'!Z35)),'Deals'!Z35,"")</x:f>
      </x:c>
    </x:row>
    <x:row r="36" ht="36" customHeight="1">
      <x:c r="A36" s="432"/>
      <x:c r="B36" s="476" t="n">
        <x:v>46874</x:v>
      </x:c>
      <x:c r="C36" s="533"/>
      <x:c r="D36" s="534"/>
      <x:c r="E36" s="534"/>
      <x:c r="F36" s="535"/>
      <x:c r="G36" s="432"/>
      <x:c r="H36" s="447" t="str">
        <x:v>Tracker</x:v>
      </x:c>
      <x:c r="I36" s="447"/>
      <x:c r="J36" s="447"/>
      <x:c r="K36" s="539" t="str">
        <x:v>Used / 200</x:v>
      </x:c>
      <x:c r="L36" s="539"/>
      <x:c r="M36" s="539" t="str">
        <x:v>Outside range</x:v>
      </x:c>
      <x:c r="N36" s="539"/>
      <x:c r="O36" s="539" t="str">
        <x:v>Status</x:v>
      </x:c>
      <x:c r="P36" s="539"/>
      <x:c r="Q36" s="432"/>
      <x:c r="R36" s="481" t="str">
        <x:f>IF('Deals'!A36="","",IF(COUNTIFS('Clients'!$A$6:$A$205,'Deals'!B36)&lt;&gt;1,"Unlinked",INDEX('Clients'!$G$6:$G$205,MATCH('Deals'!B36,'Clients'!$A$6:$A$205,0))))</x:f>
      </x:c>
      <x:c r="S36" s="482" t="str">
        <x:f>IF(AND('Deals'!A36&lt;&gt;"",'Deals'!E36="Completed",ISNUMBER('Deals'!Z36)),'Deals'!Z36,"")</x:f>
      </x:c>
    </x:row>
    <x:row r="37" ht="25" customHeight="1">
      <x:c r="A37" s="432"/>
      <x:c r="B37" s="476" t="n">
        <x:v>46905</x:v>
      </x:c>
      <x:c r="C37" s="533"/>
      <x:c r="D37" s="534"/>
      <x:c r="E37" s="534"/>
      <x:c r="F37" s="535"/>
      <x:c r="G37" s="432"/>
      <x:c r="H37" s="452" t="str">
        <x:v>Clients</x:v>
      </x:c>
      <x:c r="I37" s="452"/>
      <x:c r="J37" s="452"/>
      <x:c r="K37" s="545" t="n">
        <x:f>COUNTIFS('Clients'!A6:A205,"&lt;&gt;")</x:f>
        <x:v>0</x:v>
      </x:c>
      <x:c r="L37" s="545"/>
      <x:c r="M37" s="545" t="n">
        <x:f>COUNTIFS('Clients'!A206:A1005,"&lt;&gt;")</x:f>
        <x:v>0</x:v>
      </x:c>
      <x:c r="N37" s="545"/>
      <x:c r="O37" s="545" t="str">
        <x:f>IF(M37&gt;0,"Outside range",IF(K37&gt;=200,"Full",IF(K37&gt;=180,"Nearly full","OK")))</x:f>
        <x:v>OK</x:v>
      </x:c>
      <x:c r="P37" s="545"/>
      <x:c r="Q37" s="432"/>
      <x:c r="R37" s="481" t="str">
        <x:f>IF('Deals'!A37="","",IF(COUNTIFS('Clients'!$A$6:$A$205,'Deals'!B37)&lt;&gt;1,"Unlinked",INDEX('Clients'!$G$6:$G$205,MATCH('Deals'!B37,'Clients'!$A$6:$A$205,0))))</x:f>
      </x:c>
      <x:c r="S37" s="482" t="str">
        <x:f>IF(AND('Deals'!A37&lt;&gt;"",'Deals'!E37="Completed",ISNUMBER('Deals'!Z37)),'Deals'!Z37,"")</x:f>
      </x:c>
    </x:row>
    <x:row r="38" ht="25" customHeight="1">
      <x:c r="A38" s="432"/>
      <x:c r="B38" s="476" t="n">
        <x:v>46935</x:v>
      </x:c>
      <x:c r="C38" s="533"/>
      <x:c r="D38" s="534"/>
      <x:c r="E38" s="534"/>
      <x:c r="F38" s="535"/>
      <x:c r="G38" s="432"/>
      <x:c r="H38" s="448" t="str">
        <x:v>Contacts</x:v>
      </x:c>
      <x:c r="I38" s="448"/>
      <x:c r="J38" s="448"/>
      <x:c r="K38" s="546" t="n">
        <x:f>COUNTIFS('Contacts'!A6:A205,"&lt;&gt;")</x:f>
        <x:v>0</x:v>
      </x:c>
      <x:c r="L38" s="546"/>
      <x:c r="M38" s="546" t="n">
        <x:f>COUNTIFS('Contacts'!A206:A1005,"&lt;&gt;")</x:f>
        <x:v>0</x:v>
      </x:c>
      <x:c r="N38" s="546"/>
      <x:c r="O38" s="546" t="str">
        <x:f>IF(M38&gt;0,"Outside range",IF(K38&gt;=200,"Full",IF(K38&gt;=180,"Nearly full","OK")))</x:f>
        <x:v>OK</x:v>
      </x:c>
      <x:c r="P38" s="546"/>
      <x:c r="Q38" s="432"/>
      <x:c r="R38" s="481" t="str">
        <x:f>IF('Deals'!A38="","",IF(COUNTIFS('Clients'!$A$6:$A$205,'Deals'!B38)&lt;&gt;1,"Unlinked",INDEX('Clients'!$G$6:$G$205,MATCH('Deals'!B38,'Clients'!$A$6:$A$205,0))))</x:f>
      </x:c>
      <x:c r="S38" s="482" t="str">
        <x:f>IF(AND('Deals'!A38&lt;&gt;"",'Deals'!E38="Completed",ISNUMBER('Deals'!Z38)),'Deals'!Z38,"")</x:f>
      </x:c>
    </x:row>
    <x:row r="39" ht="25" customHeight="1">
      <x:c r="A39" s="432"/>
      <x:c r="B39" s="476" t="n">
        <x:v>46966</x:v>
      </x:c>
      <x:c r="C39" s="533"/>
      <x:c r="D39" s="534"/>
      <x:c r="E39" s="534"/>
      <x:c r="F39" s="535"/>
      <x:c r="G39" s="432"/>
      <x:c r="H39" s="452" t="str">
        <x:v>Properties</x:v>
      </x:c>
      <x:c r="I39" s="452"/>
      <x:c r="J39" s="452"/>
      <x:c r="K39" s="545" t="n">
        <x:f>COUNTIFS('Properties'!A6:A205,"&lt;&gt;")</x:f>
        <x:v>0</x:v>
      </x:c>
      <x:c r="L39" s="545"/>
      <x:c r="M39" s="545" t="n">
        <x:f>COUNTIFS('Properties'!A206:A1005,"&lt;&gt;")</x:f>
        <x:v>0</x:v>
      </x:c>
      <x:c r="N39" s="545"/>
      <x:c r="O39" s="545" t="str">
        <x:f>IF(M39&gt;0,"Outside range",IF(K39&gt;=200,"Full",IF(K39&gt;=180,"Nearly full","OK")))</x:f>
        <x:v>OK</x:v>
      </x:c>
      <x:c r="P39" s="545"/>
      <x:c r="Q39" s="432"/>
      <x:c r="R39" s="481" t="str">
        <x:f>IF('Deals'!A39="","",IF(COUNTIFS('Clients'!$A$6:$A$205,'Deals'!B39)&lt;&gt;1,"Unlinked",INDEX('Clients'!$G$6:$G$205,MATCH('Deals'!B39,'Clients'!$A$6:$A$205,0))))</x:f>
      </x:c>
      <x:c r="S39" s="482" t="str">
        <x:f>IF(AND('Deals'!A39&lt;&gt;"",'Deals'!E39="Completed",ISNUMBER('Deals'!Z39)),'Deals'!Z39,"")</x:f>
      </x:c>
    </x:row>
    <x:row r="40" ht="25" customHeight="1">
      <x:c r="A40" s="432"/>
      <x:c r="B40" s="476" t="n">
        <x:v>46997</x:v>
      </x:c>
      <x:c r="C40" s="533"/>
      <x:c r="D40" s="534"/>
      <x:c r="E40" s="534"/>
      <x:c r="F40" s="535"/>
      <x:c r="G40" s="432"/>
      <x:c r="H40" s="448" t="str">
        <x:v>Deals</x:v>
      </x:c>
      <x:c r="I40" s="448"/>
      <x:c r="J40" s="448"/>
      <x:c r="K40" s="546" t="n">
        <x:f>COUNTIFS('Deals'!A6:A205,"&lt;&gt;")</x:f>
        <x:v>0</x:v>
      </x:c>
      <x:c r="L40" s="546"/>
      <x:c r="M40" s="546" t="n">
        <x:f>COUNTIFS('Deals'!A206:A1005,"&lt;&gt;")</x:f>
        <x:v>0</x:v>
      </x:c>
      <x:c r="N40" s="546"/>
      <x:c r="O40" s="546" t="str">
        <x:f>IF(M40&gt;0,"Outside range",IF(K40&gt;=200,"Full",IF(K40&gt;=180,"Nearly full","OK")))</x:f>
        <x:v>OK</x:v>
      </x:c>
      <x:c r="P40" s="546"/>
      <x:c r="Q40" s="432"/>
      <x:c r="R40" s="481" t="str">
        <x:f>IF('Deals'!A40="","",IF(COUNTIFS('Clients'!$A$6:$A$205,'Deals'!B40)&lt;&gt;1,"Unlinked",INDEX('Clients'!$G$6:$G$205,MATCH('Deals'!B40,'Clients'!$A$6:$A$205,0))))</x:f>
      </x:c>
      <x:c r="S40" s="482" t="str">
        <x:f>IF(AND('Deals'!A40&lt;&gt;"",'Deals'!E40="Completed",ISNUMBER('Deals'!Z40)),'Deals'!Z40,"")</x:f>
      </x:c>
    </x:row>
    <x:row r="41" ht="25" customHeight="1">
      <x:c r="A41" s="432"/>
      <x:c r="B41" s="476" t="n">
        <x:v>47027</x:v>
      </x:c>
      <x:c r="C41" s="533"/>
      <x:c r="D41" s="534"/>
      <x:c r="E41" s="534"/>
      <x:c r="F41" s="535"/>
      <x:c r="G41" s="432"/>
      <x:c r="H41" s="452" t="str">
        <x:v>Follow-ups</x:v>
      </x:c>
      <x:c r="I41" s="452"/>
      <x:c r="J41" s="452"/>
      <x:c r="K41" s="545" t="n">
        <x:f>COUNTIFS('Follow-ups'!A6:A205,"&lt;&gt;")</x:f>
        <x:v>0</x:v>
      </x:c>
      <x:c r="L41" s="545"/>
      <x:c r="M41" s="545" t="n">
        <x:f>COUNTIFS('Follow-ups'!A206:A1005,"&lt;&gt;")</x:f>
        <x:v>0</x:v>
      </x:c>
      <x:c r="N41" s="545"/>
      <x:c r="O41" s="545" t="str">
        <x:f>IF(M41&gt;0,"Outside range",IF(K41&gt;=200,"Full",IF(K41&gt;=180,"Nearly full","OK")))</x:f>
        <x:v>OK</x:v>
      </x:c>
      <x:c r="P41" s="545"/>
      <x:c r="Q41" s="432"/>
      <x:c r="R41" s="481" t="str">
        <x:f>IF('Deals'!A41="","",IF(COUNTIFS('Clients'!$A$6:$A$205,'Deals'!B41)&lt;&gt;1,"Unlinked",INDEX('Clients'!$G$6:$G$205,MATCH('Deals'!B41,'Clients'!$A$6:$A$205,0))))</x:f>
      </x:c>
      <x:c r="S41" s="482" t="str">
        <x:f>IF(AND('Deals'!A41&lt;&gt;"",'Deals'!E41="Completed",ISNUMBER('Deals'!Z41)),'Deals'!Z41,"")</x:f>
      </x:c>
    </x:row>
    <x:row r="42" ht="25" customHeight="1">
      <x:c r="A42" s="432"/>
      <x:c r="B42" s="476" t="n">
        <x:v>47058</x:v>
      </x:c>
      <x:c r="C42" s="533"/>
      <x:c r="D42" s="534"/>
      <x:c r="E42" s="534"/>
      <x:c r="F42" s="535"/>
      <x:c r="G42" s="432"/>
      <x:c r="H42" s="448" t="str">
        <x:v>Viewings</x:v>
      </x:c>
      <x:c r="I42" s="448"/>
      <x:c r="J42" s="448"/>
      <x:c r="K42" s="546" t="n">
        <x:f>COUNTIFS('Viewings'!A6:A205,"&lt;&gt;")</x:f>
        <x:v>0</x:v>
      </x:c>
      <x:c r="L42" s="546"/>
      <x:c r="M42" s="546" t="n">
        <x:f>COUNTIFS('Viewings'!A206:A1005,"&lt;&gt;")</x:f>
        <x:v>0</x:v>
      </x:c>
      <x:c r="N42" s="546"/>
      <x:c r="O42" s="546" t="str">
        <x:f>IF(M42&gt;0,"Outside range",IF(K42&gt;=200,"Full",IF(K42&gt;=180,"Nearly full","OK")))</x:f>
        <x:v>OK</x:v>
      </x:c>
      <x:c r="P42" s="546"/>
      <x:c r="Q42" s="432"/>
      <x:c r="R42" s="481" t="str">
        <x:f>IF('Deals'!A42="","",IF(COUNTIFS('Clients'!$A$6:$A$205,'Deals'!B42)&lt;&gt;1,"Unlinked",INDEX('Clients'!$G$6:$G$205,MATCH('Deals'!B42,'Clients'!$A$6:$A$205,0))))</x:f>
      </x:c>
      <x:c r="S42" s="482" t="str">
        <x:f>IF(AND('Deals'!A42&lt;&gt;"",'Deals'!E42="Completed",ISNUMBER('Deals'!Z42)),'Deals'!Z42,"")</x:f>
      </x:c>
    </x:row>
    <x:row r="43" ht="25" customHeight="1">
      <x:c r="A43" s="432"/>
      <x:c r="B43" s="476" t="n">
        <x:v>47088</x:v>
      </x:c>
      <x:c r="C43" s="536"/>
      <x:c r="D43" s="537"/>
      <x:c r="E43" s="537"/>
      <x:c r="F43" s="538"/>
      <x:c r="G43" s="432"/>
      <x:c r="H43" s="452" t="str">
        <x:v>Payments</x:v>
      </x:c>
      <x:c r="I43" s="452"/>
      <x:c r="J43" s="452"/>
      <x:c r="K43" s="545" t="n">
        <x:f>COUNTIFS('Payments'!A6:A205,"&lt;&gt;")</x:f>
        <x:v>0</x:v>
      </x:c>
      <x:c r="L43" s="545"/>
      <x:c r="M43" s="545" t="n">
        <x:f>COUNTIFS('Payments'!A206:A1005,"&lt;&gt;")</x:f>
        <x:v>0</x:v>
      </x:c>
      <x:c r="N43" s="545"/>
      <x:c r="O43" s="545" t="str">
        <x:f>IF(M43&gt;0,"Outside range",IF(K43&gt;=200,"Full",IF(K43&gt;=180,"Nearly full","OK")))</x:f>
        <x:v>OK</x:v>
      </x:c>
      <x:c r="P43" s="545"/>
      <x:c r="Q43" s="432"/>
      <x:c r="R43" s="481" t="str">
        <x:f>IF('Deals'!A43="","",IF(COUNTIFS('Clients'!$A$6:$A$205,'Deals'!B43)&lt;&gt;1,"Unlinked",INDEX('Clients'!$G$6:$G$205,MATCH('Deals'!B43,'Clients'!$A$6:$A$205,0))))</x:f>
      </x:c>
      <x:c r="S43" s="482" t="str">
        <x:f>IF(AND('Deals'!A43&lt;&gt;"",'Deals'!E43="Completed",ISNUMBER('Deals'!Z43)),'Deals'!Z43,"")</x:f>
      </x:c>
    </x:row>
    <x:row r="44" ht="25" customHeight="1">
      <x:c r="A44" s="432"/>
      <x:c r="B44" s="432"/>
      <x:c r="C44" s="432"/>
      <x:c r="D44" s="432"/>
      <x:c r="E44" s="432"/>
      <x:c r="F44" s="432"/>
      <x:c r="G44" s="432"/>
      <x:c r="H44" s="448" t="str">
        <x:v>Expenses</x:v>
      </x:c>
      <x:c r="I44" s="448"/>
      <x:c r="J44" s="448"/>
      <x:c r="K44" s="546" t="n">
        <x:f>COUNTIFS('Expenses'!A6:A205,"&lt;&gt;")</x:f>
        <x:v>0</x:v>
      </x:c>
      <x:c r="L44" s="546"/>
      <x:c r="M44" s="546" t="n">
        <x:f>COUNTIFS('Expenses'!A206:A1005,"&lt;&gt;")</x:f>
        <x:v>0</x:v>
      </x:c>
      <x:c r="N44" s="546"/>
      <x:c r="O44" s="546" t="str">
        <x:f>IF(M44&gt;0,"Outside range",IF(K44&gt;=200,"Full",IF(K44&gt;=180,"Nearly full","OK")))</x:f>
        <x:v>OK</x:v>
      </x:c>
      <x:c r="P44" s="546"/>
      <x:c r="Q44" s="432"/>
      <x:c r="R44" s="481" t="str">
        <x:f>IF('Deals'!A44="","",IF(COUNTIFS('Clients'!$A$6:$A$205,'Deals'!B44)&lt;&gt;1,"Unlinked",INDEX('Clients'!$G$6:$G$205,MATCH('Deals'!B44,'Clients'!$A$6:$A$205,0))))</x:f>
      </x:c>
      <x:c r="S44" s="482" t="str">
        <x:f>IF(AND('Deals'!A44&lt;&gt;"",'Deals'!E44="Completed",ISNUMBER('Deals'!Z44)),'Deals'!Z44,"")</x:f>
      </x:c>
    </x:row>
    <x:row r="45" ht="25" customHeight="1">
      <x:c r="A45" s="432"/>
      <x:c r="B45" s="432"/>
      <x:c r="C45" s="432"/>
      <x:c r="D45" s="432"/>
      <x:c r="E45" s="432"/>
      <x:c r="F45" s="432"/>
      <x:c r="G45" s="432"/>
      <x:c r="H45" s="452" t="str">
        <x:v>Shortlist</x:v>
      </x:c>
      <x:c r="I45" s="452"/>
      <x:c r="J45" s="452"/>
      <x:c r="K45" s="545" t="n">
        <x:f>COUNTIFS('Shortlist'!A6:A205,"&lt;&gt;")</x:f>
        <x:v>0</x:v>
      </x:c>
      <x:c r="L45" s="545"/>
      <x:c r="M45" s="545" t="n">
        <x:f>COUNTIFS('Shortlist'!A206:A1005,"&lt;&gt;")</x:f>
        <x:v>0</x:v>
      </x:c>
      <x:c r="N45" s="545"/>
      <x:c r="O45" s="545" t="str">
        <x:f>IF(M45&gt;0,"Outside range",IF(K45&gt;=200,"Full",IF(K45&gt;=180,"Nearly full","OK")))</x:f>
        <x:v>OK</x:v>
      </x:c>
      <x:c r="P45" s="545"/>
      <x:c r="Q45" s="432"/>
      <x:c r="R45" s="481" t="str">
        <x:f>IF('Deals'!A45="","",IF(COUNTIFS('Clients'!$A$6:$A$205,'Deals'!B45)&lt;&gt;1,"Unlinked",INDEX('Clients'!$G$6:$G$205,MATCH('Deals'!B45,'Clients'!$A$6:$A$205,0))))</x:f>
      </x:c>
      <x:c r="S45" s="482" t="str">
        <x:f>IF(AND('Deals'!A45&lt;&gt;"",'Deals'!E45="Completed",ISNUMBER('Deals'!Z45)),'Deals'!Z45,"")</x:f>
      </x:c>
    </x:row>
    <x:row r="46" ht="25" customHeight="1">
      <x:c r="A46" s="432"/>
      <x:c r="B46" s="432"/>
      <x:c r="C46" s="432"/>
      <x:c r="D46" s="432"/>
      <x:c r="E46" s="432"/>
      <x:c r="F46" s="432"/>
      <x:c r="G46" s="432"/>
      <x:c r="H46" s="432"/>
      <x:c r="I46" s="432"/>
      <x:c r="J46" s="432"/>
      <x:c r="K46" s="432"/>
      <x:c r="L46" s="432"/>
      <x:c r="M46" s="432"/>
      <x:c r="N46" s="432"/>
      <x:c r="O46" s="432"/>
      <x:c r="P46" s="432"/>
      <x:c r="Q46" s="432"/>
      <x:c r="R46" s="481" t="str">
        <x:f>IF('Deals'!A46="","",IF(COUNTIFS('Clients'!$A$6:$A$205,'Deals'!B46)&lt;&gt;1,"Unlinked",INDEX('Clients'!$G$6:$G$205,MATCH('Deals'!B46,'Clients'!$A$6:$A$205,0))))</x:f>
      </x:c>
      <x:c r="S46" s="482" t="str">
        <x:f>IF(AND('Deals'!A46&lt;&gt;"",'Deals'!E46="Completed",ISNUMBER('Deals'!Z46)),'Deals'!Z46,"")</x:f>
      </x:c>
    </x:row>
    <x:row r="47" ht="25" customHeight="1">
      <x:c r="A47" s="432"/>
      <x:c r="B47" s="461" t="str">
        <x:v>Each tracker supports 200 records, in rows 6–205. Alerts start at 180. The outside-range check inspects IDs in rows 206–1005; extend formulas, validation and search ranges before expanding capacity.</x:v>
      </x:c>
      <x:c r="C47" s="461"/>
      <x:c r="D47" s="461"/>
      <x:c r="E47" s="461"/>
      <x:c r="F47" s="461"/>
      <x:c r="G47" s="461"/>
      <x:c r="H47" s="461"/>
      <x:c r="I47" s="461"/>
      <x:c r="J47" s="461"/>
      <x:c r="K47" s="461"/>
      <x:c r="L47" s="461"/>
      <x:c r="M47" s="461"/>
      <x:c r="N47" s="461"/>
      <x:c r="O47" s="461"/>
      <x:c r="P47" s="461"/>
      <x:c r="Q47" s="432"/>
      <x:c r="R47" s="481" t="str">
        <x:f>IF('Deals'!A47="","",IF(COUNTIFS('Clients'!$A$6:$A$205,'Deals'!B47)&lt;&gt;1,"Unlinked",INDEX('Clients'!$G$6:$G$205,MATCH('Deals'!B47,'Clients'!$A$6:$A$205,0))))</x:f>
      </x:c>
      <x:c r="S47" s="482" t="str">
        <x:f>IF(AND('Deals'!A47&lt;&gt;"",'Deals'!E47="Completed",ISNUMBER('Deals'!Z47)),'Deals'!Z47,"")</x:f>
      </x:c>
    </x:row>
    <x:row r="48" ht="25" customHeight="1">
      <x:c r="A48" s="432"/>
      <x:c r="B48" s="461"/>
      <x:c r="C48" s="461"/>
      <x:c r="D48" s="461"/>
      <x:c r="E48" s="461"/>
      <x:c r="F48" s="461"/>
      <x:c r="G48" s="461"/>
      <x:c r="H48" s="461"/>
      <x:c r="I48" s="461"/>
      <x:c r="J48" s="461"/>
      <x:c r="K48" s="461"/>
      <x:c r="L48" s="461"/>
      <x:c r="M48" s="461"/>
      <x:c r="N48" s="461"/>
      <x:c r="O48" s="461"/>
      <x:c r="P48" s="461"/>
      <x:c r="Q48" s="432"/>
      <x:c r="R48" s="481" t="str">
        <x:f>IF('Deals'!A48="","",IF(COUNTIFS('Clients'!$A$6:$A$205,'Deals'!B48)&lt;&gt;1,"Unlinked",INDEX('Clients'!$G$6:$G$205,MATCH('Deals'!B48,'Clients'!$A$6:$A$205,0))))</x:f>
      </x:c>
      <x:c r="S48" s="482" t="str">
        <x:f>IF(AND('Deals'!A48&lt;&gt;"",'Deals'!E48="Completed",ISNUMBER('Deals'!Z48)),'Deals'!Z48,"")</x:f>
      </x:c>
    </x:row>
    <x:row r="49" ht="25" customHeight="1">
      <x:c r="A49" s="432"/>
      <x:c r="B49" s="432"/>
      <x:c r="C49" s="432"/>
      <x:c r="D49" s="432"/>
      <x:c r="E49" s="432"/>
      <x:c r="F49" s="432"/>
      <x:c r="G49" s="432"/>
      <x:c r="H49" s="432"/>
      <x:c r="I49" s="432"/>
      <x:c r="J49" s="432"/>
      <x:c r="K49" s="432"/>
      <x:c r="L49" s="432"/>
      <x:c r="M49" s="432"/>
      <x:c r="N49" s="432"/>
      <x:c r="O49" s="432"/>
      <x:c r="P49" s="432"/>
      <x:c r="Q49" s="432"/>
      <x:c r="R49" s="481" t="str">
        <x:f>IF('Deals'!A49="","",IF(COUNTIFS('Clients'!$A$6:$A$205,'Deals'!B49)&lt;&gt;1,"Unlinked",INDEX('Clients'!$G$6:$G$205,MATCH('Deals'!B49,'Clients'!$A$6:$A$205,0))))</x:f>
      </x:c>
      <x:c r="S49" s="482" t="str">
        <x:f>IF(AND('Deals'!A49&lt;&gt;"",'Deals'!E49="Completed",ISNUMBER('Deals'!Z49)),'Deals'!Z49,"")</x:f>
      </x:c>
    </x:row>
    <x:row r="50" ht="25" customHeight="1">
      <x:c r="A50" s="432"/>
      <x:c r="B50" s="432"/>
      <x:c r="C50" s="432"/>
      <x:c r="D50" s="432"/>
      <x:c r="E50" s="432"/>
      <x:c r="F50" s="432"/>
      <x:c r="G50" s="432"/>
      <x:c r="H50" s="432"/>
      <x:c r="I50" s="432"/>
      <x:c r="J50" s="432"/>
      <x:c r="K50" s="432"/>
      <x:c r="L50" s="432"/>
      <x:c r="M50" s="432"/>
      <x:c r="N50" s="432"/>
      <x:c r="O50" s="432"/>
      <x:c r="P50" s="432"/>
      <x:c r="Q50" s="432"/>
      <x:c r="R50" s="481" t="str">
        <x:f>IF('Deals'!A50="","",IF(COUNTIFS('Clients'!$A$6:$A$205,'Deals'!B50)&lt;&gt;1,"Unlinked",INDEX('Clients'!$G$6:$G$205,MATCH('Deals'!B50,'Clients'!$A$6:$A$205,0))))</x:f>
      </x:c>
      <x:c r="S50" s="482" t="str">
        <x:f>IF(AND('Deals'!A50&lt;&gt;"",'Deals'!E50="Completed",ISNUMBER('Deals'!Z50)),'Deals'!Z50,"")</x:f>
      </x:c>
    </x:row>
    <x:row r="51" ht="25" customHeight="1">
      <x:c r="A51" s="432"/>
      <x:c r="B51" s="432"/>
      <x:c r="C51" s="432"/>
      <x:c r="D51" s="432"/>
      <x:c r="E51" s="432"/>
      <x:c r="F51" s="432"/>
      <x:c r="G51" s="432"/>
      <x:c r="H51" s="432"/>
      <x:c r="I51" s="432"/>
      <x:c r="J51" s="432"/>
      <x:c r="K51" s="432"/>
      <x:c r="L51" s="432"/>
      <x:c r="M51" s="432"/>
      <x:c r="N51" s="432"/>
      <x:c r="O51" s="432"/>
      <x:c r="P51" s="432"/>
      <x:c r="Q51" s="432"/>
      <x:c r="R51" s="481" t="str">
        <x:f>IF('Deals'!A51="","",IF(COUNTIFS('Clients'!$A$6:$A$205,'Deals'!B51)&lt;&gt;1,"Unlinked",INDEX('Clients'!$G$6:$G$205,MATCH('Deals'!B51,'Clients'!$A$6:$A$205,0))))</x:f>
      </x:c>
      <x:c r="S51" s="482" t="str">
        <x:f>IF(AND('Deals'!A51&lt;&gt;"",'Deals'!E51="Completed",ISNUMBER('Deals'!Z51)),'Deals'!Z51,"")</x:f>
      </x:c>
    </x:row>
    <x:row r="52" ht="25" customHeight="1">
      <x:c r="A52" s="432"/>
      <x:c r="B52" s="432"/>
      <x:c r="C52" s="432"/>
      <x:c r="D52" s="432"/>
      <x:c r="E52" s="432"/>
      <x:c r="F52" s="432"/>
      <x:c r="G52" s="432"/>
      <x:c r="H52" s="432"/>
      <x:c r="I52" s="432"/>
      <x:c r="J52" s="432"/>
      <x:c r="K52" s="432"/>
      <x:c r="L52" s="432"/>
      <x:c r="M52" s="432"/>
      <x:c r="N52" s="432"/>
      <x:c r="O52" s="432"/>
      <x:c r="P52" s="432"/>
      <x:c r="Q52" s="432"/>
      <x:c r="R52" s="481" t="str">
        <x:f>IF('Deals'!A52="","",IF(COUNTIFS('Clients'!$A$6:$A$205,'Deals'!B52)&lt;&gt;1,"Unlinked",INDEX('Clients'!$G$6:$G$205,MATCH('Deals'!B52,'Clients'!$A$6:$A$205,0))))</x:f>
      </x:c>
      <x:c r="S52" s="482" t="str">
        <x:f>IF(AND('Deals'!A52&lt;&gt;"",'Deals'!E52="Completed",ISNUMBER('Deals'!Z52)),'Deals'!Z52,"")</x:f>
      </x:c>
    </x:row>
    <x:row r="53" ht="25" customHeight="1">
      <x:c r="A53" s="432"/>
      <x:c r="B53" s="432"/>
      <x:c r="C53" s="432"/>
      <x:c r="D53" s="432"/>
      <x:c r="E53" s="432"/>
      <x:c r="F53" s="432"/>
      <x:c r="G53" s="432"/>
      <x:c r="H53" s="432"/>
      <x:c r="I53" s="432"/>
      <x:c r="J53" s="432"/>
      <x:c r="K53" s="432"/>
      <x:c r="L53" s="432"/>
      <x:c r="M53" s="432"/>
      <x:c r="N53" s="432"/>
      <x:c r="O53" s="432"/>
      <x:c r="P53" s="432"/>
      <x:c r="Q53" s="432"/>
      <x:c r="R53" s="481" t="str">
        <x:f>IF('Deals'!A53="","",IF(COUNTIFS('Clients'!$A$6:$A$205,'Deals'!B53)&lt;&gt;1,"Unlinked",INDEX('Clients'!$G$6:$G$205,MATCH('Deals'!B53,'Clients'!$A$6:$A$205,0))))</x:f>
      </x:c>
      <x:c r="S53" s="482" t="str">
        <x:f>IF(AND('Deals'!A53&lt;&gt;"",'Deals'!E53="Completed",ISNUMBER('Deals'!Z53)),'Deals'!Z53,"")</x:f>
      </x:c>
    </x:row>
    <x:row r="54" ht="25" customHeight="1">
      <x:c r="A54" s="432"/>
      <x:c r="B54" s="432"/>
      <x:c r="C54" s="432"/>
      <x:c r="D54" s="432"/>
      <x:c r="E54" s="432"/>
      <x:c r="F54" s="432"/>
      <x:c r="G54" s="432"/>
      <x:c r="H54" s="432"/>
      <x:c r="I54" s="432"/>
      <x:c r="J54" s="432"/>
      <x:c r="K54" s="432"/>
      <x:c r="L54" s="432"/>
      <x:c r="M54" s="432"/>
      <x:c r="N54" s="432"/>
      <x:c r="O54" s="432"/>
      <x:c r="P54" s="432"/>
      <x:c r="Q54" s="432"/>
      <x:c r="R54" s="481" t="str">
        <x:f>IF('Deals'!A54="","",IF(COUNTIFS('Clients'!$A$6:$A$205,'Deals'!B54)&lt;&gt;1,"Unlinked",INDEX('Clients'!$G$6:$G$205,MATCH('Deals'!B54,'Clients'!$A$6:$A$205,0))))</x:f>
      </x:c>
      <x:c r="S54" s="482" t="str">
        <x:f>IF(AND('Deals'!A54&lt;&gt;"",'Deals'!E54="Completed",ISNUMBER('Deals'!Z54)),'Deals'!Z54,"")</x:f>
      </x:c>
    </x:row>
    <x:row r="55" ht="25" customHeight="1">
      <x:c r="A55" s="432"/>
      <x:c r="B55" s="432"/>
      <x:c r="C55" s="432"/>
      <x:c r="D55" s="432"/>
      <x:c r="E55" s="432"/>
      <x:c r="F55" s="432"/>
      <x:c r="G55" s="432"/>
      <x:c r="H55" s="432"/>
      <x:c r="I55" s="432"/>
      <x:c r="J55" s="432"/>
      <x:c r="K55" s="432"/>
      <x:c r="L55" s="432"/>
      <x:c r="M55" s="432"/>
      <x:c r="N55" s="432"/>
      <x:c r="O55" s="432"/>
      <x:c r="P55" s="432"/>
      <x:c r="Q55" s="432"/>
      <x:c r="R55" s="481" t="str">
        <x:f>IF('Deals'!A55="","",IF(COUNTIFS('Clients'!$A$6:$A$205,'Deals'!B55)&lt;&gt;1,"Unlinked",INDEX('Clients'!$G$6:$G$205,MATCH('Deals'!B55,'Clients'!$A$6:$A$205,0))))</x:f>
      </x:c>
      <x:c r="S55" s="482" t="str">
        <x:f>IF(AND('Deals'!A55&lt;&gt;"",'Deals'!E55="Completed",ISNUMBER('Deals'!Z55)),'Deals'!Z55,"")</x:f>
      </x:c>
    </x:row>
    <x:row r="56" ht="25" customHeight="1">
      <x:c r="A56" s="432"/>
      <x:c r="B56" s="432"/>
      <x:c r="C56" s="432"/>
      <x:c r="D56" s="432"/>
      <x:c r="E56" s="432"/>
      <x:c r="F56" s="432"/>
      <x:c r="G56" s="432"/>
      <x:c r="H56" s="432"/>
      <x:c r="I56" s="432"/>
      <x:c r="J56" s="432"/>
      <x:c r="K56" s="432"/>
      <x:c r="L56" s="432"/>
      <x:c r="M56" s="432"/>
      <x:c r="N56" s="432"/>
      <x:c r="O56" s="432"/>
      <x:c r="P56" s="432"/>
      <x:c r="Q56" s="432"/>
      <x:c r="R56" s="481" t="str">
        <x:f>IF('Deals'!A56="","",IF(COUNTIFS('Clients'!$A$6:$A$205,'Deals'!B56)&lt;&gt;1,"Unlinked",INDEX('Clients'!$G$6:$G$205,MATCH('Deals'!B56,'Clients'!$A$6:$A$205,0))))</x:f>
      </x:c>
      <x:c r="S56" s="482" t="str">
        <x:f>IF(AND('Deals'!A56&lt;&gt;"",'Deals'!E56="Completed",ISNUMBER('Deals'!Z56)),'Deals'!Z56,"")</x:f>
      </x:c>
    </x:row>
    <x:row r="57" ht="25" customHeight="1">
      <x:c r="A57" s="432"/>
      <x:c r="B57" s="432"/>
      <x:c r="C57" s="432"/>
      <x:c r="D57" s="432"/>
      <x:c r="E57" s="432"/>
      <x:c r="F57" s="432"/>
      <x:c r="G57" s="432"/>
      <x:c r="H57" s="432"/>
      <x:c r="I57" s="432"/>
      <x:c r="J57" s="432"/>
      <x:c r="K57" s="432"/>
      <x:c r="L57" s="432"/>
      <x:c r="M57" s="432"/>
      <x:c r="N57" s="432"/>
      <x:c r="O57" s="432"/>
      <x:c r="P57" s="432"/>
      <x:c r="Q57" s="432"/>
      <x:c r="R57" s="481" t="str">
        <x:f>IF('Deals'!A57="","",IF(COUNTIFS('Clients'!$A$6:$A$205,'Deals'!B57)&lt;&gt;1,"Unlinked",INDEX('Clients'!$G$6:$G$205,MATCH('Deals'!B57,'Clients'!$A$6:$A$205,0))))</x:f>
      </x:c>
      <x:c r="S57" s="482" t="str">
        <x:f>IF(AND('Deals'!A57&lt;&gt;"",'Deals'!E57="Completed",ISNUMBER('Deals'!Z57)),'Deals'!Z57,"")</x:f>
      </x:c>
    </x:row>
    <x:row r="58" ht="25" customHeight="1">
      <x:c r="A58" s="432"/>
      <x:c r="B58" s="432"/>
      <x:c r="C58" s="432"/>
      <x:c r="D58" s="432"/>
      <x:c r="E58" s="432"/>
      <x:c r="F58" s="432"/>
      <x:c r="G58" s="432"/>
      <x:c r="H58" s="432"/>
      <x:c r="I58" s="432"/>
      <x:c r="J58" s="432"/>
      <x:c r="K58" s="432"/>
      <x:c r="L58" s="432"/>
      <x:c r="M58" s="432"/>
      <x:c r="N58" s="432"/>
      <x:c r="O58" s="432"/>
      <x:c r="P58" s="432"/>
      <x:c r="Q58" s="432"/>
      <x:c r="R58" s="481" t="str">
        <x:f>IF('Deals'!A58="","",IF(COUNTIFS('Clients'!$A$6:$A$205,'Deals'!B58)&lt;&gt;1,"Unlinked",INDEX('Clients'!$G$6:$G$205,MATCH('Deals'!B58,'Clients'!$A$6:$A$205,0))))</x:f>
      </x:c>
      <x:c r="S58" s="482" t="str">
        <x:f>IF(AND('Deals'!A58&lt;&gt;"",'Deals'!E58="Completed",ISNUMBER('Deals'!Z58)),'Deals'!Z58,"")</x:f>
      </x:c>
    </x:row>
    <x:row r="59" ht="25" customHeight="1">
      <x:c r="A59" s="432"/>
      <x:c r="B59" s="432"/>
      <x:c r="C59" s="432"/>
      <x:c r="D59" s="432"/>
      <x:c r="E59" s="432"/>
      <x:c r="F59" s="432"/>
      <x:c r="G59" s="432"/>
      <x:c r="H59" s="432"/>
      <x:c r="I59" s="432"/>
      <x:c r="J59" s="432"/>
      <x:c r="K59" s="432"/>
      <x:c r="L59" s="432"/>
      <x:c r="M59" s="432"/>
      <x:c r="N59" s="432"/>
      <x:c r="O59" s="432"/>
      <x:c r="P59" s="432"/>
      <x:c r="Q59" s="432"/>
      <x:c r="R59" s="481" t="str">
        <x:f>IF('Deals'!A59="","",IF(COUNTIFS('Clients'!$A$6:$A$205,'Deals'!B59)&lt;&gt;1,"Unlinked",INDEX('Clients'!$G$6:$G$205,MATCH('Deals'!B59,'Clients'!$A$6:$A$205,0))))</x:f>
      </x:c>
      <x:c r="S59" s="482" t="str">
        <x:f>IF(AND('Deals'!A59&lt;&gt;"",'Deals'!E59="Completed",ISNUMBER('Deals'!Z59)),'Deals'!Z59,"")</x:f>
      </x:c>
    </x:row>
    <x:row r="60" ht="25" customHeight="1">
      <x:c r="A60" s="432"/>
      <x:c r="B60" s="432"/>
      <x:c r="C60" s="432"/>
      <x:c r="D60" s="432"/>
      <x:c r="E60" s="432"/>
      <x:c r="F60" s="432"/>
      <x:c r="G60" s="432"/>
      <x:c r="H60" s="432"/>
      <x:c r="I60" s="432"/>
      <x:c r="J60" s="432"/>
      <x:c r="K60" s="432"/>
      <x:c r="L60" s="432"/>
      <x:c r="M60" s="432"/>
      <x:c r="N60" s="432"/>
      <x:c r="O60" s="432"/>
      <x:c r="P60" s="432"/>
      <x:c r="Q60" s="432"/>
      <x:c r="R60" s="481" t="str">
        <x:f>IF('Deals'!A60="","",IF(COUNTIFS('Clients'!$A$6:$A$205,'Deals'!B60)&lt;&gt;1,"Unlinked",INDEX('Clients'!$G$6:$G$205,MATCH('Deals'!B60,'Clients'!$A$6:$A$205,0))))</x:f>
      </x:c>
      <x:c r="S60" s="482" t="str">
        <x:f>IF(AND('Deals'!A60&lt;&gt;"",'Deals'!E60="Completed",ISNUMBER('Deals'!Z60)),'Deals'!Z60,"")</x:f>
      </x:c>
    </x:row>
    <x:row r="61" ht="25" customHeight="1">
      <x:c r="A61" s="432"/>
      <x:c r="B61" s="432"/>
      <x:c r="C61" s="432"/>
      <x:c r="D61" s="432"/>
      <x:c r="E61" s="432"/>
      <x:c r="F61" s="432"/>
      <x:c r="G61" s="432"/>
      <x:c r="H61" s="432"/>
      <x:c r="I61" s="432"/>
      <x:c r="J61" s="432"/>
      <x:c r="K61" s="432"/>
      <x:c r="L61" s="432"/>
      <x:c r="M61" s="432"/>
      <x:c r="N61" s="432"/>
      <x:c r="O61" s="432"/>
      <x:c r="P61" s="432"/>
      <x:c r="Q61" s="432"/>
      <x:c r="R61" s="481" t="str">
        <x:f>IF('Deals'!A61="","",IF(COUNTIFS('Clients'!$A$6:$A$205,'Deals'!B61)&lt;&gt;1,"Unlinked",INDEX('Clients'!$G$6:$G$205,MATCH('Deals'!B61,'Clients'!$A$6:$A$205,0))))</x:f>
      </x:c>
      <x:c r="S61" s="482" t="str">
        <x:f>IF(AND('Deals'!A61&lt;&gt;"",'Deals'!E61="Completed",ISNUMBER('Deals'!Z61)),'Deals'!Z61,"")</x:f>
      </x:c>
    </x:row>
    <x:row r="62" ht="25" customHeight="1">
      <x:c r="A62" s="432"/>
      <x:c r="B62" s="432"/>
      <x:c r="C62" s="432"/>
      <x:c r="D62" s="432"/>
      <x:c r="E62" s="432"/>
      <x:c r="F62" s="432"/>
      <x:c r="G62" s="432"/>
      <x:c r="H62" s="432"/>
      <x:c r="I62" s="432"/>
      <x:c r="J62" s="432"/>
      <x:c r="K62" s="432"/>
      <x:c r="L62" s="432"/>
      <x:c r="M62" s="432"/>
      <x:c r="N62" s="432"/>
      <x:c r="O62" s="432"/>
      <x:c r="P62" s="432"/>
      <x:c r="Q62" s="432"/>
      <x:c r="R62" s="481" t="str">
        <x:f>IF('Deals'!A62="","",IF(COUNTIFS('Clients'!$A$6:$A$205,'Deals'!B62)&lt;&gt;1,"Unlinked",INDEX('Clients'!$G$6:$G$205,MATCH('Deals'!B62,'Clients'!$A$6:$A$205,0))))</x:f>
      </x:c>
      <x:c r="S62" s="482" t="str">
        <x:f>IF(AND('Deals'!A62&lt;&gt;"",'Deals'!E62="Completed",ISNUMBER('Deals'!Z62)),'Deals'!Z62,"")</x:f>
      </x:c>
    </x:row>
    <x:row r="63" ht="25" customHeight="1">
      <x:c r="A63" s="432"/>
      <x:c r="B63" s="432"/>
      <x:c r="C63" s="432"/>
      <x:c r="D63" s="432"/>
      <x:c r="E63" s="432"/>
      <x:c r="F63" s="432"/>
      <x:c r="G63" s="432"/>
      <x:c r="H63" s="432"/>
      <x:c r="I63" s="432"/>
      <x:c r="J63" s="432"/>
      <x:c r="K63" s="432"/>
      <x:c r="L63" s="432"/>
      <x:c r="M63" s="432"/>
      <x:c r="N63" s="432"/>
      <x:c r="O63" s="432"/>
      <x:c r="P63" s="432"/>
      <x:c r="Q63" s="432"/>
      <x:c r="R63" s="481" t="str">
        <x:f>IF('Deals'!A63="","",IF(COUNTIFS('Clients'!$A$6:$A$205,'Deals'!B63)&lt;&gt;1,"Unlinked",INDEX('Clients'!$G$6:$G$205,MATCH('Deals'!B63,'Clients'!$A$6:$A$205,0))))</x:f>
      </x:c>
      <x:c r="S63" s="482" t="str">
        <x:f>IF(AND('Deals'!A63&lt;&gt;"",'Deals'!E63="Completed",ISNUMBER('Deals'!Z63)),'Deals'!Z63,"")</x:f>
      </x:c>
    </x:row>
    <x:row r="64" ht="25" customHeight="1">
      <x:c r="A64" s="432"/>
      <x:c r="B64" s="432"/>
      <x:c r="C64" s="432"/>
      <x:c r="D64" s="432"/>
      <x:c r="E64" s="432"/>
      <x:c r="F64" s="432"/>
      <x:c r="G64" s="432"/>
      <x:c r="H64" s="432"/>
      <x:c r="I64" s="432"/>
      <x:c r="J64" s="432"/>
      <x:c r="K64" s="432"/>
      <x:c r="L64" s="432"/>
      <x:c r="M64" s="432"/>
      <x:c r="N64" s="432"/>
      <x:c r="O64" s="432"/>
      <x:c r="P64" s="432"/>
      <x:c r="Q64" s="432"/>
      <x:c r="R64" s="481" t="str">
        <x:f>IF('Deals'!A64="","",IF(COUNTIFS('Clients'!$A$6:$A$205,'Deals'!B64)&lt;&gt;1,"Unlinked",INDEX('Clients'!$G$6:$G$205,MATCH('Deals'!B64,'Clients'!$A$6:$A$205,0))))</x:f>
      </x:c>
      <x:c r="S64" s="482" t="str">
        <x:f>IF(AND('Deals'!A64&lt;&gt;"",'Deals'!E64="Completed",ISNUMBER('Deals'!Z64)),'Deals'!Z64,"")</x:f>
      </x:c>
    </x:row>
    <x:row r="65" ht="25" customHeight="1">
      <x:c r="A65" s="432"/>
      <x:c r="B65" s="432"/>
      <x:c r="C65" s="432"/>
      <x:c r="D65" s="432"/>
      <x:c r="E65" s="432"/>
      <x:c r="F65" s="432"/>
      <x:c r="G65" s="432"/>
      <x:c r="H65" s="432"/>
      <x:c r="I65" s="432"/>
      <x:c r="J65" s="432"/>
      <x:c r="K65" s="432"/>
      <x:c r="L65" s="432"/>
      <x:c r="M65" s="432"/>
      <x:c r="N65" s="432"/>
      <x:c r="O65" s="432"/>
      <x:c r="P65" s="432"/>
      <x:c r="Q65" s="432"/>
      <x:c r="R65" s="481" t="str">
        <x:f>IF('Deals'!A65="","",IF(COUNTIFS('Clients'!$A$6:$A$205,'Deals'!B65)&lt;&gt;1,"Unlinked",INDEX('Clients'!$G$6:$G$205,MATCH('Deals'!B65,'Clients'!$A$6:$A$205,0))))</x:f>
      </x:c>
      <x:c r="S65" s="482" t="str">
        <x:f>IF(AND('Deals'!A65&lt;&gt;"",'Deals'!E65="Completed",ISNUMBER('Deals'!Z65)),'Deals'!Z65,"")</x:f>
      </x:c>
    </x:row>
    <x:row r="66" ht="25" customHeight="1">
      <x:c r="A66" s="432"/>
      <x:c r="B66" s="432"/>
      <x:c r="C66" s="432"/>
      <x:c r="D66" s="432"/>
      <x:c r="E66" s="432"/>
      <x:c r="F66" s="432"/>
      <x:c r="G66" s="432"/>
      <x:c r="H66" s="432"/>
      <x:c r="I66" s="432"/>
      <x:c r="J66" s="432"/>
      <x:c r="K66" s="432"/>
      <x:c r="L66" s="432"/>
      <x:c r="M66" s="432"/>
      <x:c r="N66" s="432"/>
      <x:c r="O66" s="432"/>
      <x:c r="P66" s="432"/>
      <x:c r="Q66" s="432"/>
      <x:c r="R66" s="481" t="str">
        <x:f>IF('Deals'!A66="","",IF(COUNTIFS('Clients'!$A$6:$A$205,'Deals'!B66)&lt;&gt;1,"Unlinked",INDEX('Clients'!$G$6:$G$205,MATCH('Deals'!B66,'Clients'!$A$6:$A$205,0))))</x:f>
      </x:c>
      <x:c r="S66" s="482" t="str">
        <x:f>IF(AND('Deals'!A66&lt;&gt;"",'Deals'!E66="Completed",ISNUMBER('Deals'!Z66)),'Deals'!Z66,"")</x:f>
      </x:c>
    </x:row>
    <x:row r="67" ht="25" customHeight="1">
      <x:c r="A67" s="432"/>
      <x:c r="B67" s="432"/>
      <x:c r="C67" s="432"/>
      <x:c r="D67" s="432"/>
      <x:c r="E67" s="432"/>
      <x:c r="F67" s="432"/>
      <x:c r="G67" s="432"/>
      <x:c r="H67" s="432"/>
      <x:c r="I67" s="432"/>
      <x:c r="J67" s="432"/>
      <x:c r="K67" s="432"/>
      <x:c r="L67" s="432"/>
      <x:c r="M67" s="432"/>
      <x:c r="N67" s="432"/>
      <x:c r="O67" s="432"/>
      <x:c r="P67" s="432"/>
      <x:c r="Q67" s="432"/>
      <x:c r="R67" s="481" t="str">
        <x:f>IF('Deals'!A67="","",IF(COUNTIFS('Clients'!$A$6:$A$205,'Deals'!B67)&lt;&gt;1,"Unlinked",INDEX('Clients'!$G$6:$G$205,MATCH('Deals'!B67,'Clients'!$A$6:$A$205,0))))</x:f>
      </x:c>
      <x:c r="S67" s="482" t="str">
        <x:f>IF(AND('Deals'!A67&lt;&gt;"",'Deals'!E67="Completed",ISNUMBER('Deals'!Z67)),'Deals'!Z67,"")</x:f>
      </x:c>
    </x:row>
    <x:row r="68" ht="25" customHeight="1">
      <x:c r="A68" s="432"/>
      <x:c r="B68" s="432"/>
      <x:c r="C68" s="432"/>
      <x:c r="D68" s="432"/>
      <x:c r="E68" s="432"/>
      <x:c r="F68" s="432"/>
      <x:c r="G68" s="432"/>
      <x:c r="H68" s="432"/>
      <x:c r="I68" s="432"/>
      <x:c r="J68" s="432"/>
      <x:c r="K68" s="432"/>
      <x:c r="L68" s="432"/>
      <x:c r="M68" s="432"/>
      <x:c r="N68" s="432"/>
      <x:c r="O68" s="432"/>
      <x:c r="P68" s="432"/>
      <x:c r="Q68" s="432"/>
      <x:c r="R68" s="481" t="str">
        <x:f>IF('Deals'!A68="","",IF(COUNTIFS('Clients'!$A$6:$A$205,'Deals'!B68)&lt;&gt;1,"Unlinked",INDEX('Clients'!$G$6:$G$205,MATCH('Deals'!B68,'Clients'!$A$6:$A$205,0))))</x:f>
      </x:c>
      <x:c r="S68" s="482" t="str">
        <x:f>IF(AND('Deals'!A68&lt;&gt;"",'Deals'!E68="Completed",ISNUMBER('Deals'!Z68)),'Deals'!Z68,"")</x:f>
      </x:c>
    </x:row>
    <x:row r="69" ht="25" customHeight="1">
      <x:c r="A69" s="432"/>
      <x:c r="B69" s="432"/>
      <x:c r="C69" s="432"/>
      <x:c r="D69" s="432"/>
      <x:c r="E69" s="432"/>
      <x:c r="F69" s="432"/>
      <x:c r="G69" s="432"/>
      <x:c r="H69" s="432"/>
      <x:c r="I69" s="432"/>
      <x:c r="J69" s="432"/>
      <x:c r="K69" s="432"/>
      <x:c r="L69" s="432"/>
      <x:c r="M69" s="432"/>
      <x:c r="N69" s="432"/>
      <x:c r="O69" s="432"/>
      <x:c r="P69" s="432"/>
      <x:c r="Q69" s="432"/>
      <x:c r="R69" s="481" t="str">
        <x:f>IF('Deals'!A69="","",IF(COUNTIFS('Clients'!$A$6:$A$205,'Deals'!B69)&lt;&gt;1,"Unlinked",INDEX('Clients'!$G$6:$G$205,MATCH('Deals'!B69,'Clients'!$A$6:$A$205,0))))</x:f>
      </x:c>
      <x:c r="S69" s="482" t="str">
        <x:f>IF(AND('Deals'!A69&lt;&gt;"",'Deals'!E69="Completed",ISNUMBER('Deals'!Z69)),'Deals'!Z69,"")</x:f>
      </x:c>
    </x:row>
    <x:row r="70" ht="25" customHeight="1">
      <x:c r="A70" s="432"/>
      <x:c r="B70" s="432"/>
      <x:c r="C70" s="432"/>
      <x:c r="D70" s="432"/>
      <x:c r="E70" s="432"/>
      <x:c r="F70" s="432"/>
      <x:c r="G70" s="432"/>
      <x:c r="H70" s="432"/>
      <x:c r="I70" s="432"/>
      <x:c r="J70" s="432"/>
      <x:c r="K70" s="432"/>
      <x:c r="L70" s="432"/>
      <x:c r="M70" s="432"/>
      <x:c r="N70" s="432"/>
      <x:c r="O70" s="432"/>
      <x:c r="P70" s="432"/>
      <x:c r="Q70" s="432"/>
      <x:c r="R70" s="481" t="str">
        <x:f>IF('Deals'!A70="","",IF(COUNTIFS('Clients'!$A$6:$A$205,'Deals'!B70)&lt;&gt;1,"Unlinked",INDEX('Clients'!$G$6:$G$205,MATCH('Deals'!B70,'Clients'!$A$6:$A$205,0))))</x:f>
      </x:c>
      <x:c r="S70" s="482" t="str">
        <x:f>IF(AND('Deals'!A70&lt;&gt;"",'Deals'!E70="Completed",ISNUMBER('Deals'!Z70)),'Deals'!Z70,"")</x:f>
      </x:c>
    </x:row>
    <x:row r="71" ht="25" customHeight="1">
      <x:c r="A71" s="432"/>
      <x:c r="B71" s="432"/>
      <x:c r="C71" s="432"/>
      <x:c r="D71" s="432"/>
      <x:c r="E71" s="432"/>
      <x:c r="F71" s="432"/>
      <x:c r="G71" s="432"/>
      <x:c r="H71" s="432"/>
      <x:c r="I71" s="432"/>
      <x:c r="J71" s="432"/>
      <x:c r="K71" s="432"/>
      <x:c r="L71" s="432"/>
      <x:c r="M71" s="432"/>
      <x:c r="N71" s="432"/>
      <x:c r="O71" s="432"/>
      <x:c r="P71" s="432"/>
      <x:c r="Q71" s="432"/>
      <x:c r="R71" s="481" t="str">
        <x:f>IF('Deals'!A71="","",IF(COUNTIFS('Clients'!$A$6:$A$205,'Deals'!B71)&lt;&gt;1,"Unlinked",INDEX('Clients'!$G$6:$G$205,MATCH('Deals'!B71,'Clients'!$A$6:$A$205,0))))</x:f>
      </x:c>
      <x:c r="S71" s="482" t="str">
        <x:f>IF(AND('Deals'!A71&lt;&gt;"",'Deals'!E71="Completed",ISNUMBER('Deals'!Z71)),'Deals'!Z71,"")</x:f>
      </x:c>
    </x:row>
    <x:row r="72" ht="25" customHeight="1">
      <x:c r="A72" s="432"/>
      <x:c r="B72" s="432"/>
      <x:c r="C72" s="432"/>
      <x:c r="D72" s="432"/>
      <x:c r="E72" s="432"/>
      <x:c r="F72" s="432"/>
      <x:c r="G72" s="432"/>
      <x:c r="H72" s="432"/>
      <x:c r="I72" s="432"/>
      <x:c r="J72" s="432"/>
      <x:c r="K72" s="432"/>
      <x:c r="L72" s="432"/>
      <x:c r="M72" s="432"/>
      <x:c r="N72" s="432"/>
      <x:c r="O72" s="432"/>
      <x:c r="P72" s="432"/>
      <x:c r="Q72" s="432"/>
      <x:c r="R72" s="481" t="str">
        <x:f>IF('Deals'!A72="","",IF(COUNTIFS('Clients'!$A$6:$A$205,'Deals'!B72)&lt;&gt;1,"Unlinked",INDEX('Clients'!$G$6:$G$205,MATCH('Deals'!B72,'Clients'!$A$6:$A$205,0))))</x:f>
      </x:c>
      <x:c r="S72" s="482" t="str">
        <x:f>IF(AND('Deals'!A72&lt;&gt;"",'Deals'!E72="Completed",ISNUMBER('Deals'!Z72)),'Deals'!Z72,"")</x:f>
      </x:c>
    </x:row>
    <x:row r="73" ht="25" customHeight="1">
      <x:c r="A73" s="432"/>
      <x:c r="B73" s="432"/>
      <x:c r="C73" s="432"/>
      <x:c r="D73" s="432"/>
      <x:c r="E73" s="432"/>
      <x:c r="F73" s="432"/>
      <x:c r="G73" s="432"/>
      <x:c r="H73" s="432"/>
      <x:c r="I73" s="432"/>
      <x:c r="J73" s="432"/>
      <x:c r="K73" s="432"/>
      <x:c r="L73" s="432"/>
      <x:c r="M73" s="432"/>
      <x:c r="N73" s="432"/>
      <x:c r="O73" s="432"/>
      <x:c r="P73" s="432"/>
      <x:c r="Q73" s="432"/>
      <x:c r="R73" s="481" t="str">
        <x:f>IF('Deals'!A73="","",IF(COUNTIFS('Clients'!$A$6:$A$205,'Deals'!B73)&lt;&gt;1,"Unlinked",INDEX('Clients'!$G$6:$G$205,MATCH('Deals'!B73,'Clients'!$A$6:$A$205,0))))</x:f>
      </x:c>
      <x:c r="S73" s="482" t="str">
        <x:f>IF(AND('Deals'!A73&lt;&gt;"",'Deals'!E73="Completed",ISNUMBER('Deals'!Z73)),'Deals'!Z73,"")</x:f>
      </x:c>
    </x:row>
    <x:row r="74" ht="25" customHeight="1">
      <x:c r="A74" s="432"/>
      <x:c r="B74" s="432"/>
      <x:c r="C74" s="432"/>
      <x:c r="D74" s="432"/>
      <x:c r="E74" s="432"/>
      <x:c r="F74" s="432"/>
      <x:c r="G74" s="432"/>
      <x:c r="H74" s="432"/>
      <x:c r="I74" s="432"/>
      <x:c r="J74" s="432"/>
      <x:c r="K74" s="432"/>
      <x:c r="L74" s="432"/>
      <x:c r="M74" s="432"/>
      <x:c r="N74" s="432"/>
      <x:c r="O74" s="432"/>
      <x:c r="P74" s="432"/>
      <x:c r="Q74" s="432"/>
      <x:c r="R74" s="481" t="str">
        <x:f>IF('Deals'!A74="","",IF(COUNTIFS('Clients'!$A$6:$A$205,'Deals'!B74)&lt;&gt;1,"Unlinked",INDEX('Clients'!$G$6:$G$205,MATCH('Deals'!B74,'Clients'!$A$6:$A$205,0))))</x:f>
      </x:c>
      <x:c r="S74" s="482" t="str">
        <x:f>IF(AND('Deals'!A74&lt;&gt;"",'Deals'!E74="Completed",ISNUMBER('Deals'!Z74)),'Deals'!Z74,"")</x:f>
      </x:c>
    </x:row>
    <x:row r="75" ht="25" customHeight="1">
      <x:c r="A75" s="432"/>
      <x:c r="B75" s="432"/>
      <x:c r="C75" s="432"/>
      <x:c r="D75" s="432"/>
      <x:c r="E75" s="432"/>
      <x:c r="F75" s="432"/>
      <x:c r="G75" s="432"/>
      <x:c r="H75" s="432"/>
      <x:c r="I75" s="432"/>
      <x:c r="J75" s="432"/>
      <x:c r="K75" s="432"/>
      <x:c r="L75" s="432"/>
      <x:c r="M75" s="432"/>
      <x:c r="N75" s="432"/>
      <x:c r="O75" s="432"/>
      <x:c r="P75" s="432"/>
      <x:c r="Q75" s="432"/>
      <x:c r="R75" s="481" t="str">
        <x:f>IF('Deals'!A75="","",IF(COUNTIFS('Clients'!$A$6:$A$205,'Deals'!B75)&lt;&gt;1,"Unlinked",INDEX('Clients'!$G$6:$G$205,MATCH('Deals'!B75,'Clients'!$A$6:$A$205,0))))</x:f>
      </x:c>
      <x:c r="S75" s="482" t="str">
        <x:f>IF(AND('Deals'!A75&lt;&gt;"",'Deals'!E75="Completed",ISNUMBER('Deals'!Z75)),'Deals'!Z75,"")</x:f>
      </x:c>
    </x:row>
    <x:row r="76" ht="25" customHeight="1">
      <x:c r="A76" s="432"/>
      <x:c r="B76" s="432"/>
      <x:c r="C76" s="432"/>
      <x:c r="D76" s="432"/>
      <x:c r="E76" s="432"/>
      <x:c r="F76" s="432"/>
      <x:c r="G76" s="432"/>
      <x:c r="H76" s="432"/>
      <x:c r="I76" s="432"/>
      <x:c r="J76" s="432"/>
      <x:c r="K76" s="432"/>
      <x:c r="L76" s="432"/>
      <x:c r="M76" s="432"/>
      <x:c r="N76" s="432"/>
      <x:c r="O76" s="432"/>
      <x:c r="P76" s="432"/>
      <x:c r="Q76" s="432"/>
      <x:c r="R76" s="481" t="str">
        <x:f>IF('Deals'!A76="","",IF(COUNTIFS('Clients'!$A$6:$A$205,'Deals'!B76)&lt;&gt;1,"Unlinked",INDEX('Clients'!$G$6:$G$205,MATCH('Deals'!B76,'Clients'!$A$6:$A$205,0))))</x:f>
      </x:c>
      <x:c r="S76" s="482" t="str">
        <x:f>IF(AND('Deals'!A76&lt;&gt;"",'Deals'!E76="Completed",ISNUMBER('Deals'!Z76)),'Deals'!Z76,"")</x:f>
      </x:c>
    </x:row>
    <x:row r="77" ht="25" customHeight="1">
      <x:c r="A77" s="432"/>
      <x:c r="B77" s="432"/>
      <x:c r="C77" s="432"/>
      <x:c r="D77" s="432"/>
      <x:c r="E77" s="432"/>
      <x:c r="F77" s="432"/>
      <x:c r="G77" s="432"/>
      <x:c r="H77" s="432"/>
      <x:c r="I77" s="432"/>
      <x:c r="J77" s="432"/>
      <x:c r="K77" s="432"/>
      <x:c r="L77" s="432"/>
      <x:c r="M77" s="432"/>
      <x:c r="N77" s="432"/>
      <x:c r="O77" s="432"/>
      <x:c r="P77" s="432"/>
      <x:c r="Q77" s="432"/>
      <x:c r="R77" s="481" t="str">
        <x:f>IF('Deals'!A77="","",IF(COUNTIFS('Clients'!$A$6:$A$205,'Deals'!B77)&lt;&gt;1,"Unlinked",INDEX('Clients'!$G$6:$G$205,MATCH('Deals'!B77,'Clients'!$A$6:$A$205,0))))</x:f>
      </x:c>
      <x:c r="S77" s="482" t="str">
        <x:f>IF(AND('Deals'!A77&lt;&gt;"",'Deals'!E77="Completed",ISNUMBER('Deals'!Z77)),'Deals'!Z77,"")</x:f>
      </x:c>
    </x:row>
    <x:row r="78" ht="25" customHeight="1">
      <x:c r="A78" s="432"/>
      <x:c r="B78" s="432"/>
      <x:c r="C78" s="432"/>
      <x:c r="D78" s="432"/>
      <x:c r="E78" s="432"/>
      <x:c r="F78" s="432"/>
      <x:c r="G78" s="432"/>
      <x:c r="H78" s="432"/>
      <x:c r="I78" s="432"/>
      <x:c r="J78" s="432"/>
      <x:c r="K78" s="432"/>
      <x:c r="L78" s="432"/>
      <x:c r="M78" s="432"/>
      <x:c r="N78" s="432"/>
      <x:c r="O78" s="432"/>
      <x:c r="P78" s="432"/>
      <x:c r="Q78" s="432"/>
      <x:c r="R78" s="481" t="str">
        <x:f>IF('Deals'!A78="","",IF(COUNTIFS('Clients'!$A$6:$A$205,'Deals'!B78)&lt;&gt;1,"Unlinked",INDEX('Clients'!$G$6:$G$205,MATCH('Deals'!B78,'Clients'!$A$6:$A$205,0))))</x:f>
      </x:c>
      <x:c r="S78" s="482" t="str">
        <x:f>IF(AND('Deals'!A78&lt;&gt;"",'Deals'!E78="Completed",ISNUMBER('Deals'!Z78)),'Deals'!Z78,"")</x:f>
      </x:c>
    </x:row>
    <x:row r="79" ht="25" customHeight="1">
      <x:c r="A79" s="432"/>
      <x:c r="B79" s="432"/>
      <x:c r="C79" s="432"/>
      <x:c r="D79" s="432"/>
      <x:c r="E79" s="432"/>
      <x:c r="F79" s="432"/>
      <x:c r="G79" s="432"/>
      <x:c r="H79" s="432"/>
      <x:c r="I79" s="432"/>
      <x:c r="J79" s="432"/>
      <x:c r="K79" s="432"/>
      <x:c r="L79" s="432"/>
      <x:c r="M79" s="432"/>
      <x:c r="N79" s="432"/>
      <x:c r="O79" s="432"/>
      <x:c r="P79" s="432"/>
      <x:c r="Q79" s="432"/>
      <x:c r="R79" s="481" t="str">
        <x:f>IF('Deals'!A79="","",IF(COUNTIFS('Clients'!$A$6:$A$205,'Deals'!B79)&lt;&gt;1,"Unlinked",INDEX('Clients'!$G$6:$G$205,MATCH('Deals'!B79,'Clients'!$A$6:$A$205,0))))</x:f>
      </x:c>
      <x:c r="S79" s="482" t="str">
        <x:f>IF(AND('Deals'!A79&lt;&gt;"",'Deals'!E79="Completed",ISNUMBER('Deals'!Z79)),'Deals'!Z79,"")</x:f>
      </x:c>
    </x:row>
    <x:row r="80" ht="25" customHeight="1">
      <x:c r="A80" s="432"/>
      <x:c r="B80" s="432"/>
      <x:c r="C80" s="432"/>
      <x:c r="D80" s="432"/>
      <x:c r="E80" s="432"/>
      <x:c r="F80" s="432"/>
      <x:c r="G80" s="432"/>
      <x:c r="H80" s="432"/>
      <x:c r="I80" s="432"/>
      <x:c r="J80" s="432"/>
      <x:c r="K80" s="432"/>
      <x:c r="L80" s="432"/>
      <x:c r="M80" s="432"/>
      <x:c r="N80" s="432"/>
      <x:c r="O80" s="432"/>
      <x:c r="P80" s="432"/>
      <x:c r="Q80" s="432"/>
      <x:c r="R80" s="481" t="str">
        <x:f>IF('Deals'!A80="","",IF(COUNTIFS('Clients'!$A$6:$A$205,'Deals'!B80)&lt;&gt;1,"Unlinked",INDEX('Clients'!$G$6:$G$205,MATCH('Deals'!B80,'Clients'!$A$6:$A$205,0))))</x:f>
      </x:c>
      <x:c r="S80" s="482" t="str">
        <x:f>IF(AND('Deals'!A80&lt;&gt;"",'Deals'!E80="Completed",ISNUMBER('Deals'!Z80)),'Deals'!Z80,"")</x:f>
      </x:c>
    </x:row>
    <x:row r="81" ht="25" customHeight="1">
      <x:c r="A81" s="432"/>
      <x:c r="B81" s="432"/>
      <x:c r="C81" s="432"/>
      <x:c r="D81" s="432"/>
      <x:c r="E81" s="432"/>
      <x:c r="F81" s="432"/>
      <x:c r="G81" s="432"/>
      <x:c r="H81" s="432"/>
      <x:c r="I81" s="432"/>
      <x:c r="J81" s="432"/>
      <x:c r="K81" s="432"/>
      <x:c r="L81" s="432"/>
      <x:c r="M81" s="432"/>
      <x:c r="N81" s="432"/>
      <x:c r="O81" s="432"/>
      <x:c r="P81" s="432"/>
      <x:c r="Q81" s="432"/>
      <x:c r="R81" s="481" t="str">
        <x:f>IF('Deals'!A81="","",IF(COUNTIFS('Clients'!$A$6:$A$205,'Deals'!B81)&lt;&gt;1,"Unlinked",INDEX('Clients'!$G$6:$G$205,MATCH('Deals'!B81,'Clients'!$A$6:$A$205,0))))</x:f>
      </x:c>
      <x:c r="S81" s="482" t="str">
        <x:f>IF(AND('Deals'!A81&lt;&gt;"",'Deals'!E81="Completed",ISNUMBER('Deals'!Z81)),'Deals'!Z81,"")</x:f>
      </x:c>
    </x:row>
    <x:row r="82" ht="25" customHeight="1">
      <x:c r="A82" s="432"/>
      <x:c r="B82" s="432"/>
      <x:c r="C82" s="432"/>
      <x:c r="D82" s="432"/>
      <x:c r="E82" s="432"/>
      <x:c r="F82" s="432"/>
      <x:c r="G82" s="432"/>
      <x:c r="H82" s="432"/>
      <x:c r="I82" s="432"/>
      <x:c r="J82" s="432"/>
      <x:c r="K82" s="432"/>
      <x:c r="L82" s="432"/>
      <x:c r="M82" s="432"/>
      <x:c r="N82" s="432"/>
      <x:c r="O82" s="432"/>
      <x:c r="P82" s="432"/>
      <x:c r="Q82" s="432"/>
      <x:c r="R82" s="481" t="str">
        <x:f>IF('Deals'!A82="","",IF(COUNTIFS('Clients'!$A$6:$A$205,'Deals'!B82)&lt;&gt;1,"Unlinked",INDEX('Clients'!$G$6:$G$205,MATCH('Deals'!B82,'Clients'!$A$6:$A$205,0))))</x:f>
      </x:c>
      <x:c r="S82" s="482" t="str">
        <x:f>IF(AND('Deals'!A82&lt;&gt;"",'Deals'!E82="Completed",ISNUMBER('Deals'!Z82)),'Deals'!Z82,"")</x:f>
      </x:c>
    </x:row>
    <x:row r="83" ht="25" customHeight="1">
      <x:c r="A83" s="432"/>
      <x:c r="B83" s="432"/>
      <x:c r="C83" s="432"/>
      <x:c r="D83" s="432"/>
      <x:c r="E83" s="432"/>
      <x:c r="F83" s="432"/>
      <x:c r="G83" s="432"/>
      <x:c r="H83" s="432"/>
      <x:c r="I83" s="432"/>
      <x:c r="J83" s="432"/>
      <x:c r="K83" s="432"/>
      <x:c r="L83" s="432"/>
      <x:c r="M83" s="432"/>
      <x:c r="N83" s="432"/>
      <x:c r="O83" s="432"/>
      <x:c r="P83" s="432"/>
      <x:c r="Q83" s="432"/>
      <x:c r="R83" s="481" t="str">
        <x:f>IF('Deals'!A83="","",IF(COUNTIFS('Clients'!$A$6:$A$205,'Deals'!B83)&lt;&gt;1,"Unlinked",INDEX('Clients'!$G$6:$G$205,MATCH('Deals'!B83,'Clients'!$A$6:$A$205,0))))</x:f>
      </x:c>
      <x:c r="S83" s="482" t="str">
        <x:f>IF(AND('Deals'!A83&lt;&gt;"",'Deals'!E83="Completed",ISNUMBER('Deals'!Z83)),'Deals'!Z83,"")</x:f>
      </x:c>
    </x:row>
    <x:row r="84" ht="25" customHeight="1">
      <x:c r="A84" s="432"/>
      <x:c r="B84" s="432"/>
      <x:c r="C84" s="432"/>
      <x:c r="D84" s="432"/>
      <x:c r="E84" s="432"/>
      <x:c r="F84" s="432"/>
      <x:c r="G84" s="432"/>
      <x:c r="H84" s="432"/>
      <x:c r="I84" s="432"/>
      <x:c r="J84" s="432"/>
      <x:c r="K84" s="432"/>
      <x:c r="L84" s="432"/>
      <x:c r="M84" s="432"/>
      <x:c r="N84" s="432"/>
      <x:c r="O84" s="432"/>
      <x:c r="P84" s="432"/>
      <x:c r="Q84" s="432"/>
      <x:c r="R84" s="481" t="str">
        <x:f>IF('Deals'!A84="","",IF(COUNTIFS('Clients'!$A$6:$A$205,'Deals'!B84)&lt;&gt;1,"Unlinked",INDEX('Clients'!$G$6:$G$205,MATCH('Deals'!B84,'Clients'!$A$6:$A$205,0))))</x:f>
      </x:c>
      <x:c r="S84" s="482" t="str">
        <x:f>IF(AND('Deals'!A84&lt;&gt;"",'Deals'!E84="Completed",ISNUMBER('Deals'!Z84)),'Deals'!Z84,"")</x:f>
      </x:c>
    </x:row>
    <x:row r="85" ht="25" customHeight="1">
      <x:c r="A85" s="432"/>
      <x:c r="B85" s="432"/>
      <x:c r="C85" s="432"/>
      <x:c r="D85" s="432"/>
      <x:c r="E85" s="432"/>
      <x:c r="F85" s="432"/>
      <x:c r="G85" s="432"/>
      <x:c r="H85" s="432"/>
      <x:c r="I85" s="432"/>
      <x:c r="J85" s="432"/>
      <x:c r="K85" s="432"/>
      <x:c r="L85" s="432"/>
      <x:c r="M85" s="432"/>
      <x:c r="N85" s="432"/>
      <x:c r="O85" s="432"/>
      <x:c r="P85" s="432"/>
      <x:c r="Q85" s="432"/>
      <x:c r="R85" s="481" t="str">
        <x:f>IF('Deals'!A85="","",IF(COUNTIFS('Clients'!$A$6:$A$205,'Deals'!B85)&lt;&gt;1,"Unlinked",INDEX('Clients'!$G$6:$G$205,MATCH('Deals'!B85,'Clients'!$A$6:$A$205,0))))</x:f>
      </x:c>
      <x:c r="S85" s="482" t="str">
        <x:f>IF(AND('Deals'!A85&lt;&gt;"",'Deals'!E85="Completed",ISNUMBER('Deals'!Z85)),'Deals'!Z85,"")</x:f>
      </x:c>
    </x:row>
    <x:row r="86" ht="25" customHeight="1">
      <x:c r="A86" s="432"/>
      <x:c r="B86" s="432"/>
      <x:c r="C86" s="432"/>
      <x:c r="D86" s="432"/>
      <x:c r="E86" s="432"/>
      <x:c r="F86" s="432"/>
      <x:c r="G86" s="432"/>
      <x:c r="H86" s="432"/>
      <x:c r="I86" s="432"/>
      <x:c r="J86" s="432"/>
      <x:c r="K86" s="432"/>
      <x:c r="L86" s="432"/>
      <x:c r="M86" s="432"/>
      <x:c r="N86" s="432"/>
      <x:c r="O86" s="432"/>
      <x:c r="P86" s="432"/>
      <x:c r="Q86" s="432"/>
      <x:c r="R86" s="481" t="str">
        <x:f>IF('Deals'!A86="","",IF(COUNTIFS('Clients'!$A$6:$A$205,'Deals'!B86)&lt;&gt;1,"Unlinked",INDEX('Clients'!$G$6:$G$205,MATCH('Deals'!B86,'Clients'!$A$6:$A$205,0))))</x:f>
      </x:c>
      <x:c r="S86" s="482" t="str">
        <x:f>IF(AND('Deals'!A86&lt;&gt;"",'Deals'!E86="Completed",ISNUMBER('Deals'!Z86)),'Deals'!Z86,"")</x:f>
      </x:c>
    </x:row>
    <x:row r="87" ht="25" customHeight="1">
      <x:c r="A87" s="432"/>
      <x:c r="B87" s="432"/>
      <x:c r="C87" s="432"/>
      <x:c r="D87" s="432"/>
      <x:c r="E87" s="432"/>
      <x:c r="F87" s="432"/>
      <x:c r="G87" s="432"/>
      <x:c r="H87" s="432"/>
      <x:c r="I87" s="432"/>
      <x:c r="J87" s="432"/>
      <x:c r="K87" s="432"/>
      <x:c r="L87" s="432"/>
      <x:c r="M87" s="432"/>
      <x:c r="N87" s="432"/>
      <x:c r="O87" s="432"/>
      <x:c r="P87" s="432"/>
      <x:c r="Q87" s="432"/>
      <x:c r="R87" s="481" t="str">
        <x:f>IF('Deals'!A87="","",IF(COUNTIFS('Clients'!$A$6:$A$205,'Deals'!B87)&lt;&gt;1,"Unlinked",INDEX('Clients'!$G$6:$G$205,MATCH('Deals'!B87,'Clients'!$A$6:$A$205,0))))</x:f>
      </x:c>
      <x:c r="S87" s="482" t="str">
        <x:f>IF(AND('Deals'!A87&lt;&gt;"",'Deals'!E87="Completed",ISNUMBER('Deals'!Z87)),'Deals'!Z87,"")</x:f>
      </x:c>
    </x:row>
    <x:row r="88" ht="25" customHeight="1">
      <x:c r="A88" s="432"/>
      <x:c r="B88" s="432"/>
      <x:c r="C88" s="432"/>
      <x:c r="D88" s="432"/>
      <x:c r="E88" s="432"/>
      <x:c r="F88" s="432"/>
      <x:c r="G88" s="432"/>
      <x:c r="H88" s="432"/>
      <x:c r="I88" s="432"/>
      <x:c r="J88" s="432"/>
      <x:c r="K88" s="432"/>
      <x:c r="L88" s="432"/>
      <x:c r="M88" s="432"/>
      <x:c r="N88" s="432"/>
      <x:c r="O88" s="432"/>
      <x:c r="P88" s="432"/>
      <x:c r="Q88" s="432"/>
      <x:c r="R88" s="481" t="str">
        <x:f>IF('Deals'!A88="","",IF(COUNTIFS('Clients'!$A$6:$A$205,'Deals'!B88)&lt;&gt;1,"Unlinked",INDEX('Clients'!$G$6:$G$205,MATCH('Deals'!B88,'Clients'!$A$6:$A$205,0))))</x:f>
      </x:c>
      <x:c r="S88" s="482" t="str">
        <x:f>IF(AND('Deals'!A88&lt;&gt;"",'Deals'!E88="Completed",ISNUMBER('Deals'!Z88)),'Deals'!Z88,"")</x:f>
      </x:c>
    </x:row>
    <x:row r="89" ht="25" customHeight="1">
      <x:c r="A89" s="432"/>
      <x:c r="B89" s="432"/>
      <x:c r="C89" s="432"/>
      <x:c r="D89" s="432"/>
      <x:c r="E89" s="432"/>
      <x:c r="F89" s="432"/>
      <x:c r="G89" s="432"/>
      <x:c r="H89" s="432"/>
      <x:c r="I89" s="432"/>
      <x:c r="J89" s="432"/>
      <x:c r="K89" s="432"/>
      <x:c r="L89" s="432"/>
      <x:c r="M89" s="432"/>
      <x:c r="N89" s="432"/>
      <x:c r="O89" s="432"/>
      <x:c r="P89" s="432"/>
      <x:c r="Q89" s="432"/>
      <x:c r="R89" s="481" t="str">
        <x:f>IF('Deals'!A89="","",IF(COUNTIFS('Clients'!$A$6:$A$205,'Deals'!B89)&lt;&gt;1,"Unlinked",INDEX('Clients'!$G$6:$G$205,MATCH('Deals'!B89,'Clients'!$A$6:$A$205,0))))</x:f>
      </x:c>
      <x:c r="S89" s="482" t="str">
        <x:f>IF(AND('Deals'!A89&lt;&gt;"",'Deals'!E89="Completed",ISNUMBER('Deals'!Z89)),'Deals'!Z89,"")</x:f>
      </x:c>
    </x:row>
    <x:row r="90" ht="25" customHeight="1">
      <x:c r="A90" s="432"/>
      <x:c r="B90" s="432"/>
      <x:c r="C90" s="432"/>
      <x:c r="D90" s="432"/>
      <x:c r="E90" s="432"/>
      <x:c r="F90" s="432"/>
      <x:c r="G90" s="432"/>
      <x:c r="H90" s="432"/>
      <x:c r="I90" s="432"/>
      <x:c r="J90" s="432"/>
      <x:c r="K90" s="432"/>
      <x:c r="L90" s="432"/>
      <x:c r="M90" s="432"/>
      <x:c r="N90" s="432"/>
      <x:c r="O90" s="432"/>
      <x:c r="P90" s="432"/>
      <x:c r="Q90" s="432"/>
      <x:c r="R90" s="481" t="str">
        <x:f>IF('Deals'!A90="","",IF(COUNTIFS('Clients'!$A$6:$A$205,'Deals'!B90)&lt;&gt;1,"Unlinked",INDEX('Clients'!$G$6:$G$205,MATCH('Deals'!B90,'Clients'!$A$6:$A$205,0))))</x:f>
      </x:c>
      <x:c r="S90" s="482" t="str">
        <x:f>IF(AND('Deals'!A90&lt;&gt;"",'Deals'!E90="Completed",ISNUMBER('Deals'!Z90)),'Deals'!Z90,"")</x:f>
      </x:c>
    </x:row>
    <x:row r="91" ht="25" customHeight="1">
      <x:c r="A91" s="432"/>
      <x:c r="B91" s="432"/>
      <x:c r="C91" s="432"/>
      <x:c r="D91" s="432"/>
      <x:c r="E91" s="432"/>
      <x:c r="F91" s="432"/>
      <x:c r="G91" s="432"/>
      <x:c r="H91" s="432"/>
      <x:c r="I91" s="432"/>
      <x:c r="J91" s="432"/>
      <x:c r="K91" s="432"/>
      <x:c r="L91" s="432"/>
      <x:c r="M91" s="432"/>
      <x:c r="N91" s="432"/>
      <x:c r="O91" s="432"/>
      <x:c r="P91" s="432"/>
      <x:c r="Q91" s="432"/>
      <x:c r="R91" s="481" t="str">
        <x:f>IF('Deals'!A91="","",IF(COUNTIFS('Clients'!$A$6:$A$205,'Deals'!B91)&lt;&gt;1,"Unlinked",INDEX('Clients'!$G$6:$G$205,MATCH('Deals'!B91,'Clients'!$A$6:$A$205,0))))</x:f>
      </x:c>
      <x:c r="S91" s="482" t="str">
        <x:f>IF(AND('Deals'!A91&lt;&gt;"",'Deals'!E91="Completed",ISNUMBER('Deals'!Z91)),'Deals'!Z91,"")</x:f>
      </x:c>
    </x:row>
    <x:row r="92" ht="25" customHeight="1">
      <x:c r="A92" s="432"/>
      <x:c r="B92" s="432"/>
      <x:c r="C92" s="432"/>
      <x:c r="D92" s="432"/>
      <x:c r="E92" s="432"/>
      <x:c r="F92" s="432"/>
      <x:c r="G92" s="432"/>
      <x:c r="H92" s="432"/>
      <x:c r="I92" s="432"/>
      <x:c r="J92" s="432"/>
      <x:c r="K92" s="432"/>
      <x:c r="L92" s="432"/>
      <x:c r="M92" s="432"/>
      <x:c r="N92" s="432"/>
      <x:c r="O92" s="432"/>
      <x:c r="P92" s="432"/>
      <x:c r="Q92" s="432"/>
      <x:c r="R92" s="481" t="str">
        <x:f>IF('Deals'!A92="","",IF(COUNTIFS('Clients'!$A$6:$A$205,'Deals'!B92)&lt;&gt;1,"Unlinked",INDEX('Clients'!$G$6:$G$205,MATCH('Deals'!B92,'Clients'!$A$6:$A$205,0))))</x:f>
      </x:c>
      <x:c r="S92" s="482" t="str">
        <x:f>IF(AND('Deals'!A92&lt;&gt;"",'Deals'!E92="Completed",ISNUMBER('Deals'!Z92)),'Deals'!Z92,"")</x:f>
      </x:c>
    </x:row>
    <x:row r="93" ht="25" customHeight="1">
      <x:c r="A93" s="432"/>
      <x:c r="B93" s="432"/>
      <x:c r="C93" s="432"/>
      <x:c r="D93" s="432"/>
      <x:c r="E93" s="432"/>
      <x:c r="F93" s="432"/>
      <x:c r="G93" s="432"/>
      <x:c r="H93" s="432"/>
      <x:c r="I93" s="432"/>
      <x:c r="J93" s="432"/>
      <x:c r="K93" s="432"/>
      <x:c r="L93" s="432"/>
      <x:c r="M93" s="432"/>
      <x:c r="N93" s="432"/>
      <x:c r="O93" s="432"/>
      <x:c r="P93" s="432"/>
      <x:c r="Q93" s="432"/>
      <x:c r="R93" s="481" t="str">
        <x:f>IF('Deals'!A93="","",IF(COUNTIFS('Clients'!$A$6:$A$205,'Deals'!B93)&lt;&gt;1,"Unlinked",INDEX('Clients'!$G$6:$G$205,MATCH('Deals'!B93,'Clients'!$A$6:$A$205,0))))</x:f>
      </x:c>
      <x:c r="S93" s="482" t="str">
        <x:f>IF(AND('Deals'!A93&lt;&gt;"",'Deals'!E93="Completed",ISNUMBER('Deals'!Z93)),'Deals'!Z93,"")</x:f>
      </x:c>
    </x:row>
    <x:row r="94" ht="25" customHeight="1">
      <x:c r="A94" s="432"/>
      <x:c r="B94" s="432"/>
      <x:c r="C94" s="432"/>
      <x:c r="D94" s="432"/>
      <x:c r="E94" s="432"/>
      <x:c r="F94" s="432"/>
      <x:c r="G94" s="432"/>
      <x:c r="H94" s="432"/>
      <x:c r="I94" s="432"/>
      <x:c r="J94" s="432"/>
      <x:c r="K94" s="432"/>
      <x:c r="L94" s="432"/>
      <x:c r="M94" s="432"/>
      <x:c r="N94" s="432"/>
      <x:c r="O94" s="432"/>
      <x:c r="P94" s="432"/>
      <x:c r="Q94" s="432"/>
      <x:c r="R94" s="481" t="str">
        <x:f>IF('Deals'!A94="","",IF(COUNTIFS('Clients'!$A$6:$A$205,'Deals'!B94)&lt;&gt;1,"Unlinked",INDEX('Clients'!$G$6:$G$205,MATCH('Deals'!B94,'Clients'!$A$6:$A$205,0))))</x:f>
      </x:c>
      <x:c r="S94" s="482" t="str">
        <x:f>IF(AND('Deals'!A94&lt;&gt;"",'Deals'!E94="Completed",ISNUMBER('Deals'!Z94)),'Deals'!Z94,"")</x:f>
      </x:c>
    </x:row>
    <x:row r="95" ht="25" customHeight="1">
      <x:c r="A95" s="432"/>
      <x:c r="B95" s="432"/>
      <x:c r="C95" s="432"/>
      <x:c r="D95" s="432"/>
      <x:c r="E95" s="432"/>
      <x:c r="F95" s="432"/>
      <x:c r="G95" s="432"/>
      <x:c r="H95" s="432"/>
      <x:c r="I95" s="432"/>
      <x:c r="J95" s="432"/>
      <x:c r="K95" s="432"/>
      <x:c r="L95" s="432"/>
      <x:c r="M95" s="432"/>
      <x:c r="N95" s="432"/>
      <x:c r="O95" s="432"/>
      <x:c r="P95" s="432"/>
      <x:c r="Q95" s="432"/>
      <x:c r="R95" s="481" t="str">
        <x:f>IF('Deals'!A95="","",IF(COUNTIFS('Clients'!$A$6:$A$205,'Deals'!B95)&lt;&gt;1,"Unlinked",INDEX('Clients'!$G$6:$G$205,MATCH('Deals'!B95,'Clients'!$A$6:$A$205,0))))</x:f>
      </x:c>
      <x:c r="S95" s="482" t="str">
        <x:f>IF(AND('Deals'!A95&lt;&gt;"",'Deals'!E95="Completed",ISNUMBER('Deals'!Z95)),'Deals'!Z95,"")</x:f>
      </x:c>
    </x:row>
    <x:row r="96" ht="25" customHeight="1">
      <x:c r="A96" s="432"/>
      <x:c r="B96" s="432"/>
      <x:c r="C96" s="432"/>
      <x:c r="D96" s="432"/>
      <x:c r="E96" s="432"/>
      <x:c r="F96" s="432"/>
      <x:c r="G96" s="432"/>
      <x:c r="H96" s="432"/>
      <x:c r="I96" s="432"/>
      <x:c r="J96" s="432"/>
      <x:c r="K96" s="432"/>
      <x:c r="L96" s="432"/>
      <x:c r="M96" s="432"/>
      <x:c r="N96" s="432"/>
      <x:c r="O96" s="432"/>
      <x:c r="P96" s="432"/>
      <x:c r="Q96" s="432"/>
      <x:c r="R96" s="481" t="str">
        <x:f>IF('Deals'!A96="","",IF(COUNTIFS('Clients'!$A$6:$A$205,'Deals'!B96)&lt;&gt;1,"Unlinked",INDEX('Clients'!$G$6:$G$205,MATCH('Deals'!B96,'Clients'!$A$6:$A$205,0))))</x:f>
      </x:c>
      <x:c r="S96" s="482" t="str">
        <x:f>IF(AND('Deals'!A96&lt;&gt;"",'Deals'!E96="Completed",ISNUMBER('Deals'!Z96)),'Deals'!Z96,"")</x:f>
      </x:c>
    </x:row>
    <x:row r="97" ht="25" customHeight="1">
      <x:c r="A97" s="432"/>
      <x:c r="B97" s="432"/>
      <x:c r="C97" s="432"/>
      <x:c r="D97" s="432"/>
      <x:c r="E97" s="432"/>
      <x:c r="F97" s="432"/>
      <x:c r="G97" s="432"/>
      <x:c r="H97" s="432"/>
      <x:c r="I97" s="432"/>
      <x:c r="J97" s="432"/>
      <x:c r="K97" s="432"/>
      <x:c r="L97" s="432"/>
      <x:c r="M97" s="432"/>
      <x:c r="N97" s="432"/>
      <x:c r="O97" s="432"/>
      <x:c r="P97" s="432"/>
      <x:c r="Q97" s="432"/>
      <x:c r="R97" s="481" t="str">
        <x:f>IF('Deals'!A97="","",IF(COUNTIFS('Clients'!$A$6:$A$205,'Deals'!B97)&lt;&gt;1,"Unlinked",INDEX('Clients'!$G$6:$G$205,MATCH('Deals'!B97,'Clients'!$A$6:$A$205,0))))</x:f>
      </x:c>
      <x:c r="S97" s="482" t="str">
        <x:f>IF(AND('Deals'!A97&lt;&gt;"",'Deals'!E97="Completed",ISNUMBER('Deals'!Z97)),'Deals'!Z97,"")</x:f>
      </x:c>
    </x:row>
    <x:row r="98" ht="25" customHeight="1">
      <x:c r="A98" s="432"/>
      <x:c r="B98" s="432"/>
      <x:c r="C98" s="432"/>
      <x:c r="D98" s="432"/>
      <x:c r="E98" s="432"/>
      <x:c r="F98" s="432"/>
      <x:c r="G98" s="432"/>
      <x:c r="H98" s="432"/>
      <x:c r="I98" s="432"/>
      <x:c r="J98" s="432"/>
      <x:c r="K98" s="432"/>
      <x:c r="L98" s="432"/>
      <x:c r="M98" s="432"/>
      <x:c r="N98" s="432"/>
      <x:c r="O98" s="432"/>
      <x:c r="P98" s="432"/>
      <x:c r="Q98" s="432"/>
      <x:c r="R98" s="481" t="str">
        <x:f>IF('Deals'!A98="","",IF(COUNTIFS('Clients'!$A$6:$A$205,'Deals'!B98)&lt;&gt;1,"Unlinked",INDEX('Clients'!$G$6:$G$205,MATCH('Deals'!B98,'Clients'!$A$6:$A$205,0))))</x:f>
      </x:c>
      <x:c r="S98" s="482" t="str">
        <x:f>IF(AND('Deals'!A98&lt;&gt;"",'Deals'!E98="Completed",ISNUMBER('Deals'!Z98)),'Deals'!Z98,"")</x:f>
      </x:c>
    </x:row>
    <x:row r="99" ht="25" customHeight="1">
      <x:c r="A99" s="432"/>
      <x:c r="B99" s="432"/>
      <x:c r="C99" s="432"/>
      <x:c r="D99" s="432"/>
      <x:c r="E99" s="432"/>
      <x:c r="F99" s="432"/>
      <x:c r="G99" s="432"/>
      <x:c r="H99" s="432"/>
      <x:c r="I99" s="432"/>
      <x:c r="J99" s="432"/>
      <x:c r="K99" s="432"/>
      <x:c r="L99" s="432"/>
      <x:c r="M99" s="432"/>
      <x:c r="N99" s="432"/>
      <x:c r="O99" s="432"/>
      <x:c r="P99" s="432"/>
      <x:c r="Q99" s="432"/>
      <x:c r="R99" s="481" t="str">
        <x:f>IF('Deals'!A99="","",IF(COUNTIFS('Clients'!$A$6:$A$205,'Deals'!B99)&lt;&gt;1,"Unlinked",INDEX('Clients'!$G$6:$G$205,MATCH('Deals'!B99,'Clients'!$A$6:$A$205,0))))</x:f>
      </x:c>
      <x:c r="S99" s="482" t="str">
        <x:f>IF(AND('Deals'!A99&lt;&gt;"",'Deals'!E99="Completed",ISNUMBER('Deals'!Z99)),'Deals'!Z99,"")</x:f>
      </x:c>
    </x:row>
    <x:row r="100" ht="25" customHeight="1">
      <x:c r="A100" s="432"/>
      <x:c r="B100" s="432"/>
      <x:c r="C100" s="432"/>
      <x:c r="D100" s="432"/>
      <x:c r="E100" s="432"/>
      <x:c r="F100" s="432"/>
      <x:c r="G100" s="432"/>
      <x:c r="H100" s="432"/>
      <x:c r="I100" s="432"/>
      <x:c r="J100" s="432"/>
      <x:c r="K100" s="432"/>
      <x:c r="L100" s="432"/>
      <x:c r="M100" s="432"/>
      <x:c r="N100" s="432"/>
      <x:c r="O100" s="432"/>
      <x:c r="P100" s="432"/>
      <x:c r="Q100" s="432"/>
      <x:c r="R100" s="481" t="str">
        <x:f>IF('Deals'!A100="","",IF(COUNTIFS('Clients'!$A$6:$A$205,'Deals'!B100)&lt;&gt;1,"Unlinked",INDEX('Clients'!$G$6:$G$205,MATCH('Deals'!B100,'Clients'!$A$6:$A$205,0))))</x:f>
      </x:c>
      <x:c r="S100" s="482" t="str">
        <x:f>IF(AND('Deals'!A100&lt;&gt;"",'Deals'!E100="Completed",ISNUMBER('Deals'!Z100)),'Deals'!Z100,"")</x:f>
      </x:c>
    </x:row>
    <x:row r="101" ht="25" customHeight="1">
      <x:c r="A101" s="432"/>
      <x:c r="B101" s="432"/>
      <x:c r="C101" s="432"/>
      <x:c r="D101" s="432"/>
      <x:c r="E101" s="432"/>
      <x:c r="F101" s="432"/>
      <x:c r="G101" s="432"/>
      <x:c r="H101" s="432"/>
      <x:c r="I101" s="432"/>
      <x:c r="J101" s="432"/>
      <x:c r="K101" s="432"/>
      <x:c r="L101" s="432"/>
      <x:c r="M101" s="432"/>
      <x:c r="N101" s="432"/>
      <x:c r="O101" s="432"/>
      <x:c r="P101" s="432"/>
      <x:c r="Q101" s="432"/>
      <x:c r="R101" s="481" t="str">
        <x:f>IF('Deals'!A101="","",IF(COUNTIFS('Clients'!$A$6:$A$205,'Deals'!B101)&lt;&gt;1,"Unlinked",INDEX('Clients'!$G$6:$G$205,MATCH('Deals'!B101,'Clients'!$A$6:$A$205,0))))</x:f>
      </x:c>
      <x:c r="S101" s="482" t="str">
        <x:f>IF(AND('Deals'!A101&lt;&gt;"",'Deals'!E101="Completed",ISNUMBER('Deals'!Z101)),'Deals'!Z101,"")</x:f>
      </x:c>
    </x:row>
    <x:row r="102" ht="25" customHeight="1">
      <x:c r="A102" s="432"/>
      <x:c r="B102" s="432"/>
      <x:c r="C102" s="432"/>
      <x:c r="D102" s="432"/>
      <x:c r="E102" s="432"/>
      <x:c r="F102" s="432"/>
      <x:c r="G102" s="432"/>
      <x:c r="H102" s="432"/>
      <x:c r="I102" s="432"/>
      <x:c r="J102" s="432"/>
      <x:c r="K102" s="432"/>
      <x:c r="L102" s="432"/>
      <x:c r="M102" s="432"/>
      <x:c r="N102" s="432"/>
      <x:c r="O102" s="432"/>
      <x:c r="P102" s="432"/>
      <x:c r="Q102" s="432"/>
      <x:c r="R102" s="481" t="str">
        <x:f>IF('Deals'!A102="","",IF(COUNTIFS('Clients'!$A$6:$A$205,'Deals'!B102)&lt;&gt;1,"Unlinked",INDEX('Clients'!$G$6:$G$205,MATCH('Deals'!B102,'Clients'!$A$6:$A$205,0))))</x:f>
      </x:c>
      <x:c r="S102" s="482" t="str">
        <x:f>IF(AND('Deals'!A102&lt;&gt;"",'Deals'!E102="Completed",ISNUMBER('Deals'!Z102)),'Deals'!Z102,"")</x:f>
      </x:c>
    </x:row>
    <x:row r="103" ht="25" customHeight="1">
      <x:c r="A103" s="432"/>
      <x:c r="B103" s="432"/>
      <x:c r="C103" s="432"/>
      <x:c r="D103" s="432"/>
      <x:c r="E103" s="432"/>
      <x:c r="F103" s="432"/>
      <x:c r="G103" s="432"/>
      <x:c r="H103" s="432"/>
      <x:c r="I103" s="432"/>
      <x:c r="J103" s="432"/>
      <x:c r="K103" s="432"/>
      <x:c r="L103" s="432"/>
      <x:c r="M103" s="432"/>
      <x:c r="N103" s="432"/>
      <x:c r="O103" s="432"/>
      <x:c r="P103" s="432"/>
      <x:c r="Q103" s="432"/>
      <x:c r="R103" s="481" t="str">
        <x:f>IF('Deals'!A103="","",IF(COUNTIFS('Clients'!$A$6:$A$205,'Deals'!B103)&lt;&gt;1,"Unlinked",INDEX('Clients'!$G$6:$G$205,MATCH('Deals'!B103,'Clients'!$A$6:$A$205,0))))</x:f>
      </x:c>
      <x:c r="S103" s="482" t="str">
        <x:f>IF(AND('Deals'!A103&lt;&gt;"",'Deals'!E103="Completed",ISNUMBER('Deals'!Z103)),'Deals'!Z103,"")</x:f>
      </x:c>
    </x:row>
    <x:row r="104" ht="25" customHeight="1">
      <x:c r="A104" s="432"/>
      <x:c r="B104" s="432"/>
      <x:c r="C104" s="432"/>
      <x:c r="D104" s="432"/>
      <x:c r="E104" s="432"/>
      <x:c r="F104" s="432"/>
      <x:c r="G104" s="432"/>
      <x:c r="H104" s="432"/>
      <x:c r="I104" s="432"/>
      <x:c r="J104" s="432"/>
      <x:c r="K104" s="432"/>
      <x:c r="L104" s="432"/>
      <x:c r="M104" s="432"/>
      <x:c r="N104" s="432"/>
      <x:c r="O104" s="432"/>
      <x:c r="P104" s="432"/>
      <x:c r="Q104" s="432"/>
      <x:c r="R104" s="481" t="str">
        <x:f>IF('Deals'!A104="","",IF(COUNTIFS('Clients'!$A$6:$A$205,'Deals'!B104)&lt;&gt;1,"Unlinked",INDEX('Clients'!$G$6:$G$205,MATCH('Deals'!B104,'Clients'!$A$6:$A$205,0))))</x:f>
      </x:c>
      <x:c r="S104" s="482" t="str">
        <x:f>IF(AND('Deals'!A104&lt;&gt;"",'Deals'!E104="Completed",ISNUMBER('Deals'!Z104)),'Deals'!Z104,"")</x:f>
      </x:c>
    </x:row>
    <x:row r="105" ht="25" customHeight="1">
      <x:c r="A105" s="432"/>
      <x:c r="B105" s="432"/>
      <x:c r="C105" s="432"/>
      <x:c r="D105" s="432"/>
      <x:c r="E105" s="432"/>
      <x:c r="F105" s="432"/>
      <x:c r="G105" s="432"/>
      <x:c r="H105" s="432"/>
      <x:c r="I105" s="432"/>
      <x:c r="J105" s="432"/>
      <x:c r="K105" s="432"/>
      <x:c r="L105" s="432"/>
      <x:c r="M105" s="432"/>
      <x:c r="N105" s="432"/>
      <x:c r="O105" s="432"/>
      <x:c r="P105" s="432"/>
      <x:c r="Q105" s="432"/>
      <x:c r="R105" s="481" t="str">
        <x:f>IF('Deals'!A105="","",IF(COUNTIFS('Clients'!$A$6:$A$205,'Deals'!B105)&lt;&gt;1,"Unlinked",INDEX('Clients'!$G$6:$G$205,MATCH('Deals'!B105,'Clients'!$A$6:$A$205,0))))</x:f>
      </x:c>
      <x:c r="S105" s="482" t="str">
        <x:f>IF(AND('Deals'!A105&lt;&gt;"",'Deals'!E105="Completed",ISNUMBER('Deals'!Z105)),'Deals'!Z105,"")</x:f>
      </x:c>
    </x:row>
    <x:row r="106" ht="25" customHeight="1">
      <x:c r="A106" s="432"/>
      <x:c r="B106" s="432"/>
      <x:c r="C106" s="432"/>
      <x:c r="D106" s="432"/>
      <x:c r="E106" s="432"/>
      <x:c r="F106" s="432"/>
      <x:c r="G106" s="432"/>
      <x:c r="H106" s="432"/>
      <x:c r="I106" s="432"/>
      <x:c r="J106" s="432"/>
      <x:c r="K106" s="432"/>
      <x:c r="L106" s="432"/>
      <x:c r="M106" s="432"/>
      <x:c r="N106" s="432"/>
      <x:c r="O106" s="432"/>
      <x:c r="P106" s="432"/>
      <x:c r="Q106" s="432"/>
      <x:c r="R106" s="481" t="str">
        <x:f>IF('Deals'!A106="","",IF(COUNTIFS('Clients'!$A$6:$A$205,'Deals'!B106)&lt;&gt;1,"Unlinked",INDEX('Clients'!$G$6:$G$205,MATCH('Deals'!B106,'Clients'!$A$6:$A$205,0))))</x:f>
      </x:c>
      <x:c r="S106" s="482" t="str">
        <x:f>IF(AND('Deals'!A106&lt;&gt;"",'Deals'!E106="Completed",ISNUMBER('Deals'!Z106)),'Deals'!Z106,"")</x:f>
      </x:c>
    </x:row>
    <x:row r="107" ht="25" customHeight="1">
      <x:c r="A107" s="432"/>
      <x:c r="B107" s="432"/>
      <x:c r="C107" s="432"/>
      <x:c r="D107" s="432"/>
      <x:c r="E107" s="432"/>
      <x:c r="F107" s="432"/>
      <x:c r="G107" s="432"/>
      <x:c r="H107" s="432"/>
      <x:c r="I107" s="432"/>
      <x:c r="J107" s="432"/>
      <x:c r="K107" s="432"/>
      <x:c r="L107" s="432"/>
      <x:c r="M107" s="432"/>
      <x:c r="N107" s="432"/>
      <x:c r="O107" s="432"/>
      <x:c r="P107" s="432"/>
      <x:c r="Q107" s="432"/>
      <x:c r="R107" s="481" t="str">
        <x:f>IF('Deals'!A107="","",IF(COUNTIFS('Clients'!$A$6:$A$205,'Deals'!B107)&lt;&gt;1,"Unlinked",INDEX('Clients'!$G$6:$G$205,MATCH('Deals'!B107,'Clients'!$A$6:$A$205,0))))</x:f>
      </x:c>
      <x:c r="S107" s="482" t="str">
        <x:f>IF(AND('Deals'!A107&lt;&gt;"",'Deals'!E107="Completed",ISNUMBER('Deals'!Z107)),'Deals'!Z107,"")</x:f>
      </x:c>
    </x:row>
    <x:row r="108" ht="25" customHeight="1">
      <x:c r="A108" s="432"/>
      <x:c r="B108" s="432"/>
      <x:c r="C108" s="432"/>
      <x:c r="D108" s="432"/>
      <x:c r="E108" s="432"/>
      <x:c r="F108" s="432"/>
      <x:c r="G108" s="432"/>
      <x:c r="H108" s="432"/>
      <x:c r="I108" s="432"/>
      <x:c r="J108" s="432"/>
      <x:c r="K108" s="432"/>
      <x:c r="L108" s="432"/>
      <x:c r="M108" s="432"/>
      <x:c r="N108" s="432"/>
      <x:c r="O108" s="432"/>
      <x:c r="P108" s="432"/>
      <x:c r="Q108" s="432"/>
      <x:c r="R108" s="481" t="str">
        <x:f>IF('Deals'!A108="","",IF(COUNTIFS('Clients'!$A$6:$A$205,'Deals'!B108)&lt;&gt;1,"Unlinked",INDEX('Clients'!$G$6:$G$205,MATCH('Deals'!B108,'Clients'!$A$6:$A$205,0))))</x:f>
      </x:c>
      <x:c r="S108" s="482" t="str">
        <x:f>IF(AND('Deals'!A108&lt;&gt;"",'Deals'!E108="Completed",ISNUMBER('Deals'!Z108)),'Deals'!Z108,"")</x:f>
      </x:c>
    </x:row>
    <x:row r="109" ht="25" customHeight="1">
      <x:c r="A109" s="432"/>
      <x:c r="B109" s="432"/>
      <x:c r="C109" s="432"/>
      <x:c r="D109" s="432"/>
      <x:c r="E109" s="432"/>
      <x:c r="F109" s="432"/>
      <x:c r="G109" s="432"/>
      <x:c r="H109" s="432"/>
      <x:c r="I109" s="432"/>
      <x:c r="J109" s="432"/>
      <x:c r="K109" s="432"/>
      <x:c r="L109" s="432"/>
      <x:c r="M109" s="432"/>
      <x:c r="N109" s="432"/>
      <x:c r="O109" s="432"/>
      <x:c r="P109" s="432"/>
      <x:c r="Q109" s="432"/>
      <x:c r="R109" s="481" t="str">
        <x:f>IF('Deals'!A109="","",IF(COUNTIFS('Clients'!$A$6:$A$205,'Deals'!B109)&lt;&gt;1,"Unlinked",INDEX('Clients'!$G$6:$G$205,MATCH('Deals'!B109,'Clients'!$A$6:$A$205,0))))</x:f>
      </x:c>
      <x:c r="S109" s="482" t="str">
        <x:f>IF(AND('Deals'!A109&lt;&gt;"",'Deals'!E109="Completed",ISNUMBER('Deals'!Z109)),'Deals'!Z109,"")</x:f>
      </x:c>
    </x:row>
    <x:row r="110" ht="25" customHeight="1">
      <x:c r="A110" s="432"/>
      <x:c r="B110" s="432"/>
      <x:c r="C110" s="432"/>
      <x:c r="D110" s="432"/>
      <x:c r="E110" s="432"/>
      <x:c r="F110" s="432"/>
      <x:c r="G110" s="432"/>
      <x:c r="H110" s="432"/>
      <x:c r="I110" s="432"/>
      <x:c r="J110" s="432"/>
      <x:c r="K110" s="432"/>
      <x:c r="L110" s="432"/>
      <x:c r="M110" s="432"/>
      <x:c r="N110" s="432"/>
      <x:c r="O110" s="432"/>
      <x:c r="P110" s="432"/>
      <x:c r="Q110" s="432"/>
      <x:c r="R110" s="481" t="str">
        <x:f>IF('Deals'!A110="","",IF(COUNTIFS('Clients'!$A$6:$A$205,'Deals'!B110)&lt;&gt;1,"Unlinked",INDEX('Clients'!$G$6:$G$205,MATCH('Deals'!B110,'Clients'!$A$6:$A$205,0))))</x:f>
      </x:c>
      <x:c r="S110" s="482" t="str">
        <x:f>IF(AND('Deals'!A110&lt;&gt;"",'Deals'!E110="Completed",ISNUMBER('Deals'!Z110)),'Deals'!Z110,"")</x:f>
      </x:c>
    </x:row>
    <x:row r="111" ht="25" customHeight="1">
      <x:c r="A111" s="432"/>
      <x:c r="B111" s="432"/>
      <x:c r="C111" s="432"/>
      <x:c r="D111" s="432"/>
      <x:c r="E111" s="432"/>
      <x:c r="F111" s="432"/>
      <x:c r="G111" s="432"/>
      <x:c r="H111" s="432"/>
      <x:c r="I111" s="432"/>
      <x:c r="J111" s="432"/>
      <x:c r="K111" s="432"/>
      <x:c r="L111" s="432"/>
      <x:c r="M111" s="432"/>
      <x:c r="N111" s="432"/>
      <x:c r="O111" s="432"/>
      <x:c r="P111" s="432"/>
      <x:c r="Q111" s="432"/>
      <x:c r="R111" s="481" t="str">
        <x:f>IF('Deals'!A111="","",IF(COUNTIFS('Clients'!$A$6:$A$205,'Deals'!B111)&lt;&gt;1,"Unlinked",INDEX('Clients'!$G$6:$G$205,MATCH('Deals'!B111,'Clients'!$A$6:$A$205,0))))</x:f>
      </x:c>
      <x:c r="S111" s="482" t="str">
        <x:f>IF(AND('Deals'!A111&lt;&gt;"",'Deals'!E111="Completed",ISNUMBER('Deals'!Z111)),'Deals'!Z111,"")</x:f>
      </x:c>
    </x:row>
    <x:row r="112" ht="25" customHeight="1">
      <x:c r="A112" s="432"/>
      <x:c r="B112" s="432"/>
      <x:c r="C112" s="432"/>
      <x:c r="D112" s="432"/>
      <x:c r="E112" s="432"/>
      <x:c r="F112" s="432"/>
      <x:c r="G112" s="432"/>
      <x:c r="H112" s="432"/>
      <x:c r="I112" s="432"/>
      <x:c r="J112" s="432"/>
      <x:c r="K112" s="432"/>
      <x:c r="L112" s="432"/>
      <x:c r="M112" s="432"/>
      <x:c r="N112" s="432"/>
      <x:c r="O112" s="432"/>
      <x:c r="P112" s="432"/>
      <x:c r="Q112" s="432"/>
      <x:c r="R112" s="481" t="str">
        <x:f>IF('Deals'!A112="","",IF(COUNTIFS('Clients'!$A$6:$A$205,'Deals'!B112)&lt;&gt;1,"Unlinked",INDEX('Clients'!$G$6:$G$205,MATCH('Deals'!B112,'Clients'!$A$6:$A$205,0))))</x:f>
      </x:c>
      <x:c r="S112" s="482" t="str">
        <x:f>IF(AND('Deals'!A112&lt;&gt;"",'Deals'!E112="Completed",ISNUMBER('Deals'!Z112)),'Deals'!Z112,"")</x:f>
      </x:c>
    </x:row>
    <x:row r="113" ht="25" customHeight="1">
      <x:c r="A113" s="432"/>
      <x:c r="B113" s="432"/>
      <x:c r="C113" s="432"/>
      <x:c r="D113" s="432"/>
      <x:c r="E113" s="432"/>
      <x:c r="F113" s="432"/>
      <x:c r="G113" s="432"/>
      <x:c r="H113" s="432"/>
      <x:c r="I113" s="432"/>
      <x:c r="J113" s="432"/>
      <x:c r="K113" s="432"/>
      <x:c r="L113" s="432"/>
      <x:c r="M113" s="432"/>
      <x:c r="N113" s="432"/>
      <x:c r="O113" s="432"/>
      <x:c r="P113" s="432"/>
      <x:c r="Q113" s="432"/>
      <x:c r="R113" s="481" t="str">
        <x:f>IF('Deals'!A113="","",IF(COUNTIFS('Clients'!$A$6:$A$205,'Deals'!B113)&lt;&gt;1,"Unlinked",INDEX('Clients'!$G$6:$G$205,MATCH('Deals'!B113,'Clients'!$A$6:$A$205,0))))</x:f>
      </x:c>
      <x:c r="S113" s="482" t="str">
        <x:f>IF(AND('Deals'!A113&lt;&gt;"",'Deals'!E113="Completed",ISNUMBER('Deals'!Z113)),'Deals'!Z113,"")</x:f>
      </x:c>
    </x:row>
    <x:row r="114" ht="25" customHeight="1">
      <x:c r="A114" s="432"/>
      <x:c r="B114" s="432"/>
      <x:c r="C114" s="432"/>
      <x:c r="D114" s="432"/>
      <x:c r="E114" s="432"/>
      <x:c r="F114" s="432"/>
      <x:c r="G114" s="432"/>
      <x:c r="H114" s="432"/>
      <x:c r="I114" s="432"/>
      <x:c r="J114" s="432"/>
      <x:c r="K114" s="432"/>
      <x:c r="L114" s="432"/>
      <x:c r="M114" s="432"/>
      <x:c r="N114" s="432"/>
      <x:c r="O114" s="432"/>
      <x:c r="P114" s="432"/>
      <x:c r="Q114" s="432"/>
      <x:c r="R114" s="481" t="str">
        <x:f>IF('Deals'!A114="","",IF(COUNTIFS('Clients'!$A$6:$A$205,'Deals'!B114)&lt;&gt;1,"Unlinked",INDEX('Clients'!$G$6:$G$205,MATCH('Deals'!B114,'Clients'!$A$6:$A$205,0))))</x:f>
      </x:c>
      <x:c r="S114" s="482" t="str">
        <x:f>IF(AND('Deals'!A114&lt;&gt;"",'Deals'!E114="Completed",ISNUMBER('Deals'!Z114)),'Deals'!Z114,"")</x:f>
      </x:c>
    </x:row>
    <x:row r="115" ht="25" customHeight="1">
      <x:c r="A115" s="432"/>
      <x:c r="B115" s="432"/>
      <x:c r="C115" s="432"/>
      <x:c r="D115" s="432"/>
      <x:c r="E115" s="432"/>
      <x:c r="F115" s="432"/>
      <x:c r="G115" s="432"/>
      <x:c r="H115" s="432"/>
      <x:c r="I115" s="432"/>
      <x:c r="J115" s="432"/>
      <x:c r="K115" s="432"/>
      <x:c r="L115" s="432"/>
      <x:c r="M115" s="432"/>
      <x:c r="N115" s="432"/>
      <x:c r="O115" s="432"/>
      <x:c r="P115" s="432"/>
      <x:c r="Q115" s="432"/>
      <x:c r="R115" s="481" t="str">
        <x:f>IF('Deals'!A115="","",IF(COUNTIFS('Clients'!$A$6:$A$205,'Deals'!B115)&lt;&gt;1,"Unlinked",INDEX('Clients'!$G$6:$G$205,MATCH('Deals'!B115,'Clients'!$A$6:$A$205,0))))</x:f>
      </x:c>
      <x:c r="S115" s="482" t="str">
        <x:f>IF(AND('Deals'!A115&lt;&gt;"",'Deals'!E115="Completed",ISNUMBER('Deals'!Z115)),'Deals'!Z115,"")</x:f>
      </x:c>
    </x:row>
    <x:row r="116" ht="25" customHeight="1">
      <x:c r="A116" s="432"/>
      <x:c r="B116" s="432"/>
      <x:c r="C116" s="432"/>
      <x:c r="D116" s="432"/>
      <x:c r="E116" s="432"/>
      <x:c r="F116" s="432"/>
      <x:c r="G116" s="432"/>
      <x:c r="H116" s="432"/>
      <x:c r="I116" s="432"/>
      <x:c r="J116" s="432"/>
      <x:c r="K116" s="432"/>
      <x:c r="L116" s="432"/>
      <x:c r="M116" s="432"/>
      <x:c r="N116" s="432"/>
      <x:c r="O116" s="432"/>
      <x:c r="P116" s="432"/>
      <x:c r="Q116" s="432"/>
      <x:c r="R116" s="481" t="str">
        <x:f>IF('Deals'!A116="","",IF(COUNTIFS('Clients'!$A$6:$A$205,'Deals'!B116)&lt;&gt;1,"Unlinked",INDEX('Clients'!$G$6:$G$205,MATCH('Deals'!B116,'Clients'!$A$6:$A$205,0))))</x:f>
      </x:c>
      <x:c r="S116" s="482" t="str">
        <x:f>IF(AND('Deals'!A116&lt;&gt;"",'Deals'!E116="Completed",ISNUMBER('Deals'!Z116)),'Deals'!Z116,"")</x:f>
      </x:c>
    </x:row>
    <x:row r="117" ht="25" customHeight="1">
      <x:c r="A117" s="432"/>
      <x:c r="B117" s="432"/>
      <x:c r="C117" s="432"/>
      <x:c r="D117" s="432"/>
      <x:c r="E117" s="432"/>
      <x:c r="F117" s="432"/>
      <x:c r="G117" s="432"/>
      <x:c r="H117" s="432"/>
      <x:c r="I117" s="432"/>
      <x:c r="J117" s="432"/>
      <x:c r="K117" s="432"/>
      <x:c r="L117" s="432"/>
      <x:c r="M117" s="432"/>
      <x:c r="N117" s="432"/>
      <x:c r="O117" s="432"/>
      <x:c r="P117" s="432"/>
      <x:c r="Q117" s="432"/>
      <x:c r="R117" s="481" t="str">
        <x:f>IF('Deals'!A117="","",IF(COUNTIFS('Clients'!$A$6:$A$205,'Deals'!B117)&lt;&gt;1,"Unlinked",INDEX('Clients'!$G$6:$G$205,MATCH('Deals'!B117,'Clients'!$A$6:$A$205,0))))</x:f>
      </x:c>
      <x:c r="S117" s="482" t="str">
        <x:f>IF(AND('Deals'!A117&lt;&gt;"",'Deals'!E117="Completed",ISNUMBER('Deals'!Z117)),'Deals'!Z117,"")</x:f>
      </x:c>
    </x:row>
    <x:row r="118" ht="25" customHeight="1">
      <x:c r="A118" s="432"/>
      <x:c r="B118" s="432"/>
      <x:c r="C118" s="432"/>
      <x:c r="D118" s="432"/>
      <x:c r="E118" s="432"/>
      <x:c r="F118" s="432"/>
      <x:c r="G118" s="432"/>
      <x:c r="H118" s="432"/>
      <x:c r="I118" s="432"/>
      <x:c r="J118" s="432"/>
      <x:c r="K118" s="432"/>
      <x:c r="L118" s="432"/>
      <x:c r="M118" s="432"/>
      <x:c r="N118" s="432"/>
      <x:c r="O118" s="432"/>
      <x:c r="P118" s="432"/>
      <x:c r="Q118" s="432"/>
      <x:c r="R118" s="481" t="str">
        <x:f>IF('Deals'!A118="","",IF(COUNTIFS('Clients'!$A$6:$A$205,'Deals'!B118)&lt;&gt;1,"Unlinked",INDEX('Clients'!$G$6:$G$205,MATCH('Deals'!B118,'Clients'!$A$6:$A$205,0))))</x:f>
      </x:c>
      <x:c r="S118" s="482" t="str">
        <x:f>IF(AND('Deals'!A118&lt;&gt;"",'Deals'!E118="Completed",ISNUMBER('Deals'!Z118)),'Deals'!Z118,"")</x:f>
      </x:c>
    </x:row>
    <x:row r="119" ht="25" customHeight="1">
      <x:c r="A119" s="432"/>
      <x:c r="B119" s="432"/>
      <x:c r="C119" s="432"/>
      <x:c r="D119" s="432"/>
      <x:c r="E119" s="432"/>
      <x:c r="F119" s="432"/>
      <x:c r="G119" s="432"/>
      <x:c r="H119" s="432"/>
      <x:c r="I119" s="432"/>
      <x:c r="J119" s="432"/>
      <x:c r="K119" s="432"/>
      <x:c r="L119" s="432"/>
      <x:c r="M119" s="432"/>
      <x:c r="N119" s="432"/>
      <x:c r="O119" s="432"/>
      <x:c r="P119" s="432"/>
      <x:c r="Q119" s="432"/>
      <x:c r="R119" s="481" t="str">
        <x:f>IF('Deals'!A119="","",IF(COUNTIFS('Clients'!$A$6:$A$205,'Deals'!B119)&lt;&gt;1,"Unlinked",INDEX('Clients'!$G$6:$G$205,MATCH('Deals'!B119,'Clients'!$A$6:$A$205,0))))</x:f>
      </x:c>
      <x:c r="S119" s="482" t="str">
        <x:f>IF(AND('Deals'!A119&lt;&gt;"",'Deals'!E119="Completed",ISNUMBER('Deals'!Z119)),'Deals'!Z119,"")</x:f>
      </x:c>
    </x:row>
    <x:row r="120" ht="25" customHeight="1">
      <x:c r="A120" s="432"/>
      <x:c r="B120" s="432"/>
      <x:c r="C120" s="432"/>
      <x:c r="D120" s="432"/>
      <x:c r="E120" s="432"/>
      <x:c r="F120" s="432"/>
      <x:c r="G120" s="432"/>
      <x:c r="H120" s="432"/>
      <x:c r="I120" s="432"/>
      <x:c r="J120" s="432"/>
      <x:c r="K120" s="432"/>
      <x:c r="L120" s="432"/>
      <x:c r="M120" s="432"/>
      <x:c r="N120" s="432"/>
      <x:c r="O120" s="432"/>
      <x:c r="P120" s="432"/>
      <x:c r="Q120" s="432"/>
      <x:c r="R120" s="481" t="str">
        <x:f>IF('Deals'!A120="","",IF(COUNTIFS('Clients'!$A$6:$A$205,'Deals'!B120)&lt;&gt;1,"Unlinked",INDEX('Clients'!$G$6:$G$205,MATCH('Deals'!B120,'Clients'!$A$6:$A$205,0))))</x:f>
      </x:c>
      <x:c r="S120" s="482" t="str">
        <x:f>IF(AND('Deals'!A120&lt;&gt;"",'Deals'!E120="Completed",ISNUMBER('Deals'!Z120)),'Deals'!Z120,"")</x:f>
      </x:c>
    </x:row>
    <x:row r="121" ht="25" customHeight="1">
      <x:c r="A121" s="432"/>
      <x:c r="B121" s="432"/>
      <x:c r="C121" s="432"/>
      <x:c r="D121" s="432"/>
      <x:c r="E121" s="432"/>
      <x:c r="F121" s="432"/>
      <x:c r="G121" s="432"/>
      <x:c r="H121" s="432"/>
      <x:c r="I121" s="432"/>
      <x:c r="J121" s="432"/>
      <x:c r="K121" s="432"/>
      <x:c r="L121" s="432"/>
      <x:c r="M121" s="432"/>
      <x:c r="N121" s="432"/>
      <x:c r="O121" s="432"/>
      <x:c r="P121" s="432"/>
      <x:c r="Q121" s="432"/>
      <x:c r="R121" s="481" t="str">
        <x:f>IF('Deals'!A121="","",IF(COUNTIFS('Clients'!$A$6:$A$205,'Deals'!B121)&lt;&gt;1,"Unlinked",INDEX('Clients'!$G$6:$G$205,MATCH('Deals'!B121,'Clients'!$A$6:$A$205,0))))</x:f>
      </x:c>
      <x:c r="S121" s="482" t="str">
        <x:f>IF(AND('Deals'!A121&lt;&gt;"",'Deals'!E121="Completed",ISNUMBER('Deals'!Z121)),'Deals'!Z121,"")</x:f>
      </x:c>
    </x:row>
    <x:row r="122" ht="25" customHeight="1">
      <x:c r="A122" s="432"/>
      <x:c r="B122" s="432"/>
      <x:c r="C122" s="432"/>
      <x:c r="D122" s="432"/>
      <x:c r="E122" s="432"/>
      <x:c r="F122" s="432"/>
      <x:c r="G122" s="432"/>
      <x:c r="H122" s="432"/>
      <x:c r="I122" s="432"/>
      <x:c r="J122" s="432"/>
      <x:c r="K122" s="432"/>
      <x:c r="L122" s="432"/>
      <x:c r="M122" s="432"/>
      <x:c r="N122" s="432"/>
      <x:c r="O122" s="432"/>
      <x:c r="P122" s="432"/>
      <x:c r="Q122" s="432"/>
      <x:c r="R122" s="481" t="str">
        <x:f>IF('Deals'!A122="","",IF(COUNTIFS('Clients'!$A$6:$A$205,'Deals'!B122)&lt;&gt;1,"Unlinked",INDEX('Clients'!$G$6:$G$205,MATCH('Deals'!B122,'Clients'!$A$6:$A$205,0))))</x:f>
      </x:c>
      <x:c r="S122" s="482" t="str">
        <x:f>IF(AND('Deals'!A122&lt;&gt;"",'Deals'!E122="Completed",ISNUMBER('Deals'!Z122)),'Deals'!Z122,"")</x:f>
      </x:c>
    </x:row>
    <x:row r="123" ht="25" customHeight="1">
      <x:c r="A123" s="432"/>
      <x:c r="B123" s="432"/>
      <x:c r="C123" s="432"/>
      <x:c r="D123" s="432"/>
      <x:c r="E123" s="432"/>
      <x:c r="F123" s="432"/>
      <x:c r="G123" s="432"/>
      <x:c r="H123" s="432"/>
      <x:c r="I123" s="432"/>
      <x:c r="J123" s="432"/>
      <x:c r="K123" s="432"/>
      <x:c r="L123" s="432"/>
      <x:c r="M123" s="432"/>
      <x:c r="N123" s="432"/>
      <x:c r="O123" s="432"/>
      <x:c r="P123" s="432"/>
      <x:c r="Q123" s="432"/>
      <x:c r="R123" s="481" t="str">
        <x:f>IF('Deals'!A123="","",IF(COUNTIFS('Clients'!$A$6:$A$205,'Deals'!B123)&lt;&gt;1,"Unlinked",INDEX('Clients'!$G$6:$G$205,MATCH('Deals'!B123,'Clients'!$A$6:$A$205,0))))</x:f>
      </x:c>
      <x:c r="S123" s="482" t="str">
        <x:f>IF(AND('Deals'!A123&lt;&gt;"",'Deals'!E123="Completed",ISNUMBER('Deals'!Z123)),'Deals'!Z123,"")</x:f>
      </x:c>
    </x:row>
    <x:row r="124" ht="25" customHeight="1">
      <x:c r="A124" s="432"/>
      <x:c r="B124" s="432"/>
      <x:c r="C124" s="432"/>
      <x:c r="D124" s="432"/>
      <x:c r="E124" s="432"/>
      <x:c r="F124" s="432"/>
      <x:c r="G124" s="432"/>
      <x:c r="H124" s="432"/>
      <x:c r="I124" s="432"/>
      <x:c r="J124" s="432"/>
      <x:c r="K124" s="432"/>
      <x:c r="L124" s="432"/>
      <x:c r="M124" s="432"/>
      <x:c r="N124" s="432"/>
      <x:c r="O124" s="432"/>
      <x:c r="P124" s="432"/>
      <x:c r="Q124" s="432"/>
      <x:c r="R124" s="481" t="str">
        <x:f>IF('Deals'!A124="","",IF(COUNTIFS('Clients'!$A$6:$A$205,'Deals'!B124)&lt;&gt;1,"Unlinked",INDEX('Clients'!$G$6:$G$205,MATCH('Deals'!B124,'Clients'!$A$6:$A$205,0))))</x:f>
      </x:c>
      <x:c r="S124" s="482" t="str">
        <x:f>IF(AND('Deals'!A124&lt;&gt;"",'Deals'!E124="Completed",ISNUMBER('Deals'!Z124)),'Deals'!Z124,"")</x:f>
      </x:c>
    </x:row>
    <x:row r="125" ht="25" customHeight="1">
      <x:c r="A125" s="432"/>
      <x:c r="B125" s="432"/>
      <x:c r="C125" s="432"/>
      <x:c r="D125" s="432"/>
      <x:c r="E125" s="432"/>
      <x:c r="F125" s="432"/>
      <x:c r="G125" s="432"/>
      <x:c r="H125" s="432"/>
      <x:c r="I125" s="432"/>
      <x:c r="J125" s="432"/>
      <x:c r="K125" s="432"/>
      <x:c r="L125" s="432"/>
      <x:c r="M125" s="432"/>
      <x:c r="N125" s="432"/>
      <x:c r="O125" s="432"/>
      <x:c r="P125" s="432"/>
      <x:c r="Q125" s="432"/>
      <x:c r="R125" s="481" t="str">
        <x:f>IF('Deals'!A125="","",IF(COUNTIFS('Clients'!$A$6:$A$205,'Deals'!B125)&lt;&gt;1,"Unlinked",INDEX('Clients'!$G$6:$G$205,MATCH('Deals'!B125,'Clients'!$A$6:$A$205,0))))</x:f>
      </x:c>
      <x:c r="S125" s="482" t="str">
        <x:f>IF(AND('Deals'!A125&lt;&gt;"",'Deals'!E125="Completed",ISNUMBER('Deals'!Z125)),'Deals'!Z125,"")</x:f>
      </x:c>
    </x:row>
    <x:row r="126" ht="25" customHeight="1">
      <x:c r="A126" s="432"/>
      <x:c r="B126" s="432"/>
      <x:c r="C126" s="432"/>
      <x:c r="D126" s="432"/>
      <x:c r="E126" s="432"/>
      <x:c r="F126" s="432"/>
      <x:c r="G126" s="432"/>
      <x:c r="H126" s="432"/>
      <x:c r="I126" s="432"/>
      <x:c r="J126" s="432"/>
      <x:c r="K126" s="432"/>
      <x:c r="L126" s="432"/>
      <x:c r="M126" s="432"/>
      <x:c r="N126" s="432"/>
      <x:c r="O126" s="432"/>
      <x:c r="P126" s="432"/>
      <x:c r="Q126" s="432"/>
      <x:c r="R126" s="481" t="str">
        <x:f>IF('Deals'!A126="","",IF(COUNTIFS('Clients'!$A$6:$A$205,'Deals'!B126)&lt;&gt;1,"Unlinked",INDEX('Clients'!$G$6:$G$205,MATCH('Deals'!B126,'Clients'!$A$6:$A$205,0))))</x:f>
      </x:c>
      <x:c r="S126" s="482" t="str">
        <x:f>IF(AND('Deals'!A126&lt;&gt;"",'Deals'!E126="Completed",ISNUMBER('Deals'!Z126)),'Deals'!Z126,"")</x:f>
      </x:c>
    </x:row>
    <x:row r="127" ht="25" customHeight="1">
      <x:c r="A127" s="432"/>
      <x:c r="B127" s="432"/>
      <x:c r="C127" s="432"/>
      <x:c r="D127" s="432"/>
      <x:c r="E127" s="432"/>
      <x:c r="F127" s="432"/>
      <x:c r="G127" s="432"/>
      <x:c r="H127" s="432"/>
      <x:c r="I127" s="432"/>
      <x:c r="J127" s="432"/>
      <x:c r="K127" s="432"/>
      <x:c r="L127" s="432"/>
      <x:c r="M127" s="432"/>
      <x:c r="N127" s="432"/>
      <x:c r="O127" s="432"/>
      <x:c r="P127" s="432"/>
      <x:c r="Q127" s="432"/>
      <x:c r="R127" s="481" t="str">
        <x:f>IF('Deals'!A127="","",IF(COUNTIFS('Clients'!$A$6:$A$205,'Deals'!B127)&lt;&gt;1,"Unlinked",INDEX('Clients'!$G$6:$G$205,MATCH('Deals'!B127,'Clients'!$A$6:$A$205,0))))</x:f>
      </x:c>
      <x:c r="S127" s="482" t="str">
        <x:f>IF(AND('Deals'!A127&lt;&gt;"",'Deals'!E127="Completed",ISNUMBER('Deals'!Z127)),'Deals'!Z127,"")</x:f>
      </x:c>
    </x:row>
    <x:row r="128" ht="25" customHeight="1">
      <x:c r="A128" s="432"/>
      <x:c r="B128" s="432"/>
      <x:c r="C128" s="432"/>
      <x:c r="D128" s="432"/>
      <x:c r="E128" s="432"/>
      <x:c r="F128" s="432"/>
      <x:c r="G128" s="432"/>
      <x:c r="H128" s="432"/>
      <x:c r="I128" s="432"/>
      <x:c r="J128" s="432"/>
      <x:c r="K128" s="432"/>
      <x:c r="L128" s="432"/>
      <x:c r="M128" s="432"/>
      <x:c r="N128" s="432"/>
      <x:c r="O128" s="432"/>
      <x:c r="P128" s="432"/>
      <x:c r="Q128" s="432"/>
      <x:c r="R128" s="481" t="str">
        <x:f>IF('Deals'!A128="","",IF(COUNTIFS('Clients'!$A$6:$A$205,'Deals'!B128)&lt;&gt;1,"Unlinked",INDEX('Clients'!$G$6:$G$205,MATCH('Deals'!B128,'Clients'!$A$6:$A$205,0))))</x:f>
      </x:c>
      <x:c r="S128" s="482" t="str">
        <x:f>IF(AND('Deals'!A128&lt;&gt;"",'Deals'!E128="Completed",ISNUMBER('Deals'!Z128)),'Deals'!Z128,"")</x:f>
      </x:c>
    </x:row>
    <x:row r="129" ht="25" customHeight="1">
      <x:c r="A129" s="432"/>
      <x:c r="B129" s="432"/>
      <x:c r="C129" s="432"/>
      <x:c r="D129" s="432"/>
      <x:c r="E129" s="432"/>
      <x:c r="F129" s="432"/>
      <x:c r="G129" s="432"/>
      <x:c r="H129" s="432"/>
      <x:c r="I129" s="432"/>
      <x:c r="J129" s="432"/>
      <x:c r="K129" s="432"/>
      <x:c r="L129" s="432"/>
      <x:c r="M129" s="432"/>
      <x:c r="N129" s="432"/>
      <x:c r="O129" s="432"/>
      <x:c r="P129" s="432"/>
      <x:c r="Q129" s="432"/>
      <x:c r="R129" s="481" t="str">
        <x:f>IF('Deals'!A129="","",IF(COUNTIFS('Clients'!$A$6:$A$205,'Deals'!B129)&lt;&gt;1,"Unlinked",INDEX('Clients'!$G$6:$G$205,MATCH('Deals'!B129,'Clients'!$A$6:$A$205,0))))</x:f>
      </x:c>
      <x:c r="S129" s="482" t="str">
        <x:f>IF(AND('Deals'!A129&lt;&gt;"",'Deals'!E129="Completed",ISNUMBER('Deals'!Z129)),'Deals'!Z129,"")</x:f>
      </x:c>
    </x:row>
    <x:row r="130" ht="25" customHeight="1">
      <x:c r="A130" s="432"/>
      <x:c r="B130" s="432"/>
      <x:c r="C130" s="432"/>
      <x:c r="D130" s="432"/>
      <x:c r="E130" s="432"/>
      <x:c r="F130" s="432"/>
      <x:c r="G130" s="432"/>
      <x:c r="H130" s="432"/>
      <x:c r="I130" s="432"/>
      <x:c r="J130" s="432"/>
      <x:c r="K130" s="432"/>
      <x:c r="L130" s="432"/>
      <x:c r="M130" s="432"/>
      <x:c r="N130" s="432"/>
      <x:c r="O130" s="432"/>
      <x:c r="P130" s="432"/>
      <x:c r="Q130" s="432"/>
      <x:c r="R130" s="481" t="str">
        <x:f>IF('Deals'!A130="","",IF(COUNTIFS('Clients'!$A$6:$A$205,'Deals'!B130)&lt;&gt;1,"Unlinked",INDEX('Clients'!$G$6:$G$205,MATCH('Deals'!B130,'Clients'!$A$6:$A$205,0))))</x:f>
      </x:c>
      <x:c r="S130" s="482" t="str">
        <x:f>IF(AND('Deals'!A130&lt;&gt;"",'Deals'!E130="Completed",ISNUMBER('Deals'!Z130)),'Deals'!Z130,"")</x:f>
      </x:c>
    </x:row>
    <x:row r="131" ht="25" customHeight="1">
      <x:c r="A131" s="432"/>
      <x:c r="B131" s="432"/>
      <x:c r="C131" s="432"/>
      <x:c r="D131" s="432"/>
      <x:c r="E131" s="432"/>
      <x:c r="F131" s="432"/>
      <x:c r="G131" s="432"/>
      <x:c r="H131" s="432"/>
      <x:c r="I131" s="432"/>
      <x:c r="J131" s="432"/>
      <x:c r="K131" s="432"/>
      <x:c r="L131" s="432"/>
      <x:c r="M131" s="432"/>
      <x:c r="N131" s="432"/>
      <x:c r="O131" s="432"/>
      <x:c r="P131" s="432"/>
      <x:c r="Q131" s="432"/>
      <x:c r="R131" s="481" t="str">
        <x:f>IF('Deals'!A131="","",IF(COUNTIFS('Clients'!$A$6:$A$205,'Deals'!B131)&lt;&gt;1,"Unlinked",INDEX('Clients'!$G$6:$G$205,MATCH('Deals'!B131,'Clients'!$A$6:$A$205,0))))</x:f>
      </x:c>
      <x:c r="S131" s="482" t="str">
        <x:f>IF(AND('Deals'!A131&lt;&gt;"",'Deals'!E131="Completed",ISNUMBER('Deals'!Z131)),'Deals'!Z131,"")</x:f>
      </x:c>
    </x:row>
    <x:row r="132" ht="25" customHeight="1">
      <x:c r="A132" s="432"/>
      <x:c r="B132" s="432"/>
      <x:c r="C132" s="432"/>
      <x:c r="D132" s="432"/>
      <x:c r="E132" s="432"/>
      <x:c r="F132" s="432"/>
      <x:c r="G132" s="432"/>
      <x:c r="H132" s="432"/>
      <x:c r="I132" s="432"/>
      <x:c r="J132" s="432"/>
      <x:c r="K132" s="432"/>
      <x:c r="L132" s="432"/>
      <x:c r="M132" s="432"/>
      <x:c r="N132" s="432"/>
      <x:c r="O132" s="432"/>
      <x:c r="P132" s="432"/>
      <x:c r="Q132" s="432"/>
      <x:c r="R132" s="481" t="str">
        <x:f>IF('Deals'!A132="","",IF(COUNTIFS('Clients'!$A$6:$A$205,'Deals'!B132)&lt;&gt;1,"Unlinked",INDEX('Clients'!$G$6:$G$205,MATCH('Deals'!B132,'Clients'!$A$6:$A$205,0))))</x:f>
      </x:c>
      <x:c r="S132" s="482" t="str">
        <x:f>IF(AND('Deals'!A132&lt;&gt;"",'Deals'!E132="Completed",ISNUMBER('Deals'!Z132)),'Deals'!Z132,"")</x:f>
      </x:c>
    </x:row>
    <x:row r="133" ht="25" customHeight="1">
      <x:c r="A133" s="432"/>
      <x:c r="B133" s="432"/>
      <x:c r="C133" s="432"/>
      <x:c r="D133" s="432"/>
      <x:c r="E133" s="432"/>
      <x:c r="F133" s="432"/>
      <x:c r="G133" s="432"/>
      <x:c r="H133" s="432"/>
      <x:c r="I133" s="432"/>
      <x:c r="J133" s="432"/>
      <x:c r="K133" s="432"/>
      <x:c r="L133" s="432"/>
      <x:c r="M133" s="432"/>
      <x:c r="N133" s="432"/>
      <x:c r="O133" s="432"/>
      <x:c r="P133" s="432"/>
      <x:c r="Q133" s="432"/>
      <x:c r="R133" s="481" t="str">
        <x:f>IF('Deals'!A133="","",IF(COUNTIFS('Clients'!$A$6:$A$205,'Deals'!B133)&lt;&gt;1,"Unlinked",INDEX('Clients'!$G$6:$G$205,MATCH('Deals'!B133,'Clients'!$A$6:$A$205,0))))</x:f>
      </x:c>
      <x:c r="S133" s="482" t="str">
        <x:f>IF(AND('Deals'!A133&lt;&gt;"",'Deals'!E133="Completed",ISNUMBER('Deals'!Z133)),'Deals'!Z133,"")</x:f>
      </x:c>
    </x:row>
    <x:row r="134" ht="25" customHeight="1">
      <x:c r="A134" s="432"/>
      <x:c r="B134" s="432"/>
      <x:c r="C134" s="432"/>
      <x:c r="D134" s="432"/>
      <x:c r="E134" s="432"/>
      <x:c r="F134" s="432"/>
      <x:c r="G134" s="432"/>
      <x:c r="H134" s="432"/>
      <x:c r="I134" s="432"/>
      <x:c r="J134" s="432"/>
      <x:c r="K134" s="432"/>
      <x:c r="L134" s="432"/>
      <x:c r="M134" s="432"/>
      <x:c r="N134" s="432"/>
      <x:c r="O134" s="432"/>
      <x:c r="P134" s="432"/>
      <x:c r="Q134" s="432"/>
      <x:c r="R134" s="481" t="str">
        <x:f>IF('Deals'!A134="","",IF(COUNTIFS('Clients'!$A$6:$A$205,'Deals'!B134)&lt;&gt;1,"Unlinked",INDEX('Clients'!$G$6:$G$205,MATCH('Deals'!B134,'Clients'!$A$6:$A$205,0))))</x:f>
      </x:c>
      <x:c r="S134" s="482" t="str">
        <x:f>IF(AND('Deals'!A134&lt;&gt;"",'Deals'!E134="Completed",ISNUMBER('Deals'!Z134)),'Deals'!Z134,"")</x:f>
      </x:c>
    </x:row>
    <x:row r="135" ht="25" customHeight="1">
      <x:c r="A135" s="432"/>
      <x:c r="B135" s="432"/>
      <x:c r="C135" s="432"/>
      <x:c r="D135" s="432"/>
      <x:c r="E135" s="432"/>
      <x:c r="F135" s="432"/>
      <x:c r="G135" s="432"/>
      <x:c r="H135" s="432"/>
      <x:c r="I135" s="432"/>
      <x:c r="J135" s="432"/>
      <x:c r="K135" s="432"/>
      <x:c r="L135" s="432"/>
      <x:c r="M135" s="432"/>
      <x:c r="N135" s="432"/>
      <x:c r="O135" s="432"/>
      <x:c r="P135" s="432"/>
      <x:c r="Q135" s="432"/>
      <x:c r="R135" s="481" t="str">
        <x:f>IF('Deals'!A135="","",IF(COUNTIFS('Clients'!$A$6:$A$205,'Deals'!B135)&lt;&gt;1,"Unlinked",INDEX('Clients'!$G$6:$G$205,MATCH('Deals'!B135,'Clients'!$A$6:$A$205,0))))</x:f>
      </x:c>
      <x:c r="S135" s="482" t="str">
        <x:f>IF(AND('Deals'!A135&lt;&gt;"",'Deals'!E135="Completed",ISNUMBER('Deals'!Z135)),'Deals'!Z135,"")</x:f>
      </x:c>
    </x:row>
    <x:row r="136" ht="25" customHeight="1">
      <x:c r="A136" s="432"/>
      <x:c r="B136" s="432"/>
      <x:c r="C136" s="432"/>
      <x:c r="D136" s="432"/>
      <x:c r="E136" s="432"/>
      <x:c r="F136" s="432"/>
      <x:c r="G136" s="432"/>
      <x:c r="H136" s="432"/>
      <x:c r="I136" s="432"/>
      <x:c r="J136" s="432"/>
      <x:c r="K136" s="432"/>
      <x:c r="L136" s="432"/>
      <x:c r="M136" s="432"/>
      <x:c r="N136" s="432"/>
      <x:c r="O136" s="432"/>
      <x:c r="P136" s="432"/>
      <x:c r="Q136" s="432"/>
      <x:c r="R136" s="481" t="str">
        <x:f>IF('Deals'!A136="","",IF(COUNTIFS('Clients'!$A$6:$A$205,'Deals'!B136)&lt;&gt;1,"Unlinked",INDEX('Clients'!$G$6:$G$205,MATCH('Deals'!B136,'Clients'!$A$6:$A$205,0))))</x:f>
      </x:c>
      <x:c r="S136" s="482" t="str">
        <x:f>IF(AND('Deals'!A136&lt;&gt;"",'Deals'!E136="Completed",ISNUMBER('Deals'!Z136)),'Deals'!Z136,"")</x:f>
      </x:c>
    </x:row>
    <x:row r="137" ht="25" customHeight="1">
      <x:c r="A137" s="432"/>
      <x:c r="B137" s="432"/>
      <x:c r="C137" s="432"/>
      <x:c r="D137" s="432"/>
      <x:c r="E137" s="432"/>
      <x:c r="F137" s="432"/>
      <x:c r="G137" s="432"/>
      <x:c r="H137" s="432"/>
      <x:c r="I137" s="432"/>
      <x:c r="J137" s="432"/>
      <x:c r="K137" s="432"/>
      <x:c r="L137" s="432"/>
      <x:c r="M137" s="432"/>
      <x:c r="N137" s="432"/>
      <x:c r="O137" s="432"/>
      <x:c r="P137" s="432"/>
      <x:c r="Q137" s="432"/>
      <x:c r="R137" s="481" t="str">
        <x:f>IF('Deals'!A137="","",IF(COUNTIFS('Clients'!$A$6:$A$205,'Deals'!B137)&lt;&gt;1,"Unlinked",INDEX('Clients'!$G$6:$G$205,MATCH('Deals'!B137,'Clients'!$A$6:$A$205,0))))</x:f>
      </x:c>
      <x:c r="S137" s="482" t="str">
        <x:f>IF(AND('Deals'!A137&lt;&gt;"",'Deals'!E137="Completed",ISNUMBER('Deals'!Z137)),'Deals'!Z137,"")</x:f>
      </x:c>
    </x:row>
    <x:row r="138" ht="25" customHeight="1">
      <x:c r="A138" s="432"/>
      <x:c r="B138" s="432"/>
      <x:c r="C138" s="432"/>
      <x:c r="D138" s="432"/>
      <x:c r="E138" s="432"/>
      <x:c r="F138" s="432"/>
      <x:c r="G138" s="432"/>
      <x:c r="H138" s="432"/>
      <x:c r="I138" s="432"/>
      <x:c r="J138" s="432"/>
      <x:c r="K138" s="432"/>
      <x:c r="L138" s="432"/>
      <x:c r="M138" s="432"/>
      <x:c r="N138" s="432"/>
      <x:c r="O138" s="432"/>
      <x:c r="P138" s="432"/>
      <x:c r="Q138" s="432"/>
      <x:c r="R138" s="481" t="str">
        <x:f>IF('Deals'!A138="","",IF(COUNTIFS('Clients'!$A$6:$A$205,'Deals'!B138)&lt;&gt;1,"Unlinked",INDEX('Clients'!$G$6:$G$205,MATCH('Deals'!B138,'Clients'!$A$6:$A$205,0))))</x:f>
      </x:c>
      <x:c r="S138" s="482" t="str">
        <x:f>IF(AND('Deals'!A138&lt;&gt;"",'Deals'!E138="Completed",ISNUMBER('Deals'!Z138)),'Deals'!Z138,"")</x:f>
      </x:c>
    </x:row>
    <x:row r="139" ht="25" customHeight="1">
      <x:c r="A139" s="432"/>
      <x:c r="B139" s="432"/>
      <x:c r="C139" s="432"/>
      <x:c r="D139" s="432"/>
      <x:c r="E139" s="432"/>
      <x:c r="F139" s="432"/>
      <x:c r="G139" s="432"/>
      <x:c r="H139" s="432"/>
      <x:c r="I139" s="432"/>
      <x:c r="J139" s="432"/>
      <x:c r="K139" s="432"/>
      <x:c r="L139" s="432"/>
      <x:c r="M139" s="432"/>
      <x:c r="N139" s="432"/>
      <x:c r="O139" s="432"/>
      <x:c r="P139" s="432"/>
      <x:c r="Q139" s="432"/>
      <x:c r="R139" s="481" t="str">
        <x:f>IF('Deals'!A139="","",IF(COUNTIFS('Clients'!$A$6:$A$205,'Deals'!B139)&lt;&gt;1,"Unlinked",INDEX('Clients'!$G$6:$G$205,MATCH('Deals'!B139,'Clients'!$A$6:$A$205,0))))</x:f>
      </x:c>
      <x:c r="S139" s="482" t="str">
        <x:f>IF(AND('Deals'!A139&lt;&gt;"",'Deals'!E139="Completed",ISNUMBER('Deals'!Z139)),'Deals'!Z139,"")</x:f>
      </x:c>
    </x:row>
    <x:row r="140" ht="25" customHeight="1">
      <x:c r="A140" s="432"/>
      <x:c r="B140" s="432"/>
      <x:c r="C140" s="432"/>
      <x:c r="D140" s="432"/>
      <x:c r="E140" s="432"/>
      <x:c r="F140" s="432"/>
      <x:c r="G140" s="432"/>
      <x:c r="H140" s="432"/>
      <x:c r="I140" s="432"/>
      <x:c r="J140" s="432"/>
      <x:c r="K140" s="432"/>
      <x:c r="L140" s="432"/>
      <x:c r="M140" s="432"/>
      <x:c r="N140" s="432"/>
      <x:c r="O140" s="432"/>
      <x:c r="P140" s="432"/>
      <x:c r="Q140" s="432"/>
      <x:c r="R140" s="481" t="str">
        <x:f>IF('Deals'!A140="","",IF(COUNTIFS('Clients'!$A$6:$A$205,'Deals'!B140)&lt;&gt;1,"Unlinked",INDEX('Clients'!$G$6:$G$205,MATCH('Deals'!B140,'Clients'!$A$6:$A$205,0))))</x:f>
      </x:c>
      <x:c r="S140" s="482" t="str">
        <x:f>IF(AND('Deals'!A140&lt;&gt;"",'Deals'!E140="Completed",ISNUMBER('Deals'!Z140)),'Deals'!Z140,"")</x:f>
      </x:c>
    </x:row>
    <x:row r="141" ht="25" customHeight="1">
      <x:c r="A141" s="432"/>
      <x:c r="B141" s="432"/>
      <x:c r="C141" s="432"/>
      <x:c r="D141" s="432"/>
      <x:c r="E141" s="432"/>
      <x:c r="F141" s="432"/>
      <x:c r="G141" s="432"/>
      <x:c r="H141" s="432"/>
      <x:c r="I141" s="432"/>
      <x:c r="J141" s="432"/>
      <x:c r="K141" s="432"/>
      <x:c r="L141" s="432"/>
      <x:c r="M141" s="432"/>
      <x:c r="N141" s="432"/>
      <x:c r="O141" s="432"/>
      <x:c r="P141" s="432"/>
      <x:c r="Q141" s="432"/>
      <x:c r="R141" s="481" t="str">
        <x:f>IF('Deals'!A141="","",IF(COUNTIFS('Clients'!$A$6:$A$205,'Deals'!B141)&lt;&gt;1,"Unlinked",INDEX('Clients'!$G$6:$G$205,MATCH('Deals'!B141,'Clients'!$A$6:$A$205,0))))</x:f>
      </x:c>
      <x:c r="S141" s="482" t="str">
        <x:f>IF(AND('Deals'!A141&lt;&gt;"",'Deals'!E141="Completed",ISNUMBER('Deals'!Z141)),'Deals'!Z141,"")</x:f>
      </x:c>
    </x:row>
    <x:row r="142" ht="25" customHeight="1">
      <x:c r="A142" s="432"/>
      <x:c r="B142" s="432"/>
      <x:c r="C142" s="432"/>
      <x:c r="D142" s="432"/>
      <x:c r="E142" s="432"/>
      <x:c r="F142" s="432"/>
      <x:c r="G142" s="432"/>
      <x:c r="H142" s="432"/>
      <x:c r="I142" s="432"/>
      <x:c r="J142" s="432"/>
      <x:c r="K142" s="432"/>
      <x:c r="L142" s="432"/>
      <x:c r="M142" s="432"/>
      <x:c r="N142" s="432"/>
      <x:c r="O142" s="432"/>
      <x:c r="P142" s="432"/>
      <x:c r="Q142" s="432"/>
      <x:c r="R142" s="481" t="str">
        <x:f>IF('Deals'!A142="","",IF(COUNTIFS('Clients'!$A$6:$A$205,'Deals'!B142)&lt;&gt;1,"Unlinked",INDEX('Clients'!$G$6:$G$205,MATCH('Deals'!B142,'Clients'!$A$6:$A$205,0))))</x:f>
      </x:c>
      <x:c r="S142" s="482" t="str">
        <x:f>IF(AND('Deals'!A142&lt;&gt;"",'Deals'!E142="Completed",ISNUMBER('Deals'!Z142)),'Deals'!Z142,"")</x:f>
      </x:c>
    </x:row>
    <x:row r="143" ht="25" customHeight="1">
      <x:c r="A143" s="432"/>
      <x:c r="B143" s="432"/>
      <x:c r="C143" s="432"/>
      <x:c r="D143" s="432"/>
      <x:c r="E143" s="432"/>
      <x:c r="F143" s="432"/>
      <x:c r="G143" s="432"/>
      <x:c r="H143" s="432"/>
      <x:c r="I143" s="432"/>
      <x:c r="J143" s="432"/>
      <x:c r="K143" s="432"/>
      <x:c r="L143" s="432"/>
      <x:c r="M143" s="432"/>
      <x:c r="N143" s="432"/>
      <x:c r="O143" s="432"/>
      <x:c r="P143" s="432"/>
      <x:c r="Q143" s="432"/>
      <x:c r="R143" s="481" t="str">
        <x:f>IF('Deals'!A143="","",IF(COUNTIFS('Clients'!$A$6:$A$205,'Deals'!B143)&lt;&gt;1,"Unlinked",INDEX('Clients'!$G$6:$G$205,MATCH('Deals'!B143,'Clients'!$A$6:$A$205,0))))</x:f>
      </x:c>
      <x:c r="S143" s="482" t="str">
        <x:f>IF(AND('Deals'!A143&lt;&gt;"",'Deals'!E143="Completed",ISNUMBER('Deals'!Z143)),'Deals'!Z143,"")</x:f>
      </x:c>
    </x:row>
    <x:row r="144" ht="25" customHeight="1">
      <x:c r="A144" s="432"/>
      <x:c r="B144" s="432"/>
      <x:c r="C144" s="432"/>
      <x:c r="D144" s="432"/>
      <x:c r="E144" s="432"/>
      <x:c r="F144" s="432"/>
      <x:c r="G144" s="432"/>
      <x:c r="H144" s="432"/>
      <x:c r="I144" s="432"/>
      <x:c r="J144" s="432"/>
      <x:c r="K144" s="432"/>
      <x:c r="L144" s="432"/>
      <x:c r="M144" s="432"/>
      <x:c r="N144" s="432"/>
      <x:c r="O144" s="432"/>
      <x:c r="P144" s="432"/>
      <x:c r="Q144" s="432"/>
      <x:c r="R144" s="481" t="str">
        <x:f>IF('Deals'!A144="","",IF(COUNTIFS('Clients'!$A$6:$A$205,'Deals'!B144)&lt;&gt;1,"Unlinked",INDEX('Clients'!$G$6:$G$205,MATCH('Deals'!B144,'Clients'!$A$6:$A$205,0))))</x:f>
      </x:c>
      <x:c r="S144" s="482" t="str">
        <x:f>IF(AND('Deals'!A144&lt;&gt;"",'Deals'!E144="Completed",ISNUMBER('Deals'!Z144)),'Deals'!Z144,"")</x:f>
      </x:c>
    </x:row>
    <x:row r="145" ht="25" customHeight="1">
      <x:c r="A145" s="432"/>
      <x:c r="B145" s="432"/>
      <x:c r="C145" s="432"/>
      <x:c r="D145" s="432"/>
      <x:c r="E145" s="432"/>
      <x:c r="F145" s="432"/>
      <x:c r="G145" s="432"/>
      <x:c r="H145" s="432"/>
      <x:c r="I145" s="432"/>
      <x:c r="J145" s="432"/>
      <x:c r="K145" s="432"/>
      <x:c r="L145" s="432"/>
      <x:c r="M145" s="432"/>
      <x:c r="N145" s="432"/>
      <x:c r="O145" s="432"/>
      <x:c r="P145" s="432"/>
      <x:c r="Q145" s="432"/>
      <x:c r="R145" s="481" t="str">
        <x:f>IF('Deals'!A145="","",IF(COUNTIFS('Clients'!$A$6:$A$205,'Deals'!B145)&lt;&gt;1,"Unlinked",INDEX('Clients'!$G$6:$G$205,MATCH('Deals'!B145,'Clients'!$A$6:$A$205,0))))</x:f>
      </x:c>
      <x:c r="S145" s="482" t="str">
        <x:f>IF(AND('Deals'!A145&lt;&gt;"",'Deals'!E145="Completed",ISNUMBER('Deals'!Z145)),'Deals'!Z145,"")</x:f>
      </x:c>
    </x:row>
    <x:row r="146" ht="25" customHeight="1">
      <x:c r="A146" s="432"/>
      <x:c r="B146" s="432"/>
      <x:c r="C146" s="432"/>
      <x:c r="D146" s="432"/>
      <x:c r="E146" s="432"/>
      <x:c r="F146" s="432"/>
      <x:c r="G146" s="432"/>
      <x:c r="H146" s="432"/>
      <x:c r="I146" s="432"/>
      <x:c r="J146" s="432"/>
      <x:c r="K146" s="432"/>
      <x:c r="L146" s="432"/>
      <x:c r="M146" s="432"/>
      <x:c r="N146" s="432"/>
      <x:c r="O146" s="432"/>
      <x:c r="P146" s="432"/>
      <x:c r="Q146" s="432"/>
      <x:c r="R146" s="481" t="str">
        <x:f>IF('Deals'!A146="","",IF(COUNTIFS('Clients'!$A$6:$A$205,'Deals'!B146)&lt;&gt;1,"Unlinked",INDEX('Clients'!$G$6:$G$205,MATCH('Deals'!B146,'Clients'!$A$6:$A$205,0))))</x:f>
      </x:c>
      <x:c r="S146" s="482" t="str">
        <x:f>IF(AND('Deals'!A146&lt;&gt;"",'Deals'!E146="Completed",ISNUMBER('Deals'!Z146)),'Deals'!Z146,"")</x:f>
      </x:c>
    </x:row>
    <x:row r="147" ht="25" customHeight="1">
      <x:c r="A147" s="432"/>
      <x:c r="B147" s="432"/>
      <x:c r="C147" s="432"/>
      <x:c r="D147" s="432"/>
      <x:c r="E147" s="432"/>
      <x:c r="F147" s="432"/>
      <x:c r="G147" s="432"/>
      <x:c r="H147" s="432"/>
      <x:c r="I147" s="432"/>
      <x:c r="J147" s="432"/>
      <x:c r="K147" s="432"/>
      <x:c r="L147" s="432"/>
      <x:c r="M147" s="432"/>
      <x:c r="N147" s="432"/>
      <x:c r="O147" s="432"/>
      <x:c r="P147" s="432"/>
      <x:c r="Q147" s="432"/>
      <x:c r="R147" s="481" t="str">
        <x:f>IF('Deals'!A147="","",IF(COUNTIFS('Clients'!$A$6:$A$205,'Deals'!B147)&lt;&gt;1,"Unlinked",INDEX('Clients'!$G$6:$G$205,MATCH('Deals'!B147,'Clients'!$A$6:$A$205,0))))</x:f>
      </x:c>
      <x:c r="S147" s="482" t="str">
        <x:f>IF(AND('Deals'!A147&lt;&gt;"",'Deals'!E147="Completed",ISNUMBER('Deals'!Z147)),'Deals'!Z147,"")</x:f>
      </x:c>
    </x:row>
    <x:row r="148" ht="25" customHeight="1">
      <x:c r="A148" s="432"/>
      <x:c r="B148" s="432"/>
      <x:c r="C148" s="432"/>
      <x:c r="D148" s="432"/>
      <x:c r="E148" s="432"/>
      <x:c r="F148" s="432"/>
      <x:c r="G148" s="432"/>
      <x:c r="H148" s="432"/>
      <x:c r="I148" s="432"/>
      <x:c r="J148" s="432"/>
      <x:c r="K148" s="432"/>
      <x:c r="L148" s="432"/>
      <x:c r="M148" s="432"/>
      <x:c r="N148" s="432"/>
      <x:c r="O148" s="432"/>
      <x:c r="P148" s="432"/>
      <x:c r="Q148" s="432"/>
      <x:c r="R148" s="481" t="str">
        <x:f>IF('Deals'!A148="","",IF(COUNTIFS('Clients'!$A$6:$A$205,'Deals'!B148)&lt;&gt;1,"Unlinked",INDEX('Clients'!$G$6:$G$205,MATCH('Deals'!B148,'Clients'!$A$6:$A$205,0))))</x:f>
      </x:c>
      <x:c r="S148" s="482" t="str">
        <x:f>IF(AND('Deals'!A148&lt;&gt;"",'Deals'!E148="Completed",ISNUMBER('Deals'!Z148)),'Deals'!Z148,"")</x:f>
      </x:c>
    </x:row>
    <x:row r="149" ht="25" customHeight="1">
      <x:c r="A149" s="432"/>
      <x:c r="B149" s="432"/>
      <x:c r="C149" s="432"/>
      <x:c r="D149" s="432"/>
      <x:c r="E149" s="432"/>
      <x:c r="F149" s="432"/>
      <x:c r="G149" s="432"/>
      <x:c r="H149" s="432"/>
      <x:c r="I149" s="432"/>
      <x:c r="J149" s="432"/>
      <x:c r="K149" s="432"/>
      <x:c r="L149" s="432"/>
      <x:c r="M149" s="432"/>
      <x:c r="N149" s="432"/>
      <x:c r="O149" s="432"/>
      <x:c r="P149" s="432"/>
      <x:c r="Q149" s="432"/>
      <x:c r="R149" s="481" t="str">
        <x:f>IF('Deals'!A149="","",IF(COUNTIFS('Clients'!$A$6:$A$205,'Deals'!B149)&lt;&gt;1,"Unlinked",INDEX('Clients'!$G$6:$G$205,MATCH('Deals'!B149,'Clients'!$A$6:$A$205,0))))</x:f>
      </x:c>
      <x:c r="S149" s="482" t="str">
        <x:f>IF(AND('Deals'!A149&lt;&gt;"",'Deals'!E149="Completed",ISNUMBER('Deals'!Z149)),'Deals'!Z149,"")</x:f>
      </x:c>
    </x:row>
    <x:row r="150" ht="25" customHeight="1">
      <x:c r="A150" s="432"/>
      <x:c r="B150" s="432"/>
      <x:c r="C150" s="432"/>
      <x:c r="D150" s="432"/>
      <x:c r="E150" s="432"/>
      <x:c r="F150" s="432"/>
      <x:c r="G150" s="432"/>
      <x:c r="H150" s="432"/>
      <x:c r="I150" s="432"/>
      <x:c r="J150" s="432"/>
      <x:c r="K150" s="432"/>
      <x:c r="L150" s="432"/>
      <x:c r="M150" s="432"/>
      <x:c r="N150" s="432"/>
      <x:c r="O150" s="432"/>
      <x:c r="P150" s="432"/>
      <x:c r="Q150" s="432"/>
      <x:c r="R150" s="481" t="str">
        <x:f>IF('Deals'!A150="","",IF(COUNTIFS('Clients'!$A$6:$A$205,'Deals'!B150)&lt;&gt;1,"Unlinked",INDEX('Clients'!$G$6:$G$205,MATCH('Deals'!B150,'Clients'!$A$6:$A$205,0))))</x:f>
      </x:c>
      <x:c r="S150" s="482" t="str">
        <x:f>IF(AND('Deals'!A150&lt;&gt;"",'Deals'!E150="Completed",ISNUMBER('Deals'!Z150)),'Deals'!Z150,"")</x:f>
      </x:c>
    </x:row>
    <x:row r="151" ht="25" customHeight="1">
      <x:c r="A151" s="432"/>
      <x:c r="B151" s="432"/>
      <x:c r="C151" s="432"/>
      <x:c r="D151" s="432"/>
      <x:c r="E151" s="432"/>
      <x:c r="F151" s="432"/>
      <x:c r="G151" s="432"/>
      <x:c r="H151" s="432"/>
      <x:c r="I151" s="432"/>
      <x:c r="J151" s="432"/>
      <x:c r="K151" s="432"/>
      <x:c r="L151" s="432"/>
      <x:c r="M151" s="432"/>
      <x:c r="N151" s="432"/>
      <x:c r="O151" s="432"/>
      <x:c r="P151" s="432"/>
      <x:c r="Q151" s="432"/>
      <x:c r="R151" s="481" t="str">
        <x:f>IF('Deals'!A151="","",IF(COUNTIFS('Clients'!$A$6:$A$205,'Deals'!B151)&lt;&gt;1,"Unlinked",INDEX('Clients'!$G$6:$G$205,MATCH('Deals'!B151,'Clients'!$A$6:$A$205,0))))</x:f>
      </x:c>
      <x:c r="S151" s="482" t="str">
        <x:f>IF(AND('Deals'!A151&lt;&gt;"",'Deals'!E151="Completed",ISNUMBER('Deals'!Z151)),'Deals'!Z151,"")</x:f>
      </x:c>
    </x:row>
    <x:row r="152" ht="25" customHeight="1">
      <x:c r="A152" s="432"/>
      <x:c r="B152" s="432"/>
      <x:c r="C152" s="432"/>
      <x:c r="D152" s="432"/>
      <x:c r="E152" s="432"/>
      <x:c r="F152" s="432"/>
      <x:c r="G152" s="432"/>
      <x:c r="H152" s="432"/>
      <x:c r="I152" s="432"/>
      <x:c r="J152" s="432"/>
      <x:c r="K152" s="432"/>
      <x:c r="L152" s="432"/>
      <x:c r="M152" s="432"/>
      <x:c r="N152" s="432"/>
      <x:c r="O152" s="432"/>
      <x:c r="P152" s="432"/>
      <x:c r="Q152" s="432"/>
      <x:c r="R152" s="481" t="str">
        <x:f>IF('Deals'!A152="","",IF(COUNTIFS('Clients'!$A$6:$A$205,'Deals'!B152)&lt;&gt;1,"Unlinked",INDEX('Clients'!$G$6:$G$205,MATCH('Deals'!B152,'Clients'!$A$6:$A$205,0))))</x:f>
      </x:c>
      <x:c r="S152" s="482" t="str">
        <x:f>IF(AND('Deals'!A152&lt;&gt;"",'Deals'!E152="Completed",ISNUMBER('Deals'!Z152)),'Deals'!Z152,"")</x:f>
      </x:c>
    </x:row>
    <x:row r="153" ht="25" customHeight="1">
      <x:c r="A153" s="432"/>
      <x:c r="B153" s="432"/>
      <x:c r="C153" s="432"/>
      <x:c r="D153" s="432"/>
      <x:c r="E153" s="432"/>
      <x:c r="F153" s="432"/>
      <x:c r="G153" s="432"/>
      <x:c r="H153" s="432"/>
      <x:c r="I153" s="432"/>
      <x:c r="J153" s="432"/>
      <x:c r="K153" s="432"/>
      <x:c r="L153" s="432"/>
      <x:c r="M153" s="432"/>
      <x:c r="N153" s="432"/>
      <x:c r="O153" s="432"/>
      <x:c r="P153" s="432"/>
      <x:c r="Q153" s="432"/>
      <x:c r="R153" s="481" t="str">
        <x:f>IF('Deals'!A153="","",IF(COUNTIFS('Clients'!$A$6:$A$205,'Deals'!B153)&lt;&gt;1,"Unlinked",INDEX('Clients'!$G$6:$G$205,MATCH('Deals'!B153,'Clients'!$A$6:$A$205,0))))</x:f>
      </x:c>
      <x:c r="S153" s="482" t="str">
        <x:f>IF(AND('Deals'!A153&lt;&gt;"",'Deals'!E153="Completed",ISNUMBER('Deals'!Z153)),'Deals'!Z153,"")</x:f>
      </x:c>
    </x:row>
    <x:row r="154" ht="25" customHeight="1">
      <x:c r="A154" s="432"/>
      <x:c r="B154" s="432"/>
      <x:c r="C154" s="432"/>
      <x:c r="D154" s="432"/>
      <x:c r="E154" s="432"/>
      <x:c r="F154" s="432"/>
      <x:c r="G154" s="432"/>
      <x:c r="H154" s="432"/>
      <x:c r="I154" s="432"/>
      <x:c r="J154" s="432"/>
      <x:c r="K154" s="432"/>
      <x:c r="L154" s="432"/>
      <x:c r="M154" s="432"/>
      <x:c r="N154" s="432"/>
      <x:c r="O154" s="432"/>
      <x:c r="P154" s="432"/>
      <x:c r="Q154" s="432"/>
      <x:c r="R154" s="481" t="str">
        <x:f>IF('Deals'!A154="","",IF(COUNTIFS('Clients'!$A$6:$A$205,'Deals'!B154)&lt;&gt;1,"Unlinked",INDEX('Clients'!$G$6:$G$205,MATCH('Deals'!B154,'Clients'!$A$6:$A$205,0))))</x:f>
      </x:c>
      <x:c r="S154" s="482" t="str">
        <x:f>IF(AND('Deals'!A154&lt;&gt;"",'Deals'!E154="Completed",ISNUMBER('Deals'!Z154)),'Deals'!Z154,"")</x:f>
      </x:c>
    </x:row>
    <x:row r="155" ht="25" customHeight="1">
      <x:c r="A155" s="432"/>
      <x:c r="B155" s="432"/>
      <x:c r="C155" s="432"/>
      <x:c r="D155" s="432"/>
      <x:c r="E155" s="432"/>
      <x:c r="F155" s="432"/>
      <x:c r="G155" s="432"/>
      <x:c r="H155" s="432"/>
      <x:c r="I155" s="432"/>
      <x:c r="J155" s="432"/>
      <x:c r="K155" s="432"/>
      <x:c r="L155" s="432"/>
      <x:c r="M155" s="432"/>
      <x:c r="N155" s="432"/>
      <x:c r="O155" s="432"/>
      <x:c r="P155" s="432"/>
      <x:c r="Q155" s="432"/>
      <x:c r="R155" s="481" t="str">
        <x:f>IF('Deals'!A155="","",IF(COUNTIFS('Clients'!$A$6:$A$205,'Deals'!B155)&lt;&gt;1,"Unlinked",INDEX('Clients'!$G$6:$G$205,MATCH('Deals'!B155,'Clients'!$A$6:$A$205,0))))</x:f>
      </x:c>
      <x:c r="S155" s="482" t="str">
        <x:f>IF(AND('Deals'!A155&lt;&gt;"",'Deals'!E155="Completed",ISNUMBER('Deals'!Z155)),'Deals'!Z155,"")</x:f>
      </x:c>
    </x:row>
    <x:row r="156" ht="25" customHeight="1">
      <x:c r="A156" s="432"/>
      <x:c r="B156" s="432"/>
      <x:c r="C156" s="432"/>
      <x:c r="D156" s="432"/>
      <x:c r="E156" s="432"/>
      <x:c r="F156" s="432"/>
      <x:c r="G156" s="432"/>
      <x:c r="H156" s="432"/>
      <x:c r="I156" s="432"/>
      <x:c r="J156" s="432"/>
      <x:c r="K156" s="432"/>
      <x:c r="L156" s="432"/>
      <x:c r="M156" s="432"/>
      <x:c r="N156" s="432"/>
      <x:c r="O156" s="432"/>
      <x:c r="P156" s="432"/>
      <x:c r="Q156" s="432"/>
      <x:c r="R156" s="481" t="str">
        <x:f>IF('Deals'!A156="","",IF(COUNTIFS('Clients'!$A$6:$A$205,'Deals'!B156)&lt;&gt;1,"Unlinked",INDEX('Clients'!$G$6:$G$205,MATCH('Deals'!B156,'Clients'!$A$6:$A$205,0))))</x:f>
      </x:c>
      <x:c r="S156" s="482" t="str">
        <x:f>IF(AND('Deals'!A156&lt;&gt;"",'Deals'!E156="Completed",ISNUMBER('Deals'!Z156)),'Deals'!Z156,"")</x:f>
      </x:c>
    </x:row>
    <x:row r="157" ht="25" customHeight="1">
      <x:c r="A157" s="432"/>
      <x:c r="B157" s="432"/>
      <x:c r="C157" s="432"/>
      <x:c r="D157" s="432"/>
      <x:c r="E157" s="432"/>
      <x:c r="F157" s="432"/>
      <x:c r="G157" s="432"/>
      <x:c r="H157" s="432"/>
      <x:c r="I157" s="432"/>
      <x:c r="J157" s="432"/>
      <x:c r="K157" s="432"/>
      <x:c r="L157" s="432"/>
      <x:c r="M157" s="432"/>
      <x:c r="N157" s="432"/>
      <x:c r="O157" s="432"/>
      <x:c r="P157" s="432"/>
      <x:c r="Q157" s="432"/>
      <x:c r="R157" s="481" t="str">
        <x:f>IF('Deals'!A157="","",IF(COUNTIFS('Clients'!$A$6:$A$205,'Deals'!B157)&lt;&gt;1,"Unlinked",INDEX('Clients'!$G$6:$G$205,MATCH('Deals'!B157,'Clients'!$A$6:$A$205,0))))</x:f>
      </x:c>
      <x:c r="S157" s="482" t="str">
        <x:f>IF(AND('Deals'!A157&lt;&gt;"",'Deals'!E157="Completed",ISNUMBER('Deals'!Z157)),'Deals'!Z157,"")</x:f>
      </x:c>
    </x:row>
    <x:row r="158" ht="25" customHeight="1">
      <x:c r="A158" s="432"/>
      <x:c r="B158" s="432"/>
      <x:c r="C158" s="432"/>
      <x:c r="D158" s="432"/>
      <x:c r="E158" s="432"/>
      <x:c r="F158" s="432"/>
      <x:c r="G158" s="432"/>
      <x:c r="H158" s="432"/>
      <x:c r="I158" s="432"/>
      <x:c r="J158" s="432"/>
      <x:c r="K158" s="432"/>
      <x:c r="L158" s="432"/>
      <x:c r="M158" s="432"/>
      <x:c r="N158" s="432"/>
      <x:c r="O158" s="432"/>
      <x:c r="P158" s="432"/>
      <x:c r="Q158" s="432"/>
      <x:c r="R158" s="481" t="str">
        <x:f>IF('Deals'!A158="","",IF(COUNTIFS('Clients'!$A$6:$A$205,'Deals'!B158)&lt;&gt;1,"Unlinked",INDEX('Clients'!$G$6:$G$205,MATCH('Deals'!B158,'Clients'!$A$6:$A$205,0))))</x:f>
      </x:c>
      <x:c r="S158" s="482" t="str">
        <x:f>IF(AND('Deals'!A158&lt;&gt;"",'Deals'!E158="Completed",ISNUMBER('Deals'!Z158)),'Deals'!Z158,"")</x:f>
      </x:c>
    </x:row>
    <x:row r="159" ht="25" customHeight="1">
      <x:c r="A159" s="432"/>
      <x:c r="B159" s="432"/>
      <x:c r="C159" s="432"/>
      <x:c r="D159" s="432"/>
      <x:c r="E159" s="432"/>
      <x:c r="F159" s="432"/>
      <x:c r="G159" s="432"/>
      <x:c r="H159" s="432"/>
      <x:c r="I159" s="432"/>
      <x:c r="J159" s="432"/>
      <x:c r="K159" s="432"/>
      <x:c r="L159" s="432"/>
      <x:c r="M159" s="432"/>
      <x:c r="N159" s="432"/>
      <x:c r="O159" s="432"/>
      <x:c r="P159" s="432"/>
      <x:c r="Q159" s="432"/>
      <x:c r="R159" s="481" t="str">
        <x:f>IF('Deals'!A159="","",IF(COUNTIFS('Clients'!$A$6:$A$205,'Deals'!B159)&lt;&gt;1,"Unlinked",INDEX('Clients'!$G$6:$G$205,MATCH('Deals'!B159,'Clients'!$A$6:$A$205,0))))</x:f>
      </x:c>
      <x:c r="S159" s="482" t="str">
        <x:f>IF(AND('Deals'!A159&lt;&gt;"",'Deals'!E159="Completed",ISNUMBER('Deals'!Z159)),'Deals'!Z159,"")</x:f>
      </x:c>
    </x:row>
    <x:row r="160" ht="25" customHeight="1">
      <x:c r="A160" s="432"/>
      <x:c r="B160" s="432"/>
      <x:c r="C160" s="432"/>
      <x:c r="D160" s="432"/>
      <x:c r="E160" s="432"/>
      <x:c r="F160" s="432"/>
      <x:c r="G160" s="432"/>
      <x:c r="H160" s="432"/>
      <x:c r="I160" s="432"/>
      <x:c r="J160" s="432"/>
      <x:c r="K160" s="432"/>
      <x:c r="L160" s="432"/>
      <x:c r="M160" s="432"/>
      <x:c r="N160" s="432"/>
      <x:c r="O160" s="432"/>
      <x:c r="P160" s="432"/>
      <x:c r="Q160" s="432"/>
      <x:c r="R160" s="481" t="str">
        <x:f>IF('Deals'!A160="","",IF(COUNTIFS('Clients'!$A$6:$A$205,'Deals'!B160)&lt;&gt;1,"Unlinked",INDEX('Clients'!$G$6:$G$205,MATCH('Deals'!B160,'Clients'!$A$6:$A$205,0))))</x:f>
      </x:c>
      <x:c r="S160" s="482" t="str">
        <x:f>IF(AND('Deals'!A160&lt;&gt;"",'Deals'!E160="Completed",ISNUMBER('Deals'!Z160)),'Deals'!Z160,"")</x:f>
      </x:c>
    </x:row>
    <x:row r="161" ht="25" customHeight="1">
      <x:c r="A161" s="432"/>
      <x:c r="B161" s="432"/>
      <x:c r="C161" s="432"/>
      <x:c r="D161" s="432"/>
      <x:c r="E161" s="432"/>
      <x:c r="F161" s="432"/>
      <x:c r="G161" s="432"/>
      <x:c r="H161" s="432"/>
      <x:c r="I161" s="432"/>
      <x:c r="J161" s="432"/>
      <x:c r="K161" s="432"/>
      <x:c r="L161" s="432"/>
      <x:c r="M161" s="432"/>
      <x:c r="N161" s="432"/>
      <x:c r="O161" s="432"/>
      <x:c r="P161" s="432"/>
      <x:c r="Q161" s="432"/>
      <x:c r="R161" s="481" t="str">
        <x:f>IF('Deals'!A161="","",IF(COUNTIFS('Clients'!$A$6:$A$205,'Deals'!B161)&lt;&gt;1,"Unlinked",INDEX('Clients'!$G$6:$G$205,MATCH('Deals'!B161,'Clients'!$A$6:$A$205,0))))</x:f>
      </x:c>
      <x:c r="S161" s="482" t="str">
        <x:f>IF(AND('Deals'!A161&lt;&gt;"",'Deals'!E161="Completed",ISNUMBER('Deals'!Z161)),'Deals'!Z161,"")</x:f>
      </x:c>
    </x:row>
    <x:row r="162" ht="25" customHeight="1">
      <x:c r="A162" s="432"/>
      <x:c r="B162" s="432"/>
      <x:c r="C162" s="432"/>
      <x:c r="D162" s="432"/>
      <x:c r="E162" s="432"/>
      <x:c r="F162" s="432"/>
      <x:c r="G162" s="432"/>
      <x:c r="H162" s="432"/>
      <x:c r="I162" s="432"/>
      <x:c r="J162" s="432"/>
      <x:c r="K162" s="432"/>
      <x:c r="L162" s="432"/>
      <x:c r="M162" s="432"/>
      <x:c r="N162" s="432"/>
      <x:c r="O162" s="432"/>
      <x:c r="P162" s="432"/>
      <x:c r="Q162" s="432"/>
      <x:c r="R162" s="481" t="str">
        <x:f>IF('Deals'!A162="","",IF(COUNTIFS('Clients'!$A$6:$A$205,'Deals'!B162)&lt;&gt;1,"Unlinked",INDEX('Clients'!$G$6:$G$205,MATCH('Deals'!B162,'Clients'!$A$6:$A$205,0))))</x:f>
      </x:c>
      <x:c r="S162" s="482" t="str">
        <x:f>IF(AND('Deals'!A162&lt;&gt;"",'Deals'!E162="Completed",ISNUMBER('Deals'!Z162)),'Deals'!Z162,"")</x:f>
      </x:c>
    </x:row>
    <x:row r="163" ht="25" customHeight="1">
      <x:c r="A163" s="432"/>
      <x:c r="B163" s="432"/>
      <x:c r="C163" s="432"/>
      <x:c r="D163" s="432"/>
      <x:c r="E163" s="432"/>
      <x:c r="F163" s="432"/>
      <x:c r="G163" s="432"/>
      <x:c r="H163" s="432"/>
      <x:c r="I163" s="432"/>
      <x:c r="J163" s="432"/>
      <x:c r="K163" s="432"/>
      <x:c r="L163" s="432"/>
      <x:c r="M163" s="432"/>
      <x:c r="N163" s="432"/>
      <x:c r="O163" s="432"/>
      <x:c r="P163" s="432"/>
      <x:c r="Q163" s="432"/>
      <x:c r="R163" s="481" t="str">
        <x:f>IF('Deals'!A163="","",IF(COUNTIFS('Clients'!$A$6:$A$205,'Deals'!B163)&lt;&gt;1,"Unlinked",INDEX('Clients'!$G$6:$G$205,MATCH('Deals'!B163,'Clients'!$A$6:$A$205,0))))</x:f>
      </x:c>
      <x:c r="S163" s="482" t="str">
        <x:f>IF(AND('Deals'!A163&lt;&gt;"",'Deals'!E163="Completed",ISNUMBER('Deals'!Z163)),'Deals'!Z163,"")</x:f>
      </x:c>
    </x:row>
    <x:row r="164" ht="25" customHeight="1">
      <x:c r="A164" s="432"/>
      <x:c r="B164" s="432"/>
      <x:c r="C164" s="432"/>
      <x:c r="D164" s="432"/>
      <x:c r="E164" s="432"/>
      <x:c r="F164" s="432"/>
      <x:c r="G164" s="432"/>
      <x:c r="H164" s="432"/>
      <x:c r="I164" s="432"/>
      <x:c r="J164" s="432"/>
      <x:c r="K164" s="432"/>
      <x:c r="L164" s="432"/>
      <x:c r="M164" s="432"/>
      <x:c r="N164" s="432"/>
      <x:c r="O164" s="432"/>
      <x:c r="P164" s="432"/>
      <x:c r="Q164" s="432"/>
      <x:c r="R164" s="481" t="str">
        <x:f>IF('Deals'!A164="","",IF(COUNTIFS('Clients'!$A$6:$A$205,'Deals'!B164)&lt;&gt;1,"Unlinked",INDEX('Clients'!$G$6:$G$205,MATCH('Deals'!B164,'Clients'!$A$6:$A$205,0))))</x:f>
      </x:c>
      <x:c r="S164" s="482" t="str">
        <x:f>IF(AND('Deals'!A164&lt;&gt;"",'Deals'!E164="Completed",ISNUMBER('Deals'!Z164)),'Deals'!Z164,"")</x:f>
      </x:c>
    </x:row>
    <x:row r="165" ht="25" customHeight="1">
      <x:c r="A165" s="432"/>
      <x:c r="B165" s="432"/>
      <x:c r="C165" s="432"/>
      <x:c r="D165" s="432"/>
      <x:c r="E165" s="432"/>
      <x:c r="F165" s="432"/>
      <x:c r="G165" s="432"/>
      <x:c r="H165" s="432"/>
      <x:c r="I165" s="432"/>
      <x:c r="J165" s="432"/>
      <x:c r="K165" s="432"/>
      <x:c r="L165" s="432"/>
      <x:c r="M165" s="432"/>
      <x:c r="N165" s="432"/>
      <x:c r="O165" s="432"/>
      <x:c r="P165" s="432"/>
      <x:c r="Q165" s="432"/>
      <x:c r="R165" s="481" t="str">
        <x:f>IF('Deals'!A165="","",IF(COUNTIFS('Clients'!$A$6:$A$205,'Deals'!B165)&lt;&gt;1,"Unlinked",INDEX('Clients'!$G$6:$G$205,MATCH('Deals'!B165,'Clients'!$A$6:$A$205,0))))</x:f>
      </x:c>
      <x:c r="S165" s="482" t="str">
        <x:f>IF(AND('Deals'!A165&lt;&gt;"",'Deals'!E165="Completed",ISNUMBER('Deals'!Z165)),'Deals'!Z165,"")</x:f>
      </x:c>
    </x:row>
    <x:row r="166" ht="25" customHeight="1">
      <x:c r="A166" s="432"/>
      <x:c r="B166" s="432"/>
      <x:c r="C166" s="432"/>
      <x:c r="D166" s="432"/>
      <x:c r="E166" s="432"/>
      <x:c r="F166" s="432"/>
      <x:c r="G166" s="432"/>
      <x:c r="H166" s="432"/>
      <x:c r="I166" s="432"/>
      <x:c r="J166" s="432"/>
      <x:c r="K166" s="432"/>
      <x:c r="L166" s="432"/>
      <x:c r="M166" s="432"/>
      <x:c r="N166" s="432"/>
      <x:c r="O166" s="432"/>
      <x:c r="P166" s="432"/>
      <x:c r="Q166" s="432"/>
      <x:c r="R166" s="481" t="str">
        <x:f>IF('Deals'!A166="","",IF(COUNTIFS('Clients'!$A$6:$A$205,'Deals'!B166)&lt;&gt;1,"Unlinked",INDEX('Clients'!$G$6:$G$205,MATCH('Deals'!B166,'Clients'!$A$6:$A$205,0))))</x:f>
      </x:c>
      <x:c r="S166" s="482" t="str">
        <x:f>IF(AND('Deals'!A166&lt;&gt;"",'Deals'!E166="Completed",ISNUMBER('Deals'!Z166)),'Deals'!Z166,"")</x:f>
      </x:c>
    </x:row>
    <x:row r="167" ht="25" customHeight="1">
      <x:c r="A167" s="432"/>
      <x:c r="B167" s="432"/>
      <x:c r="C167" s="432"/>
      <x:c r="D167" s="432"/>
      <x:c r="E167" s="432"/>
      <x:c r="F167" s="432"/>
      <x:c r="G167" s="432"/>
      <x:c r="H167" s="432"/>
      <x:c r="I167" s="432"/>
      <x:c r="J167" s="432"/>
      <x:c r="K167" s="432"/>
      <x:c r="L167" s="432"/>
      <x:c r="M167" s="432"/>
      <x:c r="N167" s="432"/>
      <x:c r="O167" s="432"/>
      <x:c r="P167" s="432"/>
      <x:c r="Q167" s="432"/>
      <x:c r="R167" s="481" t="str">
        <x:f>IF('Deals'!A167="","",IF(COUNTIFS('Clients'!$A$6:$A$205,'Deals'!B167)&lt;&gt;1,"Unlinked",INDEX('Clients'!$G$6:$G$205,MATCH('Deals'!B167,'Clients'!$A$6:$A$205,0))))</x:f>
      </x:c>
      <x:c r="S167" s="482" t="str">
        <x:f>IF(AND('Deals'!A167&lt;&gt;"",'Deals'!E167="Completed",ISNUMBER('Deals'!Z167)),'Deals'!Z167,"")</x:f>
      </x:c>
    </x:row>
    <x:row r="168" ht="25" customHeight="1">
      <x:c r="A168" s="432"/>
      <x:c r="B168" s="432"/>
      <x:c r="C168" s="432"/>
      <x:c r="D168" s="432"/>
      <x:c r="E168" s="432"/>
      <x:c r="F168" s="432"/>
      <x:c r="G168" s="432"/>
      <x:c r="H168" s="432"/>
      <x:c r="I168" s="432"/>
      <x:c r="J168" s="432"/>
      <x:c r="K168" s="432"/>
      <x:c r="L168" s="432"/>
      <x:c r="M168" s="432"/>
      <x:c r="N168" s="432"/>
      <x:c r="O168" s="432"/>
      <x:c r="P168" s="432"/>
      <x:c r="Q168" s="432"/>
      <x:c r="R168" s="481" t="str">
        <x:f>IF('Deals'!A168="","",IF(COUNTIFS('Clients'!$A$6:$A$205,'Deals'!B168)&lt;&gt;1,"Unlinked",INDEX('Clients'!$G$6:$G$205,MATCH('Deals'!B168,'Clients'!$A$6:$A$205,0))))</x:f>
      </x:c>
      <x:c r="S168" s="482" t="str">
        <x:f>IF(AND('Deals'!A168&lt;&gt;"",'Deals'!E168="Completed",ISNUMBER('Deals'!Z168)),'Deals'!Z168,"")</x:f>
      </x:c>
    </x:row>
    <x:row r="169" ht="25" customHeight="1">
      <x:c r="A169" s="432"/>
      <x:c r="B169" s="432"/>
      <x:c r="C169" s="432"/>
      <x:c r="D169" s="432"/>
      <x:c r="E169" s="432"/>
      <x:c r="F169" s="432"/>
      <x:c r="G169" s="432"/>
      <x:c r="H169" s="432"/>
      <x:c r="I169" s="432"/>
      <x:c r="J169" s="432"/>
      <x:c r="K169" s="432"/>
      <x:c r="L169" s="432"/>
      <x:c r="M169" s="432"/>
      <x:c r="N169" s="432"/>
      <x:c r="O169" s="432"/>
      <x:c r="P169" s="432"/>
      <x:c r="Q169" s="432"/>
      <x:c r="R169" s="481" t="str">
        <x:f>IF('Deals'!A169="","",IF(COUNTIFS('Clients'!$A$6:$A$205,'Deals'!B169)&lt;&gt;1,"Unlinked",INDEX('Clients'!$G$6:$G$205,MATCH('Deals'!B169,'Clients'!$A$6:$A$205,0))))</x:f>
      </x:c>
      <x:c r="S169" s="482" t="str">
        <x:f>IF(AND('Deals'!A169&lt;&gt;"",'Deals'!E169="Completed",ISNUMBER('Deals'!Z169)),'Deals'!Z169,"")</x:f>
      </x:c>
    </x:row>
    <x:row r="170" ht="25" customHeight="1">
      <x:c r="A170" s="432"/>
      <x:c r="B170" s="432"/>
      <x:c r="C170" s="432"/>
      <x:c r="D170" s="432"/>
      <x:c r="E170" s="432"/>
      <x:c r="F170" s="432"/>
      <x:c r="G170" s="432"/>
      <x:c r="H170" s="432"/>
      <x:c r="I170" s="432"/>
      <x:c r="J170" s="432"/>
      <x:c r="K170" s="432"/>
      <x:c r="L170" s="432"/>
      <x:c r="M170" s="432"/>
      <x:c r="N170" s="432"/>
      <x:c r="O170" s="432"/>
      <x:c r="P170" s="432"/>
      <x:c r="Q170" s="432"/>
      <x:c r="R170" s="481" t="str">
        <x:f>IF('Deals'!A170="","",IF(COUNTIFS('Clients'!$A$6:$A$205,'Deals'!B170)&lt;&gt;1,"Unlinked",INDEX('Clients'!$G$6:$G$205,MATCH('Deals'!B170,'Clients'!$A$6:$A$205,0))))</x:f>
      </x:c>
      <x:c r="S170" s="482" t="str">
        <x:f>IF(AND('Deals'!A170&lt;&gt;"",'Deals'!E170="Completed",ISNUMBER('Deals'!Z170)),'Deals'!Z170,"")</x:f>
      </x:c>
    </x:row>
    <x:row r="171" ht="25" customHeight="1">
      <x:c r="A171" s="432"/>
      <x:c r="B171" s="432"/>
      <x:c r="C171" s="432"/>
      <x:c r="D171" s="432"/>
      <x:c r="E171" s="432"/>
      <x:c r="F171" s="432"/>
      <x:c r="G171" s="432"/>
      <x:c r="H171" s="432"/>
      <x:c r="I171" s="432"/>
      <x:c r="J171" s="432"/>
      <x:c r="K171" s="432"/>
      <x:c r="L171" s="432"/>
      <x:c r="M171" s="432"/>
      <x:c r="N171" s="432"/>
      <x:c r="O171" s="432"/>
      <x:c r="P171" s="432"/>
      <x:c r="Q171" s="432"/>
      <x:c r="R171" s="481" t="str">
        <x:f>IF('Deals'!A171="","",IF(COUNTIFS('Clients'!$A$6:$A$205,'Deals'!B171)&lt;&gt;1,"Unlinked",INDEX('Clients'!$G$6:$G$205,MATCH('Deals'!B171,'Clients'!$A$6:$A$205,0))))</x:f>
      </x:c>
      <x:c r="S171" s="482" t="str">
        <x:f>IF(AND('Deals'!A171&lt;&gt;"",'Deals'!E171="Completed",ISNUMBER('Deals'!Z171)),'Deals'!Z171,"")</x:f>
      </x:c>
    </x:row>
    <x:row r="172" ht="25" customHeight="1">
      <x:c r="A172" s="432"/>
      <x:c r="B172" s="432"/>
      <x:c r="C172" s="432"/>
      <x:c r="D172" s="432"/>
      <x:c r="E172" s="432"/>
      <x:c r="F172" s="432"/>
      <x:c r="G172" s="432"/>
      <x:c r="H172" s="432"/>
      <x:c r="I172" s="432"/>
      <x:c r="J172" s="432"/>
      <x:c r="K172" s="432"/>
      <x:c r="L172" s="432"/>
      <x:c r="M172" s="432"/>
      <x:c r="N172" s="432"/>
      <x:c r="O172" s="432"/>
      <x:c r="P172" s="432"/>
      <x:c r="Q172" s="432"/>
      <x:c r="R172" s="481" t="str">
        <x:f>IF('Deals'!A172="","",IF(COUNTIFS('Clients'!$A$6:$A$205,'Deals'!B172)&lt;&gt;1,"Unlinked",INDEX('Clients'!$G$6:$G$205,MATCH('Deals'!B172,'Clients'!$A$6:$A$205,0))))</x:f>
      </x:c>
      <x:c r="S172" s="482" t="str">
        <x:f>IF(AND('Deals'!A172&lt;&gt;"",'Deals'!E172="Completed",ISNUMBER('Deals'!Z172)),'Deals'!Z172,"")</x:f>
      </x:c>
    </x:row>
    <x:row r="173" ht="25" customHeight="1">
      <x:c r="A173" s="432"/>
      <x:c r="B173" s="432"/>
      <x:c r="C173" s="432"/>
      <x:c r="D173" s="432"/>
      <x:c r="E173" s="432"/>
      <x:c r="F173" s="432"/>
      <x:c r="G173" s="432"/>
      <x:c r="H173" s="432"/>
      <x:c r="I173" s="432"/>
      <x:c r="J173" s="432"/>
      <x:c r="K173" s="432"/>
      <x:c r="L173" s="432"/>
      <x:c r="M173" s="432"/>
      <x:c r="N173" s="432"/>
      <x:c r="O173" s="432"/>
      <x:c r="P173" s="432"/>
      <x:c r="Q173" s="432"/>
      <x:c r="R173" s="481" t="str">
        <x:f>IF('Deals'!A173="","",IF(COUNTIFS('Clients'!$A$6:$A$205,'Deals'!B173)&lt;&gt;1,"Unlinked",INDEX('Clients'!$G$6:$G$205,MATCH('Deals'!B173,'Clients'!$A$6:$A$205,0))))</x:f>
      </x:c>
      <x:c r="S173" s="482" t="str">
        <x:f>IF(AND('Deals'!A173&lt;&gt;"",'Deals'!E173="Completed",ISNUMBER('Deals'!Z173)),'Deals'!Z173,"")</x:f>
      </x:c>
    </x:row>
    <x:row r="174" ht="25" customHeight="1">
      <x:c r="A174" s="432"/>
      <x:c r="B174" s="432"/>
      <x:c r="C174" s="432"/>
      <x:c r="D174" s="432"/>
      <x:c r="E174" s="432"/>
      <x:c r="F174" s="432"/>
      <x:c r="G174" s="432"/>
      <x:c r="H174" s="432"/>
      <x:c r="I174" s="432"/>
      <x:c r="J174" s="432"/>
      <x:c r="K174" s="432"/>
      <x:c r="L174" s="432"/>
      <x:c r="M174" s="432"/>
      <x:c r="N174" s="432"/>
      <x:c r="O174" s="432"/>
      <x:c r="P174" s="432"/>
      <x:c r="Q174" s="432"/>
      <x:c r="R174" s="481" t="str">
        <x:f>IF('Deals'!A174="","",IF(COUNTIFS('Clients'!$A$6:$A$205,'Deals'!B174)&lt;&gt;1,"Unlinked",INDEX('Clients'!$G$6:$G$205,MATCH('Deals'!B174,'Clients'!$A$6:$A$205,0))))</x:f>
      </x:c>
      <x:c r="S174" s="482" t="str">
        <x:f>IF(AND('Deals'!A174&lt;&gt;"",'Deals'!E174="Completed",ISNUMBER('Deals'!Z174)),'Deals'!Z174,"")</x:f>
      </x:c>
    </x:row>
    <x:row r="175" ht="25" customHeight="1">
      <x:c r="A175" s="432"/>
      <x:c r="B175" s="432"/>
      <x:c r="C175" s="432"/>
      <x:c r="D175" s="432"/>
      <x:c r="E175" s="432"/>
      <x:c r="F175" s="432"/>
      <x:c r="G175" s="432"/>
      <x:c r="H175" s="432"/>
      <x:c r="I175" s="432"/>
      <x:c r="J175" s="432"/>
      <x:c r="K175" s="432"/>
      <x:c r="L175" s="432"/>
      <x:c r="M175" s="432"/>
      <x:c r="N175" s="432"/>
      <x:c r="O175" s="432"/>
      <x:c r="P175" s="432"/>
      <x:c r="Q175" s="432"/>
      <x:c r="R175" s="481" t="str">
        <x:f>IF('Deals'!A175="","",IF(COUNTIFS('Clients'!$A$6:$A$205,'Deals'!B175)&lt;&gt;1,"Unlinked",INDEX('Clients'!$G$6:$G$205,MATCH('Deals'!B175,'Clients'!$A$6:$A$205,0))))</x:f>
      </x:c>
      <x:c r="S175" s="482" t="str">
        <x:f>IF(AND('Deals'!A175&lt;&gt;"",'Deals'!E175="Completed",ISNUMBER('Deals'!Z175)),'Deals'!Z175,"")</x:f>
      </x:c>
    </x:row>
    <x:row r="176" ht="25" customHeight="1">
      <x:c r="A176" s="432"/>
      <x:c r="B176" s="432"/>
      <x:c r="C176" s="432"/>
      <x:c r="D176" s="432"/>
      <x:c r="E176" s="432"/>
      <x:c r="F176" s="432"/>
      <x:c r="G176" s="432"/>
      <x:c r="H176" s="432"/>
      <x:c r="I176" s="432"/>
      <x:c r="J176" s="432"/>
      <x:c r="K176" s="432"/>
      <x:c r="L176" s="432"/>
      <x:c r="M176" s="432"/>
      <x:c r="N176" s="432"/>
      <x:c r="O176" s="432"/>
      <x:c r="P176" s="432"/>
      <x:c r="Q176" s="432"/>
      <x:c r="R176" s="481" t="str">
        <x:f>IF('Deals'!A176="","",IF(COUNTIFS('Clients'!$A$6:$A$205,'Deals'!B176)&lt;&gt;1,"Unlinked",INDEX('Clients'!$G$6:$G$205,MATCH('Deals'!B176,'Clients'!$A$6:$A$205,0))))</x:f>
      </x:c>
      <x:c r="S176" s="482" t="str">
        <x:f>IF(AND('Deals'!A176&lt;&gt;"",'Deals'!E176="Completed",ISNUMBER('Deals'!Z176)),'Deals'!Z176,"")</x:f>
      </x:c>
    </x:row>
    <x:row r="177" ht="25" customHeight="1">
      <x:c r="A177" s="432"/>
      <x:c r="B177" s="432"/>
      <x:c r="C177" s="432"/>
      <x:c r="D177" s="432"/>
      <x:c r="E177" s="432"/>
      <x:c r="F177" s="432"/>
      <x:c r="G177" s="432"/>
      <x:c r="H177" s="432"/>
      <x:c r="I177" s="432"/>
      <x:c r="J177" s="432"/>
      <x:c r="K177" s="432"/>
      <x:c r="L177" s="432"/>
      <x:c r="M177" s="432"/>
      <x:c r="N177" s="432"/>
      <x:c r="O177" s="432"/>
      <x:c r="P177" s="432"/>
      <x:c r="Q177" s="432"/>
      <x:c r="R177" s="481" t="str">
        <x:f>IF('Deals'!A177="","",IF(COUNTIFS('Clients'!$A$6:$A$205,'Deals'!B177)&lt;&gt;1,"Unlinked",INDEX('Clients'!$G$6:$G$205,MATCH('Deals'!B177,'Clients'!$A$6:$A$205,0))))</x:f>
      </x:c>
      <x:c r="S177" s="482" t="str">
        <x:f>IF(AND('Deals'!A177&lt;&gt;"",'Deals'!E177="Completed",ISNUMBER('Deals'!Z177)),'Deals'!Z177,"")</x:f>
      </x:c>
    </x:row>
    <x:row r="178" ht="25" customHeight="1">
      <x:c r="A178" s="432"/>
      <x:c r="B178" s="432"/>
      <x:c r="C178" s="432"/>
      <x:c r="D178" s="432"/>
      <x:c r="E178" s="432"/>
      <x:c r="F178" s="432"/>
      <x:c r="G178" s="432"/>
      <x:c r="H178" s="432"/>
      <x:c r="I178" s="432"/>
      <x:c r="J178" s="432"/>
      <x:c r="K178" s="432"/>
      <x:c r="L178" s="432"/>
      <x:c r="M178" s="432"/>
      <x:c r="N178" s="432"/>
      <x:c r="O178" s="432"/>
      <x:c r="P178" s="432"/>
      <x:c r="Q178" s="432"/>
      <x:c r="R178" s="481" t="str">
        <x:f>IF('Deals'!A178="","",IF(COUNTIFS('Clients'!$A$6:$A$205,'Deals'!B178)&lt;&gt;1,"Unlinked",INDEX('Clients'!$G$6:$G$205,MATCH('Deals'!B178,'Clients'!$A$6:$A$205,0))))</x:f>
      </x:c>
      <x:c r="S178" s="482" t="str">
        <x:f>IF(AND('Deals'!A178&lt;&gt;"",'Deals'!E178="Completed",ISNUMBER('Deals'!Z178)),'Deals'!Z178,"")</x:f>
      </x:c>
    </x:row>
    <x:row r="179" ht="25" customHeight="1">
      <x:c r="A179" s="432"/>
      <x:c r="B179" s="432"/>
      <x:c r="C179" s="432"/>
      <x:c r="D179" s="432"/>
      <x:c r="E179" s="432"/>
      <x:c r="F179" s="432"/>
      <x:c r="G179" s="432"/>
      <x:c r="H179" s="432"/>
      <x:c r="I179" s="432"/>
      <x:c r="J179" s="432"/>
      <x:c r="K179" s="432"/>
      <x:c r="L179" s="432"/>
      <x:c r="M179" s="432"/>
      <x:c r="N179" s="432"/>
      <x:c r="O179" s="432"/>
      <x:c r="P179" s="432"/>
      <x:c r="Q179" s="432"/>
      <x:c r="R179" s="481" t="str">
        <x:f>IF('Deals'!A179="","",IF(COUNTIFS('Clients'!$A$6:$A$205,'Deals'!B179)&lt;&gt;1,"Unlinked",INDEX('Clients'!$G$6:$G$205,MATCH('Deals'!B179,'Clients'!$A$6:$A$205,0))))</x:f>
      </x:c>
      <x:c r="S179" s="482" t="str">
        <x:f>IF(AND('Deals'!A179&lt;&gt;"",'Deals'!E179="Completed",ISNUMBER('Deals'!Z179)),'Deals'!Z179,"")</x:f>
      </x:c>
    </x:row>
    <x:row r="180" ht="25" customHeight="1">
      <x:c r="A180" s="432"/>
      <x:c r="B180" s="432"/>
      <x:c r="C180" s="432"/>
      <x:c r="D180" s="432"/>
      <x:c r="E180" s="432"/>
      <x:c r="F180" s="432"/>
      <x:c r="G180" s="432"/>
      <x:c r="H180" s="432"/>
      <x:c r="I180" s="432"/>
      <x:c r="J180" s="432"/>
      <x:c r="K180" s="432"/>
      <x:c r="L180" s="432"/>
      <x:c r="M180" s="432"/>
      <x:c r="N180" s="432"/>
      <x:c r="O180" s="432"/>
      <x:c r="P180" s="432"/>
      <x:c r="Q180" s="432"/>
      <x:c r="R180" s="481" t="str">
        <x:f>IF('Deals'!A180="","",IF(COUNTIFS('Clients'!$A$6:$A$205,'Deals'!B180)&lt;&gt;1,"Unlinked",INDEX('Clients'!$G$6:$G$205,MATCH('Deals'!B180,'Clients'!$A$6:$A$205,0))))</x:f>
      </x:c>
      <x:c r="S180" s="482" t="str">
        <x:f>IF(AND('Deals'!A180&lt;&gt;"",'Deals'!E180="Completed",ISNUMBER('Deals'!Z180)),'Deals'!Z180,"")</x:f>
      </x:c>
    </x:row>
    <x:row r="181" ht="25" customHeight="1">
      <x:c r="A181" s="432"/>
      <x:c r="B181" s="432"/>
      <x:c r="C181" s="432"/>
      <x:c r="D181" s="432"/>
      <x:c r="E181" s="432"/>
      <x:c r="F181" s="432"/>
      <x:c r="G181" s="432"/>
      <x:c r="H181" s="432"/>
      <x:c r="I181" s="432"/>
      <x:c r="J181" s="432"/>
      <x:c r="K181" s="432"/>
      <x:c r="L181" s="432"/>
      <x:c r="M181" s="432"/>
      <x:c r="N181" s="432"/>
      <x:c r="O181" s="432"/>
      <x:c r="P181" s="432"/>
      <x:c r="Q181" s="432"/>
      <x:c r="R181" s="481" t="str">
        <x:f>IF('Deals'!A181="","",IF(COUNTIFS('Clients'!$A$6:$A$205,'Deals'!B181)&lt;&gt;1,"Unlinked",INDEX('Clients'!$G$6:$G$205,MATCH('Deals'!B181,'Clients'!$A$6:$A$205,0))))</x:f>
      </x:c>
      <x:c r="S181" s="482" t="str">
        <x:f>IF(AND('Deals'!A181&lt;&gt;"",'Deals'!E181="Completed",ISNUMBER('Deals'!Z181)),'Deals'!Z181,"")</x:f>
      </x:c>
    </x:row>
    <x:row r="182" ht="25" customHeight="1">
      <x:c r="A182" s="432"/>
      <x:c r="B182" s="432"/>
      <x:c r="C182" s="432"/>
      <x:c r="D182" s="432"/>
      <x:c r="E182" s="432"/>
      <x:c r="F182" s="432"/>
      <x:c r="G182" s="432"/>
      <x:c r="H182" s="432"/>
      <x:c r="I182" s="432"/>
      <x:c r="J182" s="432"/>
      <x:c r="K182" s="432"/>
      <x:c r="L182" s="432"/>
      <x:c r="M182" s="432"/>
      <x:c r="N182" s="432"/>
      <x:c r="O182" s="432"/>
      <x:c r="P182" s="432"/>
      <x:c r="Q182" s="432"/>
      <x:c r="R182" s="481" t="str">
        <x:f>IF('Deals'!A182="","",IF(COUNTIFS('Clients'!$A$6:$A$205,'Deals'!B182)&lt;&gt;1,"Unlinked",INDEX('Clients'!$G$6:$G$205,MATCH('Deals'!B182,'Clients'!$A$6:$A$205,0))))</x:f>
      </x:c>
      <x:c r="S182" s="482" t="str">
        <x:f>IF(AND('Deals'!A182&lt;&gt;"",'Deals'!E182="Completed",ISNUMBER('Deals'!Z182)),'Deals'!Z182,"")</x:f>
      </x:c>
    </x:row>
    <x:row r="183" ht="25" customHeight="1">
      <x:c r="A183" s="432"/>
      <x:c r="B183" s="432"/>
      <x:c r="C183" s="432"/>
      <x:c r="D183" s="432"/>
      <x:c r="E183" s="432"/>
      <x:c r="F183" s="432"/>
      <x:c r="G183" s="432"/>
      <x:c r="H183" s="432"/>
      <x:c r="I183" s="432"/>
      <x:c r="J183" s="432"/>
      <x:c r="K183" s="432"/>
      <x:c r="L183" s="432"/>
      <x:c r="M183" s="432"/>
      <x:c r="N183" s="432"/>
      <x:c r="O183" s="432"/>
      <x:c r="P183" s="432"/>
      <x:c r="Q183" s="432"/>
      <x:c r="R183" s="481" t="str">
        <x:f>IF('Deals'!A183="","",IF(COUNTIFS('Clients'!$A$6:$A$205,'Deals'!B183)&lt;&gt;1,"Unlinked",INDEX('Clients'!$G$6:$G$205,MATCH('Deals'!B183,'Clients'!$A$6:$A$205,0))))</x:f>
      </x:c>
      <x:c r="S183" s="482" t="str">
        <x:f>IF(AND('Deals'!A183&lt;&gt;"",'Deals'!E183="Completed",ISNUMBER('Deals'!Z183)),'Deals'!Z183,"")</x:f>
      </x:c>
    </x:row>
    <x:row r="184" ht="25" customHeight="1">
      <x:c r="A184" s="432"/>
      <x:c r="B184" s="432"/>
      <x:c r="C184" s="432"/>
      <x:c r="D184" s="432"/>
      <x:c r="E184" s="432"/>
      <x:c r="F184" s="432"/>
      <x:c r="G184" s="432"/>
      <x:c r="H184" s="432"/>
      <x:c r="I184" s="432"/>
      <x:c r="J184" s="432"/>
      <x:c r="K184" s="432"/>
      <x:c r="L184" s="432"/>
      <x:c r="M184" s="432"/>
      <x:c r="N184" s="432"/>
      <x:c r="O184" s="432"/>
      <x:c r="P184" s="432"/>
      <x:c r="Q184" s="432"/>
      <x:c r="R184" s="481" t="str">
        <x:f>IF('Deals'!A184="","",IF(COUNTIFS('Clients'!$A$6:$A$205,'Deals'!B184)&lt;&gt;1,"Unlinked",INDEX('Clients'!$G$6:$G$205,MATCH('Deals'!B184,'Clients'!$A$6:$A$205,0))))</x:f>
      </x:c>
      <x:c r="S184" s="482" t="str">
        <x:f>IF(AND('Deals'!A184&lt;&gt;"",'Deals'!E184="Completed",ISNUMBER('Deals'!Z184)),'Deals'!Z184,"")</x:f>
      </x:c>
    </x:row>
    <x:row r="185" ht="25" customHeight="1">
      <x:c r="A185" s="432"/>
      <x:c r="B185" s="432"/>
      <x:c r="C185" s="432"/>
      <x:c r="D185" s="432"/>
      <x:c r="E185" s="432"/>
      <x:c r="F185" s="432"/>
      <x:c r="G185" s="432"/>
      <x:c r="H185" s="432"/>
      <x:c r="I185" s="432"/>
      <x:c r="J185" s="432"/>
      <x:c r="K185" s="432"/>
      <x:c r="L185" s="432"/>
      <x:c r="M185" s="432"/>
      <x:c r="N185" s="432"/>
      <x:c r="O185" s="432"/>
      <x:c r="P185" s="432"/>
      <x:c r="Q185" s="432"/>
      <x:c r="R185" s="481" t="str">
        <x:f>IF('Deals'!A185="","",IF(COUNTIFS('Clients'!$A$6:$A$205,'Deals'!B185)&lt;&gt;1,"Unlinked",INDEX('Clients'!$G$6:$G$205,MATCH('Deals'!B185,'Clients'!$A$6:$A$205,0))))</x:f>
      </x:c>
      <x:c r="S185" s="482" t="str">
        <x:f>IF(AND('Deals'!A185&lt;&gt;"",'Deals'!E185="Completed",ISNUMBER('Deals'!Z185)),'Deals'!Z185,"")</x:f>
      </x:c>
    </x:row>
    <x:row r="186" ht="25" customHeight="1">
      <x:c r="A186" s="432"/>
      <x:c r="B186" s="432"/>
      <x:c r="C186" s="432"/>
      <x:c r="D186" s="432"/>
      <x:c r="E186" s="432"/>
      <x:c r="F186" s="432"/>
      <x:c r="G186" s="432"/>
      <x:c r="H186" s="432"/>
      <x:c r="I186" s="432"/>
      <x:c r="J186" s="432"/>
      <x:c r="K186" s="432"/>
      <x:c r="L186" s="432"/>
      <x:c r="M186" s="432"/>
      <x:c r="N186" s="432"/>
      <x:c r="O186" s="432"/>
      <x:c r="P186" s="432"/>
      <x:c r="Q186" s="432"/>
      <x:c r="R186" s="481" t="str">
        <x:f>IF('Deals'!A186="","",IF(COUNTIFS('Clients'!$A$6:$A$205,'Deals'!B186)&lt;&gt;1,"Unlinked",INDEX('Clients'!$G$6:$G$205,MATCH('Deals'!B186,'Clients'!$A$6:$A$205,0))))</x:f>
      </x:c>
      <x:c r="S186" s="482" t="str">
        <x:f>IF(AND('Deals'!A186&lt;&gt;"",'Deals'!E186="Completed",ISNUMBER('Deals'!Z186)),'Deals'!Z186,"")</x:f>
      </x:c>
    </x:row>
    <x:row r="187" ht="25" customHeight="1">
      <x:c r="A187" s="432"/>
      <x:c r="B187" s="432"/>
      <x:c r="C187" s="432"/>
      <x:c r="D187" s="432"/>
      <x:c r="E187" s="432"/>
      <x:c r="F187" s="432"/>
      <x:c r="G187" s="432"/>
      <x:c r="H187" s="432"/>
      <x:c r="I187" s="432"/>
      <x:c r="J187" s="432"/>
      <x:c r="K187" s="432"/>
      <x:c r="L187" s="432"/>
      <x:c r="M187" s="432"/>
      <x:c r="N187" s="432"/>
      <x:c r="O187" s="432"/>
      <x:c r="P187" s="432"/>
      <x:c r="Q187" s="432"/>
      <x:c r="R187" s="481" t="str">
        <x:f>IF('Deals'!A187="","",IF(COUNTIFS('Clients'!$A$6:$A$205,'Deals'!B187)&lt;&gt;1,"Unlinked",INDEX('Clients'!$G$6:$G$205,MATCH('Deals'!B187,'Clients'!$A$6:$A$205,0))))</x:f>
      </x:c>
      <x:c r="S187" s="482" t="str">
        <x:f>IF(AND('Deals'!A187&lt;&gt;"",'Deals'!E187="Completed",ISNUMBER('Deals'!Z187)),'Deals'!Z187,"")</x:f>
      </x:c>
    </x:row>
    <x:row r="188" ht="25" customHeight="1">
      <x:c r="A188" s="432"/>
      <x:c r="B188" s="432"/>
      <x:c r="C188" s="432"/>
      <x:c r="D188" s="432"/>
      <x:c r="E188" s="432"/>
      <x:c r="F188" s="432"/>
      <x:c r="G188" s="432"/>
      <x:c r="H188" s="432"/>
      <x:c r="I188" s="432"/>
      <x:c r="J188" s="432"/>
      <x:c r="K188" s="432"/>
      <x:c r="L188" s="432"/>
      <x:c r="M188" s="432"/>
      <x:c r="N188" s="432"/>
      <x:c r="O188" s="432"/>
      <x:c r="P188" s="432"/>
      <x:c r="Q188" s="432"/>
      <x:c r="R188" s="481" t="str">
        <x:f>IF('Deals'!A188="","",IF(COUNTIFS('Clients'!$A$6:$A$205,'Deals'!B188)&lt;&gt;1,"Unlinked",INDEX('Clients'!$G$6:$G$205,MATCH('Deals'!B188,'Clients'!$A$6:$A$205,0))))</x:f>
      </x:c>
      <x:c r="S188" s="482" t="str">
        <x:f>IF(AND('Deals'!A188&lt;&gt;"",'Deals'!E188="Completed",ISNUMBER('Deals'!Z188)),'Deals'!Z188,"")</x:f>
      </x:c>
    </x:row>
    <x:row r="189" ht="25" customHeight="1">
      <x:c r="A189" s="432"/>
      <x:c r="B189" s="432"/>
      <x:c r="C189" s="432"/>
      <x:c r="D189" s="432"/>
      <x:c r="E189" s="432"/>
      <x:c r="F189" s="432"/>
      <x:c r="G189" s="432"/>
      <x:c r="H189" s="432"/>
      <x:c r="I189" s="432"/>
      <x:c r="J189" s="432"/>
      <x:c r="K189" s="432"/>
      <x:c r="L189" s="432"/>
      <x:c r="M189" s="432"/>
      <x:c r="N189" s="432"/>
      <x:c r="O189" s="432"/>
      <x:c r="P189" s="432"/>
      <x:c r="Q189" s="432"/>
      <x:c r="R189" s="481" t="str">
        <x:f>IF('Deals'!A189="","",IF(COUNTIFS('Clients'!$A$6:$A$205,'Deals'!B189)&lt;&gt;1,"Unlinked",INDEX('Clients'!$G$6:$G$205,MATCH('Deals'!B189,'Clients'!$A$6:$A$205,0))))</x:f>
      </x:c>
      <x:c r="S189" s="482" t="str">
        <x:f>IF(AND('Deals'!A189&lt;&gt;"",'Deals'!E189="Completed",ISNUMBER('Deals'!Z189)),'Deals'!Z189,"")</x:f>
      </x:c>
    </x:row>
    <x:row r="190" ht="25" customHeight="1">
      <x:c r="A190" s="432"/>
      <x:c r="B190" s="432"/>
      <x:c r="C190" s="432"/>
      <x:c r="D190" s="432"/>
      <x:c r="E190" s="432"/>
      <x:c r="F190" s="432"/>
      <x:c r="G190" s="432"/>
      <x:c r="H190" s="432"/>
      <x:c r="I190" s="432"/>
      <x:c r="J190" s="432"/>
      <x:c r="K190" s="432"/>
      <x:c r="L190" s="432"/>
      <x:c r="M190" s="432"/>
      <x:c r="N190" s="432"/>
      <x:c r="O190" s="432"/>
      <x:c r="P190" s="432"/>
      <x:c r="Q190" s="432"/>
      <x:c r="R190" s="481" t="str">
        <x:f>IF('Deals'!A190="","",IF(COUNTIFS('Clients'!$A$6:$A$205,'Deals'!B190)&lt;&gt;1,"Unlinked",INDEX('Clients'!$G$6:$G$205,MATCH('Deals'!B190,'Clients'!$A$6:$A$205,0))))</x:f>
      </x:c>
      <x:c r="S190" s="482" t="str">
        <x:f>IF(AND('Deals'!A190&lt;&gt;"",'Deals'!E190="Completed",ISNUMBER('Deals'!Z190)),'Deals'!Z190,"")</x:f>
      </x:c>
    </x:row>
    <x:row r="191" ht="25" customHeight="1">
      <x:c r="A191" s="432"/>
      <x:c r="B191" s="432"/>
      <x:c r="C191" s="432"/>
      <x:c r="D191" s="432"/>
      <x:c r="E191" s="432"/>
      <x:c r="F191" s="432"/>
      <x:c r="G191" s="432"/>
      <x:c r="H191" s="432"/>
      <x:c r="I191" s="432"/>
      <x:c r="J191" s="432"/>
      <x:c r="K191" s="432"/>
      <x:c r="L191" s="432"/>
      <x:c r="M191" s="432"/>
      <x:c r="N191" s="432"/>
      <x:c r="O191" s="432"/>
      <x:c r="P191" s="432"/>
      <x:c r="Q191" s="432"/>
      <x:c r="R191" s="481" t="str">
        <x:f>IF('Deals'!A191="","",IF(COUNTIFS('Clients'!$A$6:$A$205,'Deals'!B191)&lt;&gt;1,"Unlinked",INDEX('Clients'!$G$6:$G$205,MATCH('Deals'!B191,'Clients'!$A$6:$A$205,0))))</x:f>
      </x:c>
      <x:c r="S191" s="482" t="str">
        <x:f>IF(AND('Deals'!A191&lt;&gt;"",'Deals'!E191="Completed",ISNUMBER('Deals'!Z191)),'Deals'!Z191,"")</x:f>
      </x:c>
    </x:row>
    <x:row r="192" ht="25" customHeight="1">
      <x:c r="A192" s="432"/>
      <x:c r="B192" s="432"/>
      <x:c r="C192" s="432"/>
      <x:c r="D192" s="432"/>
      <x:c r="E192" s="432"/>
      <x:c r="F192" s="432"/>
      <x:c r="G192" s="432"/>
      <x:c r="H192" s="432"/>
      <x:c r="I192" s="432"/>
      <x:c r="J192" s="432"/>
      <x:c r="K192" s="432"/>
      <x:c r="L192" s="432"/>
      <x:c r="M192" s="432"/>
      <x:c r="N192" s="432"/>
      <x:c r="O192" s="432"/>
      <x:c r="P192" s="432"/>
      <x:c r="Q192" s="432"/>
      <x:c r="R192" s="481" t="str">
        <x:f>IF('Deals'!A192="","",IF(COUNTIFS('Clients'!$A$6:$A$205,'Deals'!B192)&lt;&gt;1,"Unlinked",INDEX('Clients'!$G$6:$G$205,MATCH('Deals'!B192,'Clients'!$A$6:$A$205,0))))</x:f>
      </x:c>
      <x:c r="S192" s="482" t="str">
        <x:f>IF(AND('Deals'!A192&lt;&gt;"",'Deals'!E192="Completed",ISNUMBER('Deals'!Z192)),'Deals'!Z192,"")</x:f>
      </x:c>
    </x:row>
    <x:row r="193" ht="25" customHeight="1">
      <x:c r="A193" s="432"/>
      <x:c r="B193" s="432"/>
      <x:c r="C193" s="432"/>
      <x:c r="D193" s="432"/>
      <x:c r="E193" s="432"/>
      <x:c r="F193" s="432"/>
      <x:c r="G193" s="432"/>
      <x:c r="H193" s="432"/>
      <x:c r="I193" s="432"/>
      <x:c r="J193" s="432"/>
      <x:c r="K193" s="432"/>
      <x:c r="L193" s="432"/>
      <x:c r="M193" s="432"/>
      <x:c r="N193" s="432"/>
      <x:c r="O193" s="432"/>
      <x:c r="P193" s="432"/>
      <x:c r="Q193" s="432"/>
      <x:c r="R193" s="481" t="str">
        <x:f>IF('Deals'!A193="","",IF(COUNTIFS('Clients'!$A$6:$A$205,'Deals'!B193)&lt;&gt;1,"Unlinked",INDEX('Clients'!$G$6:$G$205,MATCH('Deals'!B193,'Clients'!$A$6:$A$205,0))))</x:f>
      </x:c>
      <x:c r="S193" s="482" t="str">
        <x:f>IF(AND('Deals'!A193&lt;&gt;"",'Deals'!E193="Completed",ISNUMBER('Deals'!Z193)),'Deals'!Z193,"")</x:f>
      </x:c>
    </x:row>
    <x:row r="194" ht="25" customHeight="1">
      <x:c r="A194" s="432"/>
      <x:c r="B194" s="432"/>
      <x:c r="C194" s="432"/>
      <x:c r="D194" s="432"/>
      <x:c r="E194" s="432"/>
      <x:c r="F194" s="432"/>
      <x:c r="G194" s="432"/>
      <x:c r="H194" s="432"/>
      <x:c r="I194" s="432"/>
      <x:c r="J194" s="432"/>
      <x:c r="K194" s="432"/>
      <x:c r="L194" s="432"/>
      <x:c r="M194" s="432"/>
      <x:c r="N194" s="432"/>
      <x:c r="O194" s="432"/>
      <x:c r="P194" s="432"/>
      <x:c r="Q194" s="432"/>
      <x:c r="R194" s="481" t="str">
        <x:f>IF('Deals'!A194="","",IF(COUNTIFS('Clients'!$A$6:$A$205,'Deals'!B194)&lt;&gt;1,"Unlinked",INDEX('Clients'!$G$6:$G$205,MATCH('Deals'!B194,'Clients'!$A$6:$A$205,0))))</x:f>
      </x:c>
      <x:c r="S194" s="482" t="str">
        <x:f>IF(AND('Deals'!A194&lt;&gt;"",'Deals'!E194="Completed",ISNUMBER('Deals'!Z194)),'Deals'!Z194,"")</x:f>
      </x:c>
    </x:row>
    <x:row r="195" ht="25" customHeight="1">
      <x:c r="A195" s="432"/>
      <x:c r="B195" s="432"/>
      <x:c r="C195" s="432"/>
      <x:c r="D195" s="432"/>
      <x:c r="E195" s="432"/>
      <x:c r="F195" s="432"/>
      <x:c r="G195" s="432"/>
      <x:c r="H195" s="432"/>
      <x:c r="I195" s="432"/>
      <x:c r="J195" s="432"/>
      <x:c r="K195" s="432"/>
      <x:c r="L195" s="432"/>
      <x:c r="M195" s="432"/>
      <x:c r="N195" s="432"/>
      <x:c r="O195" s="432"/>
      <x:c r="P195" s="432"/>
      <x:c r="Q195" s="432"/>
      <x:c r="R195" s="481" t="str">
        <x:f>IF('Deals'!A195="","",IF(COUNTIFS('Clients'!$A$6:$A$205,'Deals'!B195)&lt;&gt;1,"Unlinked",INDEX('Clients'!$G$6:$G$205,MATCH('Deals'!B195,'Clients'!$A$6:$A$205,0))))</x:f>
      </x:c>
      <x:c r="S195" s="482" t="str">
        <x:f>IF(AND('Deals'!A195&lt;&gt;"",'Deals'!E195="Completed",ISNUMBER('Deals'!Z195)),'Deals'!Z195,"")</x:f>
      </x:c>
    </x:row>
    <x:row r="196" ht="25" customHeight="1">
      <x:c r="A196" s="432"/>
      <x:c r="B196" s="432"/>
      <x:c r="C196" s="432"/>
      <x:c r="D196" s="432"/>
      <x:c r="E196" s="432"/>
      <x:c r="F196" s="432"/>
      <x:c r="G196" s="432"/>
      <x:c r="H196" s="432"/>
      <x:c r="I196" s="432"/>
      <x:c r="J196" s="432"/>
      <x:c r="K196" s="432"/>
      <x:c r="L196" s="432"/>
      <x:c r="M196" s="432"/>
      <x:c r="N196" s="432"/>
      <x:c r="O196" s="432"/>
      <x:c r="P196" s="432"/>
      <x:c r="Q196" s="432"/>
      <x:c r="R196" s="481" t="str">
        <x:f>IF('Deals'!A196="","",IF(COUNTIFS('Clients'!$A$6:$A$205,'Deals'!B196)&lt;&gt;1,"Unlinked",INDEX('Clients'!$G$6:$G$205,MATCH('Deals'!B196,'Clients'!$A$6:$A$205,0))))</x:f>
      </x:c>
      <x:c r="S196" s="482" t="str">
        <x:f>IF(AND('Deals'!A196&lt;&gt;"",'Deals'!E196="Completed",ISNUMBER('Deals'!Z196)),'Deals'!Z196,"")</x:f>
      </x:c>
    </x:row>
    <x:row r="197" ht="25" customHeight="1">
      <x:c r="A197" s="432"/>
      <x:c r="B197" s="432"/>
      <x:c r="C197" s="432"/>
      <x:c r="D197" s="432"/>
      <x:c r="E197" s="432"/>
      <x:c r="F197" s="432"/>
      <x:c r="G197" s="432"/>
      <x:c r="H197" s="432"/>
      <x:c r="I197" s="432"/>
      <x:c r="J197" s="432"/>
      <x:c r="K197" s="432"/>
      <x:c r="L197" s="432"/>
      <x:c r="M197" s="432"/>
      <x:c r="N197" s="432"/>
      <x:c r="O197" s="432"/>
      <x:c r="P197" s="432"/>
      <x:c r="Q197" s="432"/>
      <x:c r="R197" s="481" t="str">
        <x:f>IF('Deals'!A197="","",IF(COUNTIFS('Clients'!$A$6:$A$205,'Deals'!B197)&lt;&gt;1,"Unlinked",INDEX('Clients'!$G$6:$G$205,MATCH('Deals'!B197,'Clients'!$A$6:$A$205,0))))</x:f>
      </x:c>
      <x:c r="S197" s="482" t="str">
        <x:f>IF(AND('Deals'!A197&lt;&gt;"",'Deals'!E197="Completed",ISNUMBER('Deals'!Z197)),'Deals'!Z197,"")</x:f>
      </x:c>
    </x:row>
    <x:row r="198" ht="25" customHeight="1">
      <x:c r="A198" s="432"/>
      <x:c r="B198" s="432"/>
      <x:c r="C198" s="432"/>
      <x:c r="D198" s="432"/>
      <x:c r="E198" s="432"/>
      <x:c r="F198" s="432"/>
      <x:c r="G198" s="432"/>
      <x:c r="H198" s="432"/>
      <x:c r="I198" s="432"/>
      <x:c r="J198" s="432"/>
      <x:c r="K198" s="432"/>
      <x:c r="L198" s="432"/>
      <x:c r="M198" s="432"/>
      <x:c r="N198" s="432"/>
      <x:c r="O198" s="432"/>
      <x:c r="P198" s="432"/>
      <x:c r="Q198" s="432"/>
      <x:c r="R198" s="481" t="str">
        <x:f>IF('Deals'!A198="","",IF(COUNTIFS('Clients'!$A$6:$A$205,'Deals'!B198)&lt;&gt;1,"Unlinked",INDEX('Clients'!$G$6:$G$205,MATCH('Deals'!B198,'Clients'!$A$6:$A$205,0))))</x:f>
      </x:c>
      <x:c r="S198" s="482" t="str">
        <x:f>IF(AND('Deals'!A198&lt;&gt;"",'Deals'!E198="Completed",ISNUMBER('Deals'!Z198)),'Deals'!Z198,"")</x:f>
      </x:c>
    </x:row>
    <x:row r="199" ht="25" customHeight="1">
      <x:c r="A199" s="432"/>
      <x:c r="B199" s="432"/>
      <x:c r="C199" s="432"/>
      <x:c r="D199" s="432"/>
      <x:c r="E199" s="432"/>
      <x:c r="F199" s="432"/>
      <x:c r="G199" s="432"/>
      <x:c r="H199" s="432"/>
      <x:c r="I199" s="432"/>
      <x:c r="J199" s="432"/>
      <x:c r="K199" s="432"/>
      <x:c r="L199" s="432"/>
      <x:c r="M199" s="432"/>
      <x:c r="N199" s="432"/>
      <x:c r="O199" s="432"/>
      <x:c r="P199" s="432"/>
      <x:c r="Q199" s="432"/>
      <x:c r="R199" s="481" t="str">
        <x:f>IF('Deals'!A199="","",IF(COUNTIFS('Clients'!$A$6:$A$205,'Deals'!B199)&lt;&gt;1,"Unlinked",INDEX('Clients'!$G$6:$G$205,MATCH('Deals'!B199,'Clients'!$A$6:$A$205,0))))</x:f>
      </x:c>
      <x:c r="S199" s="482" t="str">
        <x:f>IF(AND('Deals'!A199&lt;&gt;"",'Deals'!E199="Completed",ISNUMBER('Deals'!Z199)),'Deals'!Z199,"")</x:f>
      </x:c>
    </x:row>
    <x:row r="200" ht="25" customHeight="1">
      <x:c r="A200" s="432"/>
      <x:c r="B200" s="432"/>
      <x:c r="C200" s="432"/>
      <x:c r="D200" s="432"/>
      <x:c r="E200" s="432"/>
      <x:c r="F200" s="432"/>
      <x:c r="G200" s="432"/>
      <x:c r="H200" s="432"/>
      <x:c r="I200" s="432"/>
      <x:c r="J200" s="432"/>
      <x:c r="K200" s="432"/>
      <x:c r="L200" s="432"/>
      <x:c r="M200" s="432"/>
      <x:c r="N200" s="432"/>
      <x:c r="O200" s="432"/>
      <x:c r="P200" s="432"/>
      <x:c r="Q200" s="432"/>
      <x:c r="R200" s="481" t="str">
        <x:f>IF('Deals'!A200="","",IF(COUNTIFS('Clients'!$A$6:$A$205,'Deals'!B200)&lt;&gt;1,"Unlinked",INDEX('Clients'!$G$6:$G$205,MATCH('Deals'!B200,'Clients'!$A$6:$A$205,0))))</x:f>
      </x:c>
      <x:c r="S200" s="482" t="str">
        <x:f>IF(AND('Deals'!A200&lt;&gt;"",'Deals'!E200="Completed",ISNUMBER('Deals'!Z200)),'Deals'!Z200,"")</x:f>
      </x:c>
    </x:row>
    <x:row r="201" ht="25" customHeight="1">
      <x:c r="A201" s="432"/>
      <x:c r="B201" s="432"/>
      <x:c r="C201" s="432"/>
      <x:c r="D201" s="432"/>
      <x:c r="E201" s="432"/>
      <x:c r="F201" s="432"/>
      <x:c r="G201" s="432"/>
      <x:c r="H201" s="432"/>
      <x:c r="I201" s="432"/>
      <x:c r="J201" s="432"/>
      <x:c r="K201" s="432"/>
      <x:c r="L201" s="432"/>
      <x:c r="M201" s="432"/>
      <x:c r="N201" s="432"/>
      <x:c r="O201" s="432"/>
      <x:c r="P201" s="432"/>
      <x:c r="Q201" s="432"/>
      <x:c r="R201" s="481" t="str">
        <x:f>IF('Deals'!A201="","",IF(COUNTIFS('Clients'!$A$6:$A$205,'Deals'!B201)&lt;&gt;1,"Unlinked",INDEX('Clients'!$G$6:$G$205,MATCH('Deals'!B201,'Clients'!$A$6:$A$205,0))))</x:f>
      </x:c>
      <x:c r="S201" s="482" t="str">
        <x:f>IF(AND('Deals'!A201&lt;&gt;"",'Deals'!E201="Completed",ISNUMBER('Deals'!Z201)),'Deals'!Z201,"")</x:f>
      </x:c>
    </x:row>
    <x:row r="202" ht="25" customHeight="1">
      <x:c r="A202" s="432"/>
      <x:c r="B202" s="432"/>
      <x:c r="C202" s="432"/>
      <x:c r="D202" s="432"/>
      <x:c r="E202" s="432"/>
      <x:c r="F202" s="432"/>
      <x:c r="G202" s="432"/>
      <x:c r="H202" s="432"/>
      <x:c r="I202" s="432"/>
      <x:c r="J202" s="432"/>
      <x:c r="K202" s="432"/>
      <x:c r="L202" s="432"/>
      <x:c r="M202" s="432"/>
      <x:c r="N202" s="432"/>
      <x:c r="O202" s="432"/>
      <x:c r="P202" s="432"/>
      <x:c r="Q202" s="432"/>
      <x:c r="R202" s="481" t="str">
        <x:f>IF('Deals'!A202="","",IF(COUNTIFS('Clients'!$A$6:$A$205,'Deals'!B202)&lt;&gt;1,"Unlinked",INDEX('Clients'!$G$6:$G$205,MATCH('Deals'!B202,'Clients'!$A$6:$A$205,0))))</x:f>
      </x:c>
      <x:c r="S202" s="482" t="str">
        <x:f>IF(AND('Deals'!A202&lt;&gt;"",'Deals'!E202="Completed",ISNUMBER('Deals'!Z202)),'Deals'!Z202,"")</x:f>
      </x:c>
    </x:row>
    <x:row r="203" ht="25" customHeight="1">
      <x:c r="A203" s="432"/>
      <x:c r="B203" s="432"/>
      <x:c r="C203" s="432"/>
      <x:c r="D203" s="432"/>
      <x:c r="E203" s="432"/>
      <x:c r="F203" s="432"/>
      <x:c r="G203" s="432"/>
      <x:c r="H203" s="432"/>
      <x:c r="I203" s="432"/>
      <x:c r="J203" s="432"/>
      <x:c r="K203" s="432"/>
      <x:c r="L203" s="432"/>
      <x:c r="M203" s="432"/>
      <x:c r="N203" s="432"/>
      <x:c r="O203" s="432"/>
      <x:c r="P203" s="432"/>
      <x:c r="Q203" s="432"/>
      <x:c r="R203" s="481" t="str">
        <x:f>IF('Deals'!A203="","",IF(COUNTIFS('Clients'!$A$6:$A$205,'Deals'!B203)&lt;&gt;1,"Unlinked",INDEX('Clients'!$G$6:$G$205,MATCH('Deals'!B203,'Clients'!$A$6:$A$205,0))))</x:f>
      </x:c>
      <x:c r="S203" s="482" t="str">
        <x:f>IF(AND('Deals'!A203&lt;&gt;"",'Deals'!E203="Completed",ISNUMBER('Deals'!Z203)),'Deals'!Z203,"")</x:f>
      </x:c>
    </x:row>
    <x:row r="204" ht="25" customHeight="1">
      <x:c r="A204" s="432"/>
      <x:c r="B204" s="432"/>
      <x:c r="C204" s="432"/>
      <x:c r="D204" s="432"/>
      <x:c r="E204" s="432"/>
      <x:c r="F204" s="432"/>
      <x:c r="G204" s="432"/>
      <x:c r="H204" s="432"/>
      <x:c r="I204" s="432"/>
      <x:c r="J204" s="432"/>
      <x:c r="K204" s="432"/>
      <x:c r="L204" s="432"/>
      <x:c r="M204" s="432"/>
      <x:c r="N204" s="432"/>
      <x:c r="O204" s="432"/>
      <x:c r="P204" s="432"/>
      <x:c r="Q204" s="432"/>
      <x:c r="R204" s="481" t="str">
        <x:f>IF('Deals'!A204="","",IF(COUNTIFS('Clients'!$A$6:$A$205,'Deals'!B204)&lt;&gt;1,"Unlinked",INDEX('Clients'!$G$6:$G$205,MATCH('Deals'!B204,'Clients'!$A$6:$A$205,0))))</x:f>
      </x:c>
      <x:c r="S204" s="482" t="str">
        <x:f>IF(AND('Deals'!A204&lt;&gt;"",'Deals'!E204="Completed",ISNUMBER('Deals'!Z204)),'Deals'!Z204,"")</x:f>
      </x:c>
    </x:row>
    <x:row r="205" ht="25" customHeight="1">
      <x:c r="A205" s="432"/>
      <x:c r="B205" s="432"/>
      <x:c r="C205" s="432"/>
      <x:c r="D205" s="432"/>
      <x:c r="E205" s="432"/>
      <x:c r="F205" s="432"/>
      <x:c r="G205" s="432"/>
      <x:c r="H205" s="432"/>
      <x:c r="I205" s="432"/>
      <x:c r="J205" s="432"/>
      <x:c r="K205" s="432"/>
      <x:c r="L205" s="432"/>
      <x:c r="M205" s="432"/>
      <x:c r="N205" s="432"/>
      <x:c r="O205" s="432"/>
      <x:c r="P205" s="432"/>
      <x:c r="Q205" s="432"/>
      <x:c r="R205" s="481" t="str">
        <x:f>IF('Deals'!A205="","",IF(COUNTIFS('Clients'!$A$6:$A$205,'Deals'!B205)&lt;&gt;1,"Unlinked",INDEX('Clients'!$G$6:$G$205,MATCH('Deals'!B205,'Clients'!$A$6:$A$205,0))))</x:f>
      </x:c>
      <x:c r="S205" s="482" t="str">
        <x:f>IF(AND('Deals'!A205&lt;&gt;"",'Deals'!E205="Completed",ISNUMBER('Deals'!Z205)),'Deals'!Z205,"")</x:f>
      </x:c>
    </x:row>
    <x:row r="206" ht="25" customHeight="1">
      <x:c r="A206" s="432"/>
      <x:c r="B206" s="432"/>
      <x:c r="C206" s="432"/>
      <x:c r="D206" s="432"/>
      <x:c r="E206" s="432"/>
      <x:c r="F206" s="432"/>
      <x:c r="G206" s="432"/>
      <x:c r="H206" s="432"/>
      <x:c r="I206" s="432"/>
      <x:c r="J206" s="432"/>
      <x:c r="K206" s="432"/>
      <x:c r="L206" s="432"/>
      <x:c r="M206" s="432"/>
      <x:c r="N206" s="432"/>
      <x:c r="O206" s="432"/>
      <x:c r="P206" s="432"/>
      <x:c r="Q206" s="432"/>
    </x:row>
    <x:row r="207" ht="25" customHeight="1">
      <x:c r="A207" s="432"/>
      <x:c r="B207" s="432"/>
      <x:c r="C207" s="432"/>
      <x:c r="D207" s="432"/>
      <x:c r="E207" s="432"/>
      <x:c r="F207" s="432"/>
      <x:c r="G207" s="432"/>
      <x:c r="H207" s="432"/>
      <x:c r="I207" s="432"/>
      <x:c r="J207" s="432"/>
      <x:c r="K207" s="432"/>
      <x:c r="L207" s="432"/>
      <x:c r="M207" s="432"/>
      <x:c r="N207" s="432"/>
      <x:c r="O207" s="432"/>
      <x:c r="P207" s="432"/>
      <x:c r="Q207" s="432"/>
    </x:row>
    <x:row r="208" ht="25" customHeight="1">
      <x:c r="A208" s="432"/>
      <x:c r="B208" s="432"/>
      <x:c r="C208" s="432"/>
      <x:c r="D208" s="432"/>
      <x:c r="E208" s="432"/>
      <x:c r="F208" s="432"/>
      <x:c r="G208" s="432"/>
      <x:c r="H208" s="432"/>
      <x:c r="I208" s="432"/>
      <x:c r="J208" s="432"/>
      <x:c r="K208" s="432"/>
      <x:c r="L208" s="432"/>
      <x:c r="M208" s="432"/>
      <x:c r="N208" s="432"/>
      <x:c r="O208" s="432"/>
      <x:c r="P208" s="432"/>
      <x:c r="Q208" s="432"/>
    </x:row>
    <x:row r="209" ht="25" customHeight="1">
      <x:c r="A209" s="432"/>
      <x:c r="B209" s="432"/>
      <x:c r="C209" s="432"/>
      <x:c r="D209" s="432"/>
      <x:c r="E209" s="432"/>
      <x:c r="F209" s="432"/>
      <x:c r="G209" s="432"/>
      <x:c r="H209" s="432"/>
      <x:c r="I209" s="432"/>
      <x:c r="J209" s="432"/>
      <x:c r="K209" s="432"/>
      <x:c r="L209" s="432"/>
      <x:c r="M209" s="432"/>
      <x:c r="N209" s="432"/>
      <x:c r="O209" s="432"/>
      <x:c r="P209" s="432"/>
      <x:c r="Q209" s="432"/>
    </x:row>
    <x:row r="210" ht="25" customHeight="1">
      <x:c r="A210" s="432"/>
      <x:c r="B210" s="432"/>
      <x:c r="C210" s="432"/>
      <x:c r="D210" s="432"/>
      <x:c r="E210" s="432"/>
      <x:c r="F210" s="432"/>
      <x:c r="G210" s="432"/>
      <x:c r="H210" s="432"/>
      <x:c r="I210" s="432"/>
      <x:c r="J210" s="432"/>
      <x:c r="K210" s="432"/>
      <x:c r="L210" s="432"/>
      <x:c r="M210" s="432"/>
      <x:c r="N210" s="432"/>
      <x:c r="O210" s="432"/>
      <x:c r="P210" s="432"/>
      <x:c r="Q210" s="432"/>
    </x:row>
    <x:row r="211" ht="25" customHeight="1">
      <x:c r="A211" s="432"/>
      <x:c r="B211" s="432"/>
      <x:c r="C211" s="432"/>
      <x:c r="D211" s="432"/>
      <x:c r="E211" s="432"/>
      <x:c r="F211" s="432"/>
      <x:c r="G211" s="432"/>
      <x:c r="H211" s="432"/>
      <x:c r="I211" s="432"/>
      <x:c r="J211" s="432"/>
      <x:c r="K211" s="432"/>
      <x:c r="L211" s="432"/>
      <x:c r="M211" s="432"/>
      <x:c r="N211" s="432"/>
      <x:c r="O211" s="432"/>
      <x:c r="P211" s="432"/>
      <x:c r="Q211" s="432"/>
    </x:row>
    <x:row r="212" ht="25" customHeight="1">
      <x:c r="A212" s="432"/>
      <x:c r="B212" s="432"/>
      <x:c r="C212" s="432"/>
      <x:c r="D212" s="432"/>
      <x:c r="E212" s="432"/>
      <x:c r="F212" s="432"/>
      <x:c r="G212" s="432"/>
      <x:c r="H212" s="432"/>
      <x:c r="I212" s="432"/>
      <x:c r="J212" s="432"/>
      <x:c r="K212" s="432"/>
      <x:c r="L212" s="432"/>
      <x:c r="M212" s="432"/>
      <x:c r="N212" s="432"/>
      <x:c r="O212" s="432"/>
      <x:c r="P212" s="432"/>
      <x:c r="Q212" s="432"/>
    </x:row>
    <x:row r="213" ht="25" customHeight="1">
      <x:c r="A213" s="432"/>
      <x:c r="B213" s="432"/>
      <x:c r="C213" s="432"/>
      <x:c r="D213" s="432"/>
      <x:c r="E213" s="432"/>
      <x:c r="F213" s="432"/>
      <x:c r="G213" s="432"/>
      <x:c r="H213" s="432"/>
      <x:c r="I213" s="432"/>
      <x:c r="J213" s="432"/>
      <x:c r="K213" s="432"/>
      <x:c r="L213" s="432"/>
      <x:c r="M213" s="432"/>
      <x:c r="N213" s="432"/>
      <x:c r="O213" s="432"/>
      <x:c r="P213" s="432"/>
      <x:c r="Q213" s="432"/>
    </x:row>
    <x:row r="214" ht="25" customHeight="1">
      <x:c r="A214" s="432"/>
      <x:c r="B214" s="432"/>
      <x:c r="C214" s="432"/>
      <x:c r="D214" s="432"/>
      <x:c r="E214" s="432"/>
      <x:c r="F214" s="432"/>
      <x:c r="G214" s="432"/>
      <x:c r="H214" s="432"/>
      <x:c r="I214" s="432"/>
      <x:c r="J214" s="432"/>
      <x:c r="K214" s="432"/>
      <x:c r="L214" s="432"/>
      <x:c r="M214" s="432"/>
      <x:c r="N214" s="432"/>
      <x:c r="O214" s="432"/>
      <x:c r="P214" s="432"/>
      <x:c r="Q214" s="432"/>
    </x:row>
    <x:row r="215" ht="25" customHeight="1">
      <x:c r="A215" s="432"/>
      <x:c r="B215" s="432"/>
      <x:c r="C215" s="432"/>
      <x:c r="D215" s="432"/>
      <x:c r="E215" s="432"/>
      <x:c r="F215" s="432"/>
      <x:c r="G215" s="432"/>
      <x:c r="H215" s="432"/>
      <x:c r="I215" s="432"/>
      <x:c r="J215" s="432"/>
      <x:c r="K215" s="432"/>
      <x:c r="L215" s="432"/>
      <x:c r="M215" s="432"/>
      <x:c r="N215" s="432"/>
      <x:c r="O215" s="432"/>
      <x:c r="P215" s="432"/>
      <x:c r="Q215" s="432"/>
    </x:row>
    <x:row r="216" ht="25" customHeight="1">
      <x:c r="A216" s="432"/>
      <x:c r="B216" s="432"/>
      <x:c r="C216" s="432"/>
      <x:c r="D216" s="432"/>
      <x:c r="E216" s="432"/>
      <x:c r="F216" s="432"/>
      <x:c r="G216" s="432"/>
      <x:c r="H216" s="432"/>
      <x:c r="I216" s="432"/>
      <x:c r="J216" s="432"/>
      <x:c r="K216" s="432"/>
      <x:c r="L216" s="432"/>
      <x:c r="M216" s="432"/>
      <x:c r="N216" s="432"/>
      <x:c r="O216" s="432"/>
      <x:c r="P216" s="432"/>
      <x:c r="Q216" s="432"/>
    </x:row>
    <x:row r="217" ht="25" customHeight="1">
      <x:c r="A217" s="432"/>
      <x:c r="B217" s="432"/>
      <x:c r="C217" s="432"/>
      <x:c r="D217" s="432"/>
      <x:c r="E217" s="432"/>
      <x:c r="F217" s="432"/>
      <x:c r="G217" s="432"/>
      <x:c r="H217" s="432"/>
      <x:c r="I217" s="432"/>
      <x:c r="J217" s="432"/>
      <x:c r="K217" s="432"/>
      <x:c r="L217" s="432"/>
      <x:c r="M217" s="432"/>
      <x:c r="N217" s="432"/>
      <x:c r="O217" s="432"/>
      <x:c r="P217" s="432"/>
      <x:c r="Q217" s="432"/>
    </x:row>
    <x:row r="218" ht="25" customHeight="1">
      <x:c r="A218" s="432"/>
      <x:c r="B218" s="432"/>
      <x:c r="C218" s="432"/>
      <x:c r="D218" s="432"/>
      <x:c r="E218" s="432"/>
      <x:c r="F218" s="432"/>
      <x:c r="G218" s="432"/>
      <x:c r="H218" s="432"/>
      <x:c r="I218" s="432"/>
      <x:c r="J218" s="432"/>
      <x:c r="K218" s="432"/>
      <x:c r="L218" s="432"/>
      <x:c r="M218" s="432"/>
      <x:c r="N218" s="432"/>
      <x:c r="O218" s="432"/>
      <x:c r="P218" s="432"/>
      <x:c r="Q218" s="432"/>
    </x:row>
    <x:row r="219" ht="25" customHeight="1">
      <x:c r="A219" s="432"/>
      <x:c r="B219" s="432"/>
      <x:c r="C219" s="432"/>
      <x:c r="D219" s="432"/>
      <x:c r="E219" s="432"/>
      <x:c r="F219" s="432"/>
      <x:c r="G219" s="432"/>
      <x:c r="H219" s="432"/>
      <x:c r="I219" s="432"/>
      <x:c r="J219" s="432"/>
      <x:c r="K219" s="432"/>
      <x:c r="L219" s="432"/>
      <x:c r="M219" s="432"/>
      <x:c r="N219" s="432"/>
      <x:c r="O219" s="432"/>
      <x:c r="P219" s="432"/>
      <x:c r="Q219" s="432"/>
    </x:row>
    <x:row r="220" ht="25" customHeight="1">
      <x:c r="A220" s="432"/>
      <x:c r="B220" s="432"/>
      <x:c r="C220" s="432"/>
      <x:c r="D220" s="432"/>
      <x:c r="E220" s="432"/>
      <x:c r="F220" s="432"/>
      <x:c r="G220" s="432"/>
      <x:c r="H220" s="432"/>
      <x:c r="I220" s="432"/>
      <x:c r="J220" s="432"/>
      <x:c r="K220" s="432"/>
      <x:c r="L220" s="432"/>
      <x:c r="M220" s="432"/>
      <x:c r="N220" s="432"/>
      <x:c r="O220" s="432"/>
      <x:c r="P220" s="432"/>
      <x:c r="Q220" s="432"/>
    </x:row>
    <x:row r="221" ht="25" customHeight="1">
      <x:c r="A221" s="432"/>
      <x:c r="B221" s="432"/>
      <x:c r="C221" s="432"/>
      <x:c r="D221" s="432"/>
      <x:c r="E221" s="432"/>
      <x:c r="F221" s="432"/>
      <x:c r="G221" s="432"/>
      <x:c r="H221" s="432"/>
      <x:c r="I221" s="432"/>
      <x:c r="J221" s="432"/>
      <x:c r="K221" s="432"/>
      <x:c r="L221" s="432"/>
      <x:c r="M221" s="432"/>
      <x:c r="N221" s="432"/>
      <x:c r="O221" s="432"/>
      <x:c r="P221" s="432"/>
      <x:c r="Q221" s="432"/>
    </x:row>
    <x:row r="222" ht="25" customHeight="1">
      <x:c r="A222" s="432"/>
      <x:c r="B222" s="432"/>
      <x:c r="C222" s="432"/>
      <x:c r="D222" s="432"/>
      <x:c r="E222" s="432"/>
      <x:c r="F222" s="432"/>
      <x:c r="G222" s="432"/>
      <x:c r="H222" s="432"/>
      <x:c r="I222" s="432"/>
      <x:c r="J222" s="432"/>
      <x:c r="K222" s="432"/>
      <x:c r="L222" s="432"/>
      <x:c r="M222" s="432"/>
      <x:c r="N222" s="432"/>
      <x:c r="O222" s="432"/>
      <x:c r="P222" s="432"/>
      <x:c r="Q222" s="432"/>
    </x:row>
    <x:row r="223" ht="25" customHeight="1">
      <x:c r="A223" s="432"/>
      <x:c r="B223" s="432"/>
      <x:c r="C223" s="432"/>
      <x:c r="D223" s="432"/>
      <x:c r="E223" s="432"/>
      <x:c r="F223" s="432"/>
      <x:c r="G223" s="432"/>
      <x:c r="H223" s="432"/>
      <x:c r="I223" s="432"/>
      <x:c r="J223" s="432"/>
      <x:c r="K223" s="432"/>
      <x:c r="L223" s="432"/>
      <x:c r="M223" s="432"/>
      <x:c r="N223" s="432"/>
      <x:c r="O223" s="432"/>
      <x:c r="P223" s="432"/>
      <x:c r="Q223" s="432"/>
    </x:row>
    <x:row r="224" ht="25" customHeight="1">
      <x:c r="A224" s="432"/>
      <x:c r="B224" s="432"/>
      <x:c r="C224" s="432"/>
      <x:c r="D224" s="432"/>
      <x:c r="E224" s="432"/>
      <x:c r="F224" s="432"/>
      <x:c r="G224" s="432"/>
      <x:c r="H224" s="432"/>
      <x:c r="I224" s="432"/>
      <x:c r="J224" s="432"/>
      <x:c r="K224" s="432"/>
      <x:c r="L224" s="432"/>
      <x:c r="M224" s="432"/>
      <x:c r="N224" s="432"/>
      <x:c r="O224" s="432"/>
      <x:c r="P224" s="432"/>
      <x:c r="Q224" s="432"/>
    </x:row>
    <x:row r="225" ht="25" customHeight="1">
      <x:c r="A225" s="432"/>
      <x:c r="B225" s="432"/>
      <x:c r="C225" s="432"/>
      <x:c r="D225" s="432"/>
      <x:c r="E225" s="432"/>
      <x:c r="F225" s="432"/>
      <x:c r="G225" s="432"/>
      <x:c r="H225" s="432"/>
      <x:c r="I225" s="432"/>
      <x:c r="J225" s="432"/>
      <x:c r="K225" s="432"/>
      <x:c r="L225" s="432"/>
      <x:c r="M225" s="432"/>
      <x:c r="N225" s="432"/>
      <x:c r="O225" s="432"/>
      <x:c r="P225" s="432"/>
      <x:c r="Q225" s="432"/>
    </x:row>
    <x:row r="226" ht="25" customHeight="1">
      <x:c r="A226" s="432"/>
      <x:c r="B226" s="432"/>
      <x:c r="C226" s="432"/>
      <x:c r="D226" s="432"/>
      <x:c r="E226" s="432"/>
      <x:c r="F226" s="432"/>
      <x:c r="G226" s="432"/>
      <x:c r="H226" s="432"/>
      <x:c r="I226" s="432"/>
      <x:c r="J226" s="432"/>
      <x:c r="K226" s="432"/>
      <x:c r="L226" s="432"/>
      <x:c r="M226" s="432"/>
      <x:c r="N226" s="432"/>
      <x:c r="O226" s="432"/>
      <x:c r="P226" s="432"/>
      <x:c r="Q226" s="432"/>
    </x:row>
    <x:row r="227" ht="25" customHeight="1">
      <x:c r="A227" s="432"/>
      <x:c r="B227" s="432"/>
      <x:c r="C227" s="432"/>
      <x:c r="D227" s="432"/>
      <x:c r="E227" s="432"/>
      <x:c r="F227" s="432"/>
      <x:c r="G227" s="432"/>
      <x:c r="H227" s="432"/>
      <x:c r="I227" s="432"/>
      <x:c r="J227" s="432"/>
      <x:c r="K227" s="432"/>
      <x:c r="L227" s="432"/>
      <x:c r="M227" s="432"/>
      <x:c r="N227" s="432"/>
      <x:c r="O227" s="432"/>
      <x:c r="P227" s="432"/>
      <x:c r="Q227" s="432"/>
    </x:row>
    <x:row r="228" ht="25" customHeight="1">
      <x:c r="A228" s="432"/>
      <x:c r="B228" s="432"/>
      <x:c r="C228" s="432"/>
      <x:c r="D228" s="432"/>
      <x:c r="E228" s="432"/>
      <x:c r="F228" s="432"/>
      <x:c r="G228" s="432"/>
      <x:c r="H228" s="432"/>
      <x:c r="I228" s="432"/>
      <x:c r="J228" s="432"/>
      <x:c r="K228" s="432"/>
      <x:c r="L228" s="432"/>
      <x:c r="M228" s="432"/>
      <x:c r="N228" s="432"/>
      <x:c r="O228" s="432"/>
      <x:c r="P228" s="432"/>
      <x:c r="Q228" s="432"/>
    </x:row>
    <x:row r="229" ht="25" customHeight="1">
      <x:c r="A229" s="432"/>
      <x:c r="B229" s="432"/>
      <x:c r="C229" s="432"/>
      <x:c r="D229" s="432"/>
      <x:c r="E229" s="432"/>
      <x:c r="F229" s="432"/>
      <x:c r="G229" s="432"/>
      <x:c r="H229" s="432"/>
      <x:c r="I229" s="432"/>
      <x:c r="J229" s="432"/>
      <x:c r="K229" s="432"/>
      <x:c r="L229" s="432"/>
      <x:c r="M229" s="432"/>
      <x:c r="N229" s="432"/>
      <x:c r="O229" s="432"/>
      <x:c r="P229" s="432"/>
      <x:c r="Q229" s="432"/>
    </x:row>
    <x:row r="230" ht="25" customHeight="1">
      <x:c r="A230" s="432"/>
      <x:c r="B230" s="432"/>
      <x:c r="C230" s="432"/>
      <x:c r="D230" s="432"/>
      <x:c r="E230" s="432"/>
      <x:c r="F230" s="432"/>
      <x:c r="G230" s="432"/>
      <x:c r="H230" s="432"/>
      <x:c r="I230" s="432"/>
      <x:c r="J230" s="432"/>
      <x:c r="K230" s="432"/>
      <x:c r="L230" s="432"/>
      <x:c r="M230" s="432"/>
      <x:c r="N230" s="432"/>
      <x:c r="O230" s="432"/>
      <x:c r="P230" s="432"/>
      <x:c r="Q230" s="432"/>
    </x:row>
    <x:row r="231" ht="25" customHeight="1">
      <x:c r="A231" s="432"/>
      <x:c r="B231" s="432"/>
      <x:c r="C231" s="432"/>
      <x:c r="D231" s="432"/>
      <x:c r="E231" s="432"/>
      <x:c r="F231" s="432"/>
      <x:c r="G231" s="432"/>
      <x:c r="H231" s="432"/>
      <x:c r="I231" s="432"/>
      <x:c r="J231" s="432"/>
      <x:c r="K231" s="432"/>
      <x:c r="L231" s="432"/>
      <x:c r="M231" s="432"/>
      <x:c r="N231" s="432"/>
      <x:c r="O231" s="432"/>
      <x:c r="P231" s="432"/>
      <x:c r="Q231" s="432"/>
    </x:row>
    <x:row r="232" ht="25" customHeight="1">
      <x:c r="A232" s="432"/>
      <x:c r="B232" s="432"/>
      <x:c r="C232" s="432"/>
      <x:c r="D232" s="432"/>
      <x:c r="E232" s="432"/>
      <x:c r="F232" s="432"/>
      <x:c r="G232" s="432"/>
      <x:c r="H232" s="432"/>
      <x:c r="I232" s="432"/>
      <x:c r="J232" s="432"/>
      <x:c r="K232" s="432"/>
      <x:c r="L232" s="432"/>
      <x:c r="M232" s="432"/>
      <x:c r="N232" s="432"/>
      <x:c r="O232" s="432"/>
      <x:c r="P232" s="432"/>
      <x:c r="Q232" s="432"/>
    </x:row>
    <x:row r="233" ht="25" customHeight="1">
      <x:c r="A233" s="432"/>
      <x:c r="B233" s="432"/>
      <x:c r="C233" s="432"/>
      <x:c r="D233" s="432"/>
      <x:c r="E233" s="432"/>
      <x:c r="F233" s="432"/>
      <x:c r="G233" s="432"/>
      <x:c r="H233" s="432"/>
      <x:c r="I233" s="432"/>
      <x:c r="J233" s="432"/>
      <x:c r="K233" s="432"/>
      <x:c r="L233" s="432"/>
      <x:c r="M233" s="432"/>
      <x:c r="N233" s="432"/>
      <x:c r="O233" s="432"/>
      <x:c r="P233" s="432"/>
      <x:c r="Q233" s="432"/>
    </x:row>
    <x:row r="234" ht="25" customHeight="1">
      <x:c r="A234" s="432"/>
      <x:c r="B234" s="432"/>
      <x:c r="C234" s="432"/>
      <x:c r="D234" s="432"/>
      <x:c r="E234" s="432"/>
      <x:c r="F234" s="432"/>
      <x:c r="G234" s="432"/>
      <x:c r="H234" s="432"/>
      <x:c r="I234" s="432"/>
      <x:c r="J234" s="432"/>
      <x:c r="K234" s="432"/>
      <x:c r="L234" s="432"/>
      <x:c r="M234" s="432"/>
      <x:c r="N234" s="432"/>
      <x:c r="O234" s="432"/>
      <x:c r="P234" s="432"/>
      <x:c r="Q234" s="432"/>
    </x:row>
    <x:row r="235" ht="25" customHeight="1">
      <x:c r="A235" s="432"/>
      <x:c r="B235" s="432"/>
      <x:c r="C235" s="432"/>
      <x:c r="D235" s="432"/>
      <x:c r="E235" s="432"/>
      <x:c r="F235" s="432"/>
      <x:c r="G235" s="432"/>
      <x:c r="H235" s="432"/>
      <x:c r="I235" s="432"/>
      <x:c r="J235" s="432"/>
      <x:c r="K235" s="432"/>
      <x:c r="L235" s="432"/>
      <x:c r="M235" s="432"/>
      <x:c r="N235" s="432"/>
      <x:c r="O235" s="432"/>
      <x:c r="P235" s="432"/>
      <x:c r="Q235" s="432"/>
    </x:row>
    <x:row r="236" ht="25" customHeight="1">
      <x:c r="A236" s="432"/>
      <x:c r="B236" s="432"/>
      <x:c r="C236" s="432"/>
      <x:c r="D236" s="432"/>
      <x:c r="E236" s="432"/>
      <x:c r="F236" s="432"/>
      <x:c r="G236" s="432"/>
      <x:c r="H236" s="432"/>
      <x:c r="I236" s="432"/>
      <x:c r="J236" s="432"/>
      <x:c r="K236" s="432"/>
      <x:c r="L236" s="432"/>
      <x:c r="M236" s="432"/>
      <x:c r="N236" s="432"/>
      <x:c r="O236" s="432"/>
      <x:c r="P236" s="432"/>
      <x:c r="Q236" s="432"/>
    </x:row>
    <x:row r="237" ht="25" customHeight="1">
      <x:c r="A237" s="432"/>
      <x:c r="B237" s="432"/>
      <x:c r="C237" s="432"/>
      <x:c r="D237" s="432"/>
      <x:c r="E237" s="432"/>
      <x:c r="F237" s="432"/>
      <x:c r="G237" s="432"/>
      <x:c r="H237" s="432"/>
      <x:c r="I237" s="432"/>
      <x:c r="J237" s="432"/>
      <x:c r="K237" s="432"/>
      <x:c r="L237" s="432"/>
      <x:c r="M237" s="432"/>
      <x:c r="N237" s="432"/>
      <x:c r="O237" s="432"/>
      <x:c r="P237" s="432"/>
      <x:c r="Q237" s="432"/>
    </x:row>
    <x:row r="238" ht="25" customHeight="1">
      <x:c r="A238" s="432"/>
      <x:c r="B238" s="432"/>
      <x:c r="C238" s="432"/>
      <x:c r="D238" s="432"/>
      <x:c r="E238" s="432"/>
      <x:c r="F238" s="432"/>
      <x:c r="G238" s="432"/>
      <x:c r="H238" s="432"/>
      <x:c r="I238" s="432"/>
      <x:c r="J238" s="432"/>
      <x:c r="K238" s="432"/>
      <x:c r="L238" s="432"/>
      <x:c r="M238" s="432"/>
      <x:c r="N238" s="432"/>
      <x:c r="O238" s="432"/>
      <x:c r="P238" s="432"/>
      <x:c r="Q238" s="432"/>
    </x:row>
    <x:row r="239" ht="25" customHeight="1">
      <x:c r="A239" s="432"/>
      <x:c r="B239" s="432"/>
      <x:c r="C239" s="432"/>
      <x:c r="D239" s="432"/>
      <x:c r="E239" s="432"/>
      <x:c r="F239" s="432"/>
      <x:c r="G239" s="432"/>
      <x:c r="H239" s="432"/>
      <x:c r="I239" s="432"/>
      <x:c r="J239" s="432"/>
      <x:c r="K239" s="432"/>
      <x:c r="L239" s="432"/>
      <x:c r="M239" s="432"/>
      <x:c r="N239" s="432"/>
      <x:c r="O239" s="432"/>
      <x:c r="P239" s="432"/>
      <x:c r="Q239" s="432"/>
    </x:row>
    <x:row r="240" ht="25" customHeight="1">
      <x:c r="A240" s="432"/>
      <x:c r="B240" s="432"/>
      <x:c r="C240" s="432"/>
      <x:c r="D240" s="432"/>
      <x:c r="E240" s="432"/>
      <x:c r="F240" s="432"/>
      <x:c r="G240" s="432"/>
      <x:c r="H240" s="432"/>
      <x:c r="I240" s="432"/>
      <x:c r="J240" s="432"/>
      <x:c r="K240" s="432"/>
      <x:c r="L240" s="432"/>
      <x:c r="M240" s="432"/>
      <x:c r="N240" s="432"/>
      <x:c r="O240" s="432"/>
      <x:c r="P240" s="432"/>
      <x:c r="Q240" s="432"/>
    </x:row>
    <x:row r="241" ht="25" customHeight="1">
      <x:c r="A241" s="432"/>
      <x:c r="B241" s="432"/>
      <x:c r="C241" s="432"/>
      <x:c r="D241" s="432"/>
      <x:c r="E241" s="432"/>
      <x:c r="F241" s="432"/>
      <x:c r="G241" s="432"/>
      <x:c r="H241" s="432"/>
      <x:c r="I241" s="432"/>
      <x:c r="J241" s="432"/>
      <x:c r="K241" s="432"/>
      <x:c r="L241" s="432"/>
      <x:c r="M241" s="432"/>
      <x:c r="N241" s="432"/>
      <x:c r="O241" s="432"/>
      <x:c r="P241" s="432"/>
      <x:c r="Q241" s="432"/>
    </x:row>
    <x:row r="242" ht="25" customHeight="1">
      <x:c r="A242" s="432"/>
      <x:c r="B242" s="432"/>
      <x:c r="C242" s="432"/>
      <x:c r="D242" s="432"/>
      <x:c r="E242" s="432"/>
      <x:c r="F242" s="432"/>
      <x:c r="G242" s="432"/>
      <x:c r="H242" s="432"/>
      <x:c r="I242" s="432"/>
      <x:c r="J242" s="432"/>
      <x:c r="K242" s="432"/>
      <x:c r="L242" s="432"/>
      <x:c r="M242" s="432"/>
      <x:c r="N242" s="432"/>
      <x:c r="O242" s="432"/>
      <x:c r="P242" s="432"/>
      <x:c r="Q242" s="432"/>
    </x:row>
    <x:row r="243" ht="25" customHeight="1">
      <x:c r="A243" s="432"/>
      <x:c r="B243" s="432"/>
      <x:c r="C243" s="432"/>
      <x:c r="D243" s="432"/>
      <x:c r="E243" s="432"/>
      <x:c r="F243" s="432"/>
      <x:c r="G243" s="432"/>
      <x:c r="H243" s="432"/>
      <x:c r="I243" s="432"/>
      <x:c r="J243" s="432"/>
      <x:c r="K243" s="432"/>
      <x:c r="L243" s="432"/>
      <x:c r="M243" s="432"/>
      <x:c r="N243" s="432"/>
      <x:c r="O243" s="432"/>
      <x:c r="P243" s="432"/>
      <x:c r="Q243" s="432"/>
    </x:row>
    <x:row r="244" ht="25" customHeight="1">
      <x:c r="A244" s="432"/>
      <x:c r="B244" s="432"/>
      <x:c r="C244" s="432"/>
      <x:c r="D244" s="432"/>
      <x:c r="E244" s="432"/>
      <x:c r="F244" s="432"/>
      <x:c r="G244" s="432"/>
      <x:c r="H244" s="432"/>
      <x:c r="I244" s="432"/>
      <x:c r="J244" s="432"/>
      <x:c r="K244" s="432"/>
      <x:c r="L244" s="432"/>
      <x:c r="M244" s="432"/>
      <x:c r="N244" s="432"/>
      <x:c r="O244" s="432"/>
      <x:c r="P244" s="432"/>
      <x:c r="Q244" s="432"/>
    </x:row>
    <x:row r="245" ht="25" customHeight="1">
      <x:c r="A245" s="432"/>
      <x:c r="B245" s="432"/>
      <x:c r="C245" s="432"/>
      <x:c r="D245" s="432"/>
      <x:c r="E245" s="432"/>
      <x:c r="F245" s="432"/>
      <x:c r="G245" s="432"/>
      <x:c r="H245" s="432"/>
      <x:c r="I245" s="432"/>
      <x:c r="J245" s="432"/>
      <x:c r="K245" s="432"/>
      <x:c r="L245" s="432"/>
      <x:c r="M245" s="432"/>
      <x:c r="N245" s="432"/>
      <x:c r="O245" s="432"/>
      <x:c r="P245" s="432"/>
      <x:c r="Q245" s="432"/>
    </x:row>
    <x:row r="246" ht="25" customHeight="1">
      <x:c r="A246" s="432"/>
      <x:c r="B246" s="432"/>
      <x:c r="C246" s="432"/>
      <x:c r="D246" s="432"/>
      <x:c r="E246" s="432"/>
      <x:c r="F246" s="432"/>
      <x:c r="G246" s="432"/>
      <x:c r="H246" s="432"/>
      <x:c r="I246" s="432"/>
      <x:c r="J246" s="432"/>
      <x:c r="K246" s="432"/>
      <x:c r="L246" s="432"/>
      <x:c r="M246" s="432"/>
      <x:c r="N246" s="432"/>
      <x:c r="O246" s="432"/>
      <x:c r="P246" s="432"/>
      <x:c r="Q246" s="432"/>
    </x:row>
    <x:row r="247" ht="25" customHeight="1">
      <x:c r="A247" s="432"/>
      <x:c r="B247" s="432"/>
      <x:c r="C247" s="432"/>
      <x:c r="D247" s="432"/>
      <x:c r="E247" s="432"/>
      <x:c r="F247" s="432"/>
      <x:c r="G247" s="432"/>
      <x:c r="H247" s="432"/>
      <x:c r="I247" s="432"/>
      <x:c r="J247" s="432"/>
      <x:c r="K247" s="432"/>
      <x:c r="L247" s="432"/>
      <x:c r="M247" s="432"/>
      <x:c r="N247" s="432"/>
      <x:c r="O247" s="432"/>
      <x:c r="P247" s="432"/>
      <x:c r="Q247" s="432"/>
    </x:row>
    <x:row r="248" ht="25" customHeight="1">
      <x:c r="A248" s="432"/>
      <x:c r="B248" s="432"/>
      <x:c r="C248" s="432"/>
      <x:c r="D248" s="432"/>
      <x:c r="E248" s="432"/>
      <x:c r="F248" s="432"/>
      <x:c r="G248" s="432"/>
      <x:c r="H248" s="432"/>
      <x:c r="I248" s="432"/>
      <x:c r="J248" s="432"/>
      <x:c r="K248" s="432"/>
      <x:c r="L248" s="432"/>
      <x:c r="M248" s="432"/>
      <x:c r="N248" s="432"/>
      <x:c r="O248" s="432"/>
      <x:c r="P248" s="432"/>
      <x:c r="Q248" s="432"/>
    </x:row>
    <x:row r="249" ht="25" customHeight="1">
      <x:c r="A249" s="432"/>
      <x:c r="B249" s="432"/>
      <x:c r="C249" s="432"/>
      <x:c r="D249" s="432"/>
      <x:c r="E249" s="432"/>
      <x:c r="F249" s="432"/>
      <x:c r="G249" s="432"/>
      <x:c r="H249" s="432"/>
      <x:c r="I249" s="432"/>
      <x:c r="J249" s="432"/>
      <x:c r="K249" s="432"/>
      <x:c r="L249" s="432"/>
      <x:c r="M249" s="432"/>
      <x:c r="N249" s="432"/>
      <x:c r="O249" s="432"/>
      <x:c r="P249" s="432"/>
      <x:c r="Q249" s="432"/>
    </x:row>
    <x:row r="250" ht="25" customHeight="1">
      <x:c r="A250" s="432"/>
      <x:c r="B250" s="432"/>
      <x:c r="C250" s="432"/>
      <x:c r="D250" s="432"/>
      <x:c r="E250" s="432"/>
      <x:c r="F250" s="432"/>
      <x:c r="G250" s="432"/>
      <x:c r="H250" s="432"/>
      <x:c r="I250" s="432"/>
      <x:c r="J250" s="432"/>
      <x:c r="K250" s="432"/>
      <x:c r="L250" s="432"/>
      <x:c r="M250" s="432"/>
      <x:c r="N250" s="432"/>
      <x:c r="O250" s="432"/>
      <x:c r="P250" s="432"/>
      <x:c r="Q250" s="432"/>
    </x:row>
    <x:row r="251" ht="25" customHeight="1">
      <x:c r="A251" s="432"/>
      <x:c r="B251" s="432"/>
      <x:c r="C251" s="432"/>
      <x:c r="D251" s="432"/>
      <x:c r="E251" s="432"/>
      <x:c r="F251" s="432"/>
      <x:c r="G251" s="432"/>
      <x:c r="H251" s="432"/>
      <x:c r="I251" s="432"/>
      <x:c r="J251" s="432"/>
      <x:c r="K251" s="432"/>
      <x:c r="L251" s="432"/>
      <x:c r="M251" s="432"/>
      <x:c r="N251" s="432"/>
      <x:c r="O251" s="432"/>
      <x:c r="P251" s="432"/>
      <x:c r="Q251" s="432"/>
    </x:row>
    <x:row r="252" ht="25" customHeight="1">
      <x:c r="A252" s="432"/>
      <x:c r="B252" s="432"/>
      <x:c r="C252" s="432"/>
      <x:c r="D252" s="432"/>
      <x:c r="E252" s="432"/>
      <x:c r="F252" s="432"/>
      <x:c r="G252" s="432"/>
      <x:c r="H252" s="432"/>
      <x:c r="I252" s="432"/>
      <x:c r="J252" s="432"/>
      <x:c r="K252" s="432"/>
      <x:c r="L252" s="432"/>
      <x:c r="M252" s="432"/>
      <x:c r="N252" s="432"/>
      <x:c r="O252" s="432"/>
      <x:c r="P252" s="432"/>
      <x:c r="Q252" s="432"/>
    </x:row>
    <x:row r="253" ht="25" customHeight="1">
      <x:c r="A253" s="432"/>
      <x:c r="B253" s="432"/>
      <x:c r="C253" s="432"/>
      <x:c r="D253" s="432"/>
      <x:c r="E253" s="432"/>
      <x:c r="F253" s="432"/>
      <x:c r="G253" s="432"/>
      <x:c r="H253" s="432"/>
      <x:c r="I253" s="432"/>
      <x:c r="J253" s="432"/>
      <x:c r="K253" s="432"/>
      <x:c r="L253" s="432"/>
      <x:c r="M253" s="432"/>
      <x:c r="N253" s="432"/>
      <x:c r="O253" s="432"/>
      <x:c r="P253" s="432"/>
      <x:c r="Q253" s="432"/>
    </x:row>
    <x:row r="254" ht="25" customHeight="1">
      <x:c r="A254" s="432"/>
      <x:c r="B254" s="432"/>
      <x:c r="C254" s="432"/>
      <x:c r="D254" s="432"/>
      <x:c r="E254" s="432"/>
      <x:c r="F254" s="432"/>
      <x:c r="G254" s="432"/>
      <x:c r="H254" s="432"/>
      <x:c r="I254" s="432"/>
      <x:c r="J254" s="432"/>
      <x:c r="K254" s="432"/>
      <x:c r="L254" s="432"/>
      <x:c r="M254" s="432"/>
      <x:c r="N254" s="432"/>
      <x:c r="O254" s="432"/>
      <x:c r="P254" s="432"/>
      <x:c r="Q254" s="432"/>
    </x:row>
    <x:row r="255" ht="25" customHeight="1">
      <x:c r="A255" s="432"/>
      <x:c r="B255" s="432"/>
      <x:c r="C255" s="432"/>
      <x:c r="D255" s="432"/>
      <x:c r="E255" s="432"/>
      <x:c r="F255" s="432"/>
      <x:c r="G255" s="432"/>
      <x:c r="H255" s="432"/>
      <x:c r="I255" s="432"/>
      <x:c r="J255" s="432"/>
      <x:c r="K255" s="432"/>
      <x:c r="L255" s="432"/>
      <x:c r="M255" s="432"/>
      <x:c r="N255" s="432"/>
      <x:c r="O255" s="432"/>
      <x:c r="P255" s="432"/>
      <x:c r="Q255" s="432"/>
    </x:row>
    <x:row r="256" ht="25" customHeight="1">
      <x:c r="A256" s="432"/>
      <x:c r="B256" s="432"/>
      <x:c r="C256" s="432"/>
      <x:c r="D256" s="432"/>
      <x:c r="E256" s="432"/>
      <x:c r="F256" s="432"/>
      <x:c r="G256" s="432"/>
      <x:c r="H256" s="432"/>
      <x:c r="I256" s="432"/>
      <x:c r="J256" s="432"/>
      <x:c r="K256" s="432"/>
      <x:c r="L256" s="432"/>
      <x:c r="M256" s="432"/>
      <x:c r="N256" s="432"/>
      <x:c r="O256" s="432"/>
      <x:c r="P256" s="432"/>
      <x:c r="Q256" s="432"/>
    </x:row>
    <x:row r="257" ht="25" customHeight="1">
      <x:c r="A257" s="432"/>
      <x:c r="B257" s="432"/>
      <x:c r="C257" s="432"/>
      <x:c r="D257" s="432"/>
      <x:c r="E257" s="432"/>
      <x:c r="F257" s="432"/>
      <x:c r="G257" s="432"/>
      <x:c r="H257" s="432"/>
      <x:c r="I257" s="432"/>
      <x:c r="J257" s="432"/>
      <x:c r="K257" s="432"/>
      <x:c r="L257" s="432"/>
      <x:c r="M257" s="432"/>
      <x:c r="N257" s="432"/>
      <x:c r="O257" s="432"/>
      <x:c r="P257" s="432"/>
      <x:c r="Q257" s="432"/>
    </x:row>
    <x:row r="258" ht="25" customHeight="1">
      <x:c r="A258" s="432"/>
      <x:c r="B258" s="432"/>
      <x:c r="C258" s="432"/>
      <x:c r="D258" s="432"/>
      <x:c r="E258" s="432"/>
      <x:c r="F258" s="432"/>
      <x:c r="G258" s="432"/>
      <x:c r="H258" s="432"/>
      <x:c r="I258" s="432"/>
      <x:c r="J258" s="432"/>
      <x:c r="K258" s="432"/>
      <x:c r="L258" s="432"/>
      <x:c r="M258" s="432"/>
      <x:c r="N258" s="432"/>
      <x:c r="O258" s="432"/>
      <x:c r="P258" s="432"/>
      <x:c r="Q258" s="432"/>
    </x:row>
    <x:row r="259" ht="25" customHeight="1">
      <x:c r="A259" s="432"/>
      <x:c r="B259" s="432"/>
      <x:c r="C259" s="432"/>
      <x:c r="D259" s="432"/>
      <x:c r="E259" s="432"/>
      <x:c r="F259" s="432"/>
      <x:c r="G259" s="432"/>
      <x:c r="H259" s="432"/>
      <x:c r="I259" s="432"/>
      <x:c r="J259" s="432"/>
      <x:c r="K259" s="432"/>
      <x:c r="L259" s="432"/>
      <x:c r="M259" s="432"/>
      <x:c r="N259" s="432"/>
      <x:c r="O259" s="432"/>
      <x:c r="P259" s="432"/>
      <x:c r="Q259" s="432"/>
    </x:row>
    <x:row r="260" ht="25" customHeight="1">
      <x:c r="A260" s="432"/>
      <x:c r="B260" s="432"/>
      <x:c r="C260" s="432"/>
      <x:c r="D260" s="432"/>
      <x:c r="E260" s="432"/>
      <x:c r="F260" s="432"/>
      <x:c r="G260" s="432"/>
      <x:c r="H260" s="432"/>
      <x:c r="I260" s="432"/>
      <x:c r="J260" s="432"/>
      <x:c r="K260" s="432"/>
      <x:c r="L260" s="432"/>
      <x:c r="M260" s="432"/>
      <x:c r="N260" s="432"/>
      <x:c r="O260" s="432"/>
      <x:c r="P260" s="432"/>
      <x:c r="Q260" s="432"/>
    </x:row>
  </x:sheetData>
  <x:mergeCells>
    <x:mergeCell ref="B2:P2"/>
    <x:mergeCell ref="B3:P3"/>
    <x:mergeCell ref="B4:P4"/>
    <x:mergeCell ref="B6:F6"/>
    <x:mergeCell ref="H6:P6"/>
    <x:mergeCell ref="H7:J7"/>
    <x:mergeCell ref="K7:L7"/>
    <x:mergeCell ref="M7:N7"/>
    <x:mergeCell ref="O7:P7"/>
    <x:mergeCell ref="H8:J8"/>
    <x:mergeCell ref="K8:L8"/>
    <x:mergeCell ref="M8:N8"/>
    <x:mergeCell ref="O8:P8"/>
    <x:mergeCell ref="H9:J9"/>
    <x:mergeCell ref="K9:L9"/>
    <x:mergeCell ref="M9:N9"/>
    <x:mergeCell ref="O9:P9"/>
    <x:mergeCell ref="H10:J10"/>
    <x:mergeCell ref="K10:L10"/>
    <x:mergeCell ref="M10:N10"/>
    <x:mergeCell ref="O10:P10"/>
    <x:mergeCell ref="H11:J11"/>
    <x:mergeCell ref="K11:L11"/>
    <x:mergeCell ref="M11:N11"/>
    <x:mergeCell ref="O11:P11"/>
    <x:mergeCell ref="H13:P15"/>
    <x:mergeCell ref="H17:P17"/>
    <x:mergeCell ref="H18:J18"/>
    <x:mergeCell ref="K18:L18"/>
    <x:mergeCell ref="M18:N18"/>
    <x:mergeCell ref="O18:P18"/>
    <x:mergeCell ref="H19:J19"/>
    <x:mergeCell ref="K19:L19"/>
    <x:mergeCell ref="M19:N19"/>
    <x:mergeCell ref="O19:P19"/>
    <x:mergeCell ref="H20:J20"/>
    <x:mergeCell ref="K20:L20"/>
    <x:mergeCell ref="M20:N20"/>
    <x:mergeCell ref="O20:P20"/>
    <x:mergeCell ref="H21:J21"/>
    <x:mergeCell ref="K21:L21"/>
    <x:mergeCell ref="M21:N21"/>
    <x:mergeCell ref="O21:P21"/>
    <x:mergeCell ref="H22:J22"/>
    <x:mergeCell ref="K22:L22"/>
    <x:mergeCell ref="M22:N22"/>
    <x:mergeCell ref="O22:P22"/>
    <x:mergeCell ref="H23:J23"/>
    <x:mergeCell ref="K23:L23"/>
    <x:mergeCell ref="M23:N23"/>
    <x:mergeCell ref="O23:P23"/>
    <x:mergeCell ref="H24:J24"/>
    <x:mergeCell ref="K24:L24"/>
    <x:mergeCell ref="M24:N24"/>
    <x:mergeCell ref="O24:P24"/>
    <x:mergeCell ref="H25:J25"/>
    <x:mergeCell ref="K25:L25"/>
    <x:mergeCell ref="M25:N25"/>
    <x:mergeCell ref="O25:P25"/>
    <x:mergeCell ref="H26:J26"/>
    <x:mergeCell ref="K26:L26"/>
    <x:mergeCell ref="M26:N26"/>
    <x:mergeCell ref="O26:P26"/>
    <x:mergeCell ref="H27:J27"/>
    <x:mergeCell ref="K27:L27"/>
    <x:mergeCell ref="M27:N27"/>
    <x:mergeCell ref="O27:P27"/>
    <x:mergeCell ref="H28:J28"/>
    <x:mergeCell ref="K28:L28"/>
    <x:mergeCell ref="M28:N28"/>
    <x:mergeCell ref="O28:P28"/>
    <x:mergeCell ref="H29:J29"/>
    <x:mergeCell ref="K29:L29"/>
    <x:mergeCell ref="M29:N29"/>
    <x:mergeCell ref="O29:P29"/>
    <x:mergeCell ref="H31:P33"/>
    <x:mergeCell ref="H35:P35"/>
    <x:mergeCell ref="H36:J36"/>
    <x:mergeCell ref="K36:L36"/>
    <x:mergeCell ref="M36:N36"/>
    <x:mergeCell ref="O36:P36"/>
    <x:mergeCell ref="H37:J37"/>
    <x:mergeCell ref="K37:L37"/>
    <x:mergeCell ref="M37:N37"/>
    <x:mergeCell ref="O37:P37"/>
    <x:mergeCell ref="H38:J38"/>
    <x:mergeCell ref="K38:L38"/>
    <x:mergeCell ref="M38:N38"/>
    <x:mergeCell ref="O38:P38"/>
    <x:mergeCell ref="H39:J39"/>
    <x:mergeCell ref="K39:L39"/>
    <x:mergeCell ref="M39:N39"/>
    <x:mergeCell ref="O39:P39"/>
    <x:mergeCell ref="H40:J40"/>
    <x:mergeCell ref="K40:L40"/>
    <x:mergeCell ref="M40:N40"/>
    <x:mergeCell ref="O40:P40"/>
    <x:mergeCell ref="H41:J41"/>
    <x:mergeCell ref="K41:L41"/>
    <x:mergeCell ref="M41:N41"/>
    <x:mergeCell ref="O41:P41"/>
    <x:mergeCell ref="H42:J42"/>
    <x:mergeCell ref="K42:L42"/>
    <x:mergeCell ref="M42:N42"/>
    <x:mergeCell ref="O42:P42"/>
    <x:mergeCell ref="H43:J43"/>
    <x:mergeCell ref="K43:L43"/>
    <x:mergeCell ref="M43:N43"/>
    <x:mergeCell ref="O43:P43"/>
    <x:mergeCell ref="H44:J44"/>
    <x:mergeCell ref="K44:L44"/>
    <x:mergeCell ref="M44:N44"/>
    <x:mergeCell ref="O44:P44"/>
    <x:mergeCell ref="H45:J45"/>
    <x:mergeCell ref="K45:L45"/>
    <x:mergeCell ref="M45:N45"/>
    <x:mergeCell ref="O45:P45"/>
    <x:mergeCell ref="B47:P48"/>
  </x:mergeCells>
  <x:conditionalFormatting sqref="O8:O11">
    <x:cfRule type="dataBar" priority="1">
      <x:dataBar>
        <x:cfvo type="num" val="0"/>
        <x:cfvo type="num" val="1"/>
        <x:color rgb="FFA18350"/>
      </x:dataBar>
      <x:extLst>
        <x:ext xmlns:x14="http://schemas.microsoft.com/office/spreadsheetml/2009/9/main" uri="{B025F937-C7B1-47D3-B67F-A62EFF666E3E}">
          <x14:id>{EBD46AA0-629A-AAA5-FA00-2A20C63F8EB8}</x14:id>
        </x:ext>
      </x:extLst>
    </x:cfRule>
  </x:conditionalFormatting>
  <x:conditionalFormatting sqref="O37:P45">
    <x:cfRule type="expression" dxfId="50" priority="2">
      <x:formula>$O37&lt;&gt;"OK"</x:formula>
    </x:cfRule>
  </x:conditionalFormatting>
  <x:dataValidations count="2">
    <x:dataValidation type="whole" operator="greaterThanOrEqual" sqref="C8:E43">
      <x:formula1>0</x:formula1>
    </x:dataValidation>
    <x:dataValidation type="decimal" operator="greaterThanOrEqual" sqref="F8:F43">
      <x:formula1>0</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BD46AA0-629A-AAA5-FA00-2A20C63F8EB8}">
            <x14:dataBar gradient="0">
              <x14:cfvo type="num">
                <xm:f>0</xm:f>
              </x14:cfvo>
              <x14:cfvo type="num">
                <xm:f>1</xm:f>
              </x14:cfvo>
              <x14:fillColor rgb="FFA18350"/>
            </x14:dataBar>
          </x14:cfRule>
          <xm:sqref>O8:O11</xm:sqref>
        </x14:conditionalFormatting>
      </x14:conditionalFormattings>
    </x:ext>
  </x:extLst>
</x:worksheet>
</file>

<file path=xl/worksheets/sheet1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5" hidden="0" customWidth="1"/>
    <x:col min="2" max="2" width="25" hidden="0" customWidth="1"/>
    <x:col min="3" max="3" width="15" hidden="0" customWidth="1"/>
    <x:col min="4" max="4" width="24" hidden="0" customWidth="1"/>
    <x:col min="5" max="5" width="16" hidden="0" customWidth="1"/>
    <x:col min="6" max="6" width="16" hidden="0" customWidth="1"/>
    <x:col min="7" max="7" width="23" hidden="0" customWidth="1"/>
    <x:col min="8" max="8" width="43" hidden="0" customWidth="1"/>
    <x:col min="9" max="9" width="19" hidden="0" customWidth="1"/>
    <x:col min="10" max="10" width="34" hidden="0" customWidth="1"/>
    <x:col min="11" max="11" width="30" hidden="0" customWidth="1"/>
    <x:col min="12" max="12" width="30" hidden="0" customWidth="1"/>
    <x:col min="13" max="13" width="20" hidden="0" customWidth="1"/>
    <x:col min="14" max="14" width="17" hidden="0" customWidth="1"/>
    <x:col min="15" max="15" width="19" hidden="0" customWidth="1"/>
    <x:col min="16" max="16" width="17" hidden="0" customWidth="1"/>
    <x:col min="17" max="17" width="25" hidden="0" customWidth="1"/>
  </x:cols>
  <x:sheetData>
    <x:row r="1" ht="36" customHeight="1">
      <x:c r="A1" s="796" t="str">
        <x:v>KEYS WITH SIMONI   |   CRM WORKSPACE</x:v>
      </x:c>
      <x:c r="B1" s="796"/>
      <x:c r="C1" s="796"/>
      <x:c r="D1" s="796"/>
      <x:c r="E1" s="796"/>
      <x:c r="F1" s="796"/>
      <x:c r="G1" s="796"/>
      <x:c r="H1" s="796"/>
      <x:c r="I1" s="796"/>
      <x:c r="J1" s="796"/>
      <x:c r="K1" s="796"/>
      <x:c r="L1" s="796"/>
      <x:c r="M1" s="796"/>
      <x:c r="N1" s="796"/>
      <x:c r="O1" s="796"/>
      <x:c r="P1" s="796"/>
      <x:c r="Q1" s="796"/>
    </x:row>
    <x:row r="2" ht="39" customHeight="1">
      <x:c r="A2" s="799" t="str">
        <x:v>Client conversations &amp; objection history</x:v>
      </x:c>
      <x:c r="B2" s="799"/>
      <x:c r="C2" s="799"/>
      <x:c r="D2" s="799"/>
      <x:c r="E2" s="799"/>
      <x:c r="F2" s="799"/>
      <x:c r="G2" s="799"/>
      <x:c r="H2" s="799"/>
      <x:c r="I2" s="799"/>
      <x:c r="J2" s="799"/>
      <x:c r="K2" s="799"/>
      <x:c r="L2" s="799"/>
      <x:c r="M2" s="799"/>
      <x:c r="N2" s="799"/>
      <x:c r="O2" s="799"/>
      <x:c r="P2" s="799"/>
      <x:c r="Q2" s="799"/>
    </x:row>
    <x:row r="3" ht="30" customHeight="1">
      <x:c r="A3" s="802" t="str">
        <x:v>Capture every meaningful call, WhatsApp exchange or meeting. Put actual reminder tasks in Follow-ups as well.</x:v>
      </x:c>
      <x:c r="B3" s="802"/>
      <x:c r="C3" s="802"/>
      <x:c r="D3" s="802"/>
      <x:c r="E3" s="802"/>
      <x:c r="F3" s="802"/>
      <x:c r="G3" s="802"/>
      <x:c r="H3" s="802"/>
      <x:c r="I3" s="802"/>
      <x:c r="J3" s="802"/>
      <x:c r="K3" s="802"/>
      <x:c r="L3" s="802"/>
      <x:c r="M3" s="802"/>
      <x:c r="N3" s="802"/>
      <x:c r="O3" s="802"/>
      <x:c r="P3" s="802"/>
      <x:c r="Q3" s="802"/>
    </x:row>
    <x:row r="4" ht="24" customHeight="1">
      <x:c r="A4" s="783" t="str">
        <x:v>01  CONTACT</x:v>
      </x:c>
      <x:c r="B4" s="783"/>
      <x:c r="C4" s="783"/>
      <x:c r="D4" s="783"/>
      <x:c r="E4" s="783" t="str">
        <x:v>02  DISCUSSION &amp; OBJECTIONS</x:v>
      </x:c>
      <x:c r="F4" s="783"/>
      <x:c r="G4" s="783"/>
      <x:c r="H4" s="783"/>
      <x:c r="I4" s="783"/>
      <x:c r="J4" s="783"/>
      <x:c r="K4" s="783" t="str">
        <x:v>03  NEXT COMMITMENT</x:v>
      </x:c>
      <x:c r="L4" s="783"/>
      <x:c r="M4" s="783"/>
      <x:c r="N4" s="783"/>
      <x:c r="O4" s="783" t="str">
        <x:v>04  LINKED RECORDS</x:v>
      </x:c>
      <x:c r="P4" s="783"/>
      <x:c r="Q4" s="783"/>
    </x:row>
    <x:row r="5" ht="58" customHeight="1">
      <x:c r="A5" s="788" t="str">
        <x:v>Log ID</x:v>
      </x:c>
      <x:c r="B5" s="788" t="str">
        <x:v>Contacted on
UAE time</x:v>
      </x:c>
      <x:c r="C5" s="788" t="str">
        <x:v>Client ID</x:v>
      </x:c>
      <x:c r="D5" s="788" t="str">
        <x:v>Client name
auto</x:v>
      </x:c>
      <x:c r="E5" s="788" t="str">
        <x:v>Channel</x:v>
      </x:c>
      <x:c r="F5" s="788" t="str">
        <x:v>Direction</x:v>
      </x:c>
      <x:c r="G5" s="788" t="str">
        <x:v>Conversation topic</x:v>
      </x:c>
      <x:c r="H5" s="788" t="str">
        <x:v>Conversation summary / client needs</x:v>
      </x:c>
      <x:c r="I5" s="788" t="str">
        <x:v>Objection category</x:v>
      </x:c>
      <x:c r="J5" s="788" t="str">
        <x:v>Exact objection / concern</x:v>
      </x:c>
      <x:c r="K5" s="788" t="str">
        <x:v>Commitment made</x:v>
      </x:c>
      <x:c r="L5" s="788" t="str">
        <x:v>Next action</x:v>
      </x:c>
      <x:c r="M5" s="788" t="str">
        <x:v>Action due</x:v>
      </x:c>
      <x:c r="N5" s="788" t="str">
        <x:v>Action status</x:v>
      </x:c>
      <x:c r="O5" s="788" t="str">
        <x:v>Property ID
optional</x:v>
      </x:c>
      <x:c r="P5" s="788" t="str">
        <x:v>Deal ID
optional</x:v>
      </x:c>
      <x:c r="Q5" s="788" t="str">
        <x:v>Record check
auto</x:v>
      </x:c>
    </x:row>
    <x:row r="6" ht="26" customHeight="1">
      <x:c r="A6" s="791"/>
      <x:c r="B6" s="804"/>
      <x:c r="C6" s="791"/>
      <x:c r="D6" s="803" t="str">
        <x:f>IF($A6="","",IF($C6="","",IFERROR(INDEX(Clients!$B$6:$B$205,MATCH($C6,Clients!$A$6:$A$205,0)),"Client ID not found")))</x:f>
      </x:c>
      <x:c r="E6" s="791"/>
      <x:c r="F6" s="791"/>
      <x:c r="G6" s="791"/>
      <x:c r="H6" s="791"/>
      <x:c r="I6" s="791"/>
      <x:c r="J6" s="791"/>
      <x:c r="K6" s="791"/>
      <x:c r="L6" s="791"/>
      <x:c r="M6" s="794"/>
      <x:c r="N6" s="791"/>
      <x:c r="O6" s="791"/>
      <x:c r="P6" s="791"/>
      <x:c r="Q6" s="803" t="str">
        <x:f>IF($A6="","",IF(COUNTIF($A$6:$A$205,$A6)&gt;1,"Duplicate log ID",IF(COUNTIF(Clients!$A$6:$A$205,$C6)&lt;&gt;1,"Check Client ID",IF(NOT(ISNUMBER($B6)),"Add contact date",IF($E6="","Add channel",IF($H6="","Add summary",IF(AND($N6="Open",NOT(ISNUMBER($M6))),"Set action due date","")))))))</x:f>
      </x:c>
    </x:row>
    <x:row r="7" ht="26" customHeight="1">
      <x:c r="A7" s="791"/>
      <x:c r="B7" s="804"/>
      <x:c r="C7" s="791"/>
      <x:c r="D7" s="803" t="str">
        <x:f>IF($A7="","",IF($C7="","",IFERROR(INDEX(Clients!$B$6:$B$205,MATCH($C7,Clients!$A$6:$A$205,0)),"Client ID not found")))</x:f>
      </x:c>
      <x:c r="E7" s="791"/>
      <x:c r="F7" s="791"/>
      <x:c r="G7" s="791"/>
      <x:c r="H7" s="791"/>
      <x:c r="I7" s="791"/>
      <x:c r="J7" s="791"/>
      <x:c r="K7" s="791"/>
      <x:c r="L7" s="791"/>
      <x:c r="M7" s="794"/>
      <x:c r="N7" s="791"/>
      <x:c r="O7" s="791"/>
      <x:c r="P7" s="791"/>
      <x:c r="Q7" s="803" t="str">
        <x:f>IF($A7="","",IF(COUNTIF($A$6:$A$205,$A7)&gt;1,"Duplicate log ID",IF(COUNTIF(Clients!$A$6:$A$205,$C7)&lt;&gt;1,"Check Client ID",IF(NOT(ISNUMBER($B7)),"Add contact date",IF($E7="","Add channel",IF($H7="","Add summary",IF(AND($N7="Open",NOT(ISNUMBER($M7))),"Set action due date","")))))))</x:f>
      </x:c>
    </x:row>
    <x:row r="8" ht="26" customHeight="1">
      <x:c r="A8" s="791"/>
      <x:c r="B8" s="804"/>
      <x:c r="C8" s="791"/>
      <x:c r="D8" s="803" t="str">
        <x:f>IF($A8="","",IF($C8="","",IFERROR(INDEX(Clients!$B$6:$B$205,MATCH($C8,Clients!$A$6:$A$205,0)),"Client ID not found")))</x:f>
      </x:c>
      <x:c r="E8" s="791"/>
      <x:c r="F8" s="791"/>
      <x:c r="G8" s="791"/>
      <x:c r="H8" s="791"/>
      <x:c r="I8" s="791"/>
      <x:c r="J8" s="791"/>
      <x:c r="K8" s="791"/>
      <x:c r="L8" s="791"/>
      <x:c r="M8" s="794"/>
      <x:c r="N8" s="791"/>
      <x:c r="O8" s="791"/>
      <x:c r="P8" s="791"/>
      <x:c r="Q8" s="803" t="str">
        <x:f>IF($A8="","",IF(COUNTIF($A$6:$A$205,$A8)&gt;1,"Duplicate log ID",IF(COUNTIF(Clients!$A$6:$A$205,$C8)&lt;&gt;1,"Check Client ID",IF(NOT(ISNUMBER($B8)),"Add contact date",IF($E8="","Add channel",IF($H8="","Add summary",IF(AND($N8="Open",NOT(ISNUMBER($M8))),"Set action due date","")))))))</x:f>
      </x:c>
    </x:row>
    <x:row r="9" ht="26" customHeight="1">
      <x:c r="A9" s="791"/>
      <x:c r="B9" s="804"/>
      <x:c r="C9" s="791"/>
      <x:c r="D9" s="803" t="str">
        <x:f>IF($A9="","",IF($C9="","",IFERROR(INDEX(Clients!$B$6:$B$205,MATCH($C9,Clients!$A$6:$A$205,0)),"Client ID not found")))</x:f>
      </x:c>
      <x:c r="E9" s="791"/>
      <x:c r="F9" s="791"/>
      <x:c r="G9" s="791"/>
      <x:c r="H9" s="791"/>
      <x:c r="I9" s="791"/>
      <x:c r="J9" s="791"/>
      <x:c r="K9" s="791"/>
      <x:c r="L9" s="791"/>
      <x:c r="M9" s="794"/>
      <x:c r="N9" s="791"/>
      <x:c r="O9" s="791"/>
      <x:c r="P9" s="791"/>
      <x:c r="Q9" s="803" t="str">
        <x:f>IF($A9="","",IF(COUNTIF($A$6:$A$205,$A9)&gt;1,"Duplicate log ID",IF(COUNTIF(Clients!$A$6:$A$205,$C9)&lt;&gt;1,"Check Client ID",IF(NOT(ISNUMBER($B9)),"Add contact date",IF($E9="","Add channel",IF($H9="","Add summary",IF(AND($N9="Open",NOT(ISNUMBER($M9))),"Set action due date","")))))))</x:f>
      </x:c>
    </x:row>
    <x:row r="10" ht="26" customHeight="1">
      <x:c r="A10" s="791"/>
      <x:c r="B10" s="804"/>
      <x:c r="C10" s="791"/>
      <x:c r="D10" s="803" t="str">
        <x:f>IF($A10="","",IF($C10="","",IFERROR(INDEX(Clients!$B$6:$B$205,MATCH($C10,Clients!$A$6:$A$205,0)),"Client ID not found")))</x:f>
      </x:c>
      <x:c r="E10" s="791"/>
      <x:c r="F10" s="791"/>
      <x:c r="G10" s="791"/>
      <x:c r="H10" s="791"/>
      <x:c r="I10" s="791"/>
      <x:c r="J10" s="791"/>
      <x:c r="K10" s="791"/>
      <x:c r="L10" s="791"/>
      <x:c r="M10" s="794"/>
      <x:c r="N10" s="791"/>
      <x:c r="O10" s="791"/>
      <x:c r="P10" s="791"/>
      <x:c r="Q10" s="803" t="str">
        <x:f>IF($A10="","",IF(COUNTIF($A$6:$A$205,$A10)&gt;1,"Duplicate log ID",IF(COUNTIF(Clients!$A$6:$A$205,$C10)&lt;&gt;1,"Check Client ID",IF(NOT(ISNUMBER($B10)),"Add contact date",IF($E10="","Add channel",IF($H10="","Add summary",IF(AND($N10="Open",NOT(ISNUMBER($M10))),"Set action due date","")))))))</x:f>
      </x:c>
    </x:row>
    <x:row r="11" ht="26" customHeight="1">
      <x:c r="A11" s="791"/>
      <x:c r="B11" s="804"/>
      <x:c r="C11" s="791"/>
      <x:c r="D11" s="803" t="str">
        <x:f>IF($A11="","",IF($C11="","",IFERROR(INDEX(Clients!$B$6:$B$205,MATCH($C11,Clients!$A$6:$A$205,0)),"Client ID not found")))</x:f>
      </x:c>
      <x:c r="E11" s="791"/>
      <x:c r="F11" s="791"/>
      <x:c r="G11" s="791"/>
      <x:c r="H11" s="791"/>
      <x:c r="I11" s="791"/>
      <x:c r="J11" s="791"/>
      <x:c r="K11" s="791"/>
      <x:c r="L11" s="791"/>
      <x:c r="M11" s="794"/>
      <x:c r="N11" s="791"/>
      <x:c r="O11" s="791"/>
      <x:c r="P11" s="791"/>
      <x:c r="Q11" s="803" t="str">
        <x:f>IF($A11="","",IF(COUNTIF($A$6:$A$205,$A11)&gt;1,"Duplicate log ID",IF(COUNTIF(Clients!$A$6:$A$205,$C11)&lt;&gt;1,"Check Client ID",IF(NOT(ISNUMBER($B11)),"Add contact date",IF($E11="","Add channel",IF($H11="","Add summary",IF(AND($N11="Open",NOT(ISNUMBER($M11))),"Set action due date","")))))))</x:f>
      </x:c>
    </x:row>
    <x:row r="12" ht="26" customHeight="1">
      <x:c r="A12" s="791"/>
      <x:c r="B12" s="804"/>
      <x:c r="C12" s="791"/>
      <x:c r="D12" s="803" t="str">
        <x:f>IF($A12="","",IF($C12="","",IFERROR(INDEX(Clients!$B$6:$B$205,MATCH($C12,Clients!$A$6:$A$205,0)),"Client ID not found")))</x:f>
      </x:c>
      <x:c r="E12" s="791"/>
      <x:c r="F12" s="791"/>
      <x:c r="G12" s="791"/>
      <x:c r="H12" s="791"/>
      <x:c r="I12" s="791"/>
      <x:c r="J12" s="791"/>
      <x:c r="K12" s="791"/>
      <x:c r="L12" s="791"/>
      <x:c r="M12" s="794"/>
      <x:c r="N12" s="791"/>
      <x:c r="O12" s="791"/>
      <x:c r="P12" s="791"/>
      <x:c r="Q12" s="803" t="str">
        <x:f>IF($A12="","",IF(COUNTIF($A$6:$A$205,$A12)&gt;1,"Duplicate log ID",IF(COUNTIF(Clients!$A$6:$A$205,$C12)&lt;&gt;1,"Check Client ID",IF(NOT(ISNUMBER($B12)),"Add contact date",IF($E12="","Add channel",IF($H12="","Add summary",IF(AND($N12="Open",NOT(ISNUMBER($M12))),"Set action due date","")))))))</x:f>
      </x:c>
    </x:row>
    <x:row r="13" ht="26" customHeight="1">
      <x:c r="A13" s="791"/>
      <x:c r="B13" s="804"/>
      <x:c r="C13" s="791"/>
      <x:c r="D13" s="803" t="str">
        <x:f>IF($A13="","",IF($C13="","",IFERROR(INDEX(Clients!$B$6:$B$205,MATCH($C13,Clients!$A$6:$A$205,0)),"Client ID not found")))</x:f>
      </x:c>
      <x:c r="E13" s="791"/>
      <x:c r="F13" s="791"/>
      <x:c r="G13" s="791"/>
      <x:c r="H13" s="791"/>
      <x:c r="I13" s="791"/>
      <x:c r="J13" s="791"/>
      <x:c r="K13" s="791"/>
      <x:c r="L13" s="791"/>
      <x:c r="M13" s="794"/>
      <x:c r="N13" s="791"/>
      <x:c r="O13" s="791"/>
      <x:c r="P13" s="791"/>
      <x:c r="Q13" s="803" t="str">
        <x:f>IF($A13="","",IF(COUNTIF($A$6:$A$205,$A13)&gt;1,"Duplicate log ID",IF(COUNTIF(Clients!$A$6:$A$205,$C13)&lt;&gt;1,"Check Client ID",IF(NOT(ISNUMBER($B13)),"Add contact date",IF($E13="","Add channel",IF($H13="","Add summary",IF(AND($N13="Open",NOT(ISNUMBER($M13))),"Set action due date","")))))))</x:f>
      </x:c>
    </x:row>
    <x:row r="14" ht="26" customHeight="1">
      <x:c r="A14" s="791"/>
      <x:c r="B14" s="804"/>
      <x:c r="C14" s="791"/>
      <x:c r="D14" s="803" t="str">
        <x:f>IF($A14="","",IF($C14="","",IFERROR(INDEX(Clients!$B$6:$B$205,MATCH($C14,Clients!$A$6:$A$205,0)),"Client ID not found")))</x:f>
      </x:c>
      <x:c r="E14" s="791"/>
      <x:c r="F14" s="791"/>
      <x:c r="G14" s="791"/>
      <x:c r="H14" s="791"/>
      <x:c r="I14" s="791"/>
      <x:c r="J14" s="791"/>
      <x:c r="K14" s="791"/>
      <x:c r="L14" s="791"/>
      <x:c r="M14" s="794"/>
      <x:c r="N14" s="791"/>
      <x:c r="O14" s="791"/>
      <x:c r="P14" s="791"/>
      <x:c r="Q14" s="803" t="str">
        <x:f>IF($A14="","",IF(COUNTIF($A$6:$A$205,$A14)&gt;1,"Duplicate log ID",IF(COUNTIF(Clients!$A$6:$A$205,$C14)&lt;&gt;1,"Check Client ID",IF(NOT(ISNUMBER($B14)),"Add contact date",IF($E14="","Add channel",IF($H14="","Add summary",IF(AND($N14="Open",NOT(ISNUMBER($M14))),"Set action due date","")))))))</x:f>
      </x:c>
    </x:row>
    <x:row r="15" ht="26" customHeight="1">
      <x:c r="A15" s="791"/>
      <x:c r="B15" s="804"/>
      <x:c r="C15" s="791"/>
      <x:c r="D15" s="803" t="str">
        <x:f>IF($A15="","",IF($C15="","",IFERROR(INDEX(Clients!$B$6:$B$205,MATCH($C15,Clients!$A$6:$A$205,0)),"Client ID not found")))</x:f>
      </x:c>
      <x:c r="E15" s="791"/>
      <x:c r="F15" s="791"/>
      <x:c r="G15" s="791"/>
      <x:c r="H15" s="791"/>
      <x:c r="I15" s="791"/>
      <x:c r="J15" s="791"/>
      <x:c r="K15" s="791"/>
      <x:c r="L15" s="791"/>
      <x:c r="M15" s="794"/>
      <x:c r="N15" s="791"/>
      <x:c r="O15" s="791"/>
      <x:c r="P15" s="791"/>
      <x:c r="Q15" s="803" t="str">
        <x:f>IF($A15="","",IF(COUNTIF($A$6:$A$205,$A15)&gt;1,"Duplicate log ID",IF(COUNTIF(Clients!$A$6:$A$205,$C15)&lt;&gt;1,"Check Client ID",IF(NOT(ISNUMBER($B15)),"Add contact date",IF($E15="","Add channel",IF($H15="","Add summary",IF(AND($N15="Open",NOT(ISNUMBER($M15))),"Set action due date","")))))))</x:f>
      </x:c>
    </x:row>
    <x:row r="16" ht="26" customHeight="1">
      <x:c r="A16" s="791"/>
      <x:c r="B16" s="804"/>
      <x:c r="C16" s="791"/>
      <x:c r="D16" s="803" t="str">
        <x:f>IF($A16="","",IF($C16="","",IFERROR(INDEX(Clients!$B$6:$B$205,MATCH($C16,Clients!$A$6:$A$205,0)),"Client ID not found")))</x:f>
      </x:c>
      <x:c r="E16" s="791"/>
      <x:c r="F16" s="791"/>
      <x:c r="G16" s="791"/>
      <x:c r="H16" s="791"/>
      <x:c r="I16" s="791"/>
      <x:c r="J16" s="791"/>
      <x:c r="K16" s="791"/>
      <x:c r="L16" s="791"/>
      <x:c r="M16" s="794"/>
      <x:c r="N16" s="791"/>
      <x:c r="O16" s="791"/>
      <x:c r="P16" s="791"/>
      <x:c r="Q16" s="803" t="str">
        <x:f>IF($A16="","",IF(COUNTIF($A$6:$A$205,$A16)&gt;1,"Duplicate log ID",IF(COUNTIF(Clients!$A$6:$A$205,$C16)&lt;&gt;1,"Check Client ID",IF(NOT(ISNUMBER($B16)),"Add contact date",IF($E16="","Add channel",IF($H16="","Add summary",IF(AND($N16="Open",NOT(ISNUMBER($M16))),"Set action due date","")))))))</x:f>
      </x:c>
    </x:row>
    <x:row r="17" ht="26" customHeight="1">
      <x:c r="A17" s="791"/>
      <x:c r="B17" s="804"/>
      <x:c r="C17" s="791"/>
      <x:c r="D17" s="803" t="str">
        <x:f>IF($A17="","",IF($C17="","",IFERROR(INDEX(Clients!$B$6:$B$205,MATCH($C17,Clients!$A$6:$A$205,0)),"Client ID not found")))</x:f>
      </x:c>
      <x:c r="E17" s="791"/>
      <x:c r="F17" s="791"/>
      <x:c r="G17" s="791"/>
      <x:c r="H17" s="791"/>
      <x:c r="I17" s="791"/>
      <x:c r="J17" s="791"/>
      <x:c r="K17" s="791"/>
      <x:c r="L17" s="791"/>
      <x:c r="M17" s="794"/>
      <x:c r="N17" s="791"/>
      <x:c r="O17" s="791"/>
      <x:c r="P17" s="791"/>
      <x:c r="Q17" s="803" t="str">
        <x:f>IF($A17="","",IF(COUNTIF($A$6:$A$205,$A17)&gt;1,"Duplicate log ID",IF(COUNTIF(Clients!$A$6:$A$205,$C17)&lt;&gt;1,"Check Client ID",IF(NOT(ISNUMBER($B17)),"Add contact date",IF($E17="","Add channel",IF($H17="","Add summary",IF(AND($N17="Open",NOT(ISNUMBER($M17))),"Set action due date","")))))))</x:f>
      </x:c>
    </x:row>
    <x:row r="18" ht="26" customHeight="1">
      <x:c r="A18" s="791"/>
      <x:c r="B18" s="804"/>
      <x:c r="C18" s="791"/>
      <x:c r="D18" s="803" t="str">
        <x:f>IF($A18="","",IF($C18="","",IFERROR(INDEX(Clients!$B$6:$B$205,MATCH($C18,Clients!$A$6:$A$205,0)),"Client ID not found")))</x:f>
      </x:c>
      <x:c r="E18" s="791"/>
      <x:c r="F18" s="791"/>
      <x:c r="G18" s="791"/>
      <x:c r="H18" s="791"/>
      <x:c r="I18" s="791"/>
      <x:c r="J18" s="791"/>
      <x:c r="K18" s="791"/>
      <x:c r="L18" s="791"/>
      <x:c r="M18" s="794"/>
      <x:c r="N18" s="791"/>
      <x:c r="O18" s="791"/>
      <x:c r="P18" s="791"/>
      <x:c r="Q18" s="803" t="str">
        <x:f>IF($A18="","",IF(COUNTIF($A$6:$A$205,$A18)&gt;1,"Duplicate log ID",IF(COUNTIF(Clients!$A$6:$A$205,$C18)&lt;&gt;1,"Check Client ID",IF(NOT(ISNUMBER($B18)),"Add contact date",IF($E18="","Add channel",IF($H18="","Add summary",IF(AND($N18="Open",NOT(ISNUMBER($M18))),"Set action due date","")))))))</x:f>
      </x:c>
    </x:row>
    <x:row r="19" ht="26" customHeight="1">
      <x:c r="A19" s="791"/>
      <x:c r="B19" s="804"/>
      <x:c r="C19" s="791"/>
      <x:c r="D19" s="803" t="str">
        <x:f>IF($A19="","",IF($C19="","",IFERROR(INDEX(Clients!$B$6:$B$205,MATCH($C19,Clients!$A$6:$A$205,0)),"Client ID not found")))</x:f>
      </x:c>
      <x:c r="E19" s="791"/>
      <x:c r="F19" s="791"/>
      <x:c r="G19" s="791"/>
      <x:c r="H19" s="791"/>
      <x:c r="I19" s="791"/>
      <x:c r="J19" s="791"/>
      <x:c r="K19" s="791"/>
      <x:c r="L19" s="791"/>
      <x:c r="M19" s="794"/>
      <x:c r="N19" s="791"/>
      <x:c r="O19" s="791"/>
      <x:c r="P19" s="791"/>
      <x:c r="Q19" s="803" t="str">
        <x:f>IF($A19="","",IF(COUNTIF($A$6:$A$205,$A19)&gt;1,"Duplicate log ID",IF(COUNTIF(Clients!$A$6:$A$205,$C19)&lt;&gt;1,"Check Client ID",IF(NOT(ISNUMBER($B19)),"Add contact date",IF($E19="","Add channel",IF($H19="","Add summary",IF(AND($N19="Open",NOT(ISNUMBER($M19))),"Set action due date","")))))))</x:f>
      </x:c>
    </x:row>
    <x:row r="20" ht="26" customHeight="1">
      <x:c r="A20" s="791"/>
      <x:c r="B20" s="804"/>
      <x:c r="C20" s="791"/>
      <x:c r="D20" s="803" t="str">
        <x:f>IF($A20="","",IF($C20="","",IFERROR(INDEX(Clients!$B$6:$B$205,MATCH($C20,Clients!$A$6:$A$205,0)),"Client ID not found")))</x:f>
      </x:c>
      <x:c r="E20" s="791"/>
      <x:c r="F20" s="791"/>
      <x:c r="G20" s="791"/>
      <x:c r="H20" s="791"/>
      <x:c r="I20" s="791"/>
      <x:c r="J20" s="791"/>
      <x:c r="K20" s="791"/>
      <x:c r="L20" s="791"/>
      <x:c r="M20" s="794"/>
      <x:c r="N20" s="791"/>
      <x:c r="O20" s="791"/>
      <x:c r="P20" s="791"/>
      <x:c r="Q20" s="803" t="str">
        <x:f>IF($A20="","",IF(COUNTIF($A$6:$A$205,$A20)&gt;1,"Duplicate log ID",IF(COUNTIF(Clients!$A$6:$A$205,$C20)&lt;&gt;1,"Check Client ID",IF(NOT(ISNUMBER($B20)),"Add contact date",IF($E20="","Add channel",IF($H20="","Add summary",IF(AND($N20="Open",NOT(ISNUMBER($M20))),"Set action due date","")))))))</x:f>
      </x:c>
    </x:row>
    <x:row r="21" ht="26" customHeight="1">
      <x:c r="A21" s="791"/>
      <x:c r="B21" s="804"/>
      <x:c r="C21" s="791"/>
      <x:c r="D21" s="803" t="str">
        <x:f>IF($A21="","",IF($C21="","",IFERROR(INDEX(Clients!$B$6:$B$205,MATCH($C21,Clients!$A$6:$A$205,0)),"Client ID not found")))</x:f>
      </x:c>
      <x:c r="E21" s="791"/>
      <x:c r="F21" s="791"/>
      <x:c r="G21" s="791"/>
      <x:c r="H21" s="791"/>
      <x:c r="I21" s="791"/>
      <x:c r="J21" s="791"/>
      <x:c r="K21" s="791"/>
      <x:c r="L21" s="791"/>
      <x:c r="M21" s="794"/>
      <x:c r="N21" s="791"/>
      <x:c r="O21" s="791"/>
      <x:c r="P21" s="791"/>
      <x:c r="Q21" s="803" t="str">
        <x:f>IF($A21="","",IF(COUNTIF($A$6:$A$205,$A21)&gt;1,"Duplicate log ID",IF(COUNTIF(Clients!$A$6:$A$205,$C21)&lt;&gt;1,"Check Client ID",IF(NOT(ISNUMBER($B21)),"Add contact date",IF($E21="","Add channel",IF($H21="","Add summary",IF(AND($N21="Open",NOT(ISNUMBER($M21))),"Set action due date","")))))))</x:f>
      </x:c>
    </x:row>
    <x:row r="22" ht="26" customHeight="1">
      <x:c r="A22" s="791"/>
      <x:c r="B22" s="804"/>
      <x:c r="C22" s="791"/>
      <x:c r="D22" s="803" t="str">
        <x:f>IF($A22="","",IF($C22="","",IFERROR(INDEX(Clients!$B$6:$B$205,MATCH($C22,Clients!$A$6:$A$205,0)),"Client ID not found")))</x:f>
      </x:c>
      <x:c r="E22" s="791"/>
      <x:c r="F22" s="791"/>
      <x:c r="G22" s="791"/>
      <x:c r="H22" s="791"/>
      <x:c r="I22" s="791"/>
      <x:c r="J22" s="791"/>
      <x:c r="K22" s="791"/>
      <x:c r="L22" s="791"/>
      <x:c r="M22" s="794"/>
      <x:c r="N22" s="791"/>
      <x:c r="O22" s="791"/>
      <x:c r="P22" s="791"/>
      <x:c r="Q22" s="803" t="str">
        <x:f>IF($A22="","",IF(COUNTIF($A$6:$A$205,$A22)&gt;1,"Duplicate log ID",IF(COUNTIF(Clients!$A$6:$A$205,$C22)&lt;&gt;1,"Check Client ID",IF(NOT(ISNUMBER($B22)),"Add contact date",IF($E22="","Add channel",IF($H22="","Add summary",IF(AND($N22="Open",NOT(ISNUMBER($M22))),"Set action due date","")))))))</x:f>
      </x:c>
    </x:row>
    <x:row r="23" ht="26" customHeight="1">
      <x:c r="A23" s="791"/>
      <x:c r="B23" s="804"/>
      <x:c r="C23" s="791"/>
      <x:c r="D23" s="803" t="str">
        <x:f>IF($A23="","",IF($C23="","",IFERROR(INDEX(Clients!$B$6:$B$205,MATCH($C23,Clients!$A$6:$A$205,0)),"Client ID not found")))</x:f>
      </x:c>
      <x:c r="E23" s="791"/>
      <x:c r="F23" s="791"/>
      <x:c r="G23" s="791"/>
      <x:c r="H23" s="791"/>
      <x:c r="I23" s="791"/>
      <x:c r="J23" s="791"/>
      <x:c r="K23" s="791"/>
      <x:c r="L23" s="791"/>
      <x:c r="M23" s="794"/>
      <x:c r="N23" s="791"/>
      <x:c r="O23" s="791"/>
      <x:c r="P23" s="791"/>
      <x:c r="Q23" s="803" t="str">
        <x:f>IF($A23="","",IF(COUNTIF($A$6:$A$205,$A23)&gt;1,"Duplicate log ID",IF(COUNTIF(Clients!$A$6:$A$205,$C23)&lt;&gt;1,"Check Client ID",IF(NOT(ISNUMBER($B23)),"Add contact date",IF($E23="","Add channel",IF($H23="","Add summary",IF(AND($N23="Open",NOT(ISNUMBER($M23))),"Set action due date","")))))))</x:f>
      </x:c>
    </x:row>
    <x:row r="24" ht="26" customHeight="1">
      <x:c r="A24" s="791"/>
      <x:c r="B24" s="804"/>
      <x:c r="C24" s="791"/>
      <x:c r="D24" s="803" t="str">
        <x:f>IF($A24="","",IF($C24="","",IFERROR(INDEX(Clients!$B$6:$B$205,MATCH($C24,Clients!$A$6:$A$205,0)),"Client ID not found")))</x:f>
      </x:c>
      <x:c r="E24" s="791"/>
      <x:c r="F24" s="791"/>
      <x:c r="G24" s="791"/>
      <x:c r="H24" s="791"/>
      <x:c r="I24" s="791"/>
      <x:c r="J24" s="791"/>
      <x:c r="K24" s="791"/>
      <x:c r="L24" s="791"/>
      <x:c r="M24" s="794"/>
      <x:c r="N24" s="791"/>
      <x:c r="O24" s="791"/>
      <x:c r="P24" s="791"/>
      <x:c r="Q24" s="803" t="str">
        <x:f>IF($A24="","",IF(COUNTIF($A$6:$A$205,$A24)&gt;1,"Duplicate log ID",IF(COUNTIF(Clients!$A$6:$A$205,$C24)&lt;&gt;1,"Check Client ID",IF(NOT(ISNUMBER($B24)),"Add contact date",IF($E24="","Add channel",IF($H24="","Add summary",IF(AND($N24="Open",NOT(ISNUMBER($M24))),"Set action due date","")))))))</x:f>
      </x:c>
    </x:row>
    <x:row r="25" ht="26" customHeight="1">
      <x:c r="A25" s="791"/>
      <x:c r="B25" s="804"/>
      <x:c r="C25" s="791"/>
      <x:c r="D25" s="803" t="str">
        <x:f>IF($A25="","",IF($C25="","",IFERROR(INDEX(Clients!$B$6:$B$205,MATCH($C25,Clients!$A$6:$A$205,0)),"Client ID not found")))</x:f>
      </x:c>
      <x:c r="E25" s="791"/>
      <x:c r="F25" s="791"/>
      <x:c r="G25" s="791"/>
      <x:c r="H25" s="791"/>
      <x:c r="I25" s="791"/>
      <x:c r="J25" s="791"/>
      <x:c r="K25" s="791"/>
      <x:c r="L25" s="791"/>
      <x:c r="M25" s="794"/>
      <x:c r="N25" s="791"/>
      <x:c r="O25" s="791"/>
      <x:c r="P25" s="791"/>
      <x:c r="Q25" s="803" t="str">
        <x:f>IF($A25="","",IF(COUNTIF($A$6:$A$205,$A25)&gt;1,"Duplicate log ID",IF(COUNTIF(Clients!$A$6:$A$205,$C25)&lt;&gt;1,"Check Client ID",IF(NOT(ISNUMBER($B25)),"Add contact date",IF($E25="","Add channel",IF($H25="","Add summary",IF(AND($N25="Open",NOT(ISNUMBER($M25))),"Set action due date","")))))))</x:f>
      </x:c>
    </x:row>
    <x:row r="26" ht="26" customHeight="1">
      <x:c r="A26" s="791"/>
      <x:c r="B26" s="804"/>
      <x:c r="C26" s="791"/>
      <x:c r="D26" s="803" t="str">
        <x:f>IF($A26="","",IF($C26="","",IFERROR(INDEX(Clients!$B$6:$B$205,MATCH($C26,Clients!$A$6:$A$205,0)),"Client ID not found")))</x:f>
      </x:c>
      <x:c r="E26" s="791"/>
      <x:c r="F26" s="791"/>
      <x:c r="G26" s="791"/>
      <x:c r="H26" s="791"/>
      <x:c r="I26" s="791"/>
      <x:c r="J26" s="791"/>
      <x:c r="K26" s="791"/>
      <x:c r="L26" s="791"/>
      <x:c r="M26" s="794"/>
      <x:c r="N26" s="791"/>
      <x:c r="O26" s="791"/>
      <x:c r="P26" s="791"/>
      <x:c r="Q26" s="803" t="str">
        <x:f>IF($A26="","",IF(COUNTIF($A$6:$A$205,$A26)&gt;1,"Duplicate log ID",IF(COUNTIF(Clients!$A$6:$A$205,$C26)&lt;&gt;1,"Check Client ID",IF(NOT(ISNUMBER($B26)),"Add contact date",IF($E26="","Add channel",IF($H26="","Add summary",IF(AND($N26="Open",NOT(ISNUMBER($M26))),"Set action due date","")))))))</x:f>
      </x:c>
    </x:row>
    <x:row r="27" ht="26" customHeight="1">
      <x:c r="A27" s="791"/>
      <x:c r="B27" s="804"/>
      <x:c r="C27" s="791"/>
      <x:c r="D27" s="803" t="str">
        <x:f>IF($A27="","",IF($C27="","",IFERROR(INDEX(Clients!$B$6:$B$205,MATCH($C27,Clients!$A$6:$A$205,0)),"Client ID not found")))</x:f>
      </x:c>
      <x:c r="E27" s="791"/>
      <x:c r="F27" s="791"/>
      <x:c r="G27" s="791"/>
      <x:c r="H27" s="791"/>
      <x:c r="I27" s="791"/>
      <x:c r="J27" s="791"/>
      <x:c r="K27" s="791"/>
      <x:c r="L27" s="791"/>
      <x:c r="M27" s="794"/>
      <x:c r="N27" s="791"/>
      <x:c r="O27" s="791"/>
      <x:c r="P27" s="791"/>
      <x:c r="Q27" s="803" t="str">
        <x:f>IF($A27="","",IF(COUNTIF($A$6:$A$205,$A27)&gt;1,"Duplicate log ID",IF(COUNTIF(Clients!$A$6:$A$205,$C27)&lt;&gt;1,"Check Client ID",IF(NOT(ISNUMBER($B27)),"Add contact date",IF($E27="","Add channel",IF($H27="","Add summary",IF(AND($N27="Open",NOT(ISNUMBER($M27))),"Set action due date","")))))))</x:f>
      </x:c>
    </x:row>
    <x:row r="28" ht="26" customHeight="1">
      <x:c r="A28" s="791"/>
      <x:c r="B28" s="804"/>
      <x:c r="C28" s="791"/>
      <x:c r="D28" s="803" t="str">
        <x:f>IF($A28="","",IF($C28="","",IFERROR(INDEX(Clients!$B$6:$B$205,MATCH($C28,Clients!$A$6:$A$205,0)),"Client ID not found")))</x:f>
      </x:c>
      <x:c r="E28" s="791"/>
      <x:c r="F28" s="791"/>
      <x:c r="G28" s="791"/>
      <x:c r="H28" s="791"/>
      <x:c r="I28" s="791"/>
      <x:c r="J28" s="791"/>
      <x:c r="K28" s="791"/>
      <x:c r="L28" s="791"/>
      <x:c r="M28" s="794"/>
      <x:c r="N28" s="791"/>
      <x:c r="O28" s="791"/>
      <x:c r="P28" s="791"/>
      <x:c r="Q28" s="803" t="str">
        <x:f>IF($A28="","",IF(COUNTIF($A$6:$A$205,$A28)&gt;1,"Duplicate log ID",IF(COUNTIF(Clients!$A$6:$A$205,$C28)&lt;&gt;1,"Check Client ID",IF(NOT(ISNUMBER($B28)),"Add contact date",IF($E28="","Add channel",IF($H28="","Add summary",IF(AND($N28="Open",NOT(ISNUMBER($M28))),"Set action due date","")))))))</x:f>
      </x:c>
    </x:row>
    <x:row r="29" ht="26" customHeight="1">
      <x:c r="A29" s="791"/>
      <x:c r="B29" s="804"/>
      <x:c r="C29" s="791"/>
      <x:c r="D29" s="803" t="str">
        <x:f>IF($A29="","",IF($C29="","",IFERROR(INDEX(Clients!$B$6:$B$205,MATCH($C29,Clients!$A$6:$A$205,0)),"Client ID not found")))</x:f>
      </x:c>
      <x:c r="E29" s="791"/>
      <x:c r="F29" s="791"/>
      <x:c r="G29" s="791"/>
      <x:c r="H29" s="791"/>
      <x:c r="I29" s="791"/>
      <x:c r="J29" s="791"/>
      <x:c r="K29" s="791"/>
      <x:c r="L29" s="791"/>
      <x:c r="M29" s="794"/>
      <x:c r="N29" s="791"/>
      <x:c r="O29" s="791"/>
      <x:c r="P29" s="791"/>
      <x:c r="Q29" s="803" t="str">
        <x:f>IF($A29="","",IF(COUNTIF($A$6:$A$205,$A29)&gt;1,"Duplicate log ID",IF(COUNTIF(Clients!$A$6:$A$205,$C29)&lt;&gt;1,"Check Client ID",IF(NOT(ISNUMBER($B29)),"Add contact date",IF($E29="","Add channel",IF($H29="","Add summary",IF(AND($N29="Open",NOT(ISNUMBER($M29))),"Set action due date","")))))))</x:f>
      </x:c>
    </x:row>
    <x:row r="30" ht="26" customHeight="1">
      <x:c r="A30" s="791"/>
      <x:c r="B30" s="804"/>
      <x:c r="C30" s="791"/>
      <x:c r="D30" s="803" t="str">
        <x:f>IF($A30="","",IF($C30="","",IFERROR(INDEX(Clients!$B$6:$B$205,MATCH($C30,Clients!$A$6:$A$205,0)),"Client ID not found")))</x:f>
      </x:c>
      <x:c r="E30" s="791"/>
      <x:c r="F30" s="791"/>
      <x:c r="G30" s="791"/>
      <x:c r="H30" s="791"/>
      <x:c r="I30" s="791"/>
      <x:c r="J30" s="791"/>
      <x:c r="K30" s="791"/>
      <x:c r="L30" s="791"/>
      <x:c r="M30" s="794"/>
      <x:c r="N30" s="791"/>
      <x:c r="O30" s="791"/>
      <x:c r="P30" s="791"/>
      <x:c r="Q30" s="803" t="str">
        <x:f>IF($A30="","",IF(COUNTIF($A$6:$A$205,$A30)&gt;1,"Duplicate log ID",IF(COUNTIF(Clients!$A$6:$A$205,$C30)&lt;&gt;1,"Check Client ID",IF(NOT(ISNUMBER($B30)),"Add contact date",IF($E30="","Add channel",IF($H30="","Add summary",IF(AND($N30="Open",NOT(ISNUMBER($M30))),"Set action due date","")))))))</x:f>
      </x:c>
    </x:row>
    <x:row r="31" ht="26" customHeight="1">
      <x:c r="A31" s="791"/>
      <x:c r="B31" s="804"/>
      <x:c r="C31" s="791"/>
      <x:c r="D31" s="803" t="str">
        <x:f>IF($A31="","",IF($C31="","",IFERROR(INDEX(Clients!$B$6:$B$205,MATCH($C31,Clients!$A$6:$A$205,0)),"Client ID not found")))</x:f>
      </x:c>
      <x:c r="E31" s="791"/>
      <x:c r="F31" s="791"/>
      <x:c r="G31" s="791"/>
      <x:c r="H31" s="791"/>
      <x:c r="I31" s="791"/>
      <x:c r="J31" s="791"/>
      <x:c r="K31" s="791"/>
      <x:c r="L31" s="791"/>
      <x:c r="M31" s="794"/>
      <x:c r="N31" s="791"/>
      <x:c r="O31" s="791"/>
      <x:c r="P31" s="791"/>
      <x:c r="Q31" s="803" t="str">
        <x:f>IF($A31="","",IF(COUNTIF($A$6:$A$205,$A31)&gt;1,"Duplicate log ID",IF(COUNTIF(Clients!$A$6:$A$205,$C31)&lt;&gt;1,"Check Client ID",IF(NOT(ISNUMBER($B31)),"Add contact date",IF($E31="","Add channel",IF($H31="","Add summary",IF(AND($N31="Open",NOT(ISNUMBER($M31))),"Set action due date","")))))))</x:f>
      </x:c>
    </x:row>
    <x:row r="32" ht="26" customHeight="1">
      <x:c r="A32" s="791"/>
      <x:c r="B32" s="804"/>
      <x:c r="C32" s="791"/>
      <x:c r="D32" s="803" t="str">
        <x:f>IF($A32="","",IF($C32="","",IFERROR(INDEX(Clients!$B$6:$B$205,MATCH($C32,Clients!$A$6:$A$205,0)),"Client ID not found")))</x:f>
      </x:c>
      <x:c r="E32" s="791"/>
      <x:c r="F32" s="791"/>
      <x:c r="G32" s="791"/>
      <x:c r="H32" s="791"/>
      <x:c r="I32" s="791"/>
      <x:c r="J32" s="791"/>
      <x:c r="K32" s="791"/>
      <x:c r="L32" s="791"/>
      <x:c r="M32" s="794"/>
      <x:c r="N32" s="791"/>
      <x:c r="O32" s="791"/>
      <x:c r="P32" s="791"/>
      <x:c r="Q32" s="803" t="str">
        <x:f>IF($A32="","",IF(COUNTIF($A$6:$A$205,$A32)&gt;1,"Duplicate log ID",IF(COUNTIF(Clients!$A$6:$A$205,$C32)&lt;&gt;1,"Check Client ID",IF(NOT(ISNUMBER($B32)),"Add contact date",IF($E32="","Add channel",IF($H32="","Add summary",IF(AND($N32="Open",NOT(ISNUMBER($M32))),"Set action due date","")))))))</x:f>
      </x:c>
    </x:row>
    <x:row r="33" ht="26" customHeight="1">
      <x:c r="A33" s="791"/>
      <x:c r="B33" s="804"/>
      <x:c r="C33" s="791"/>
      <x:c r="D33" s="803" t="str">
        <x:f>IF($A33="","",IF($C33="","",IFERROR(INDEX(Clients!$B$6:$B$205,MATCH($C33,Clients!$A$6:$A$205,0)),"Client ID not found")))</x:f>
      </x:c>
      <x:c r="E33" s="791"/>
      <x:c r="F33" s="791"/>
      <x:c r="G33" s="791"/>
      <x:c r="H33" s="791"/>
      <x:c r="I33" s="791"/>
      <x:c r="J33" s="791"/>
      <x:c r="K33" s="791"/>
      <x:c r="L33" s="791"/>
      <x:c r="M33" s="794"/>
      <x:c r="N33" s="791"/>
      <x:c r="O33" s="791"/>
      <x:c r="P33" s="791"/>
      <x:c r="Q33" s="803" t="str">
        <x:f>IF($A33="","",IF(COUNTIF($A$6:$A$205,$A33)&gt;1,"Duplicate log ID",IF(COUNTIF(Clients!$A$6:$A$205,$C33)&lt;&gt;1,"Check Client ID",IF(NOT(ISNUMBER($B33)),"Add contact date",IF($E33="","Add channel",IF($H33="","Add summary",IF(AND($N33="Open",NOT(ISNUMBER($M33))),"Set action due date","")))))))</x:f>
      </x:c>
    </x:row>
    <x:row r="34" ht="26" customHeight="1">
      <x:c r="A34" s="791"/>
      <x:c r="B34" s="804"/>
      <x:c r="C34" s="791"/>
      <x:c r="D34" s="803" t="str">
        <x:f>IF($A34="","",IF($C34="","",IFERROR(INDEX(Clients!$B$6:$B$205,MATCH($C34,Clients!$A$6:$A$205,0)),"Client ID not found")))</x:f>
      </x:c>
      <x:c r="E34" s="791"/>
      <x:c r="F34" s="791"/>
      <x:c r="G34" s="791"/>
      <x:c r="H34" s="791"/>
      <x:c r="I34" s="791"/>
      <x:c r="J34" s="791"/>
      <x:c r="K34" s="791"/>
      <x:c r="L34" s="791"/>
      <x:c r="M34" s="794"/>
      <x:c r="N34" s="791"/>
      <x:c r="O34" s="791"/>
      <x:c r="P34" s="791"/>
      <x:c r="Q34" s="803" t="str">
        <x:f>IF($A34="","",IF(COUNTIF($A$6:$A$205,$A34)&gt;1,"Duplicate log ID",IF(COUNTIF(Clients!$A$6:$A$205,$C34)&lt;&gt;1,"Check Client ID",IF(NOT(ISNUMBER($B34)),"Add contact date",IF($E34="","Add channel",IF($H34="","Add summary",IF(AND($N34="Open",NOT(ISNUMBER($M34))),"Set action due date","")))))))</x:f>
      </x:c>
    </x:row>
    <x:row r="35" ht="26" customHeight="1">
      <x:c r="A35" s="791"/>
      <x:c r="B35" s="804"/>
      <x:c r="C35" s="791"/>
      <x:c r="D35" s="803" t="str">
        <x:f>IF($A35="","",IF($C35="","",IFERROR(INDEX(Clients!$B$6:$B$205,MATCH($C35,Clients!$A$6:$A$205,0)),"Client ID not found")))</x:f>
      </x:c>
      <x:c r="E35" s="791"/>
      <x:c r="F35" s="791"/>
      <x:c r="G35" s="791"/>
      <x:c r="H35" s="791"/>
      <x:c r="I35" s="791"/>
      <x:c r="J35" s="791"/>
      <x:c r="K35" s="791"/>
      <x:c r="L35" s="791"/>
      <x:c r="M35" s="794"/>
      <x:c r="N35" s="791"/>
      <x:c r="O35" s="791"/>
      <x:c r="P35" s="791"/>
      <x:c r="Q35" s="803" t="str">
        <x:f>IF($A35="","",IF(COUNTIF($A$6:$A$205,$A35)&gt;1,"Duplicate log ID",IF(COUNTIF(Clients!$A$6:$A$205,$C35)&lt;&gt;1,"Check Client ID",IF(NOT(ISNUMBER($B35)),"Add contact date",IF($E35="","Add channel",IF($H35="","Add summary",IF(AND($N35="Open",NOT(ISNUMBER($M35))),"Set action due date","")))))))</x:f>
      </x:c>
    </x:row>
    <x:row r="36" ht="26" customHeight="1">
      <x:c r="A36" s="791"/>
      <x:c r="B36" s="804"/>
      <x:c r="C36" s="791"/>
      <x:c r="D36" s="803" t="str">
        <x:f>IF($A36="","",IF($C36="","",IFERROR(INDEX(Clients!$B$6:$B$205,MATCH($C36,Clients!$A$6:$A$205,0)),"Client ID not found")))</x:f>
      </x:c>
      <x:c r="E36" s="791"/>
      <x:c r="F36" s="791"/>
      <x:c r="G36" s="791"/>
      <x:c r="H36" s="791"/>
      <x:c r="I36" s="791"/>
      <x:c r="J36" s="791"/>
      <x:c r="K36" s="791"/>
      <x:c r="L36" s="791"/>
      <x:c r="M36" s="794"/>
      <x:c r="N36" s="791"/>
      <x:c r="O36" s="791"/>
      <x:c r="P36" s="791"/>
      <x:c r="Q36" s="803" t="str">
        <x:f>IF($A36="","",IF(COUNTIF($A$6:$A$205,$A36)&gt;1,"Duplicate log ID",IF(COUNTIF(Clients!$A$6:$A$205,$C36)&lt;&gt;1,"Check Client ID",IF(NOT(ISNUMBER($B36)),"Add contact date",IF($E36="","Add channel",IF($H36="","Add summary",IF(AND($N36="Open",NOT(ISNUMBER($M36))),"Set action due date","")))))))</x:f>
      </x:c>
    </x:row>
    <x:row r="37" ht="26" customHeight="1">
      <x:c r="A37" s="791"/>
      <x:c r="B37" s="804"/>
      <x:c r="C37" s="791"/>
      <x:c r="D37" s="803" t="str">
        <x:f>IF($A37="","",IF($C37="","",IFERROR(INDEX(Clients!$B$6:$B$205,MATCH($C37,Clients!$A$6:$A$205,0)),"Client ID not found")))</x:f>
      </x:c>
      <x:c r="E37" s="791"/>
      <x:c r="F37" s="791"/>
      <x:c r="G37" s="791"/>
      <x:c r="H37" s="791"/>
      <x:c r="I37" s="791"/>
      <x:c r="J37" s="791"/>
      <x:c r="K37" s="791"/>
      <x:c r="L37" s="791"/>
      <x:c r="M37" s="794"/>
      <x:c r="N37" s="791"/>
      <x:c r="O37" s="791"/>
      <x:c r="P37" s="791"/>
      <x:c r="Q37" s="803" t="str">
        <x:f>IF($A37="","",IF(COUNTIF($A$6:$A$205,$A37)&gt;1,"Duplicate log ID",IF(COUNTIF(Clients!$A$6:$A$205,$C37)&lt;&gt;1,"Check Client ID",IF(NOT(ISNUMBER($B37)),"Add contact date",IF($E37="","Add channel",IF($H37="","Add summary",IF(AND($N37="Open",NOT(ISNUMBER($M37))),"Set action due date","")))))))</x:f>
      </x:c>
    </x:row>
    <x:row r="38" ht="26" customHeight="1">
      <x:c r="A38" s="791"/>
      <x:c r="B38" s="804"/>
      <x:c r="C38" s="791"/>
      <x:c r="D38" s="803" t="str">
        <x:f>IF($A38="","",IF($C38="","",IFERROR(INDEX(Clients!$B$6:$B$205,MATCH($C38,Clients!$A$6:$A$205,0)),"Client ID not found")))</x:f>
      </x:c>
      <x:c r="E38" s="791"/>
      <x:c r="F38" s="791"/>
      <x:c r="G38" s="791"/>
      <x:c r="H38" s="791"/>
      <x:c r="I38" s="791"/>
      <x:c r="J38" s="791"/>
      <x:c r="K38" s="791"/>
      <x:c r="L38" s="791"/>
      <x:c r="M38" s="794"/>
      <x:c r="N38" s="791"/>
      <x:c r="O38" s="791"/>
      <x:c r="P38" s="791"/>
      <x:c r="Q38" s="803" t="str">
        <x:f>IF($A38="","",IF(COUNTIF($A$6:$A$205,$A38)&gt;1,"Duplicate log ID",IF(COUNTIF(Clients!$A$6:$A$205,$C38)&lt;&gt;1,"Check Client ID",IF(NOT(ISNUMBER($B38)),"Add contact date",IF($E38="","Add channel",IF($H38="","Add summary",IF(AND($N38="Open",NOT(ISNUMBER($M38))),"Set action due date","")))))))</x:f>
      </x:c>
    </x:row>
    <x:row r="39" ht="26" customHeight="1">
      <x:c r="A39" s="791"/>
      <x:c r="B39" s="804"/>
      <x:c r="C39" s="791"/>
      <x:c r="D39" s="803" t="str">
        <x:f>IF($A39="","",IF($C39="","",IFERROR(INDEX(Clients!$B$6:$B$205,MATCH($C39,Clients!$A$6:$A$205,0)),"Client ID not found")))</x:f>
      </x:c>
      <x:c r="E39" s="791"/>
      <x:c r="F39" s="791"/>
      <x:c r="G39" s="791"/>
      <x:c r="H39" s="791"/>
      <x:c r="I39" s="791"/>
      <x:c r="J39" s="791"/>
      <x:c r="K39" s="791"/>
      <x:c r="L39" s="791"/>
      <x:c r="M39" s="794"/>
      <x:c r="N39" s="791"/>
      <x:c r="O39" s="791"/>
      <x:c r="P39" s="791"/>
      <x:c r="Q39" s="803" t="str">
        <x:f>IF($A39="","",IF(COUNTIF($A$6:$A$205,$A39)&gt;1,"Duplicate log ID",IF(COUNTIF(Clients!$A$6:$A$205,$C39)&lt;&gt;1,"Check Client ID",IF(NOT(ISNUMBER($B39)),"Add contact date",IF($E39="","Add channel",IF($H39="","Add summary",IF(AND($N39="Open",NOT(ISNUMBER($M39))),"Set action due date","")))))))</x:f>
      </x:c>
    </x:row>
    <x:row r="40" ht="26" customHeight="1">
      <x:c r="A40" s="791"/>
      <x:c r="B40" s="804"/>
      <x:c r="C40" s="791"/>
      <x:c r="D40" s="803" t="str">
        <x:f>IF($A40="","",IF($C40="","",IFERROR(INDEX(Clients!$B$6:$B$205,MATCH($C40,Clients!$A$6:$A$205,0)),"Client ID not found")))</x:f>
      </x:c>
      <x:c r="E40" s="791"/>
      <x:c r="F40" s="791"/>
      <x:c r="G40" s="791"/>
      <x:c r="H40" s="791"/>
      <x:c r="I40" s="791"/>
      <x:c r="J40" s="791"/>
      <x:c r="K40" s="791"/>
      <x:c r="L40" s="791"/>
      <x:c r="M40" s="794"/>
      <x:c r="N40" s="791"/>
      <x:c r="O40" s="791"/>
      <x:c r="P40" s="791"/>
      <x:c r="Q40" s="803" t="str">
        <x:f>IF($A40="","",IF(COUNTIF($A$6:$A$205,$A40)&gt;1,"Duplicate log ID",IF(COUNTIF(Clients!$A$6:$A$205,$C40)&lt;&gt;1,"Check Client ID",IF(NOT(ISNUMBER($B40)),"Add contact date",IF($E40="","Add channel",IF($H40="","Add summary",IF(AND($N40="Open",NOT(ISNUMBER($M40))),"Set action due date","")))))))</x:f>
      </x:c>
    </x:row>
    <x:row r="41" ht="26" customHeight="1">
      <x:c r="A41" s="791"/>
      <x:c r="B41" s="804"/>
      <x:c r="C41" s="791"/>
      <x:c r="D41" s="803" t="str">
        <x:f>IF($A41="","",IF($C41="","",IFERROR(INDEX(Clients!$B$6:$B$205,MATCH($C41,Clients!$A$6:$A$205,0)),"Client ID not found")))</x:f>
      </x:c>
      <x:c r="E41" s="791"/>
      <x:c r="F41" s="791"/>
      <x:c r="G41" s="791"/>
      <x:c r="H41" s="791"/>
      <x:c r="I41" s="791"/>
      <x:c r="J41" s="791"/>
      <x:c r="K41" s="791"/>
      <x:c r="L41" s="791"/>
      <x:c r="M41" s="794"/>
      <x:c r="N41" s="791"/>
      <x:c r="O41" s="791"/>
      <x:c r="P41" s="791"/>
      <x:c r="Q41" s="803" t="str">
        <x:f>IF($A41="","",IF(COUNTIF($A$6:$A$205,$A41)&gt;1,"Duplicate log ID",IF(COUNTIF(Clients!$A$6:$A$205,$C41)&lt;&gt;1,"Check Client ID",IF(NOT(ISNUMBER($B41)),"Add contact date",IF($E41="","Add channel",IF($H41="","Add summary",IF(AND($N41="Open",NOT(ISNUMBER($M41))),"Set action due date","")))))))</x:f>
      </x:c>
    </x:row>
    <x:row r="42" ht="26" customHeight="1">
      <x:c r="A42" s="791"/>
      <x:c r="B42" s="804"/>
      <x:c r="C42" s="791"/>
      <x:c r="D42" s="803" t="str">
        <x:f>IF($A42="","",IF($C42="","",IFERROR(INDEX(Clients!$B$6:$B$205,MATCH($C42,Clients!$A$6:$A$205,0)),"Client ID not found")))</x:f>
      </x:c>
      <x:c r="E42" s="791"/>
      <x:c r="F42" s="791"/>
      <x:c r="G42" s="791"/>
      <x:c r="H42" s="791"/>
      <x:c r="I42" s="791"/>
      <x:c r="J42" s="791"/>
      <x:c r="K42" s="791"/>
      <x:c r="L42" s="791"/>
      <x:c r="M42" s="794"/>
      <x:c r="N42" s="791"/>
      <x:c r="O42" s="791"/>
      <x:c r="P42" s="791"/>
      <x:c r="Q42" s="803" t="str">
        <x:f>IF($A42="","",IF(COUNTIF($A$6:$A$205,$A42)&gt;1,"Duplicate log ID",IF(COUNTIF(Clients!$A$6:$A$205,$C42)&lt;&gt;1,"Check Client ID",IF(NOT(ISNUMBER($B42)),"Add contact date",IF($E42="","Add channel",IF($H42="","Add summary",IF(AND($N42="Open",NOT(ISNUMBER($M42))),"Set action due date","")))))))</x:f>
      </x:c>
    </x:row>
    <x:row r="43" ht="26" customHeight="1">
      <x:c r="A43" s="791"/>
      <x:c r="B43" s="804"/>
      <x:c r="C43" s="791"/>
      <x:c r="D43" s="803" t="str">
        <x:f>IF($A43="","",IF($C43="","",IFERROR(INDEX(Clients!$B$6:$B$205,MATCH($C43,Clients!$A$6:$A$205,0)),"Client ID not found")))</x:f>
      </x:c>
      <x:c r="E43" s="791"/>
      <x:c r="F43" s="791"/>
      <x:c r="G43" s="791"/>
      <x:c r="H43" s="791"/>
      <x:c r="I43" s="791"/>
      <x:c r="J43" s="791"/>
      <x:c r="K43" s="791"/>
      <x:c r="L43" s="791"/>
      <x:c r="M43" s="794"/>
      <x:c r="N43" s="791"/>
      <x:c r="O43" s="791"/>
      <x:c r="P43" s="791"/>
      <x:c r="Q43" s="803" t="str">
        <x:f>IF($A43="","",IF(COUNTIF($A$6:$A$205,$A43)&gt;1,"Duplicate log ID",IF(COUNTIF(Clients!$A$6:$A$205,$C43)&lt;&gt;1,"Check Client ID",IF(NOT(ISNUMBER($B43)),"Add contact date",IF($E43="","Add channel",IF($H43="","Add summary",IF(AND($N43="Open",NOT(ISNUMBER($M43))),"Set action due date","")))))))</x:f>
      </x:c>
    </x:row>
    <x:row r="44" ht="26" customHeight="1">
      <x:c r="A44" s="791"/>
      <x:c r="B44" s="804"/>
      <x:c r="C44" s="791"/>
      <x:c r="D44" s="803" t="str">
        <x:f>IF($A44="","",IF($C44="","",IFERROR(INDEX(Clients!$B$6:$B$205,MATCH($C44,Clients!$A$6:$A$205,0)),"Client ID not found")))</x:f>
      </x:c>
      <x:c r="E44" s="791"/>
      <x:c r="F44" s="791"/>
      <x:c r="G44" s="791"/>
      <x:c r="H44" s="791"/>
      <x:c r="I44" s="791"/>
      <x:c r="J44" s="791"/>
      <x:c r="K44" s="791"/>
      <x:c r="L44" s="791"/>
      <x:c r="M44" s="794"/>
      <x:c r="N44" s="791"/>
      <x:c r="O44" s="791"/>
      <x:c r="P44" s="791"/>
      <x:c r="Q44" s="803" t="str">
        <x:f>IF($A44="","",IF(COUNTIF($A$6:$A$205,$A44)&gt;1,"Duplicate log ID",IF(COUNTIF(Clients!$A$6:$A$205,$C44)&lt;&gt;1,"Check Client ID",IF(NOT(ISNUMBER($B44)),"Add contact date",IF($E44="","Add channel",IF($H44="","Add summary",IF(AND($N44="Open",NOT(ISNUMBER($M44))),"Set action due date","")))))))</x:f>
      </x:c>
    </x:row>
    <x:row r="45" ht="26" customHeight="1">
      <x:c r="A45" s="791"/>
      <x:c r="B45" s="804"/>
      <x:c r="C45" s="791"/>
      <x:c r="D45" s="803" t="str">
        <x:f>IF($A45="","",IF($C45="","",IFERROR(INDEX(Clients!$B$6:$B$205,MATCH($C45,Clients!$A$6:$A$205,0)),"Client ID not found")))</x:f>
      </x:c>
      <x:c r="E45" s="791"/>
      <x:c r="F45" s="791"/>
      <x:c r="G45" s="791"/>
      <x:c r="H45" s="791"/>
      <x:c r="I45" s="791"/>
      <x:c r="J45" s="791"/>
      <x:c r="K45" s="791"/>
      <x:c r="L45" s="791"/>
      <x:c r="M45" s="794"/>
      <x:c r="N45" s="791"/>
      <x:c r="O45" s="791"/>
      <x:c r="P45" s="791"/>
      <x:c r="Q45" s="803" t="str">
        <x:f>IF($A45="","",IF(COUNTIF($A$6:$A$205,$A45)&gt;1,"Duplicate log ID",IF(COUNTIF(Clients!$A$6:$A$205,$C45)&lt;&gt;1,"Check Client ID",IF(NOT(ISNUMBER($B45)),"Add contact date",IF($E45="","Add channel",IF($H45="","Add summary",IF(AND($N45="Open",NOT(ISNUMBER($M45))),"Set action due date","")))))))</x:f>
      </x:c>
    </x:row>
    <x:row r="46" ht="26" customHeight="1">
      <x:c r="A46" s="791"/>
      <x:c r="B46" s="804"/>
      <x:c r="C46" s="791"/>
      <x:c r="D46" s="803" t="str">
        <x:f>IF($A46="","",IF($C46="","",IFERROR(INDEX(Clients!$B$6:$B$205,MATCH($C46,Clients!$A$6:$A$205,0)),"Client ID not found")))</x:f>
      </x:c>
      <x:c r="E46" s="791"/>
      <x:c r="F46" s="791"/>
      <x:c r="G46" s="791"/>
      <x:c r="H46" s="791"/>
      <x:c r="I46" s="791"/>
      <x:c r="J46" s="791"/>
      <x:c r="K46" s="791"/>
      <x:c r="L46" s="791"/>
      <x:c r="M46" s="794"/>
      <x:c r="N46" s="791"/>
      <x:c r="O46" s="791"/>
      <x:c r="P46" s="791"/>
      <x:c r="Q46" s="803" t="str">
        <x:f>IF($A46="","",IF(COUNTIF($A$6:$A$205,$A46)&gt;1,"Duplicate log ID",IF(COUNTIF(Clients!$A$6:$A$205,$C46)&lt;&gt;1,"Check Client ID",IF(NOT(ISNUMBER($B46)),"Add contact date",IF($E46="","Add channel",IF($H46="","Add summary",IF(AND($N46="Open",NOT(ISNUMBER($M46))),"Set action due date","")))))))</x:f>
      </x:c>
    </x:row>
    <x:row r="47" ht="26" customHeight="1">
      <x:c r="A47" s="791"/>
      <x:c r="B47" s="804"/>
      <x:c r="C47" s="791"/>
      <x:c r="D47" s="803" t="str">
        <x:f>IF($A47="","",IF($C47="","",IFERROR(INDEX(Clients!$B$6:$B$205,MATCH($C47,Clients!$A$6:$A$205,0)),"Client ID not found")))</x:f>
      </x:c>
      <x:c r="E47" s="791"/>
      <x:c r="F47" s="791"/>
      <x:c r="G47" s="791"/>
      <x:c r="H47" s="791"/>
      <x:c r="I47" s="791"/>
      <x:c r="J47" s="791"/>
      <x:c r="K47" s="791"/>
      <x:c r="L47" s="791"/>
      <x:c r="M47" s="794"/>
      <x:c r="N47" s="791"/>
      <x:c r="O47" s="791"/>
      <x:c r="P47" s="791"/>
      <x:c r="Q47" s="803" t="str">
        <x:f>IF($A47="","",IF(COUNTIF($A$6:$A$205,$A47)&gt;1,"Duplicate log ID",IF(COUNTIF(Clients!$A$6:$A$205,$C47)&lt;&gt;1,"Check Client ID",IF(NOT(ISNUMBER($B47)),"Add contact date",IF($E47="","Add channel",IF($H47="","Add summary",IF(AND($N47="Open",NOT(ISNUMBER($M47))),"Set action due date","")))))))</x:f>
      </x:c>
    </x:row>
    <x:row r="48" ht="26" customHeight="1">
      <x:c r="A48" s="791"/>
      <x:c r="B48" s="804"/>
      <x:c r="C48" s="791"/>
      <x:c r="D48" s="803" t="str">
        <x:f>IF($A48="","",IF($C48="","",IFERROR(INDEX(Clients!$B$6:$B$205,MATCH($C48,Clients!$A$6:$A$205,0)),"Client ID not found")))</x:f>
      </x:c>
      <x:c r="E48" s="791"/>
      <x:c r="F48" s="791"/>
      <x:c r="G48" s="791"/>
      <x:c r="H48" s="791"/>
      <x:c r="I48" s="791"/>
      <x:c r="J48" s="791"/>
      <x:c r="K48" s="791"/>
      <x:c r="L48" s="791"/>
      <x:c r="M48" s="794"/>
      <x:c r="N48" s="791"/>
      <x:c r="O48" s="791"/>
      <x:c r="P48" s="791"/>
      <x:c r="Q48" s="803" t="str">
        <x:f>IF($A48="","",IF(COUNTIF($A$6:$A$205,$A48)&gt;1,"Duplicate log ID",IF(COUNTIF(Clients!$A$6:$A$205,$C48)&lt;&gt;1,"Check Client ID",IF(NOT(ISNUMBER($B48)),"Add contact date",IF($E48="","Add channel",IF($H48="","Add summary",IF(AND($N48="Open",NOT(ISNUMBER($M48))),"Set action due date","")))))))</x:f>
      </x:c>
    </x:row>
    <x:row r="49" ht="26" customHeight="1">
      <x:c r="A49" s="791"/>
      <x:c r="B49" s="804"/>
      <x:c r="C49" s="791"/>
      <x:c r="D49" s="803" t="str">
        <x:f>IF($A49="","",IF($C49="","",IFERROR(INDEX(Clients!$B$6:$B$205,MATCH($C49,Clients!$A$6:$A$205,0)),"Client ID not found")))</x:f>
      </x:c>
      <x:c r="E49" s="791"/>
      <x:c r="F49" s="791"/>
      <x:c r="G49" s="791"/>
      <x:c r="H49" s="791"/>
      <x:c r="I49" s="791"/>
      <x:c r="J49" s="791"/>
      <x:c r="K49" s="791"/>
      <x:c r="L49" s="791"/>
      <x:c r="M49" s="794"/>
      <x:c r="N49" s="791"/>
      <x:c r="O49" s="791"/>
      <x:c r="P49" s="791"/>
      <x:c r="Q49" s="803" t="str">
        <x:f>IF($A49="","",IF(COUNTIF($A$6:$A$205,$A49)&gt;1,"Duplicate log ID",IF(COUNTIF(Clients!$A$6:$A$205,$C49)&lt;&gt;1,"Check Client ID",IF(NOT(ISNUMBER($B49)),"Add contact date",IF($E49="","Add channel",IF($H49="","Add summary",IF(AND($N49="Open",NOT(ISNUMBER($M49))),"Set action due date","")))))))</x:f>
      </x:c>
    </x:row>
    <x:row r="50" ht="26" customHeight="1">
      <x:c r="A50" s="791"/>
      <x:c r="B50" s="804"/>
      <x:c r="C50" s="791"/>
      <x:c r="D50" s="803" t="str">
        <x:f>IF($A50="","",IF($C50="","",IFERROR(INDEX(Clients!$B$6:$B$205,MATCH($C50,Clients!$A$6:$A$205,0)),"Client ID not found")))</x:f>
      </x:c>
      <x:c r="E50" s="791"/>
      <x:c r="F50" s="791"/>
      <x:c r="G50" s="791"/>
      <x:c r="H50" s="791"/>
      <x:c r="I50" s="791"/>
      <x:c r="J50" s="791"/>
      <x:c r="K50" s="791"/>
      <x:c r="L50" s="791"/>
      <x:c r="M50" s="794"/>
      <x:c r="N50" s="791"/>
      <x:c r="O50" s="791"/>
      <x:c r="P50" s="791"/>
      <x:c r="Q50" s="803" t="str">
        <x:f>IF($A50="","",IF(COUNTIF($A$6:$A$205,$A50)&gt;1,"Duplicate log ID",IF(COUNTIF(Clients!$A$6:$A$205,$C50)&lt;&gt;1,"Check Client ID",IF(NOT(ISNUMBER($B50)),"Add contact date",IF($E50="","Add channel",IF($H50="","Add summary",IF(AND($N50="Open",NOT(ISNUMBER($M50))),"Set action due date","")))))))</x:f>
      </x:c>
    </x:row>
    <x:row r="51" ht="26" customHeight="1">
      <x:c r="A51" s="791"/>
      <x:c r="B51" s="804"/>
      <x:c r="C51" s="791"/>
      <x:c r="D51" s="803" t="str">
        <x:f>IF($A51="","",IF($C51="","",IFERROR(INDEX(Clients!$B$6:$B$205,MATCH($C51,Clients!$A$6:$A$205,0)),"Client ID not found")))</x:f>
      </x:c>
      <x:c r="E51" s="791"/>
      <x:c r="F51" s="791"/>
      <x:c r="G51" s="791"/>
      <x:c r="H51" s="791"/>
      <x:c r="I51" s="791"/>
      <x:c r="J51" s="791"/>
      <x:c r="K51" s="791"/>
      <x:c r="L51" s="791"/>
      <x:c r="M51" s="794"/>
      <x:c r="N51" s="791"/>
      <x:c r="O51" s="791"/>
      <x:c r="P51" s="791"/>
      <x:c r="Q51" s="803" t="str">
        <x:f>IF($A51="","",IF(COUNTIF($A$6:$A$205,$A51)&gt;1,"Duplicate log ID",IF(COUNTIF(Clients!$A$6:$A$205,$C51)&lt;&gt;1,"Check Client ID",IF(NOT(ISNUMBER($B51)),"Add contact date",IF($E51="","Add channel",IF($H51="","Add summary",IF(AND($N51="Open",NOT(ISNUMBER($M51))),"Set action due date","")))))))</x:f>
      </x:c>
    </x:row>
    <x:row r="52" ht="26" customHeight="1">
      <x:c r="A52" s="791"/>
      <x:c r="B52" s="804"/>
      <x:c r="C52" s="791"/>
      <x:c r="D52" s="803" t="str">
        <x:f>IF($A52="","",IF($C52="","",IFERROR(INDEX(Clients!$B$6:$B$205,MATCH($C52,Clients!$A$6:$A$205,0)),"Client ID not found")))</x:f>
      </x:c>
      <x:c r="E52" s="791"/>
      <x:c r="F52" s="791"/>
      <x:c r="G52" s="791"/>
      <x:c r="H52" s="791"/>
      <x:c r="I52" s="791"/>
      <x:c r="J52" s="791"/>
      <x:c r="K52" s="791"/>
      <x:c r="L52" s="791"/>
      <x:c r="M52" s="794"/>
      <x:c r="N52" s="791"/>
      <x:c r="O52" s="791"/>
      <x:c r="P52" s="791"/>
      <x:c r="Q52" s="803" t="str">
        <x:f>IF($A52="","",IF(COUNTIF($A$6:$A$205,$A52)&gt;1,"Duplicate log ID",IF(COUNTIF(Clients!$A$6:$A$205,$C52)&lt;&gt;1,"Check Client ID",IF(NOT(ISNUMBER($B52)),"Add contact date",IF($E52="","Add channel",IF($H52="","Add summary",IF(AND($N52="Open",NOT(ISNUMBER($M52))),"Set action due date","")))))))</x:f>
      </x:c>
    </x:row>
    <x:row r="53" ht="26" customHeight="1">
      <x:c r="A53" s="791"/>
      <x:c r="B53" s="804"/>
      <x:c r="C53" s="791"/>
      <x:c r="D53" s="803" t="str">
        <x:f>IF($A53="","",IF($C53="","",IFERROR(INDEX(Clients!$B$6:$B$205,MATCH($C53,Clients!$A$6:$A$205,0)),"Client ID not found")))</x:f>
      </x:c>
      <x:c r="E53" s="791"/>
      <x:c r="F53" s="791"/>
      <x:c r="G53" s="791"/>
      <x:c r="H53" s="791"/>
      <x:c r="I53" s="791"/>
      <x:c r="J53" s="791"/>
      <x:c r="K53" s="791"/>
      <x:c r="L53" s="791"/>
      <x:c r="M53" s="794"/>
      <x:c r="N53" s="791"/>
      <x:c r="O53" s="791"/>
      <x:c r="P53" s="791"/>
      <x:c r="Q53" s="803" t="str">
        <x:f>IF($A53="","",IF(COUNTIF($A$6:$A$205,$A53)&gt;1,"Duplicate log ID",IF(COUNTIF(Clients!$A$6:$A$205,$C53)&lt;&gt;1,"Check Client ID",IF(NOT(ISNUMBER($B53)),"Add contact date",IF($E53="","Add channel",IF($H53="","Add summary",IF(AND($N53="Open",NOT(ISNUMBER($M53))),"Set action due date","")))))))</x:f>
      </x:c>
    </x:row>
    <x:row r="54" ht="26" customHeight="1">
      <x:c r="A54" s="791"/>
      <x:c r="B54" s="804"/>
      <x:c r="C54" s="791"/>
      <x:c r="D54" s="803" t="str">
        <x:f>IF($A54="","",IF($C54="","",IFERROR(INDEX(Clients!$B$6:$B$205,MATCH($C54,Clients!$A$6:$A$205,0)),"Client ID not found")))</x:f>
      </x:c>
      <x:c r="E54" s="791"/>
      <x:c r="F54" s="791"/>
      <x:c r="G54" s="791"/>
      <x:c r="H54" s="791"/>
      <x:c r="I54" s="791"/>
      <x:c r="J54" s="791"/>
      <x:c r="K54" s="791"/>
      <x:c r="L54" s="791"/>
      <x:c r="M54" s="794"/>
      <x:c r="N54" s="791"/>
      <x:c r="O54" s="791"/>
      <x:c r="P54" s="791"/>
      <x:c r="Q54" s="803" t="str">
        <x:f>IF($A54="","",IF(COUNTIF($A$6:$A$205,$A54)&gt;1,"Duplicate log ID",IF(COUNTIF(Clients!$A$6:$A$205,$C54)&lt;&gt;1,"Check Client ID",IF(NOT(ISNUMBER($B54)),"Add contact date",IF($E54="","Add channel",IF($H54="","Add summary",IF(AND($N54="Open",NOT(ISNUMBER($M54))),"Set action due date","")))))))</x:f>
      </x:c>
    </x:row>
    <x:row r="55" ht="26" customHeight="1">
      <x:c r="A55" s="791"/>
      <x:c r="B55" s="804"/>
      <x:c r="C55" s="791"/>
      <x:c r="D55" s="803" t="str">
        <x:f>IF($A55="","",IF($C55="","",IFERROR(INDEX(Clients!$B$6:$B$205,MATCH($C55,Clients!$A$6:$A$205,0)),"Client ID not found")))</x:f>
      </x:c>
      <x:c r="E55" s="791"/>
      <x:c r="F55" s="791"/>
      <x:c r="G55" s="791"/>
      <x:c r="H55" s="791"/>
      <x:c r="I55" s="791"/>
      <x:c r="J55" s="791"/>
      <x:c r="K55" s="791"/>
      <x:c r="L55" s="791"/>
      <x:c r="M55" s="794"/>
      <x:c r="N55" s="791"/>
      <x:c r="O55" s="791"/>
      <x:c r="P55" s="791"/>
      <x:c r="Q55" s="803" t="str">
        <x:f>IF($A55="","",IF(COUNTIF($A$6:$A$205,$A55)&gt;1,"Duplicate log ID",IF(COUNTIF(Clients!$A$6:$A$205,$C55)&lt;&gt;1,"Check Client ID",IF(NOT(ISNUMBER($B55)),"Add contact date",IF($E55="","Add channel",IF($H55="","Add summary",IF(AND($N55="Open",NOT(ISNUMBER($M55))),"Set action due date","")))))))</x:f>
      </x:c>
    </x:row>
    <x:row r="56" ht="26" customHeight="1">
      <x:c r="A56" s="791"/>
      <x:c r="B56" s="804"/>
      <x:c r="C56" s="791"/>
      <x:c r="D56" s="803" t="str">
        <x:f>IF($A56="","",IF($C56="","",IFERROR(INDEX(Clients!$B$6:$B$205,MATCH($C56,Clients!$A$6:$A$205,0)),"Client ID not found")))</x:f>
      </x:c>
      <x:c r="E56" s="791"/>
      <x:c r="F56" s="791"/>
      <x:c r="G56" s="791"/>
      <x:c r="H56" s="791"/>
      <x:c r="I56" s="791"/>
      <x:c r="J56" s="791"/>
      <x:c r="K56" s="791"/>
      <x:c r="L56" s="791"/>
      <x:c r="M56" s="794"/>
      <x:c r="N56" s="791"/>
      <x:c r="O56" s="791"/>
      <x:c r="P56" s="791"/>
      <x:c r="Q56" s="803" t="str">
        <x:f>IF($A56="","",IF(COUNTIF($A$6:$A$205,$A56)&gt;1,"Duplicate log ID",IF(COUNTIF(Clients!$A$6:$A$205,$C56)&lt;&gt;1,"Check Client ID",IF(NOT(ISNUMBER($B56)),"Add contact date",IF($E56="","Add channel",IF($H56="","Add summary",IF(AND($N56="Open",NOT(ISNUMBER($M56))),"Set action due date","")))))))</x:f>
      </x:c>
    </x:row>
    <x:row r="57" ht="26" customHeight="1">
      <x:c r="A57" s="791"/>
      <x:c r="B57" s="804"/>
      <x:c r="C57" s="791"/>
      <x:c r="D57" s="803" t="str">
        <x:f>IF($A57="","",IF($C57="","",IFERROR(INDEX(Clients!$B$6:$B$205,MATCH($C57,Clients!$A$6:$A$205,0)),"Client ID not found")))</x:f>
      </x:c>
      <x:c r="E57" s="791"/>
      <x:c r="F57" s="791"/>
      <x:c r="G57" s="791"/>
      <x:c r="H57" s="791"/>
      <x:c r="I57" s="791"/>
      <x:c r="J57" s="791"/>
      <x:c r="K57" s="791"/>
      <x:c r="L57" s="791"/>
      <x:c r="M57" s="794"/>
      <x:c r="N57" s="791"/>
      <x:c r="O57" s="791"/>
      <x:c r="P57" s="791"/>
      <x:c r="Q57" s="803" t="str">
        <x:f>IF($A57="","",IF(COUNTIF($A$6:$A$205,$A57)&gt;1,"Duplicate log ID",IF(COUNTIF(Clients!$A$6:$A$205,$C57)&lt;&gt;1,"Check Client ID",IF(NOT(ISNUMBER($B57)),"Add contact date",IF($E57="","Add channel",IF($H57="","Add summary",IF(AND($N57="Open",NOT(ISNUMBER($M57))),"Set action due date","")))))))</x:f>
      </x:c>
    </x:row>
    <x:row r="58" ht="26" customHeight="1">
      <x:c r="A58" s="791"/>
      <x:c r="B58" s="804"/>
      <x:c r="C58" s="791"/>
      <x:c r="D58" s="803" t="str">
        <x:f>IF($A58="","",IF($C58="","",IFERROR(INDEX(Clients!$B$6:$B$205,MATCH($C58,Clients!$A$6:$A$205,0)),"Client ID not found")))</x:f>
      </x:c>
      <x:c r="E58" s="791"/>
      <x:c r="F58" s="791"/>
      <x:c r="G58" s="791"/>
      <x:c r="H58" s="791"/>
      <x:c r="I58" s="791"/>
      <x:c r="J58" s="791"/>
      <x:c r="K58" s="791"/>
      <x:c r="L58" s="791"/>
      <x:c r="M58" s="794"/>
      <x:c r="N58" s="791"/>
      <x:c r="O58" s="791"/>
      <x:c r="P58" s="791"/>
      <x:c r="Q58" s="803" t="str">
        <x:f>IF($A58="","",IF(COUNTIF($A$6:$A$205,$A58)&gt;1,"Duplicate log ID",IF(COUNTIF(Clients!$A$6:$A$205,$C58)&lt;&gt;1,"Check Client ID",IF(NOT(ISNUMBER($B58)),"Add contact date",IF($E58="","Add channel",IF($H58="","Add summary",IF(AND($N58="Open",NOT(ISNUMBER($M58))),"Set action due date","")))))))</x:f>
      </x:c>
    </x:row>
    <x:row r="59" ht="26" customHeight="1">
      <x:c r="A59" s="791"/>
      <x:c r="B59" s="804"/>
      <x:c r="C59" s="791"/>
      <x:c r="D59" s="803" t="str">
        <x:f>IF($A59="","",IF($C59="","",IFERROR(INDEX(Clients!$B$6:$B$205,MATCH($C59,Clients!$A$6:$A$205,0)),"Client ID not found")))</x:f>
      </x:c>
      <x:c r="E59" s="791"/>
      <x:c r="F59" s="791"/>
      <x:c r="G59" s="791"/>
      <x:c r="H59" s="791"/>
      <x:c r="I59" s="791"/>
      <x:c r="J59" s="791"/>
      <x:c r="K59" s="791"/>
      <x:c r="L59" s="791"/>
      <x:c r="M59" s="794"/>
      <x:c r="N59" s="791"/>
      <x:c r="O59" s="791"/>
      <x:c r="P59" s="791"/>
      <x:c r="Q59" s="803" t="str">
        <x:f>IF($A59="","",IF(COUNTIF($A$6:$A$205,$A59)&gt;1,"Duplicate log ID",IF(COUNTIF(Clients!$A$6:$A$205,$C59)&lt;&gt;1,"Check Client ID",IF(NOT(ISNUMBER($B59)),"Add contact date",IF($E59="","Add channel",IF($H59="","Add summary",IF(AND($N59="Open",NOT(ISNUMBER($M59))),"Set action due date","")))))))</x:f>
      </x:c>
    </x:row>
    <x:row r="60" ht="26" customHeight="1">
      <x:c r="A60" s="791"/>
      <x:c r="B60" s="804"/>
      <x:c r="C60" s="791"/>
      <x:c r="D60" s="803" t="str">
        <x:f>IF($A60="","",IF($C60="","",IFERROR(INDEX(Clients!$B$6:$B$205,MATCH($C60,Clients!$A$6:$A$205,0)),"Client ID not found")))</x:f>
      </x:c>
      <x:c r="E60" s="791"/>
      <x:c r="F60" s="791"/>
      <x:c r="G60" s="791"/>
      <x:c r="H60" s="791"/>
      <x:c r="I60" s="791"/>
      <x:c r="J60" s="791"/>
      <x:c r="K60" s="791"/>
      <x:c r="L60" s="791"/>
      <x:c r="M60" s="794"/>
      <x:c r="N60" s="791"/>
      <x:c r="O60" s="791"/>
      <x:c r="P60" s="791"/>
      <x:c r="Q60" s="803" t="str">
        <x:f>IF($A60="","",IF(COUNTIF($A$6:$A$205,$A60)&gt;1,"Duplicate log ID",IF(COUNTIF(Clients!$A$6:$A$205,$C60)&lt;&gt;1,"Check Client ID",IF(NOT(ISNUMBER($B60)),"Add contact date",IF($E60="","Add channel",IF($H60="","Add summary",IF(AND($N60="Open",NOT(ISNUMBER($M60))),"Set action due date","")))))))</x:f>
      </x:c>
    </x:row>
    <x:row r="61" ht="26" customHeight="1">
      <x:c r="A61" s="791"/>
      <x:c r="B61" s="804"/>
      <x:c r="C61" s="791"/>
      <x:c r="D61" s="803" t="str">
        <x:f>IF($A61="","",IF($C61="","",IFERROR(INDEX(Clients!$B$6:$B$205,MATCH($C61,Clients!$A$6:$A$205,0)),"Client ID not found")))</x:f>
      </x:c>
      <x:c r="E61" s="791"/>
      <x:c r="F61" s="791"/>
      <x:c r="G61" s="791"/>
      <x:c r="H61" s="791"/>
      <x:c r="I61" s="791"/>
      <x:c r="J61" s="791"/>
      <x:c r="K61" s="791"/>
      <x:c r="L61" s="791"/>
      <x:c r="M61" s="794"/>
      <x:c r="N61" s="791"/>
      <x:c r="O61" s="791"/>
      <x:c r="P61" s="791"/>
      <x:c r="Q61" s="803" t="str">
        <x:f>IF($A61="","",IF(COUNTIF($A$6:$A$205,$A61)&gt;1,"Duplicate log ID",IF(COUNTIF(Clients!$A$6:$A$205,$C61)&lt;&gt;1,"Check Client ID",IF(NOT(ISNUMBER($B61)),"Add contact date",IF($E61="","Add channel",IF($H61="","Add summary",IF(AND($N61="Open",NOT(ISNUMBER($M61))),"Set action due date","")))))))</x:f>
      </x:c>
    </x:row>
    <x:row r="62" ht="26" customHeight="1">
      <x:c r="A62" s="791"/>
      <x:c r="B62" s="804"/>
      <x:c r="C62" s="791"/>
      <x:c r="D62" s="803" t="str">
        <x:f>IF($A62="","",IF($C62="","",IFERROR(INDEX(Clients!$B$6:$B$205,MATCH($C62,Clients!$A$6:$A$205,0)),"Client ID not found")))</x:f>
      </x:c>
      <x:c r="E62" s="791"/>
      <x:c r="F62" s="791"/>
      <x:c r="G62" s="791"/>
      <x:c r="H62" s="791"/>
      <x:c r="I62" s="791"/>
      <x:c r="J62" s="791"/>
      <x:c r="K62" s="791"/>
      <x:c r="L62" s="791"/>
      <x:c r="M62" s="794"/>
      <x:c r="N62" s="791"/>
      <x:c r="O62" s="791"/>
      <x:c r="P62" s="791"/>
      <x:c r="Q62" s="803" t="str">
        <x:f>IF($A62="","",IF(COUNTIF($A$6:$A$205,$A62)&gt;1,"Duplicate log ID",IF(COUNTIF(Clients!$A$6:$A$205,$C62)&lt;&gt;1,"Check Client ID",IF(NOT(ISNUMBER($B62)),"Add contact date",IF($E62="","Add channel",IF($H62="","Add summary",IF(AND($N62="Open",NOT(ISNUMBER($M62))),"Set action due date","")))))))</x:f>
      </x:c>
    </x:row>
    <x:row r="63" ht="26" customHeight="1">
      <x:c r="A63" s="791"/>
      <x:c r="B63" s="804"/>
      <x:c r="C63" s="791"/>
      <x:c r="D63" s="803" t="str">
        <x:f>IF($A63="","",IF($C63="","",IFERROR(INDEX(Clients!$B$6:$B$205,MATCH($C63,Clients!$A$6:$A$205,0)),"Client ID not found")))</x:f>
      </x:c>
      <x:c r="E63" s="791"/>
      <x:c r="F63" s="791"/>
      <x:c r="G63" s="791"/>
      <x:c r="H63" s="791"/>
      <x:c r="I63" s="791"/>
      <x:c r="J63" s="791"/>
      <x:c r="K63" s="791"/>
      <x:c r="L63" s="791"/>
      <x:c r="M63" s="794"/>
      <x:c r="N63" s="791"/>
      <x:c r="O63" s="791"/>
      <x:c r="P63" s="791"/>
      <x:c r="Q63" s="803" t="str">
        <x:f>IF($A63="","",IF(COUNTIF($A$6:$A$205,$A63)&gt;1,"Duplicate log ID",IF(COUNTIF(Clients!$A$6:$A$205,$C63)&lt;&gt;1,"Check Client ID",IF(NOT(ISNUMBER($B63)),"Add contact date",IF($E63="","Add channel",IF($H63="","Add summary",IF(AND($N63="Open",NOT(ISNUMBER($M63))),"Set action due date","")))))))</x:f>
      </x:c>
    </x:row>
    <x:row r="64" ht="26" customHeight="1">
      <x:c r="A64" s="791"/>
      <x:c r="B64" s="804"/>
      <x:c r="C64" s="791"/>
      <x:c r="D64" s="803" t="str">
        <x:f>IF($A64="","",IF($C64="","",IFERROR(INDEX(Clients!$B$6:$B$205,MATCH($C64,Clients!$A$6:$A$205,0)),"Client ID not found")))</x:f>
      </x:c>
      <x:c r="E64" s="791"/>
      <x:c r="F64" s="791"/>
      <x:c r="G64" s="791"/>
      <x:c r="H64" s="791"/>
      <x:c r="I64" s="791"/>
      <x:c r="J64" s="791"/>
      <x:c r="K64" s="791"/>
      <x:c r="L64" s="791"/>
      <x:c r="M64" s="794"/>
      <x:c r="N64" s="791"/>
      <x:c r="O64" s="791"/>
      <x:c r="P64" s="791"/>
      <x:c r="Q64" s="803" t="str">
        <x:f>IF($A64="","",IF(COUNTIF($A$6:$A$205,$A64)&gt;1,"Duplicate log ID",IF(COUNTIF(Clients!$A$6:$A$205,$C64)&lt;&gt;1,"Check Client ID",IF(NOT(ISNUMBER($B64)),"Add contact date",IF($E64="","Add channel",IF($H64="","Add summary",IF(AND($N64="Open",NOT(ISNUMBER($M64))),"Set action due date","")))))))</x:f>
      </x:c>
    </x:row>
    <x:row r="65" ht="26" customHeight="1">
      <x:c r="A65" s="791"/>
      <x:c r="B65" s="804"/>
      <x:c r="C65" s="791"/>
      <x:c r="D65" s="803" t="str">
        <x:f>IF($A65="","",IF($C65="","",IFERROR(INDEX(Clients!$B$6:$B$205,MATCH($C65,Clients!$A$6:$A$205,0)),"Client ID not found")))</x:f>
      </x:c>
      <x:c r="E65" s="791"/>
      <x:c r="F65" s="791"/>
      <x:c r="G65" s="791"/>
      <x:c r="H65" s="791"/>
      <x:c r="I65" s="791"/>
      <x:c r="J65" s="791"/>
      <x:c r="K65" s="791"/>
      <x:c r="L65" s="791"/>
      <x:c r="M65" s="794"/>
      <x:c r="N65" s="791"/>
      <x:c r="O65" s="791"/>
      <x:c r="P65" s="791"/>
      <x:c r="Q65" s="803" t="str">
        <x:f>IF($A65="","",IF(COUNTIF($A$6:$A$205,$A65)&gt;1,"Duplicate log ID",IF(COUNTIF(Clients!$A$6:$A$205,$C65)&lt;&gt;1,"Check Client ID",IF(NOT(ISNUMBER($B65)),"Add contact date",IF($E65="","Add channel",IF($H65="","Add summary",IF(AND($N65="Open",NOT(ISNUMBER($M65))),"Set action due date","")))))))</x:f>
      </x:c>
    </x:row>
    <x:row r="66" ht="26" customHeight="1">
      <x:c r="A66" s="791"/>
      <x:c r="B66" s="804"/>
      <x:c r="C66" s="791"/>
      <x:c r="D66" s="803" t="str">
        <x:f>IF($A66="","",IF($C66="","",IFERROR(INDEX(Clients!$B$6:$B$205,MATCH($C66,Clients!$A$6:$A$205,0)),"Client ID not found")))</x:f>
      </x:c>
      <x:c r="E66" s="791"/>
      <x:c r="F66" s="791"/>
      <x:c r="G66" s="791"/>
      <x:c r="H66" s="791"/>
      <x:c r="I66" s="791"/>
      <x:c r="J66" s="791"/>
      <x:c r="K66" s="791"/>
      <x:c r="L66" s="791"/>
      <x:c r="M66" s="794"/>
      <x:c r="N66" s="791"/>
      <x:c r="O66" s="791"/>
      <x:c r="P66" s="791"/>
      <x:c r="Q66" s="803" t="str">
        <x:f>IF($A66="","",IF(COUNTIF($A$6:$A$205,$A66)&gt;1,"Duplicate log ID",IF(COUNTIF(Clients!$A$6:$A$205,$C66)&lt;&gt;1,"Check Client ID",IF(NOT(ISNUMBER($B66)),"Add contact date",IF($E66="","Add channel",IF($H66="","Add summary",IF(AND($N66="Open",NOT(ISNUMBER($M66))),"Set action due date","")))))))</x:f>
      </x:c>
    </x:row>
    <x:row r="67" ht="26" customHeight="1">
      <x:c r="A67" s="791"/>
      <x:c r="B67" s="804"/>
      <x:c r="C67" s="791"/>
      <x:c r="D67" s="803" t="str">
        <x:f>IF($A67="","",IF($C67="","",IFERROR(INDEX(Clients!$B$6:$B$205,MATCH($C67,Clients!$A$6:$A$205,0)),"Client ID not found")))</x:f>
      </x:c>
      <x:c r="E67" s="791"/>
      <x:c r="F67" s="791"/>
      <x:c r="G67" s="791"/>
      <x:c r="H67" s="791"/>
      <x:c r="I67" s="791"/>
      <x:c r="J67" s="791"/>
      <x:c r="K67" s="791"/>
      <x:c r="L67" s="791"/>
      <x:c r="M67" s="794"/>
      <x:c r="N67" s="791"/>
      <x:c r="O67" s="791"/>
      <x:c r="P67" s="791"/>
      <x:c r="Q67" s="803" t="str">
        <x:f>IF($A67="","",IF(COUNTIF($A$6:$A$205,$A67)&gt;1,"Duplicate log ID",IF(COUNTIF(Clients!$A$6:$A$205,$C67)&lt;&gt;1,"Check Client ID",IF(NOT(ISNUMBER($B67)),"Add contact date",IF($E67="","Add channel",IF($H67="","Add summary",IF(AND($N67="Open",NOT(ISNUMBER($M67))),"Set action due date","")))))))</x:f>
      </x:c>
    </x:row>
    <x:row r="68" ht="26" customHeight="1">
      <x:c r="A68" s="791"/>
      <x:c r="B68" s="804"/>
      <x:c r="C68" s="791"/>
      <x:c r="D68" s="803" t="str">
        <x:f>IF($A68="","",IF($C68="","",IFERROR(INDEX(Clients!$B$6:$B$205,MATCH($C68,Clients!$A$6:$A$205,0)),"Client ID not found")))</x:f>
      </x:c>
      <x:c r="E68" s="791"/>
      <x:c r="F68" s="791"/>
      <x:c r="G68" s="791"/>
      <x:c r="H68" s="791"/>
      <x:c r="I68" s="791"/>
      <x:c r="J68" s="791"/>
      <x:c r="K68" s="791"/>
      <x:c r="L68" s="791"/>
      <x:c r="M68" s="794"/>
      <x:c r="N68" s="791"/>
      <x:c r="O68" s="791"/>
      <x:c r="P68" s="791"/>
      <x:c r="Q68" s="803" t="str">
        <x:f>IF($A68="","",IF(COUNTIF($A$6:$A$205,$A68)&gt;1,"Duplicate log ID",IF(COUNTIF(Clients!$A$6:$A$205,$C68)&lt;&gt;1,"Check Client ID",IF(NOT(ISNUMBER($B68)),"Add contact date",IF($E68="","Add channel",IF($H68="","Add summary",IF(AND($N68="Open",NOT(ISNUMBER($M68))),"Set action due date","")))))))</x:f>
      </x:c>
    </x:row>
    <x:row r="69" ht="26" customHeight="1">
      <x:c r="A69" s="791"/>
      <x:c r="B69" s="804"/>
      <x:c r="C69" s="791"/>
      <x:c r="D69" s="803" t="str">
        <x:f>IF($A69="","",IF($C69="","",IFERROR(INDEX(Clients!$B$6:$B$205,MATCH($C69,Clients!$A$6:$A$205,0)),"Client ID not found")))</x:f>
      </x:c>
      <x:c r="E69" s="791"/>
      <x:c r="F69" s="791"/>
      <x:c r="G69" s="791"/>
      <x:c r="H69" s="791"/>
      <x:c r="I69" s="791"/>
      <x:c r="J69" s="791"/>
      <x:c r="K69" s="791"/>
      <x:c r="L69" s="791"/>
      <x:c r="M69" s="794"/>
      <x:c r="N69" s="791"/>
      <x:c r="O69" s="791"/>
      <x:c r="P69" s="791"/>
      <x:c r="Q69" s="803" t="str">
        <x:f>IF($A69="","",IF(COUNTIF($A$6:$A$205,$A69)&gt;1,"Duplicate log ID",IF(COUNTIF(Clients!$A$6:$A$205,$C69)&lt;&gt;1,"Check Client ID",IF(NOT(ISNUMBER($B69)),"Add contact date",IF($E69="","Add channel",IF($H69="","Add summary",IF(AND($N69="Open",NOT(ISNUMBER($M69))),"Set action due date","")))))))</x:f>
      </x:c>
    </x:row>
    <x:row r="70" ht="26" customHeight="1">
      <x:c r="A70" s="791"/>
      <x:c r="B70" s="804"/>
      <x:c r="C70" s="791"/>
      <x:c r="D70" s="803" t="str">
        <x:f>IF($A70="","",IF($C70="","",IFERROR(INDEX(Clients!$B$6:$B$205,MATCH($C70,Clients!$A$6:$A$205,0)),"Client ID not found")))</x:f>
      </x:c>
      <x:c r="E70" s="791"/>
      <x:c r="F70" s="791"/>
      <x:c r="G70" s="791"/>
      <x:c r="H70" s="791"/>
      <x:c r="I70" s="791"/>
      <x:c r="J70" s="791"/>
      <x:c r="K70" s="791"/>
      <x:c r="L70" s="791"/>
      <x:c r="M70" s="794"/>
      <x:c r="N70" s="791"/>
      <x:c r="O70" s="791"/>
      <x:c r="P70" s="791"/>
      <x:c r="Q70" s="803" t="str">
        <x:f>IF($A70="","",IF(COUNTIF($A$6:$A$205,$A70)&gt;1,"Duplicate log ID",IF(COUNTIF(Clients!$A$6:$A$205,$C70)&lt;&gt;1,"Check Client ID",IF(NOT(ISNUMBER($B70)),"Add contact date",IF($E70="","Add channel",IF($H70="","Add summary",IF(AND($N70="Open",NOT(ISNUMBER($M70))),"Set action due date","")))))))</x:f>
      </x:c>
    </x:row>
    <x:row r="71" ht="26" customHeight="1">
      <x:c r="A71" s="791"/>
      <x:c r="B71" s="804"/>
      <x:c r="C71" s="791"/>
      <x:c r="D71" s="803" t="str">
        <x:f>IF($A71="","",IF($C71="","",IFERROR(INDEX(Clients!$B$6:$B$205,MATCH($C71,Clients!$A$6:$A$205,0)),"Client ID not found")))</x:f>
      </x:c>
      <x:c r="E71" s="791"/>
      <x:c r="F71" s="791"/>
      <x:c r="G71" s="791"/>
      <x:c r="H71" s="791"/>
      <x:c r="I71" s="791"/>
      <x:c r="J71" s="791"/>
      <x:c r="K71" s="791"/>
      <x:c r="L71" s="791"/>
      <x:c r="M71" s="794"/>
      <x:c r="N71" s="791"/>
      <x:c r="O71" s="791"/>
      <x:c r="P71" s="791"/>
      <x:c r="Q71" s="803" t="str">
        <x:f>IF($A71="","",IF(COUNTIF($A$6:$A$205,$A71)&gt;1,"Duplicate log ID",IF(COUNTIF(Clients!$A$6:$A$205,$C71)&lt;&gt;1,"Check Client ID",IF(NOT(ISNUMBER($B71)),"Add contact date",IF($E71="","Add channel",IF($H71="","Add summary",IF(AND($N71="Open",NOT(ISNUMBER($M71))),"Set action due date","")))))))</x:f>
      </x:c>
    </x:row>
    <x:row r="72" ht="26" customHeight="1">
      <x:c r="A72" s="791"/>
      <x:c r="B72" s="804"/>
      <x:c r="C72" s="791"/>
      <x:c r="D72" s="803" t="str">
        <x:f>IF($A72="","",IF($C72="","",IFERROR(INDEX(Clients!$B$6:$B$205,MATCH($C72,Clients!$A$6:$A$205,0)),"Client ID not found")))</x:f>
      </x:c>
      <x:c r="E72" s="791"/>
      <x:c r="F72" s="791"/>
      <x:c r="G72" s="791"/>
      <x:c r="H72" s="791"/>
      <x:c r="I72" s="791"/>
      <x:c r="J72" s="791"/>
      <x:c r="K72" s="791"/>
      <x:c r="L72" s="791"/>
      <x:c r="M72" s="794"/>
      <x:c r="N72" s="791"/>
      <x:c r="O72" s="791"/>
      <x:c r="P72" s="791"/>
      <x:c r="Q72" s="803" t="str">
        <x:f>IF($A72="","",IF(COUNTIF($A$6:$A$205,$A72)&gt;1,"Duplicate log ID",IF(COUNTIF(Clients!$A$6:$A$205,$C72)&lt;&gt;1,"Check Client ID",IF(NOT(ISNUMBER($B72)),"Add contact date",IF($E72="","Add channel",IF($H72="","Add summary",IF(AND($N72="Open",NOT(ISNUMBER($M72))),"Set action due date","")))))))</x:f>
      </x:c>
    </x:row>
    <x:row r="73" ht="26" customHeight="1">
      <x:c r="A73" s="791"/>
      <x:c r="B73" s="804"/>
      <x:c r="C73" s="791"/>
      <x:c r="D73" s="803" t="str">
        <x:f>IF($A73="","",IF($C73="","",IFERROR(INDEX(Clients!$B$6:$B$205,MATCH($C73,Clients!$A$6:$A$205,0)),"Client ID not found")))</x:f>
      </x:c>
      <x:c r="E73" s="791"/>
      <x:c r="F73" s="791"/>
      <x:c r="G73" s="791"/>
      <x:c r="H73" s="791"/>
      <x:c r="I73" s="791"/>
      <x:c r="J73" s="791"/>
      <x:c r="K73" s="791"/>
      <x:c r="L73" s="791"/>
      <x:c r="M73" s="794"/>
      <x:c r="N73" s="791"/>
      <x:c r="O73" s="791"/>
      <x:c r="P73" s="791"/>
      <x:c r="Q73" s="803" t="str">
        <x:f>IF($A73="","",IF(COUNTIF($A$6:$A$205,$A73)&gt;1,"Duplicate log ID",IF(COUNTIF(Clients!$A$6:$A$205,$C73)&lt;&gt;1,"Check Client ID",IF(NOT(ISNUMBER($B73)),"Add contact date",IF($E73="","Add channel",IF($H73="","Add summary",IF(AND($N73="Open",NOT(ISNUMBER($M73))),"Set action due date","")))))))</x:f>
      </x:c>
    </x:row>
    <x:row r="74" ht="26" customHeight="1">
      <x:c r="A74" s="791"/>
      <x:c r="B74" s="804"/>
      <x:c r="C74" s="791"/>
      <x:c r="D74" s="803" t="str">
        <x:f>IF($A74="","",IF($C74="","",IFERROR(INDEX(Clients!$B$6:$B$205,MATCH($C74,Clients!$A$6:$A$205,0)),"Client ID not found")))</x:f>
      </x:c>
      <x:c r="E74" s="791"/>
      <x:c r="F74" s="791"/>
      <x:c r="G74" s="791"/>
      <x:c r="H74" s="791"/>
      <x:c r="I74" s="791"/>
      <x:c r="J74" s="791"/>
      <x:c r="K74" s="791"/>
      <x:c r="L74" s="791"/>
      <x:c r="M74" s="794"/>
      <x:c r="N74" s="791"/>
      <x:c r="O74" s="791"/>
      <x:c r="P74" s="791"/>
      <x:c r="Q74" s="803" t="str">
        <x:f>IF($A74="","",IF(COUNTIF($A$6:$A$205,$A74)&gt;1,"Duplicate log ID",IF(COUNTIF(Clients!$A$6:$A$205,$C74)&lt;&gt;1,"Check Client ID",IF(NOT(ISNUMBER($B74)),"Add contact date",IF($E74="","Add channel",IF($H74="","Add summary",IF(AND($N74="Open",NOT(ISNUMBER($M74))),"Set action due date","")))))))</x:f>
      </x:c>
    </x:row>
    <x:row r="75" ht="26" customHeight="1">
      <x:c r="A75" s="791"/>
      <x:c r="B75" s="804"/>
      <x:c r="C75" s="791"/>
      <x:c r="D75" s="803" t="str">
        <x:f>IF($A75="","",IF($C75="","",IFERROR(INDEX(Clients!$B$6:$B$205,MATCH($C75,Clients!$A$6:$A$205,0)),"Client ID not found")))</x:f>
      </x:c>
      <x:c r="E75" s="791"/>
      <x:c r="F75" s="791"/>
      <x:c r="G75" s="791"/>
      <x:c r="H75" s="791"/>
      <x:c r="I75" s="791"/>
      <x:c r="J75" s="791"/>
      <x:c r="K75" s="791"/>
      <x:c r="L75" s="791"/>
      <x:c r="M75" s="794"/>
      <x:c r="N75" s="791"/>
      <x:c r="O75" s="791"/>
      <x:c r="P75" s="791"/>
      <x:c r="Q75" s="803" t="str">
        <x:f>IF($A75="","",IF(COUNTIF($A$6:$A$205,$A75)&gt;1,"Duplicate log ID",IF(COUNTIF(Clients!$A$6:$A$205,$C75)&lt;&gt;1,"Check Client ID",IF(NOT(ISNUMBER($B75)),"Add contact date",IF($E75="","Add channel",IF($H75="","Add summary",IF(AND($N75="Open",NOT(ISNUMBER($M75))),"Set action due date","")))))))</x:f>
      </x:c>
    </x:row>
    <x:row r="76" ht="26" customHeight="1">
      <x:c r="A76" s="791"/>
      <x:c r="B76" s="804"/>
      <x:c r="C76" s="791"/>
      <x:c r="D76" s="803" t="str">
        <x:f>IF($A76="","",IF($C76="","",IFERROR(INDEX(Clients!$B$6:$B$205,MATCH($C76,Clients!$A$6:$A$205,0)),"Client ID not found")))</x:f>
      </x:c>
      <x:c r="E76" s="791"/>
      <x:c r="F76" s="791"/>
      <x:c r="G76" s="791"/>
      <x:c r="H76" s="791"/>
      <x:c r="I76" s="791"/>
      <x:c r="J76" s="791"/>
      <x:c r="K76" s="791"/>
      <x:c r="L76" s="791"/>
      <x:c r="M76" s="794"/>
      <x:c r="N76" s="791"/>
      <x:c r="O76" s="791"/>
      <x:c r="P76" s="791"/>
      <x:c r="Q76" s="803" t="str">
        <x:f>IF($A76="","",IF(COUNTIF($A$6:$A$205,$A76)&gt;1,"Duplicate log ID",IF(COUNTIF(Clients!$A$6:$A$205,$C76)&lt;&gt;1,"Check Client ID",IF(NOT(ISNUMBER($B76)),"Add contact date",IF($E76="","Add channel",IF($H76="","Add summary",IF(AND($N76="Open",NOT(ISNUMBER($M76))),"Set action due date","")))))))</x:f>
      </x:c>
    </x:row>
    <x:row r="77" ht="26" customHeight="1">
      <x:c r="A77" s="791"/>
      <x:c r="B77" s="804"/>
      <x:c r="C77" s="791"/>
      <x:c r="D77" s="803" t="str">
        <x:f>IF($A77="","",IF($C77="","",IFERROR(INDEX(Clients!$B$6:$B$205,MATCH($C77,Clients!$A$6:$A$205,0)),"Client ID not found")))</x:f>
      </x:c>
      <x:c r="E77" s="791"/>
      <x:c r="F77" s="791"/>
      <x:c r="G77" s="791"/>
      <x:c r="H77" s="791"/>
      <x:c r="I77" s="791"/>
      <x:c r="J77" s="791"/>
      <x:c r="K77" s="791"/>
      <x:c r="L77" s="791"/>
      <x:c r="M77" s="794"/>
      <x:c r="N77" s="791"/>
      <x:c r="O77" s="791"/>
      <x:c r="P77" s="791"/>
      <x:c r="Q77" s="803" t="str">
        <x:f>IF($A77="","",IF(COUNTIF($A$6:$A$205,$A77)&gt;1,"Duplicate log ID",IF(COUNTIF(Clients!$A$6:$A$205,$C77)&lt;&gt;1,"Check Client ID",IF(NOT(ISNUMBER($B77)),"Add contact date",IF($E77="","Add channel",IF($H77="","Add summary",IF(AND($N77="Open",NOT(ISNUMBER($M77))),"Set action due date","")))))))</x:f>
      </x:c>
    </x:row>
    <x:row r="78" ht="26" customHeight="1">
      <x:c r="A78" s="791"/>
      <x:c r="B78" s="804"/>
      <x:c r="C78" s="791"/>
      <x:c r="D78" s="803" t="str">
        <x:f>IF($A78="","",IF($C78="","",IFERROR(INDEX(Clients!$B$6:$B$205,MATCH($C78,Clients!$A$6:$A$205,0)),"Client ID not found")))</x:f>
      </x:c>
      <x:c r="E78" s="791"/>
      <x:c r="F78" s="791"/>
      <x:c r="G78" s="791"/>
      <x:c r="H78" s="791"/>
      <x:c r="I78" s="791"/>
      <x:c r="J78" s="791"/>
      <x:c r="K78" s="791"/>
      <x:c r="L78" s="791"/>
      <x:c r="M78" s="794"/>
      <x:c r="N78" s="791"/>
      <x:c r="O78" s="791"/>
      <x:c r="P78" s="791"/>
      <x:c r="Q78" s="803" t="str">
        <x:f>IF($A78="","",IF(COUNTIF($A$6:$A$205,$A78)&gt;1,"Duplicate log ID",IF(COUNTIF(Clients!$A$6:$A$205,$C78)&lt;&gt;1,"Check Client ID",IF(NOT(ISNUMBER($B78)),"Add contact date",IF($E78="","Add channel",IF($H78="","Add summary",IF(AND($N78="Open",NOT(ISNUMBER($M78))),"Set action due date","")))))))</x:f>
      </x:c>
    </x:row>
    <x:row r="79" ht="26" customHeight="1">
      <x:c r="A79" s="791"/>
      <x:c r="B79" s="804"/>
      <x:c r="C79" s="791"/>
      <x:c r="D79" s="803" t="str">
        <x:f>IF($A79="","",IF($C79="","",IFERROR(INDEX(Clients!$B$6:$B$205,MATCH($C79,Clients!$A$6:$A$205,0)),"Client ID not found")))</x:f>
      </x:c>
      <x:c r="E79" s="791"/>
      <x:c r="F79" s="791"/>
      <x:c r="G79" s="791"/>
      <x:c r="H79" s="791"/>
      <x:c r="I79" s="791"/>
      <x:c r="J79" s="791"/>
      <x:c r="K79" s="791"/>
      <x:c r="L79" s="791"/>
      <x:c r="M79" s="794"/>
      <x:c r="N79" s="791"/>
      <x:c r="O79" s="791"/>
      <x:c r="P79" s="791"/>
      <x:c r="Q79" s="803" t="str">
        <x:f>IF($A79="","",IF(COUNTIF($A$6:$A$205,$A79)&gt;1,"Duplicate log ID",IF(COUNTIF(Clients!$A$6:$A$205,$C79)&lt;&gt;1,"Check Client ID",IF(NOT(ISNUMBER($B79)),"Add contact date",IF($E79="","Add channel",IF($H79="","Add summary",IF(AND($N79="Open",NOT(ISNUMBER($M79))),"Set action due date","")))))))</x:f>
      </x:c>
    </x:row>
    <x:row r="80" ht="26" customHeight="1">
      <x:c r="A80" s="791"/>
      <x:c r="B80" s="804"/>
      <x:c r="C80" s="791"/>
      <x:c r="D80" s="803" t="str">
        <x:f>IF($A80="","",IF($C80="","",IFERROR(INDEX(Clients!$B$6:$B$205,MATCH($C80,Clients!$A$6:$A$205,0)),"Client ID not found")))</x:f>
      </x:c>
      <x:c r="E80" s="791"/>
      <x:c r="F80" s="791"/>
      <x:c r="G80" s="791"/>
      <x:c r="H80" s="791"/>
      <x:c r="I80" s="791"/>
      <x:c r="J80" s="791"/>
      <x:c r="K80" s="791"/>
      <x:c r="L80" s="791"/>
      <x:c r="M80" s="794"/>
      <x:c r="N80" s="791"/>
      <x:c r="O80" s="791"/>
      <x:c r="P80" s="791"/>
      <x:c r="Q80" s="803" t="str">
        <x:f>IF($A80="","",IF(COUNTIF($A$6:$A$205,$A80)&gt;1,"Duplicate log ID",IF(COUNTIF(Clients!$A$6:$A$205,$C80)&lt;&gt;1,"Check Client ID",IF(NOT(ISNUMBER($B80)),"Add contact date",IF($E80="","Add channel",IF($H80="","Add summary",IF(AND($N80="Open",NOT(ISNUMBER($M80))),"Set action due date","")))))))</x:f>
      </x:c>
    </x:row>
    <x:row r="81" ht="26" customHeight="1">
      <x:c r="A81" s="791"/>
      <x:c r="B81" s="804"/>
      <x:c r="C81" s="791"/>
      <x:c r="D81" s="803" t="str">
        <x:f>IF($A81="","",IF($C81="","",IFERROR(INDEX(Clients!$B$6:$B$205,MATCH($C81,Clients!$A$6:$A$205,0)),"Client ID not found")))</x:f>
      </x:c>
      <x:c r="E81" s="791"/>
      <x:c r="F81" s="791"/>
      <x:c r="G81" s="791"/>
      <x:c r="H81" s="791"/>
      <x:c r="I81" s="791"/>
      <x:c r="J81" s="791"/>
      <x:c r="K81" s="791"/>
      <x:c r="L81" s="791"/>
      <x:c r="M81" s="794"/>
      <x:c r="N81" s="791"/>
      <x:c r="O81" s="791"/>
      <x:c r="P81" s="791"/>
      <x:c r="Q81" s="803" t="str">
        <x:f>IF($A81="","",IF(COUNTIF($A$6:$A$205,$A81)&gt;1,"Duplicate log ID",IF(COUNTIF(Clients!$A$6:$A$205,$C81)&lt;&gt;1,"Check Client ID",IF(NOT(ISNUMBER($B81)),"Add contact date",IF($E81="","Add channel",IF($H81="","Add summary",IF(AND($N81="Open",NOT(ISNUMBER($M81))),"Set action due date","")))))))</x:f>
      </x:c>
    </x:row>
    <x:row r="82" ht="26" customHeight="1">
      <x:c r="A82" s="791"/>
      <x:c r="B82" s="804"/>
      <x:c r="C82" s="791"/>
      <x:c r="D82" s="803" t="str">
        <x:f>IF($A82="","",IF($C82="","",IFERROR(INDEX(Clients!$B$6:$B$205,MATCH($C82,Clients!$A$6:$A$205,0)),"Client ID not found")))</x:f>
      </x:c>
      <x:c r="E82" s="791"/>
      <x:c r="F82" s="791"/>
      <x:c r="G82" s="791"/>
      <x:c r="H82" s="791"/>
      <x:c r="I82" s="791"/>
      <x:c r="J82" s="791"/>
      <x:c r="K82" s="791"/>
      <x:c r="L82" s="791"/>
      <x:c r="M82" s="794"/>
      <x:c r="N82" s="791"/>
      <x:c r="O82" s="791"/>
      <x:c r="P82" s="791"/>
      <x:c r="Q82" s="803" t="str">
        <x:f>IF($A82="","",IF(COUNTIF($A$6:$A$205,$A82)&gt;1,"Duplicate log ID",IF(COUNTIF(Clients!$A$6:$A$205,$C82)&lt;&gt;1,"Check Client ID",IF(NOT(ISNUMBER($B82)),"Add contact date",IF($E82="","Add channel",IF($H82="","Add summary",IF(AND($N82="Open",NOT(ISNUMBER($M82))),"Set action due date","")))))))</x:f>
      </x:c>
    </x:row>
    <x:row r="83" ht="26" customHeight="1">
      <x:c r="A83" s="791"/>
      <x:c r="B83" s="804"/>
      <x:c r="C83" s="791"/>
      <x:c r="D83" s="803" t="str">
        <x:f>IF($A83="","",IF($C83="","",IFERROR(INDEX(Clients!$B$6:$B$205,MATCH($C83,Clients!$A$6:$A$205,0)),"Client ID not found")))</x:f>
      </x:c>
      <x:c r="E83" s="791"/>
      <x:c r="F83" s="791"/>
      <x:c r="G83" s="791"/>
      <x:c r="H83" s="791"/>
      <x:c r="I83" s="791"/>
      <x:c r="J83" s="791"/>
      <x:c r="K83" s="791"/>
      <x:c r="L83" s="791"/>
      <x:c r="M83" s="794"/>
      <x:c r="N83" s="791"/>
      <x:c r="O83" s="791"/>
      <x:c r="P83" s="791"/>
      <x:c r="Q83" s="803" t="str">
        <x:f>IF($A83="","",IF(COUNTIF($A$6:$A$205,$A83)&gt;1,"Duplicate log ID",IF(COUNTIF(Clients!$A$6:$A$205,$C83)&lt;&gt;1,"Check Client ID",IF(NOT(ISNUMBER($B83)),"Add contact date",IF($E83="","Add channel",IF($H83="","Add summary",IF(AND($N83="Open",NOT(ISNUMBER($M83))),"Set action due date","")))))))</x:f>
      </x:c>
    </x:row>
    <x:row r="84" ht="26" customHeight="1">
      <x:c r="A84" s="791"/>
      <x:c r="B84" s="804"/>
      <x:c r="C84" s="791"/>
      <x:c r="D84" s="803" t="str">
        <x:f>IF($A84="","",IF($C84="","",IFERROR(INDEX(Clients!$B$6:$B$205,MATCH($C84,Clients!$A$6:$A$205,0)),"Client ID not found")))</x:f>
      </x:c>
      <x:c r="E84" s="791"/>
      <x:c r="F84" s="791"/>
      <x:c r="G84" s="791"/>
      <x:c r="H84" s="791"/>
      <x:c r="I84" s="791"/>
      <x:c r="J84" s="791"/>
      <x:c r="K84" s="791"/>
      <x:c r="L84" s="791"/>
      <x:c r="M84" s="794"/>
      <x:c r="N84" s="791"/>
      <x:c r="O84" s="791"/>
      <x:c r="P84" s="791"/>
      <x:c r="Q84" s="803" t="str">
        <x:f>IF($A84="","",IF(COUNTIF($A$6:$A$205,$A84)&gt;1,"Duplicate log ID",IF(COUNTIF(Clients!$A$6:$A$205,$C84)&lt;&gt;1,"Check Client ID",IF(NOT(ISNUMBER($B84)),"Add contact date",IF($E84="","Add channel",IF($H84="","Add summary",IF(AND($N84="Open",NOT(ISNUMBER($M84))),"Set action due date","")))))))</x:f>
      </x:c>
    </x:row>
    <x:row r="85" ht="26" customHeight="1">
      <x:c r="A85" s="791"/>
      <x:c r="B85" s="804"/>
      <x:c r="C85" s="791"/>
      <x:c r="D85" s="803" t="str">
        <x:f>IF($A85="","",IF($C85="","",IFERROR(INDEX(Clients!$B$6:$B$205,MATCH($C85,Clients!$A$6:$A$205,0)),"Client ID not found")))</x:f>
      </x:c>
      <x:c r="E85" s="791"/>
      <x:c r="F85" s="791"/>
      <x:c r="G85" s="791"/>
      <x:c r="H85" s="791"/>
      <x:c r="I85" s="791"/>
      <x:c r="J85" s="791"/>
      <x:c r="K85" s="791"/>
      <x:c r="L85" s="791"/>
      <x:c r="M85" s="794"/>
      <x:c r="N85" s="791"/>
      <x:c r="O85" s="791"/>
      <x:c r="P85" s="791"/>
      <x:c r="Q85" s="803" t="str">
        <x:f>IF($A85="","",IF(COUNTIF($A$6:$A$205,$A85)&gt;1,"Duplicate log ID",IF(COUNTIF(Clients!$A$6:$A$205,$C85)&lt;&gt;1,"Check Client ID",IF(NOT(ISNUMBER($B85)),"Add contact date",IF($E85="","Add channel",IF($H85="","Add summary",IF(AND($N85="Open",NOT(ISNUMBER($M85))),"Set action due date","")))))))</x:f>
      </x:c>
    </x:row>
    <x:row r="86" ht="26" customHeight="1">
      <x:c r="A86" s="791"/>
      <x:c r="B86" s="804"/>
      <x:c r="C86" s="791"/>
      <x:c r="D86" s="803" t="str">
        <x:f>IF($A86="","",IF($C86="","",IFERROR(INDEX(Clients!$B$6:$B$205,MATCH($C86,Clients!$A$6:$A$205,0)),"Client ID not found")))</x:f>
      </x:c>
      <x:c r="E86" s="791"/>
      <x:c r="F86" s="791"/>
      <x:c r="G86" s="791"/>
      <x:c r="H86" s="791"/>
      <x:c r="I86" s="791"/>
      <x:c r="J86" s="791"/>
      <x:c r="K86" s="791"/>
      <x:c r="L86" s="791"/>
      <x:c r="M86" s="794"/>
      <x:c r="N86" s="791"/>
      <x:c r="O86" s="791"/>
      <x:c r="P86" s="791"/>
      <x:c r="Q86" s="803" t="str">
        <x:f>IF($A86="","",IF(COUNTIF($A$6:$A$205,$A86)&gt;1,"Duplicate log ID",IF(COUNTIF(Clients!$A$6:$A$205,$C86)&lt;&gt;1,"Check Client ID",IF(NOT(ISNUMBER($B86)),"Add contact date",IF($E86="","Add channel",IF($H86="","Add summary",IF(AND($N86="Open",NOT(ISNUMBER($M86))),"Set action due date","")))))))</x:f>
      </x:c>
    </x:row>
    <x:row r="87" ht="26" customHeight="1">
      <x:c r="A87" s="791"/>
      <x:c r="B87" s="804"/>
      <x:c r="C87" s="791"/>
      <x:c r="D87" s="803" t="str">
        <x:f>IF($A87="","",IF($C87="","",IFERROR(INDEX(Clients!$B$6:$B$205,MATCH($C87,Clients!$A$6:$A$205,0)),"Client ID not found")))</x:f>
      </x:c>
      <x:c r="E87" s="791"/>
      <x:c r="F87" s="791"/>
      <x:c r="G87" s="791"/>
      <x:c r="H87" s="791"/>
      <x:c r="I87" s="791"/>
      <x:c r="J87" s="791"/>
      <x:c r="K87" s="791"/>
      <x:c r="L87" s="791"/>
      <x:c r="M87" s="794"/>
      <x:c r="N87" s="791"/>
      <x:c r="O87" s="791"/>
      <x:c r="P87" s="791"/>
      <x:c r="Q87" s="803" t="str">
        <x:f>IF($A87="","",IF(COUNTIF($A$6:$A$205,$A87)&gt;1,"Duplicate log ID",IF(COUNTIF(Clients!$A$6:$A$205,$C87)&lt;&gt;1,"Check Client ID",IF(NOT(ISNUMBER($B87)),"Add contact date",IF($E87="","Add channel",IF($H87="","Add summary",IF(AND($N87="Open",NOT(ISNUMBER($M87))),"Set action due date","")))))))</x:f>
      </x:c>
    </x:row>
    <x:row r="88" ht="26" customHeight="1">
      <x:c r="A88" s="791"/>
      <x:c r="B88" s="804"/>
      <x:c r="C88" s="791"/>
      <x:c r="D88" s="803" t="str">
        <x:f>IF($A88="","",IF($C88="","",IFERROR(INDEX(Clients!$B$6:$B$205,MATCH($C88,Clients!$A$6:$A$205,0)),"Client ID not found")))</x:f>
      </x:c>
      <x:c r="E88" s="791"/>
      <x:c r="F88" s="791"/>
      <x:c r="G88" s="791"/>
      <x:c r="H88" s="791"/>
      <x:c r="I88" s="791"/>
      <x:c r="J88" s="791"/>
      <x:c r="K88" s="791"/>
      <x:c r="L88" s="791"/>
      <x:c r="M88" s="794"/>
      <x:c r="N88" s="791"/>
      <x:c r="O88" s="791"/>
      <x:c r="P88" s="791"/>
      <x:c r="Q88" s="803" t="str">
        <x:f>IF($A88="","",IF(COUNTIF($A$6:$A$205,$A88)&gt;1,"Duplicate log ID",IF(COUNTIF(Clients!$A$6:$A$205,$C88)&lt;&gt;1,"Check Client ID",IF(NOT(ISNUMBER($B88)),"Add contact date",IF($E88="","Add channel",IF($H88="","Add summary",IF(AND($N88="Open",NOT(ISNUMBER($M88))),"Set action due date","")))))))</x:f>
      </x:c>
    </x:row>
    <x:row r="89" ht="26" customHeight="1">
      <x:c r="A89" s="791"/>
      <x:c r="B89" s="804"/>
      <x:c r="C89" s="791"/>
      <x:c r="D89" s="803" t="str">
        <x:f>IF($A89="","",IF($C89="","",IFERROR(INDEX(Clients!$B$6:$B$205,MATCH($C89,Clients!$A$6:$A$205,0)),"Client ID not found")))</x:f>
      </x:c>
      <x:c r="E89" s="791"/>
      <x:c r="F89" s="791"/>
      <x:c r="G89" s="791"/>
      <x:c r="H89" s="791"/>
      <x:c r="I89" s="791"/>
      <x:c r="J89" s="791"/>
      <x:c r="K89" s="791"/>
      <x:c r="L89" s="791"/>
      <x:c r="M89" s="794"/>
      <x:c r="N89" s="791"/>
      <x:c r="O89" s="791"/>
      <x:c r="P89" s="791"/>
      <x:c r="Q89" s="803" t="str">
        <x:f>IF($A89="","",IF(COUNTIF($A$6:$A$205,$A89)&gt;1,"Duplicate log ID",IF(COUNTIF(Clients!$A$6:$A$205,$C89)&lt;&gt;1,"Check Client ID",IF(NOT(ISNUMBER($B89)),"Add contact date",IF($E89="","Add channel",IF($H89="","Add summary",IF(AND($N89="Open",NOT(ISNUMBER($M89))),"Set action due date","")))))))</x:f>
      </x:c>
    </x:row>
    <x:row r="90" ht="26" customHeight="1">
      <x:c r="A90" s="791"/>
      <x:c r="B90" s="804"/>
      <x:c r="C90" s="791"/>
      <x:c r="D90" s="803" t="str">
        <x:f>IF($A90="","",IF($C90="","",IFERROR(INDEX(Clients!$B$6:$B$205,MATCH($C90,Clients!$A$6:$A$205,0)),"Client ID not found")))</x:f>
      </x:c>
      <x:c r="E90" s="791"/>
      <x:c r="F90" s="791"/>
      <x:c r="G90" s="791"/>
      <x:c r="H90" s="791"/>
      <x:c r="I90" s="791"/>
      <x:c r="J90" s="791"/>
      <x:c r="K90" s="791"/>
      <x:c r="L90" s="791"/>
      <x:c r="M90" s="794"/>
      <x:c r="N90" s="791"/>
      <x:c r="O90" s="791"/>
      <x:c r="P90" s="791"/>
      <x:c r="Q90" s="803" t="str">
        <x:f>IF($A90="","",IF(COUNTIF($A$6:$A$205,$A90)&gt;1,"Duplicate log ID",IF(COUNTIF(Clients!$A$6:$A$205,$C90)&lt;&gt;1,"Check Client ID",IF(NOT(ISNUMBER($B90)),"Add contact date",IF($E90="","Add channel",IF($H90="","Add summary",IF(AND($N90="Open",NOT(ISNUMBER($M90))),"Set action due date","")))))))</x:f>
      </x:c>
    </x:row>
    <x:row r="91" ht="26" customHeight="1">
      <x:c r="A91" s="791"/>
      <x:c r="B91" s="804"/>
      <x:c r="C91" s="791"/>
      <x:c r="D91" s="803" t="str">
        <x:f>IF($A91="","",IF($C91="","",IFERROR(INDEX(Clients!$B$6:$B$205,MATCH($C91,Clients!$A$6:$A$205,0)),"Client ID not found")))</x:f>
      </x:c>
      <x:c r="E91" s="791"/>
      <x:c r="F91" s="791"/>
      <x:c r="G91" s="791"/>
      <x:c r="H91" s="791"/>
      <x:c r="I91" s="791"/>
      <x:c r="J91" s="791"/>
      <x:c r="K91" s="791"/>
      <x:c r="L91" s="791"/>
      <x:c r="M91" s="794"/>
      <x:c r="N91" s="791"/>
      <x:c r="O91" s="791"/>
      <x:c r="P91" s="791"/>
      <x:c r="Q91" s="803" t="str">
        <x:f>IF($A91="","",IF(COUNTIF($A$6:$A$205,$A91)&gt;1,"Duplicate log ID",IF(COUNTIF(Clients!$A$6:$A$205,$C91)&lt;&gt;1,"Check Client ID",IF(NOT(ISNUMBER($B91)),"Add contact date",IF($E91="","Add channel",IF($H91="","Add summary",IF(AND($N91="Open",NOT(ISNUMBER($M91))),"Set action due date","")))))))</x:f>
      </x:c>
    </x:row>
    <x:row r="92" ht="26" customHeight="1">
      <x:c r="A92" s="791"/>
      <x:c r="B92" s="804"/>
      <x:c r="C92" s="791"/>
      <x:c r="D92" s="803" t="str">
        <x:f>IF($A92="","",IF($C92="","",IFERROR(INDEX(Clients!$B$6:$B$205,MATCH($C92,Clients!$A$6:$A$205,0)),"Client ID not found")))</x:f>
      </x:c>
      <x:c r="E92" s="791"/>
      <x:c r="F92" s="791"/>
      <x:c r="G92" s="791"/>
      <x:c r="H92" s="791"/>
      <x:c r="I92" s="791"/>
      <x:c r="J92" s="791"/>
      <x:c r="K92" s="791"/>
      <x:c r="L92" s="791"/>
      <x:c r="M92" s="794"/>
      <x:c r="N92" s="791"/>
      <x:c r="O92" s="791"/>
      <x:c r="P92" s="791"/>
      <x:c r="Q92" s="803" t="str">
        <x:f>IF($A92="","",IF(COUNTIF($A$6:$A$205,$A92)&gt;1,"Duplicate log ID",IF(COUNTIF(Clients!$A$6:$A$205,$C92)&lt;&gt;1,"Check Client ID",IF(NOT(ISNUMBER($B92)),"Add contact date",IF($E92="","Add channel",IF($H92="","Add summary",IF(AND($N92="Open",NOT(ISNUMBER($M92))),"Set action due date","")))))))</x:f>
      </x:c>
    </x:row>
    <x:row r="93" ht="26" customHeight="1">
      <x:c r="A93" s="791"/>
      <x:c r="B93" s="804"/>
      <x:c r="C93" s="791"/>
      <x:c r="D93" s="803" t="str">
        <x:f>IF($A93="","",IF($C93="","",IFERROR(INDEX(Clients!$B$6:$B$205,MATCH($C93,Clients!$A$6:$A$205,0)),"Client ID not found")))</x:f>
      </x:c>
      <x:c r="E93" s="791"/>
      <x:c r="F93" s="791"/>
      <x:c r="G93" s="791"/>
      <x:c r="H93" s="791"/>
      <x:c r="I93" s="791"/>
      <x:c r="J93" s="791"/>
      <x:c r="K93" s="791"/>
      <x:c r="L93" s="791"/>
      <x:c r="M93" s="794"/>
      <x:c r="N93" s="791"/>
      <x:c r="O93" s="791"/>
      <x:c r="P93" s="791"/>
      <x:c r="Q93" s="803" t="str">
        <x:f>IF($A93="","",IF(COUNTIF($A$6:$A$205,$A93)&gt;1,"Duplicate log ID",IF(COUNTIF(Clients!$A$6:$A$205,$C93)&lt;&gt;1,"Check Client ID",IF(NOT(ISNUMBER($B93)),"Add contact date",IF($E93="","Add channel",IF($H93="","Add summary",IF(AND($N93="Open",NOT(ISNUMBER($M93))),"Set action due date","")))))))</x:f>
      </x:c>
    </x:row>
    <x:row r="94" ht="26" customHeight="1">
      <x:c r="A94" s="791"/>
      <x:c r="B94" s="804"/>
      <x:c r="C94" s="791"/>
      <x:c r="D94" s="803" t="str">
        <x:f>IF($A94="","",IF($C94="","",IFERROR(INDEX(Clients!$B$6:$B$205,MATCH($C94,Clients!$A$6:$A$205,0)),"Client ID not found")))</x:f>
      </x:c>
      <x:c r="E94" s="791"/>
      <x:c r="F94" s="791"/>
      <x:c r="G94" s="791"/>
      <x:c r="H94" s="791"/>
      <x:c r="I94" s="791"/>
      <x:c r="J94" s="791"/>
      <x:c r="K94" s="791"/>
      <x:c r="L94" s="791"/>
      <x:c r="M94" s="794"/>
      <x:c r="N94" s="791"/>
      <x:c r="O94" s="791"/>
      <x:c r="P94" s="791"/>
      <x:c r="Q94" s="803" t="str">
        <x:f>IF($A94="","",IF(COUNTIF($A$6:$A$205,$A94)&gt;1,"Duplicate log ID",IF(COUNTIF(Clients!$A$6:$A$205,$C94)&lt;&gt;1,"Check Client ID",IF(NOT(ISNUMBER($B94)),"Add contact date",IF($E94="","Add channel",IF($H94="","Add summary",IF(AND($N94="Open",NOT(ISNUMBER($M94))),"Set action due date","")))))))</x:f>
      </x:c>
    </x:row>
    <x:row r="95" ht="26" customHeight="1">
      <x:c r="A95" s="791"/>
      <x:c r="B95" s="804"/>
      <x:c r="C95" s="791"/>
      <x:c r="D95" s="803" t="str">
        <x:f>IF($A95="","",IF($C95="","",IFERROR(INDEX(Clients!$B$6:$B$205,MATCH($C95,Clients!$A$6:$A$205,0)),"Client ID not found")))</x:f>
      </x:c>
      <x:c r="E95" s="791"/>
      <x:c r="F95" s="791"/>
      <x:c r="G95" s="791"/>
      <x:c r="H95" s="791"/>
      <x:c r="I95" s="791"/>
      <x:c r="J95" s="791"/>
      <x:c r="K95" s="791"/>
      <x:c r="L95" s="791"/>
      <x:c r="M95" s="794"/>
      <x:c r="N95" s="791"/>
      <x:c r="O95" s="791"/>
      <x:c r="P95" s="791"/>
      <x:c r="Q95" s="803" t="str">
        <x:f>IF($A95="","",IF(COUNTIF($A$6:$A$205,$A95)&gt;1,"Duplicate log ID",IF(COUNTIF(Clients!$A$6:$A$205,$C95)&lt;&gt;1,"Check Client ID",IF(NOT(ISNUMBER($B95)),"Add contact date",IF($E95="","Add channel",IF($H95="","Add summary",IF(AND($N95="Open",NOT(ISNUMBER($M95))),"Set action due date","")))))))</x:f>
      </x:c>
    </x:row>
    <x:row r="96" ht="26" customHeight="1">
      <x:c r="A96" s="791"/>
      <x:c r="B96" s="804"/>
      <x:c r="C96" s="791"/>
      <x:c r="D96" s="803" t="str">
        <x:f>IF($A96="","",IF($C96="","",IFERROR(INDEX(Clients!$B$6:$B$205,MATCH($C96,Clients!$A$6:$A$205,0)),"Client ID not found")))</x:f>
      </x:c>
      <x:c r="E96" s="791"/>
      <x:c r="F96" s="791"/>
      <x:c r="G96" s="791"/>
      <x:c r="H96" s="791"/>
      <x:c r="I96" s="791"/>
      <x:c r="J96" s="791"/>
      <x:c r="K96" s="791"/>
      <x:c r="L96" s="791"/>
      <x:c r="M96" s="794"/>
      <x:c r="N96" s="791"/>
      <x:c r="O96" s="791"/>
      <x:c r="P96" s="791"/>
      <x:c r="Q96" s="803" t="str">
        <x:f>IF($A96="","",IF(COUNTIF($A$6:$A$205,$A96)&gt;1,"Duplicate log ID",IF(COUNTIF(Clients!$A$6:$A$205,$C96)&lt;&gt;1,"Check Client ID",IF(NOT(ISNUMBER($B96)),"Add contact date",IF($E96="","Add channel",IF($H96="","Add summary",IF(AND($N96="Open",NOT(ISNUMBER($M96))),"Set action due date","")))))))</x:f>
      </x:c>
    </x:row>
    <x:row r="97" ht="26" customHeight="1">
      <x:c r="A97" s="791"/>
      <x:c r="B97" s="804"/>
      <x:c r="C97" s="791"/>
      <x:c r="D97" s="803" t="str">
        <x:f>IF($A97="","",IF($C97="","",IFERROR(INDEX(Clients!$B$6:$B$205,MATCH($C97,Clients!$A$6:$A$205,0)),"Client ID not found")))</x:f>
      </x:c>
      <x:c r="E97" s="791"/>
      <x:c r="F97" s="791"/>
      <x:c r="G97" s="791"/>
      <x:c r="H97" s="791"/>
      <x:c r="I97" s="791"/>
      <x:c r="J97" s="791"/>
      <x:c r="K97" s="791"/>
      <x:c r="L97" s="791"/>
      <x:c r="M97" s="794"/>
      <x:c r="N97" s="791"/>
      <x:c r="O97" s="791"/>
      <x:c r="P97" s="791"/>
      <x:c r="Q97" s="803" t="str">
        <x:f>IF($A97="","",IF(COUNTIF($A$6:$A$205,$A97)&gt;1,"Duplicate log ID",IF(COUNTIF(Clients!$A$6:$A$205,$C97)&lt;&gt;1,"Check Client ID",IF(NOT(ISNUMBER($B97)),"Add contact date",IF($E97="","Add channel",IF($H97="","Add summary",IF(AND($N97="Open",NOT(ISNUMBER($M97))),"Set action due date","")))))))</x:f>
      </x:c>
    </x:row>
    <x:row r="98" ht="26" customHeight="1">
      <x:c r="A98" s="791"/>
      <x:c r="B98" s="804"/>
      <x:c r="C98" s="791"/>
      <x:c r="D98" s="803" t="str">
        <x:f>IF($A98="","",IF($C98="","",IFERROR(INDEX(Clients!$B$6:$B$205,MATCH($C98,Clients!$A$6:$A$205,0)),"Client ID not found")))</x:f>
      </x:c>
      <x:c r="E98" s="791"/>
      <x:c r="F98" s="791"/>
      <x:c r="G98" s="791"/>
      <x:c r="H98" s="791"/>
      <x:c r="I98" s="791"/>
      <x:c r="J98" s="791"/>
      <x:c r="K98" s="791"/>
      <x:c r="L98" s="791"/>
      <x:c r="M98" s="794"/>
      <x:c r="N98" s="791"/>
      <x:c r="O98" s="791"/>
      <x:c r="P98" s="791"/>
      <x:c r="Q98" s="803" t="str">
        <x:f>IF($A98="","",IF(COUNTIF($A$6:$A$205,$A98)&gt;1,"Duplicate log ID",IF(COUNTIF(Clients!$A$6:$A$205,$C98)&lt;&gt;1,"Check Client ID",IF(NOT(ISNUMBER($B98)),"Add contact date",IF($E98="","Add channel",IF($H98="","Add summary",IF(AND($N98="Open",NOT(ISNUMBER($M98))),"Set action due date","")))))))</x:f>
      </x:c>
    </x:row>
    <x:row r="99" ht="26" customHeight="1">
      <x:c r="A99" s="791"/>
      <x:c r="B99" s="804"/>
      <x:c r="C99" s="791"/>
      <x:c r="D99" s="803" t="str">
        <x:f>IF($A99="","",IF($C99="","",IFERROR(INDEX(Clients!$B$6:$B$205,MATCH($C99,Clients!$A$6:$A$205,0)),"Client ID not found")))</x:f>
      </x:c>
      <x:c r="E99" s="791"/>
      <x:c r="F99" s="791"/>
      <x:c r="G99" s="791"/>
      <x:c r="H99" s="791"/>
      <x:c r="I99" s="791"/>
      <x:c r="J99" s="791"/>
      <x:c r="K99" s="791"/>
      <x:c r="L99" s="791"/>
      <x:c r="M99" s="794"/>
      <x:c r="N99" s="791"/>
      <x:c r="O99" s="791"/>
      <x:c r="P99" s="791"/>
      <x:c r="Q99" s="803" t="str">
        <x:f>IF($A99="","",IF(COUNTIF($A$6:$A$205,$A99)&gt;1,"Duplicate log ID",IF(COUNTIF(Clients!$A$6:$A$205,$C99)&lt;&gt;1,"Check Client ID",IF(NOT(ISNUMBER($B99)),"Add contact date",IF($E99="","Add channel",IF($H99="","Add summary",IF(AND($N99="Open",NOT(ISNUMBER($M99))),"Set action due date","")))))))</x:f>
      </x:c>
    </x:row>
    <x:row r="100" ht="26" customHeight="1">
      <x:c r="A100" s="791"/>
      <x:c r="B100" s="804"/>
      <x:c r="C100" s="791"/>
      <x:c r="D100" s="803" t="str">
        <x:f>IF($A100="","",IF($C100="","",IFERROR(INDEX(Clients!$B$6:$B$205,MATCH($C100,Clients!$A$6:$A$205,0)),"Client ID not found")))</x:f>
      </x:c>
      <x:c r="E100" s="791"/>
      <x:c r="F100" s="791"/>
      <x:c r="G100" s="791"/>
      <x:c r="H100" s="791"/>
      <x:c r="I100" s="791"/>
      <x:c r="J100" s="791"/>
      <x:c r="K100" s="791"/>
      <x:c r="L100" s="791"/>
      <x:c r="M100" s="794"/>
      <x:c r="N100" s="791"/>
      <x:c r="O100" s="791"/>
      <x:c r="P100" s="791"/>
      <x:c r="Q100" s="803" t="str">
        <x:f>IF($A100="","",IF(COUNTIF($A$6:$A$205,$A100)&gt;1,"Duplicate log ID",IF(COUNTIF(Clients!$A$6:$A$205,$C100)&lt;&gt;1,"Check Client ID",IF(NOT(ISNUMBER($B100)),"Add contact date",IF($E100="","Add channel",IF($H100="","Add summary",IF(AND($N100="Open",NOT(ISNUMBER($M100))),"Set action due date","")))))))</x:f>
      </x:c>
    </x:row>
    <x:row r="101" ht="26" customHeight="1">
      <x:c r="A101" s="791"/>
      <x:c r="B101" s="804"/>
      <x:c r="C101" s="791"/>
      <x:c r="D101" s="803" t="str">
        <x:f>IF($A101="","",IF($C101="","",IFERROR(INDEX(Clients!$B$6:$B$205,MATCH($C101,Clients!$A$6:$A$205,0)),"Client ID not found")))</x:f>
      </x:c>
      <x:c r="E101" s="791"/>
      <x:c r="F101" s="791"/>
      <x:c r="G101" s="791"/>
      <x:c r="H101" s="791"/>
      <x:c r="I101" s="791"/>
      <x:c r="J101" s="791"/>
      <x:c r="K101" s="791"/>
      <x:c r="L101" s="791"/>
      <x:c r="M101" s="794"/>
      <x:c r="N101" s="791"/>
      <x:c r="O101" s="791"/>
      <x:c r="P101" s="791"/>
      <x:c r="Q101" s="803" t="str">
        <x:f>IF($A101="","",IF(COUNTIF($A$6:$A$205,$A101)&gt;1,"Duplicate log ID",IF(COUNTIF(Clients!$A$6:$A$205,$C101)&lt;&gt;1,"Check Client ID",IF(NOT(ISNUMBER($B101)),"Add contact date",IF($E101="","Add channel",IF($H101="","Add summary",IF(AND($N101="Open",NOT(ISNUMBER($M101))),"Set action due date","")))))))</x:f>
      </x:c>
    </x:row>
    <x:row r="102" ht="26" customHeight="1">
      <x:c r="A102" s="791"/>
      <x:c r="B102" s="804"/>
      <x:c r="C102" s="791"/>
      <x:c r="D102" s="803" t="str">
        <x:f>IF($A102="","",IF($C102="","",IFERROR(INDEX(Clients!$B$6:$B$205,MATCH($C102,Clients!$A$6:$A$205,0)),"Client ID not found")))</x:f>
      </x:c>
      <x:c r="E102" s="791"/>
      <x:c r="F102" s="791"/>
      <x:c r="G102" s="791"/>
      <x:c r="H102" s="791"/>
      <x:c r="I102" s="791"/>
      <x:c r="J102" s="791"/>
      <x:c r="K102" s="791"/>
      <x:c r="L102" s="791"/>
      <x:c r="M102" s="794"/>
      <x:c r="N102" s="791"/>
      <x:c r="O102" s="791"/>
      <x:c r="P102" s="791"/>
      <x:c r="Q102" s="803" t="str">
        <x:f>IF($A102="","",IF(COUNTIF($A$6:$A$205,$A102)&gt;1,"Duplicate log ID",IF(COUNTIF(Clients!$A$6:$A$205,$C102)&lt;&gt;1,"Check Client ID",IF(NOT(ISNUMBER($B102)),"Add contact date",IF($E102="","Add channel",IF($H102="","Add summary",IF(AND($N102="Open",NOT(ISNUMBER($M102))),"Set action due date","")))))))</x:f>
      </x:c>
    </x:row>
    <x:row r="103" ht="26" customHeight="1">
      <x:c r="A103" s="791"/>
      <x:c r="B103" s="804"/>
      <x:c r="C103" s="791"/>
      <x:c r="D103" s="803" t="str">
        <x:f>IF($A103="","",IF($C103="","",IFERROR(INDEX(Clients!$B$6:$B$205,MATCH($C103,Clients!$A$6:$A$205,0)),"Client ID not found")))</x:f>
      </x:c>
      <x:c r="E103" s="791"/>
      <x:c r="F103" s="791"/>
      <x:c r="G103" s="791"/>
      <x:c r="H103" s="791"/>
      <x:c r="I103" s="791"/>
      <x:c r="J103" s="791"/>
      <x:c r="K103" s="791"/>
      <x:c r="L103" s="791"/>
      <x:c r="M103" s="794"/>
      <x:c r="N103" s="791"/>
      <x:c r="O103" s="791"/>
      <x:c r="P103" s="791"/>
      <x:c r="Q103" s="803" t="str">
        <x:f>IF($A103="","",IF(COUNTIF($A$6:$A$205,$A103)&gt;1,"Duplicate log ID",IF(COUNTIF(Clients!$A$6:$A$205,$C103)&lt;&gt;1,"Check Client ID",IF(NOT(ISNUMBER($B103)),"Add contact date",IF($E103="","Add channel",IF($H103="","Add summary",IF(AND($N103="Open",NOT(ISNUMBER($M103))),"Set action due date","")))))))</x:f>
      </x:c>
    </x:row>
    <x:row r="104" ht="26" customHeight="1">
      <x:c r="A104" s="791"/>
      <x:c r="B104" s="804"/>
      <x:c r="C104" s="791"/>
      <x:c r="D104" s="803" t="str">
        <x:f>IF($A104="","",IF($C104="","",IFERROR(INDEX(Clients!$B$6:$B$205,MATCH($C104,Clients!$A$6:$A$205,0)),"Client ID not found")))</x:f>
      </x:c>
      <x:c r="E104" s="791"/>
      <x:c r="F104" s="791"/>
      <x:c r="G104" s="791"/>
      <x:c r="H104" s="791"/>
      <x:c r="I104" s="791"/>
      <x:c r="J104" s="791"/>
      <x:c r="K104" s="791"/>
      <x:c r="L104" s="791"/>
      <x:c r="M104" s="794"/>
      <x:c r="N104" s="791"/>
      <x:c r="O104" s="791"/>
      <x:c r="P104" s="791"/>
      <x:c r="Q104" s="803" t="str">
        <x:f>IF($A104="","",IF(COUNTIF($A$6:$A$205,$A104)&gt;1,"Duplicate log ID",IF(COUNTIF(Clients!$A$6:$A$205,$C104)&lt;&gt;1,"Check Client ID",IF(NOT(ISNUMBER($B104)),"Add contact date",IF($E104="","Add channel",IF($H104="","Add summary",IF(AND($N104="Open",NOT(ISNUMBER($M104))),"Set action due date","")))))))</x:f>
      </x:c>
    </x:row>
    <x:row r="105" ht="26" customHeight="1">
      <x:c r="A105" s="791"/>
      <x:c r="B105" s="804"/>
      <x:c r="C105" s="791"/>
      <x:c r="D105" s="803" t="str">
        <x:f>IF($A105="","",IF($C105="","",IFERROR(INDEX(Clients!$B$6:$B$205,MATCH($C105,Clients!$A$6:$A$205,0)),"Client ID not found")))</x:f>
      </x:c>
      <x:c r="E105" s="791"/>
      <x:c r="F105" s="791"/>
      <x:c r="G105" s="791"/>
      <x:c r="H105" s="791"/>
      <x:c r="I105" s="791"/>
      <x:c r="J105" s="791"/>
      <x:c r="K105" s="791"/>
      <x:c r="L105" s="791"/>
      <x:c r="M105" s="794"/>
      <x:c r="N105" s="791"/>
      <x:c r="O105" s="791"/>
      <x:c r="P105" s="791"/>
      <x:c r="Q105" s="803" t="str">
        <x:f>IF($A105="","",IF(COUNTIF($A$6:$A$205,$A105)&gt;1,"Duplicate log ID",IF(COUNTIF(Clients!$A$6:$A$205,$C105)&lt;&gt;1,"Check Client ID",IF(NOT(ISNUMBER($B105)),"Add contact date",IF($E105="","Add channel",IF($H105="","Add summary",IF(AND($N105="Open",NOT(ISNUMBER($M105))),"Set action due date","")))))))</x:f>
      </x:c>
    </x:row>
    <x:row r="106" ht="26" customHeight="1">
      <x:c r="A106" s="791"/>
      <x:c r="B106" s="804"/>
      <x:c r="C106" s="791"/>
      <x:c r="D106" s="803" t="str">
        <x:f>IF($A106="","",IF($C106="","",IFERROR(INDEX(Clients!$B$6:$B$205,MATCH($C106,Clients!$A$6:$A$205,0)),"Client ID not found")))</x:f>
      </x:c>
      <x:c r="E106" s="791"/>
      <x:c r="F106" s="791"/>
      <x:c r="G106" s="791"/>
      <x:c r="H106" s="791"/>
      <x:c r="I106" s="791"/>
      <x:c r="J106" s="791"/>
      <x:c r="K106" s="791"/>
      <x:c r="L106" s="791"/>
      <x:c r="M106" s="794"/>
      <x:c r="N106" s="791"/>
      <x:c r="O106" s="791"/>
      <x:c r="P106" s="791"/>
      <x:c r="Q106" s="803" t="str">
        <x:f>IF($A106="","",IF(COUNTIF($A$6:$A$205,$A106)&gt;1,"Duplicate log ID",IF(COUNTIF(Clients!$A$6:$A$205,$C106)&lt;&gt;1,"Check Client ID",IF(NOT(ISNUMBER($B106)),"Add contact date",IF($E106="","Add channel",IF($H106="","Add summary",IF(AND($N106="Open",NOT(ISNUMBER($M106))),"Set action due date","")))))))</x:f>
      </x:c>
    </x:row>
    <x:row r="107" ht="26" customHeight="1">
      <x:c r="A107" s="791"/>
      <x:c r="B107" s="804"/>
      <x:c r="C107" s="791"/>
      <x:c r="D107" s="803" t="str">
        <x:f>IF($A107="","",IF($C107="","",IFERROR(INDEX(Clients!$B$6:$B$205,MATCH($C107,Clients!$A$6:$A$205,0)),"Client ID not found")))</x:f>
      </x:c>
      <x:c r="E107" s="791"/>
      <x:c r="F107" s="791"/>
      <x:c r="G107" s="791"/>
      <x:c r="H107" s="791"/>
      <x:c r="I107" s="791"/>
      <x:c r="J107" s="791"/>
      <x:c r="K107" s="791"/>
      <x:c r="L107" s="791"/>
      <x:c r="M107" s="794"/>
      <x:c r="N107" s="791"/>
      <x:c r="O107" s="791"/>
      <x:c r="P107" s="791"/>
      <x:c r="Q107" s="803" t="str">
        <x:f>IF($A107="","",IF(COUNTIF($A$6:$A$205,$A107)&gt;1,"Duplicate log ID",IF(COUNTIF(Clients!$A$6:$A$205,$C107)&lt;&gt;1,"Check Client ID",IF(NOT(ISNUMBER($B107)),"Add contact date",IF($E107="","Add channel",IF($H107="","Add summary",IF(AND($N107="Open",NOT(ISNUMBER($M107))),"Set action due date","")))))))</x:f>
      </x:c>
    </x:row>
    <x:row r="108" ht="26" customHeight="1">
      <x:c r="A108" s="791"/>
      <x:c r="B108" s="804"/>
      <x:c r="C108" s="791"/>
      <x:c r="D108" s="803" t="str">
        <x:f>IF($A108="","",IF($C108="","",IFERROR(INDEX(Clients!$B$6:$B$205,MATCH($C108,Clients!$A$6:$A$205,0)),"Client ID not found")))</x:f>
      </x:c>
      <x:c r="E108" s="791"/>
      <x:c r="F108" s="791"/>
      <x:c r="G108" s="791"/>
      <x:c r="H108" s="791"/>
      <x:c r="I108" s="791"/>
      <x:c r="J108" s="791"/>
      <x:c r="K108" s="791"/>
      <x:c r="L108" s="791"/>
      <x:c r="M108" s="794"/>
      <x:c r="N108" s="791"/>
      <x:c r="O108" s="791"/>
      <x:c r="P108" s="791"/>
      <x:c r="Q108" s="803" t="str">
        <x:f>IF($A108="","",IF(COUNTIF($A$6:$A$205,$A108)&gt;1,"Duplicate log ID",IF(COUNTIF(Clients!$A$6:$A$205,$C108)&lt;&gt;1,"Check Client ID",IF(NOT(ISNUMBER($B108)),"Add contact date",IF($E108="","Add channel",IF($H108="","Add summary",IF(AND($N108="Open",NOT(ISNUMBER($M108))),"Set action due date","")))))))</x:f>
      </x:c>
    </x:row>
    <x:row r="109" ht="26" customHeight="1">
      <x:c r="A109" s="791"/>
      <x:c r="B109" s="804"/>
      <x:c r="C109" s="791"/>
      <x:c r="D109" s="803" t="str">
        <x:f>IF($A109="","",IF($C109="","",IFERROR(INDEX(Clients!$B$6:$B$205,MATCH($C109,Clients!$A$6:$A$205,0)),"Client ID not found")))</x:f>
      </x:c>
      <x:c r="E109" s="791"/>
      <x:c r="F109" s="791"/>
      <x:c r="G109" s="791"/>
      <x:c r="H109" s="791"/>
      <x:c r="I109" s="791"/>
      <x:c r="J109" s="791"/>
      <x:c r="K109" s="791"/>
      <x:c r="L109" s="791"/>
      <x:c r="M109" s="794"/>
      <x:c r="N109" s="791"/>
      <x:c r="O109" s="791"/>
      <x:c r="P109" s="791"/>
      <x:c r="Q109" s="803" t="str">
        <x:f>IF($A109="","",IF(COUNTIF($A$6:$A$205,$A109)&gt;1,"Duplicate log ID",IF(COUNTIF(Clients!$A$6:$A$205,$C109)&lt;&gt;1,"Check Client ID",IF(NOT(ISNUMBER($B109)),"Add contact date",IF($E109="","Add channel",IF($H109="","Add summary",IF(AND($N109="Open",NOT(ISNUMBER($M109))),"Set action due date","")))))))</x:f>
      </x:c>
    </x:row>
    <x:row r="110" ht="26" customHeight="1">
      <x:c r="A110" s="791"/>
      <x:c r="B110" s="804"/>
      <x:c r="C110" s="791"/>
      <x:c r="D110" s="803" t="str">
        <x:f>IF($A110="","",IF($C110="","",IFERROR(INDEX(Clients!$B$6:$B$205,MATCH($C110,Clients!$A$6:$A$205,0)),"Client ID not found")))</x:f>
      </x:c>
      <x:c r="E110" s="791"/>
      <x:c r="F110" s="791"/>
      <x:c r="G110" s="791"/>
      <x:c r="H110" s="791"/>
      <x:c r="I110" s="791"/>
      <x:c r="J110" s="791"/>
      <x:c r="K110" s="791"/>
      <x:c r="L110" s="791"/>
      <x:c r="M110" s="794"/>
      <x:c r="N110" s="791"/>
      <x:c r="O110" s="791"/>
      <x:c r="P110" s="791"/>
      <x:c r="Q110" s="803" t="str">
        <x:f>IF($A110="","",IF(COUNTIF($A$6:$A$205,$A110)&gt;1,"Duplicate log ID",IF(COUNTIF(Clients!$A$6:$A$205,$C110)&lt;&gt;1,"Check Client ID",IF(NOT(ISNUMBER($B110)),"Add contact date",IF($E110="","Add channel",IF($H110="","Add summary",IF(AND($N110="Open",NOT(ISNUMBER($M110))),"Set action due date","")))))))</x:f>
      </x:c>
    </x:row>
    <x:row r="111" ht="26" customHeight="1">
      <x:c r="A111" s="791"/>
      <x:c r="B111" s="804"/>
      <x:c r="C111" s="791"/>
      <x:c r="D111" s="803" t="str">
        <x:f>IF($A111="","",IF($C111="","",IFERROR(INDEX(Clients!$B$6:$B$205,MATCH($C111,Clients!$A$6:$A$205,0)),"Client ID not found")))</x:f>
      </x:c>
      <x:c r="E111" s="791"/>
      <x:c r="F111" s="791"/>
      <x:c r="G111" s="791"/>
      <x:c r="H111" s="791"/>
      <x:c r="I111" s="791"/>
      <x:c r="J111" s="791"/>
      <x:c r="K111" s="791"/>
      <x:c r="L111" s="791"/>
      <x:c r="M111" s="794"/>
      <x:c r="N111" s="791"/>
      <x:c r="O111" s="791"/>
      <x:c r="P111" s="791"/>
      <x:c r="Q111" s="803" t="str">
        <x:f>IF($A111="","",IF(COUNTIF($A$6:$A$205,$A111)&gt;1,"Duplicate log ID",IF(COUNTIF(Clients!$A$6:$A$205,$C111)&lt;&gt;1,"Check Client ID",IF(NOT(ISNUMBER($B111)),"Add contact date",IF($E111="","Add channel",IF($H111="","Add summary",IF(AND($N111="Open",NOT(ISNUMBER($M111))),"Set action due date","")))))))</x:f>
      </x:c>
    </x:row>
    <x:row r="112" ht="26" customHeight="1">
      <x:c r="A112" s="791"/>
      <x:c r="B112" s="804"/>
      <x:c r="C112" s="791"/>
      <x:c r="D112" s="803" t="str">
        <x:f>IF($A112="","",IF($C112="","",IFERROR(INDEX(Clients!$B$6:$B$205,MATCH($C112,Clients!$A$6:$A$205,0)),"Client ID not found")))</x:f>
      </x:c>
      <x:c r="E112" s="791"/>
      <x:c r="F112" s="791"/>
      <x:c r="G112" s="791"/>
      <x:c r="H112" s="791"/>
      <x:c r="I112" s="791"/>
      <x:c r="J112" s="791"/>
      <x:c r="K112" s="791"/>
      <x:c r="L112" s="791"/>
      <x:c r="M112" s="794"/>
      <x:c r="N112" s="791"/>
      <x:c r="O112" s="791"/>
      <x:c r="P112" s="791"/>
      <x:c r="Q112" s="803" t="str">
        <x:f>IF($A112="","",IF(COUNTIF($A$6:$A$205,$A112)&gt;1,"Duplicate log ID",IF(COUNTIF(Clients!$A$6:$A$205,$C112)&lt;&gt;1,"Check Client ID",IF(NOT(ISNUMBER($B112)),"Add contact date",IF($E112="","Add channel",IF($H112="","Add summary",IF(AND($N112="Open",NOT(ISNUMBER($M112))),"Set action due date","")))))))</x:f>
      </x:c>
    </x:row>
    <x:row r="113" ht="26" customHeight="1">
      <x:c r="A113" s="791"/>
      <x:c r="B113" s="804"/>
      <x:c r="C113" s="791"/>
      <x:c r="D113" s="803" t="str">
        <x:f>IF($A113="","",IF($C113="","",IFERROR(INDEX(Clients!$B$6:$B$205,MATCH($C113,Clients!$A$6:$A$205,0)),"Client ID not found")))</x:f>
      </x:c>
      <x:c r="E113" s="791"/>
      <x:c r="F113" s="791"/>
      <x:c r="G113" s="791"/>
      <x:c r="H113" s="791"/>
      <x:c r="I113" s="791"/>
      <x:c r="J113" s="791"/>
      <x:c r="K113" s="791"/>
      <x:c r="L113" s="791"/>
      <x:c r="M113" s="794"/>
      <x:c r="N113" s="791"/>
      <x:c r="O113" s="791"/>
      <x:c r="P113" s="791"/>
      <x:c r="Q113" s="803" t="str">
        <x:f>IF($A113="","",IF(COUNTIF($A$6:$A$205,$A113)&gt;1,"Duplicate log ID",IF(COUNTIF(Clients!$A$6:$A$205,$C113)&lt;&gt;1,"Check Client ID",IF(NOT(ISNUMBER($B113)),"Add contact date",IF($E113="","Add channel",IF($H113="","Add summary",IF(AND($N113="Open",NOT(ISNUMBER($M113))),"Set action due date","")))))))</x:f>
      </x:c>
    </x:row>
    <x:row r="114" ht="26" customHeight="1">
      <x:c r="A114" s="791"/>
      <x:c r="B114" s="804"/>
      <x:c r="C114" s="791"/>
      <x:c r="D114" s="803" t="str">
        <x:f>IF($A114="","",IF($C114="","",IFERROR(INDEX(Clients!$B$6:$B$205,MATCH($C114,Clients!$A$6:$A$205,0)),"Client ID not found")))</x:f>
      </x:c>
      <x:c r="E114" s="791"/>
      <x:c r="F114" s="791"/>
      <x:c r="G114" s="791"/>
      <x:c r="H114" s="791"/>
      <x:c r="I114" s="791"/>
      <x:c r="J114" s="791"/>
      <x:c r="K114" s="791"/>
      <x:c r="L114" s="791"/>
      <x:c r="M114" s="794"/>
      <x:c r="N114" s="791"/>
      <x:c r="O114" s="791"/>
      <x:c r="P114" s="791"/>
      <x:c r="Q114" s="803" t="str">
        <x:f>IF($A114="","",IF(COUNTIF($A$6:$A$205,$A114)&gt;1,"Duplicate log ID",IF(COUNTIF(Clients!$A$6:$A$205,$C114)&lt;&gt;1,"Check Client ID",IF(NOT(ISNUMBER($B114)),"Add contact date",IF($E114="","Add channel",IF($H114="","Add summary",IF(AND($N114="Open",NOT(ISNUMBER($M114))),"Set action due date","")))))))</x:f>
      </x:c>
    </x:row>
    <x:row r="115" ht="26" customHeight="1">
      <x:c r="A115" s="791"/>
      <x:c r="B115" s="804"/>
      <x:c r="C115" s="791"/>
      <x:c r="D115" s="803" t="str">
        <x:f>IF($A115="","",IF($C115="","",IFERROR(INDEX(Clients!$B$6:$B$205,MATCH($C115,Clients!$A$6:$A$205,0)),"Client ID not found")))</x:f>
      </x:c>
      <x:c r="E115" s="791"/>
      <x:c r="F115" s="791"/>
      <x:c r="G115" s="791"/>
      <x:c r="H115" s="791"/>
      <x:c r="I115" s="791"/>
      <x:c r="J115" s="791"/>
      <x:c r="K115" s="791"/>
      <x:c r="L115" s="791"/>
      <x:c r="M115" s="794"/>
      <x:c r="N115" s="791"/>
      <x:c r="O115" s="791"/>
      <x:c r="P115" s="791"/>
      <x:c r="Q115" s="803" t="str">
        <x:f>IF($A115="","",IF(COUNTIF($A$6:$A$205,$A115)&gt;1,"Duplicate log ID",IF(COUNTIF(Clients!$A$6:$A$205,$C115)&lt;&gt;1,"Check Client ID",IF(NOT(ISNUMBER($B115)),"Add contact date",IF($E115="","Add channel",IF($H115="","Add summary",IF(AND($N115="Open",NOT(ISNUMBER($M115))),"Set action due date","")))))))</x:f>
      </x:c>
    </x:row>
    <x:row r="116" ht="26" customHeight="1">
      <x:c r="A116" s="791"/>
      <x:c r="B116" s="804"/>
      <x:c r="C116" s="791"/>
      <x:c r="D116" s="803" t="str">
        <x:f>IF($A116="","",IF($C116="","",IFERROR(INDEX(Clients!$B$6:$B$205,MATCH($C116,Clients!$A$6:$A$205,0)),"Client ID not found")))</x:f>
      </x:c>
      <x:c r="E116" s="791"/>
      <x:c r="F116" s="791"/>
      <x:c r="G116" s="791"/>
      <x:c r="H116" s="791"/>
      <x:c r="I116" s="791"/>
      <x:c r="J116" s="791"/>
      <x:c r="K116" s="791"/>
      <x:c r="L116" s="791"/>
      <x:c r="M116" s="794"/>
      <x:c r="N116" s="791"/>
      <x:c r="O116" s="791"/>
      <x:c r="P116" s="791"/>
      <x:c r="Q116" s="803" t="str">
        <x:f>IF($A116="","",IF(COUNTIF($A$6:$A$205,$A116)&gt;1,"Duplicate log ID",IF(COUNTIF(Clients!$A$6:$A$205,$C116)&lt;&gt;1,"Check Client ID",IF(NOT(ISNUMBER($B116)),"Add contact date",IF($E116="","Add channel",IF($H116="","Add summary",IF(AND($N116="Open",NOT(ISNUMBER($M116))),"Set action due date","")))))))</x:f>
      </x:c>
    </x:row>
    <x:row r="117" ht="26" customHeight="1">
      <x:c r="A117" s="791"/>
      <x:c r="B117" s="804"/>
      <x:c r="C117" s="791"/>
      <x:c r="D117" s="803" t="str">
        <x:f>IF($A117="","",IF($C117="","",IFERROR(INDEX(Clients!$B$6:$B$205,MATCH($C117,Clients!$A$6:$A$205,0)),"Client ID not found")))</x:f>
      </x:c>
      <x:c r="E117" s="791"/>
      <x:c r="F117" s="791"/>
      <x:c r="G117" s="791"/>
      <x:c r="H117" s="791"/>
      <x:c r="I117" s="791"/>
      <x:c r="J117" s="791"/>
      <x:c r="K117" s="791"/>
      <x:c r="L117" s="791"/>
      <x:c r="M117" s="794"/>
      <x:c r="N117" s="791"/>
      <x:c r="O117" s="791"/>
      <x:c r="P117" s="791"/>
      <x:c r="Q117" s="803" t="str">
        <x:f>IF($A117="","",IF(COUNTIF($A$6:$A$205,$A117)&gt;1,"Duplicate log ID",IF(COUNTIF(Clients!$A$6:$A$205,$C117)&lt;&gt;1,"Check Client ID",IF(NOT(ISNUMBER($B117)),"Add contact date",IF($E117="","Add channel",IF($H117="","Add summary",IF(AND($N117="Open",NOT(ISNUMBER($M117))),"Set action due date","")))))))</x:f>
      </x:c>
    </x:row>
    <x:row r="118" ht="26" customHeight="1">
      <x:c r="A118" s="791"/>
      <x:c r="B118" s="804"/>
      <x:c r="C118" s="791"/>
      <x:c r="D118" s="803" t="str">
        <x:f>IF($A118="","",IF($C118="","",IFERROR(INDEX(Clients!$B$6:$B$205,MATCH($C118,Clients!$A$6:$A$205,0)),"Client ID not found")))</x:f>
      </x:c>
      <x:c r="E118" s="791"/>
      <x:c r="F118" s="791"/>
      <x:c r="G118" s="791"/>
      <x:c r="H118" s="791"/>
      <x:c r="I118" s="791"/>
      <x:c r="J118" s="791"/>
      <x:c r="K118" s="791"/>
      <x:c r="L118" s="791"/>
      <x:c r="M118" s="794"/>
      <x:c r="N118" s="791"/>
      <x:c r="O118" s="791"/>
      <x:c r="P118" s="791"/>
      <x:c r="Q118" s="803" t="str">
        <x:f>IF($A118="","",IF(COUNTIF($A$6:$A$205,$A118)&gt;1,"Duplicate log ID",IF(COUNTIF(Clients!$A$6:$A$205,$C118)&lt;&gt;1,"Check Client ID",IF(NOT(ISNUMBER($B118)),"Add contact date",IF($E118="","Add channel",IF($H118="","Add summary",IF(AND($N118="Open",NOT(ISNUMBER($M118))),"Set action due date","")))))))</x:f>
      </x:c>
    </x:row>
    <x:row r="119" ht="26" customHeight="1">
      <x:c r="A119" s="791"/>
      <x:c r="B119" s="804"/>
      <x:c r="C119" s="791"/>
      <x:c r="D119" s="803" t="str">
        <x:f>IF($A119="","",IF($C119="","",IFERROR(INDEX(Clients!$B$6:$B$205,MATCH($C119,Clients!$A$6:$A$205,0)),"Client ID not found")))</x:f>
      </x:c>
      <x:c r="E119" s="791"/>
      <x:c r="F119" s="791"/>
      <x:c r="G119" s="791"/>
      <x:c r="H119" s="791"/>
      <x:c r="I119" s="791"/>
      <x:c r="J119" s="791"/>
      <x:c r="K119" s="791"/>
      <x:c r="L119" s="791"/>
      <x:c r="M119" s="794"/>
      <x:c r="N119" s="791"/>
      <x:c r="O119" s="791"/>
      <x:c r="P119" s="791"/>
      <x:c r="Q119" s="803" t="str">
        <x:f>IF($A119="","",IF(COUNTIF($A$6:$A$205,$A119)&gt;1,"Duplicate log ID",IF(COUNTIF(Clients!$A$6:$A$205,$C119)&lt;&gt;1,"Check Client ID",IF(NOT(ISNUMBER($B119)),"Add contact date",IF($E119="","Add channel",IF($H119="","Add summary",IF(AND($N119="Open",NOT(ISNUMBER($M119))),"Set action due date","")))))))</x:f>
      </x:c>
    </x:row>
    <x:row r="120" ht="26" customHeight="1">
      <x:c r="A120" s="791"/>
      <x:c r="B120" s="804"/>
      <x:c r="C120" s="791"/>
      <x:c r="D120" s="803" t="str">
        <x:f>IF($A120="","",IF($C120="","",IFERROR(INDEX(Clients!$B$6:$B$205,MATCH($C120,Clients!$A$6:$A$205,0)),"Client ID not found")))</x:f>
      </x:c>
      <x:c r="E120" s="791"/>
      <x:c r="F120" s="791"/>
      <x:c r="G120" s="791"/>
      <x:c r="H120" s="791"/>
      <x:c r="I120" s="791"/>
      <x:c r="J120" s="791"/>
      <x:c r="K120" s="791"/>
      <x:c r="L120" s="791"/>
      <x:c r="M120" s="794"/>
      <x:c r="N120" s="791"/>
      <x:c r="O120" s="791"/>
      <x:c r="P120" s="791"/>
      <x:c r="Q120" s="803" t="str">
        <x:f>IF($A120="","",IF(COUNTIF($A$6:$A$205,$A120)&gt;1,"Duplicate log ID",IF(COUNTIF(Clients!$A$6:$A$205,$C120)&lt;&gt;1,"Check Client ID",IF(NOT(ISNUMBER($B120)),"Add contact date",IF($E120="","Add channel",IF($H120="","Add summary",IF(AND($N120="Open",NOT(ISNUMBER($M120))),"Set action due date","")))))))</x:f>
      </x:c>
    </x:row>
    <x:row r="121" ht="26" customHeight="1">
      <x:c r="A121" s="791"/>
      <x:c r="B121" s="804"/>
      <x:c r="C121" s="791"/>
      <x:c r="D121" s="803" t="str">
        <x:f>IF($A121="","",IF($C121="","",IFERROR(INDEX(Clients!$B$6:$B$205,MATCH($C121,Clients!$A$6:$A$205,0)),"Client ID not found")))</x:f>
      </x:c>
      <x:c r="E121" s="791"/>
      <x:c r="F121" s="791"/>
      <x:c r="G121" s="791"/>
      <x:c r="H121" s="791"/>
      <x:c r="I121" s="791"/>
      <x:c r="J121" s="791"/>
      <x:c r="K121" s="791"/>
      <x:c r="L121" s="791"/>
      <x:c r="M121" s="794"/>
      <x:c r="N121" s="791"/>
      <x:c r="O121" s="791"/>
      <x:c r="P121" s="791"/>
      <x:c r="Q121" s="803" t="str">
        <x:f>IF($A121="","",IF(COUNTIF($A$6:$A$205,$A121)&gt;1,"Duplicate log ID",IF(COUNTIF(Clients!$A$6:$A$205,$C121)&lt;&gt;1,"Check Client ID",IF(NOT(ISNUMBER($B121)),"Add contact date",IF($E121="","Add channel",IF($H121="","Add summary",IF(AND($N121="Open",NOT(ISNUMBER($M121))),"Set action due date","")))))))</x:f>
      </x:c>
    </x:row>
    <x:row r="122" ht="26" customHeight="1">
      <x:c r="A122" s="791"/>
      <x:c r="B122" s="804"/>
      <x:c r="C122" s="791"/>
      <x:c r="D122" s="803" t="str">
        <x:f>IF($A122="","",IF($C122="","",IFERROR(INDEX(Clients!$B$6:$B$205,MATCH($C122,Clients!$A$6:$A$205,0)),"Client ID not found")))</x:f>
      </x:c>
      <x:c r="E122" s="791"/>
      <x:c r="F122" s="791"/>
      <x:c r="G122" s="791"/>
      <x:c r="H122" s="791"/>
      <x:c r="I122" s="791"/>
      <x:c r="J122" s="791"/>
      <x:c r="K122" s="791"/>
      <x:c r="L122" s="791"/>
      <x:c r="M122" s="794"/>
      <x:c r="N122" s="791"/>
      <x:c r="O122" s="791"/>
      <x:c r="P122" s="791"/>
      <x:c r="Q122" s="803" t="str">
        <x:f>IF($A122="","",IF(COUNTIF($A$6:$A$205,$A122)&gt;1,"Duplicate log ID",IF(COUNTIF(Clients!$A$6:$A$205,$C122)&lt;&gt;1,"Check Client ID",IF(NOT(ISNUMBER($B122)),"Add contact date",IF($E122="","Add channel",IF($H122="","Add summary",IF(AND($N122="Open",NOT(ISNUMBER($M122))),"Set action due date","")))))))</x:f>
      </x:c>
    </x:row>
    <x:row r="123" ht="26" customHeight="1">
      <x:c r="A123" s="791"/>
      <x:c r="B123" s="804"/>
      <x:c r="C123" s="791"/>
      <x:c r="D123" s="803" t="str">
        <x:f>IF($A123="","",IF($C123="","",IFERROR(INDEX(Clients!$B$6:$B$205,MATCH($C123,Clients!$A$6:$A$205,0)),"Client ID not found")))</x:f>
      </x:c>
      <x:c r="E123" s="791"/>
      <x:c r="F123" s="791"/>
      <x:c r="G123" s="791"/>
      <x:c r="H123" s="791"/>
      <x:c r="I123" s="791"/>
      <x:c r="J123" s="791"/>
      <x:c r="K123" s="791"/>
      <x:c r="L123" s="791"/>
      <x:c r="M123" s="794"/>
      <x:c r="N123" s="791"/>
      <x:c r="O123" s="791"/>
      <x:c r="P123" s="791"/>
      <x:c r="Q123" s="803" t="str">
        <x:f>IF($A123="","",IF(COUNTIF($A$6:$A$205,$A123)&gt;1,"Duplicate log ID",IF(COUNTIF(Clients!$A$6:$A$205,$C123)&lt;&gt;1,"Check Client ID",IF(NOT(ISNUMBER($B123)),"Add contact date",IF($E123="","Add channel",IF($H123="","Add summary",IF(AND($N123="Open",NOT(ISNUMBER($M123))),"Set action due date","")))))))</x:f>
      </x:c>
    </x:row>
    <x:row r="124" ht="26" customHeight="1">
      <x:c r="A124" s="791"/>
      <x:c r="B124" s="804"/>
      <x:c r="C124" s="791"/>
      <x:c r="D124" s="803" t="str">
        <x:f>IF($A124="","",IF($C124="","",IFERROR(INDEX(Clients!$B$6:$B$205,MATCH($C124,Clients!$A$6:$A$205,0)),"Client ID not found")))</x:f>
      </x:c>
      <x:c r="E124" s="791"/>
      <x:c r="F124" s="791"/>
      <x:c r="G124" s="791"/>
      <x:c r="H124" s="791"/>
      <x:c r="I124" s="791"/>
      <x:c r="J124" s="791"/>
      <x:c r="K124" s="791"/>
      <x:c r="L124" s="791"/>
      <x:c r="M124" s="794"/>
      <x:c r="N124" s="791"/>
      <x:c r="O124" s="791"/>
      <x:c r="P124" s="791"/>
      <x:c r="Q124" s="803" t="str">
        <x:f>IF($A124="","",IF(COUNTIF($A$6:$A$205,$A124)&gt;1,"Duplicate log ID",IF(COUNTIF(Clients!$A$6:$A$205,$C124)&lt;&gt;1,"Check Client ID",IF(NOT(ISNUMBER($B124)),"Add contact date",IF($E124="","Add channel",IF($H124="","Add summary",IF(AND($N124="Open",NOT(ISNUMBER($M124))),"Set action due date","")))))))</x:f>
      </x:c>
    </x:row>
    <x:row r="125" ht="26" customHeight="1">
      <x:c r="A125" s="791"/>
      <x:c r="B125" s="804"/>
      <x:c r="C125" s="791"/>
      <x:c r="D125" s="803" t="str">
        <x:f>IF($A125="","",IF($C125="","",IFERROR(INDEX(Clients!$B$6:$B$205,MATCH($C125,Clients!$A$6:$A$205,0)),"Client ID not found")))</x:f>
      </x:c>
      <x:c r="E125" s="791"/>
      <x:c r="F125" s="791"/>
      <x:c r="G125" s="791"/>
      <x:c r="H125" s="791"/>
      <x:c r="I125" s="791"/>
      <x:c r="J125" s="791"/>
      <x:c r="K125" s="791"/>
      <x:c r="L125" s="791"/>
      <x:c r="M125" s="794"/>
      <x:c r="N125" s="791"/>
      <x:c r="O125" s="791"/>
      <x:c r="P125" s="791"/>
      <x:c r="Q125" s="803" t="str">
        <x:f>IF($A125="","",IF(COUNTIF($A$6:$A$205,$A125)&gt;1,"Duplicate log ID",IF(COUNTIF(Clients!$A$6:$A$205,$C125)&lt;&gt;1,"Check Client ID",IF(NOT(ISNUMBER($B125)),"Add contact date",IF($E125="","Add channel",IF($H125="","Add summary",IF(AND($N125="Open",NOT(ISNUMBER($M125))),"Set action due date","")))))))</x:f>
      </x:c>
    </x:row>
    <x:row r="126" ht="26" customHeight="1">
      <x:c r="A126" s="791"/>
      <x:c r="B126" s="804"/>
      <x:c r="C126" s="791"/>
      <x:c r="D126" s="803" t="str">
        <x:f>IF($A126="","",IF($C126="","",IFERROR(INDEX(Clients!$B$6:$B$205,MATCH($C126,Clients!$A$6:$A$205,0)),"Client ID not found")))</x:f>
      </x:c>
      <x:c r="E126" s="791"/>
      <x:c r="F126" s="791"/>
      <x:c r="G126" s="791"/>
      <x:c r="H126" s="791"/>
      <x:c r="I126" s="791"/>
      <x:c r="J126" s="791"/>
      <x:c r="K126" s="791"/>
      <x:c r="L126" s="791"/>
      <x:c r="M126" s="794"/>
      <x:c r="N126" s="791"/>
      <x:c r="O126" s="791"/>
      <x:c r="P126" s="791"/>
      <x:c r="Q126" s="803" t="str">
        <x:f>IF($A126="","",IF(COUNTIF($A$6:$A$205,$A126)&gt;1,"Duplicate log ID",IF(COUNTIF(Clients!$A$6:$A$205,$C126)&lt;&gt;1,"Check Client ID",IF(NOT(ISNUMBER($B126)),"Add contact date",IF($E126="","Add channel",IF($H126="","Add summary",IF(AND($N126="Open",NOT(ISNUMBER($M126))),"Set action due date","")))))))</x:f>
      </x:c>
    </x:row>
    <x:row r="127" ht="26" customHeight="1">
      <x:c r="A127" s="791"/>
      <x:c r="B127" s="804"/>
      <x:c r="C127" s="791"/>
      <x:c r="D127" s="803" t="str">
        <x:f>IF($A127="","",IF($C127="","",IFERROR(INDEX(Clients!$B$6:$B$205,MATCH($C127,Clients!$A$6:$A$205,0)),"Client ID not found")))</x:f>
      </x:c>
      <x:c r="E127" s="791"/>
      <x:c r="F127" s="791"/>
      <x:c r="G127" s="791"/>
      <x:c r="H127" s="791"/>
      <x:c r="I127" s="791"/>
      <x:c r="J127" s="791"/>
      <x:c r="K127" s="791"/>
      <x:c r="L127" s="791"/>
      <x:c r="M127" s="794"/>
      <x:c r="N127" s="791"/>
      <x:c r="O127" s="791"/>
      <x:c r="P127" s="791"/>
      <x:c r="Q127" s="803" t="str">
        <x:f>IF($A127="","",IF(COUNTIF($A$6:$A$205,$A127)&gt;1,"Duplicate log ID",IF(COUNTIF(Clients!$A$6:$A$205,$C127)&lt;&gt;1,"Check Client ID",IF(NOT(ISNUMBER($B127)),"Add contact date",IF($E127="","Add channel",IF($H127="","Add summary",IF(AND($N127="Open",NOT(ISNUMBER($M127))),"Set action due date","")))))))</x:f>
      </x:c>
    </x:row>
    <x:row r="128" ht="26" customHeight="1">
      <x:c r="A128" s="791"/>
      <x:c r="B128" s="804"/>
      <x:c r="C128" s="791"/>
      <x:c r="D128" s="803" t="str">
        <x:f>IF($A128="","",IF($C128="","",IFERROR(INDEX(Clients!$B$6:$B$205,MATCH($C128,Clients!$A$6:$A$205,0)),"Client ID not found")))</x:f>
      </x:c>
      <x:c r="E128" s="791"/>
      <x:c r="F128" s="791"/>
      <x:c r="G128" s="791"/>
      <x:c r="H128" s="791"/>
      <x:c r="I128" s="791"/>
      <x:c r="J128" s="791"/>
      <x:c r="K128" s="791"/>
      <x:c r="L128" s="791"/>
      <x:c r="M128" s="794"/>
      <x:c r="N128" s="791"/>
      <x:c r="O128" s="791"/>
      <x:c r="P128" s="791"/>
      <x:c r="Q128" s="803" t="str">
        <x:f>IF($A128="","",IF(COUNTIF($A$6:$A$205,$A128)&gt;1,"Duplicate log ID",IF(COUNTIF(Clients!$A$6:$A$205,$C128)&lt;&gt;1,"Check Client ID",IF(NOT(ISNUMBER($B128)),"Add contact date",IF($E128="","Add channel",IF($H128="","Add summary",IF(AND($N128="Open",NOT(ISNUMBER($M128))),"Set action due date","")))))))</x:f>
      </x:c>
    </x:row>
    <x:row r="129" ht="26" customHeight="1">
      <x:c r="A129" s="791"/>
      <x:c r="B129" s="804"/>
      <x:c r="C129" s="791"/>
      <x:c r="D129" s="803" t="str">
        <x:f>IF($A129="","",IF($C129="","",IFERROR(INDEX(Clients!$B$6:$B$205,MATCH($C129,Clients!$A$6:$A$205,0)),"Client ID not found")))</x:f>
      </x:c>
      <x:c r="E129" s="791"/>
      <x:c r="F129" s="791"/>
      <x:c r="G129" s="791"/>
      <x:c r="H129" s="791"/>
      <x:c r="I129" s="791"/>
      <x:c r="J129" s="791"/>
      <x:c r="K129" s="791"/>
      <x:c r="L129" s="791"/>
      <x:c r="M129" s="794"/>
      <x:c r="N129" s="791"/>
      <x:c r="O129" s="791"/>
      <x:c r="P129" s="791"/>
      <x:c r="Q129" s="803" t="str">
        <x:f>IF($A129="","",IF(COUNTIF($A$6:$A$205,$A129)&gt;1,"Duplicate log ID",IF(COUNTIF(Clients!$A$6:$A$205,$C129)&lt;&gt;1,"Check Client ID",IF(NOT(ISNUMBER($B129)),"Add contact date",IF($E129="","Add channel",IF($H129="","Add summary",IF(AND($N129="Open",NOT(ISNUMBER($M129))),"Set action due date","")))))))</x:f>
      </x:c>
    </x:row>
    <x:row r="130" ht="26" customHeight="1">
      <x:c r="A130" s="791"/>
      <x:c r="B130" s="804"/>
      <x:c r="C130" s="791"/>
      <x:c r="D130" s="803" t="str">
        <x:f>IF($A130="","",IF($C130="","",IFERROR(INDEX(Clients!$B$6:$B$205,MATCH($C130,Clients!$A$6:$A$205,0)),"Client ID not found")))</x:f>
      </x:c>
      <x:c r="E130" s="791"/>
      <x:c r="F130" s="791"/>
      <x:c r="G130" s="791"/>
      <x:c r="H130" s="791"/>
      <x:c r="I130" s="791"/>
      <x:c r="J130" s="791"/>
      <x:c r="K130" s="791"/>
      <x:c r="L130" s="791"/>
      <x:c r="M130" s="794"/>
      <x:c r="N130" s="791"/>
      <x:c r="O130" s="791"/>
      <x:c r="P130" s="791"/>
      <x:c r="Q130" s="803" t="str">
        <x:f>IF($A130="","",IF(COUNTIF($A$6:$A$205,$A130)&gt;1,"Duplicate log ID",IF(COUNTIF(Clients!$A$6:$A$205,$C130)&lt;&gt;1,"Check Client ID",IF(NOT(ISNUMBER($B130)),"Add contact date",IF($E130="","Add channel",IF($H130="","Add summary",IF(AND($N130="Open",NOT(ISNUMBER($M130))),"Set action due date","")))))))</x:f>
      </x:c>
    </x:row>
    <x:row r="131" ht="26" customHeight="1">
      <x:c r="A131" s="791"/>
      <x:c r="B131" s="804"/>
      <x:c r="C131" s="791"/>
      <x:c r="D131" s="803" t="str">
        <x:f>IF($A131="","",IF($C131="","",IFERROR(INDEX(Clients!$B$6:$B$205,MATCH($C131,Clients!$A$6:$A$205,0)),"Client ID not found")))</x:f>
      </x:c>
      <x:c r="E131" s="791"/>
      <x:c r="F131" s="791"/>
      <x:c r="G131" s="791"/>
      <x:c r="H131" s="791"/>
      <x:c r="I131" s="791"/>
      <x:c r="J131" s="791"/>
      <x:c r="K131" s="791"/>
      <x:c r="L131" s="791"/>
      <x:c r="M131" s="794"/>
      <x:c r="N131" s="791"/>
      <x:c r="O131" s="791"/>
      <x:c r="P131" s="791"/>
      <x:c r="Q131" s="803" t="str">
        <x:f>IF($A131="","",IF(COUNTIF($A$6:$A$205,$A131)&gt;1,"Duplicate log ID",IF(COUNTIF(Clients!$A$6:$A$205,$C131)&lt;&gt;1,"Check Client ID",IF(NOT(ISNUMBER($B131)),"Add contact date",IF($E131="","Add channel",IF($H131="","Add summary",IF(AND($N131="Open",NOT(ISNUMBER($M131))),"Set action due date","")))))))</x:f>
      </x:c>
    </x:row>
    <x:row r="132" ht="26" customHeight="1">
      <x:c r="A132" s="791"/>
      <x:c r="B132" s="804"/>
      <x:c r="C132" s="791"/>
      <x:c r="D132" s="803" t="str">
        <x:f>IF($A132="","",IF($C132="","",IFERROR(INDEX(Clients!$B$6:$B$205,MATCH($C132,Clients!$A$6:$A$205,0)),"Client ID not found")))</x:f>
      </x:c>
      <x:c r="E132" s="791"/>
      <x:c r="F132" s="791"/>
      <x:c r="G132" s="791"/>
      <x:c r="H132" s="791"/>
      <x:c r="I132" s="791"/>
      <x:c r="J132" s="791"/>
      <x:c r="K132" s="791"/>
      <x:c r="L132" s="791"/>
      <x:c r="M132" s="794"/>
      <x:c r="N132" s="791"/>
      <x:c r="O132" s="791"/>
      <x:c r="P132" s="791"/>
      <x:c r="Q132" s="803" t="str">
        <x:f>IF($A132="","",IF(COUNTIF($A$6:$A$205,$A132)&gt;1,"Duplicate log ID",IF(COUNTIF(Clients!$A$6:$A$205,$C132)&lt;&gt;1,"Check Client ID",IF(NOT(ISNUMBER($B132)),"Add contact date",IF($E132="","Add channel",IF($H132="","Add summary",IF(AND($N132="Open",NOT(ISNUMBER($M132))),"Set action due date","")))))))</x:f>
      </x:c>
    </x:row>
    <x:row r="133" ht="26" customHeight="1">
      <x:c r="A133" s="791"/>
      <x:c r="B133" s="804"/>
      <x:c r="C133" s="791"/>
      <x:c r="D133" s="803" t="str">
        <x:f>IF($A133="","",IF($C133="","",IFERROR(INDEX(Clients!$B$6:$B$205,MATCH($C133,Clients!$A$6:$A$205,0)),"Client ID not found")))</x:f>
      </x:c>
      <x:c r="E133" s="791"/>
      <x:c r="F133" s="791"/>
      <x:c r="G133" s="791"/>
      <x:c r="H133" s="791"/>
      <x:c r="I133" s="791"/>
      <x:c r="J133" s="791"/>
      <x:c r="K133" s="791"/>
      <x:c r="L133" s="791"/>
      <x:c r="M133" s="794"/>
      <x:c r="N133" s="791"/>
      <x:c r="O133" s="791"/>
      <x:c r="P133" s="791"/>
      <x:c r="Q133" s="803" t="str">
        <x:f>IF($A133="","",IF(COUNTIF($A$6:$A$205,$A133)&gt;1,"Duplicate log ID",IF(COUNTIF(Clients!$A$6:$A$205,$C133)&lt;&gt;1,"Check Client ID",IF(NOT(ISNUMBER($B133)),"Add contact date",IF($E133="","Add channel",IF($H133="","Add summary",IF(AND($N133="Open",NOT(ISNUMBER($M133))),"Set action due date","")))))))</x:f>
      </x:c>
    </x:row>
    <x:row r="134" ht="26" customHeight="1">
      <x:c r="A134" s="791"/>
      <x:c r="B134" s="804"/>
      <x:c r="C134" s="791"/>
      <x:c r="D134" s="803" t="str">
        <x:f>IF($A134="","",IF($C134="","",IFERROR(INDEX(Clients!$B$6:$B$205,MATCH($C134,Clients!$A$6:$A$205,0)),"Client ID not found")))</x:f>
      </x:c>
      <x:c r="E134" s="791"/>
      <x:c r="F134" s="791"/>
      <x:c r="G134" s="791"/>
      <x:c r="H134" s="791"/>
      <x:c r="I134" s="791"/>
      <x:c r="J134" s="791"/>
      <x:c r="K134" s="791"/>
      <x:c r="L134" s="791"/>
      <x:c r="M134" s="794"/>
      <x:c r="N134" s="791"/>
      <x:c r="O134" s="791"/>
      <x:c r="P134" s="791"/>
      <x:c r="Q134" s="803" t="str">
        <x:f>IF($A134="","",IF(COUNTIF($A$6:$A$205,$A134)&gt;1,"Duplicate log ID",IF(COUNTIF(Clients!$A$6:$A$205,$C134)&lt;&gt;1,"Check Client ID",IF(NOT(ISNUMBER($B134)),"Add contact date",IF($E134="","Add channel",IF($H134="","Add summary",IF(AND($N134="Open",NOT(ISNUMBER($M134))),"Set action due date","")))))))</x:f>
      </x:c>
    </x:row>
    <x:row r="135" ht="26" customHeight="1">
      <x:c r="A135" s="791"/>
      <x:c r="B135" s="804"/>
      <x:c r="C135" s="791"/>
      <x:c r="D135" s="803" t="str">
        <x:f>IF($A135="","",IF($C135="","",IFERROR(INDEX(Clients!$B$6:$B$205,MATCH($C135,Clients!$A$6:$A$205,0)),"Client ID not found")))</x:f>
      </x:c>
      <x:c r="E135" s="791"/>
      <x:c r="F135" s="791"/>
      <x:c r="G135" s="791"/>
      <x:c r="H135" s="791"/>
      <x:c r="I135" s="791"/>
      <x:c r="J135" s="791"/>
      <x:c r="K135" s="791"/>
      <x:c r="L135" s="791"/>
      <x:c r="M135" s="794"/>
      <x:c r="N135" s="791"/>
      <x:c r="O135" s="791"/>
      <x:c r="P135" s="791"/>
      <x:c r="Q135" s="803" t="str">
        <x:f>IF($A135="","",IF(COUNTIF($A$6:$A$205,$A135)&gt;1,"Duplicate log ID",IF(COUNTIF(Clients!$A$6:$A$205,$C135)&lt;&gt;1,"Check Client ID",IF(NOT(ISNUMBER($B135)),"Add contact date",IF($E135="","Add channel",IF($H135="","Add summary",IF(AND($N135="Open",NOT(ISNUMBER($M135))),"Set action due date","")))))))</x:f>
      </x:c>
    </x:row>
    <x:row r="136" ht="26" customHeight="1">
      <x:c r="A136" s="791"/>
      <x:c r="B136" s="804"/>
      <x:c r="C136" s="791"/>
      <x:c r="D136" s="803" t="str">
        <x:f>IF($A136="","",IF($C136="","",IFERROR(INDEX(Clients!$B$6:$B$205,MATCH($C136,Clients!$A$6:$A$205,0)),"Client ID not found")))</x:f>
      </x:c>
      <x:c r="E136" s="791"/>
      <x:c r="F136" s="791"/>
      <x:c r="G136" s="791"/>
      <x:c r="H136" s="791"/>
      <x:c r="I136" s="791"/>
      <x:c r="J136" s="791"/>
      <x:c r="K136" s="791"/>
      <x:c r="L136" s="791"/>
      <x:c r="M136" s="794"/>
      <x:c r="N136" s="791"/>
      <x:c r="O136" s="791"/>
      <x:c r="P136" s="791"/>
      <x:c r="Q136" s="803" t="str">
        <x:f>IF($A136="","",IF(COUNTIF($A$6:$A$205,$A136)&gt;1,"Duplicate log ID",IF(COUNTIF(Clients!$A$6:$A$205,$C136)&lt;&gt;1,"Check Client ID",IF(NOT(ISNUMBER($B136)),"Add contact date",IF($E136="","Add channel",IF($H136="","Add summary",IF(AND($N136="Open",NOT(ISNUMBER($M136))),"Set action due date","")))))))</x:f>
      </x:c>
    </x:row>
    <x:row r="137" ht="26" customHeight="1">
      <x:c r="A137" s="791"/>
      <x:c r="B137" s="804"/>
      <x:c r="C137" s="791"/>
      <x:c r="D137" s="803" t="str">
        <x:f>IF($A137="","",IF($C137="","",IFERROR(INDEX(Clients!$B$6:$B$205,MATCH($C137,Clients!$A$6:$A$205,0)),"Client ID not found")))</x:f>
      </x:c>
      <x:c r="E137" s="791"/>
      <x:c r="F137" s="791"/>
      <x:c r="G137" s="791"/>
      <x:c r="H137" s="791"/>
      <x:c r="I137" s="791"/>
      <x:c r="J137" s="791"/>
      <x:c r="K137" s="791"/>
      <x:c r="L137" s="791"/>
      <x:c r="M137" s="794"/>
      <x:c r="N137" s="791"/>
      <x:c r="O137" s="791"/>
      <x:c r="P137" s="791"/>
      <x:c r="Q137" s="803" t="str">
        <x:f>IF($A137="","",IF(COUNTIF($A$6:$A$205,$A137)&gt;1,"Duplicate log ID",IF(COUNTIF(Clients!$A$6:$A$205,$C137)&lt;&gt;1,"Check Client ID",IF(NOT(ISNUMBER($B137)),"Add contact date",IF($E137="","Add channel",IF($H137="","Add summary",IF(AND($N137="Open",NOT(ISNUMBER($M137))),"Set action due date","")))))))</x:f>
      </x:c>
    </x:row>
    <x:row r="138" ht="26" customHeight="1">
      <x:c r="A138" s="791"/>
      <x:c r="B138" s="804"/>
      <x:c r="C138" s="791"/>
      <x:c r="D138" s="803" t="str">
        <x:f>IF($A138="","",IF($C138="","",IFERROR(INDEX(Clients!$B$6:$B$205,MATCH($C138,Clients!$A$6:$A$205,0)),"Client ID not found")))</x:f>
      </x:c>
      <x:c r="E138" s="791"/>
      <x:c r="F138" s="791"/>
      <x:c r="G138" s="791"/>
      <x:c r="H138" s="791"/>
      <x:c r="I138" s="791"/>
      <x:c r="J138" s="791"/>
      <x:c r="K138" s="791"/>
      <x:c r="L138" s="791"/>
      <x:c r="M138" s="794"/>
      <x:c r="N138" s="791"/>
      <x:c r="O138" s="791"/>
      <x:c r="P138" s="791"/>
      <x:c r="Q138" s="803" t="str">
        <x:f>IF($A138="","",IF(COUNTIF($A$6:$A$205,$A138)&gt;1,"Duplicate log ID",IF(COUNTIF(Clients!$A$6:$A$205,$C138)&lt;&gt;1,"Check Client ID",IF(NOT(ISNUMBER($B138)),"Add contact date",IF($E138="","Add channel",IF($H138="","Add summary",IF(AND($N138="Open",NOT(ISNUMBER($M138))),"Set action due date","")))))))</x:f>
      </x:c>
    </x:row>
    <x:row r="139" ht="26" customHeight="1">
      <x:c r="A139" s="791"/>
      <x:c r="B139" s="804"/>
      <x:c r="C139" s="791"/>
      <x:c r="D139" s="803" t="str">
        <x:f>IF($A139="","",IF($C139="","",IFERROR(INDEX(Clients!$B$6:$B$205,MATCH($C139,Clients!$A$6:$A$205,0)),"Client ID not found")))</x:f>
      </x:c>
      <x:c r="E139" s="791"/>
      <x:c r="F139" s="791"/>
      <x:c r="G139" s="791"/>
      <x:c r="H139" s="791"/>
      <x:c r="I139" s="791"/>
      <x:c r="J139" s="791"/>
      <x:c r="K139" s="791"/>
      <x:c r="L139" s="791"/>
      <x:c r="M139" s="794"/>
      <x:c r="N139" s="791"/>
      <x:c r="O139" s="791"/>
      <x:c r="P139" s="791"/>
      <x:c r="Q139" s="803" t="str">
        <x:f>IF($A139="","",IF(COUNTIF($A$6:$A$205,$A139)&gt;1,"Duplicate log ID",IF(COUNTIF(Clients!$A$6:$A$205,$C139)&lt;&gt;1,"Check Client ID",IF(NOT(ISNUMBER($B139)),"Add contact date",IF($E139="","Add channel",IF($H139="","Add summary",IF(AND($N139="Open",NOT(ISNUMBER($M139))),"Set action due date","")))))))</x:f>
      </x:c>
    </x:row>
    <x:row r="140" ht="26" customHeight="1">
      <x:c r="A140" s="791"/>
      <x:c r="B140" s="804"/>
      <x:c r="C140" s="791"/>
      <x:c r="D140" s="803" t="str">
        <x:f>IF($A140="","",IF($C140="","",IFERROR(INDEX(Clients!$B$6:$B$205,MATCH($C140,Clients!$A$6:$A$205,0)),"Client ID not found")))</x:f>
      </x:c>
      <x:c r="E140" s="791"/>
      <x:c r="F140" s="791"/>
      <x:c r="G140" s="791"/>
      <x:c r="H140" s="791"/>
      <x:c r="I140" s="791"/>
      <x:c r="J140" s="791"/>
      <x:c r="K140" s="791"/>
      <x:c r="L140" s="791"/>
      <x:c r="M140" s="794"/>
      <x:c r="N140" s="791"/>
      <x:c r="O140" s="791"/>
      <x:c r="P140" s="791"/>
      <x:c r="Q140" s="803" t="str">
        <x:f>IF($A140="","",IF(COUNTIF($A$6:$A$205,$A140)&gt;1,"Duplicate log ID",IF(COUNTIF(Clients!$A$6:$A$205,$C140)&lt;&gt;1,"Check Client ID",IF(NOT(ISNUMBER($B140)),"Add contact date",IF($E140="","Add channel",IF($H140="","Add summary",IF(AND($N140="Open",NOT(ISNUMBER($M140))),"Set action due date","")))))))</x:f>
      </x:c>
    </x:row>
    <x:row r="141" ht="26" customHeight="1">
      <x:c r="A141" s="791"/>
      <x:c r="B141" s="804"/>
      <x:c r="C141" s="791"/>
      <x:c r="D141" s="803" t="str">
        <x:f>IF($A141="","",IF($C141="","",IFERROR(INDEX(Clients!$B$6:$B$205,MATCH($C141,Clients!$A$6:$A$205,0)),"Client ID not found")))</x:f>
      </x:c>
      <x:c r="E141" s="791"/>
      <x:c r="F141" s="791"/>
      <x:c r="G141" s="791"/>
      <x:c r="H141" s="791"/>
      <x:c r="I141" s="791"/>
      <x:c r="J141" s="791"/>
      <x:c r="K141" s="791"/>
      <x:c r="L141" s="791"/>
      <x:c r="M141" s="794"/>
      <x:c r="N141" s="791"/>
      <x:c r="O141" s="791"/>
      <x:c r="P141" s="791"/>
      <x:c r="Q141" s="803" t="str">
        <x:f>IF($A141="","",IF(COUNTIF($A$6:$A$205,$A141)&gt;1,"Duplicate log ID",IF(COUNTIF(Clients!$A$6:$A$205,$C141)&lt;&gt;1,"Check Client ID",IF(NOT(ISNUMBER($B141)),"Add contact date",IF($E141="","Add channel",IF($H141="","Add summary",IF(AND($N141="Open",NOT(ISNUMBER($M141))),"Set action due date","")))))))</x:f>
      </x:c>
    </x:row>
    <x:row r="142" ht="26" customHeight="1">
      <x:c r="A142" s="791"/>
      <x:c r="B142" s="804"/>
      <x:c r="C142" s="791"/>
      <x:c r="D142" s="803" t="str">
        <x:f>IF($A142="","",IF($C142="","",IFERROR(INDEX(Clients!$B$6:$B$205,MATCH($C142,Clients!$A$6:$A$205,0)),"Client ID not found")))</x:f>
      </x:c>
      <x:c r="E142" s="791"/>
      <x:c r="F142" s="791"/>
      <x:c r="G142" s="791"/>
      <x:c r="H142" s="791"/>
      <x:c r="I142" s="791"/>
      <x:c r="J142" s="791"/>
      <x:c r="K142" s="791"/>
      <x:c r="L142" s="791"/>
      <x:c r="M142" s="794"/>
      <x:c r="N142" s="791"/>
      <x:c r="O142" s="791"/>
      <x:c r="P142" s="791"/>
      <x:c r="Q142" s="803" t="str">
        <x:f>IF($A142="","",IF(COUNTIF($A$6:$A$205,$A142)&gt;1,"Duplicate log ID",IF(COUNTIF(Clients!$A$6:$A$205,$C142)&lt;&gt;1,"Check Client ID",IF(NOT(ISNUMBER($B142)),"Add contact date",IF($E142="","Add channel",IF($H142="","Add summary",IF(AND($N142="Open",NOT(ISNUMBER($M142))),"Set action due date","")))))))</x:f>
      </x:c>
    </x:row>
    <x:row r="143" ht="26" customHeight="1">
      <x:c r="A143" s="791"/>
      <x:c r="B143" s="804"/>
      <x:c r="C143" s="791"/>
      <x:c r="D143" s="803" t="str">
        <x:f>IF($A143="","",IF($C143="","",IFERROR(INDEX(Clients!$B$6:$B$205,MATCH($C143,Clients!$A$6:$A$205,0)),"Client ID not found")))</x:f>
      </x:c>
      <x:c r="E143" s="791"/>
      <x:c r="F143" s="791"/>
      <x:c r="G143" s="791"/>
      <x:c r="H143" s="791"/>
      <x:c r="I143" s="791"/>
      <x:c r="J143" s="791"/>
      <x:c r="K143" s="791"/>
      <x:c r="L143" s="791"/>
      <x:c r="M143" s="794"/>
      <x:c r="N143" s="791"/>
      <x:c r="O143" s="791"/>
      <x:c r="P143" s="791"/>
      <x:c r="Q143" s="803" t="str">
        <x:f>IF($A143="","",IF(COUNTIF($A$6:$A$205,$A143)&gt;1,"Duplicate log ID",IF(COUNTIF(Clients!$A$6:$A$205,$C143)&lt;&gt;1,"Check Client ID",IF(NOT(ISNUMBER($B143)),"Add contact date",IF($E143="","Add channel",IF($H143="","Add summary",IF(AND($N143="Open",NOT(ISNUMBER($M143))),"Set action due date","")))))))</x:f>
      </x:c>
    </x:row>
    <x:row r="144" ht="26" customHeight="1">
      <x:c r="A144" s="791"/>
      <x:c r="B144" s="804"/>
      <x:c r="C144" s="791"/>
      <x:c r="D144" s="803" t="str">
        <x:f>IF($A144="","",IF($C144="","",IFERROR(INDEX(Clients!$B$6:$B$205,MATCH($C144,Clients!$A$6:$A$205,0)),"Client ID not found")))</x:f>
      </x:c>
      <x:c r="E144" s="791"/>
      <x:c r="F144" s="791"/>
      <x:c r="G144" s="791"/>
      <x:c r="H144" s="791"/>
      <x:c r="I144" s="791"/>
      <x:c r="J144" s="791"/>
      <x:c r="K144" s="791"/>
      <x:c r="L144" s="791"/>
      <x:c r="M144" s="794"/>
      <x:c r="N144" s="791"/>
      <x:c r="O144" s="791"/>
      <x:c r="P144" s="791"/>
      <x:c r="Q144" s="803" t="str">
        <x:f>IF($A144="","",IF(COUNTIF($A$6:$A$205,$A144)&gt;1,"Duplicate log ID",IF(COUNTIF(Clients!$A$6:$A$205,$C144)&lt;&gt;1,"Check Client ID",IF(NOT(ISNUMBER($B144)),"Add contact date",IF($E144="","Add channel",IF($H144="","Add summary",IF(AND($N144="Open",NOT(ISNUMBER($M144))),"Set action due date","")))))))</x:f>
      </x:c>
    </x:row>
    <x:row r="145" ht="26" customHeight="1">
      <x:c r="A145" s="791"/>
      <x:c r="B145" s="804"/>
      <x:c r="C145" s="791"/>
      <x:c r="D145" s="803" t="str">
        <x:f>IF($A145="","",IF($C145="","",IFERROR(INDEX(Clients!$B$6:$B$205,MATCH($C145,Clients!$A$6:$A$205,0)),"Client ID not found")))</x:f>
      </x:c>
      <x:c r="E145" s="791"/>
      <x:c r="F145" s="791"/>
      <x:c r="G145" s="791"/>
      <x:c r="H145" s="791"/>
      <x:c r="I145" s="791"/>
      <x:c r="J145" s="791"/>
      <x:c r="K145" s="791"/>
      <x:c r="L145" s="791"/>
      <x:c r="M145" s="794"/>
      <x:c r="N145" s="791"/>
      <x:c r="O145" s="791"/>
      <x:c r="P145" s="791"/>
      <x:c r="Q145" s="803" t="str">
        <x:f>IF($A145="","",IF(COUNTIF($A$6:$A$205,$A145)&gt;1,"Duplicate log ID",IF(COUNTIF(Clients!$A$6:$A$205,$C145)&lt;&gt;1,"Check Client ID",IF(NOT(ISNUMBER($B145)),"Add contact date",IF($E145="","Add channel",IF($H145="","Add summary",IF(AND($N145="Open",NOT(ISNUMBER($M145))),"Set action due date","")))))))</x:f>
      </x:c>
    </x:row>
    <x:row r="146" ht="26" customHeight="1">
      <x:c r="A146" s="791"/>
      <x:c r="B146" s="804"/>
      <x:c r="C146" s="791"/>
      <x:c r="D146" s="803" t="str">
        <x:f>IF($A146="","",IF($C146="","",IFERROR(INDEX(Clients!$B$6:$B$205,MATCH($C146,Clients!$A$6:$A$205,0)),"Client ID not found")))</x:f>
      </x:c>
      <x:c r="E146" s="791"/>
      <x:c r="F146" s="791"/>
      <x:c r="G146" s="791"/>
      <x:c r="H146" s="791"/>
      <x:c r="I146" s="791"/>
      <x:c r="J146" s="791"/>
      <x:c r="K146" s="791"/>
      <x:c r="L146" s="791"/>
      <x:c r="M146" s="794"/>
      <x:c r="N146" s="791"/>
      <x:c r="O146" s="791"/>
      <x:c r="P146" s="791"/>
      <x:c r="Q146" s="803" t="str">
        <x:f>IF($A146="","",IF(COUNTIF($A$6:$A$205,$A146)&gt;1,"Duplicate log ID",IF(COUNTIF(Clients!$A$6:$A$205,$C146)&lt;&gt;1,"Check Client ID",IF(NOT(ISNUMBER($B146)),"Add contact date",IF($E146="","Add channel",IF($H146="","Add summary",IF(AND($N146="Open",NOT(ISNUMBER($M146))),"Set action due date","")))))))</x:f>
      </x:c>
    </x:row>
    <x:row r="147" ht="26" customHeight="1">
      <x:c r="A147" s="791"/>
      <x:c r="B147" s="804"/>
      <x:c r="C147" s="791"/>
      <x:c r="D147" s="803" t="str">
        <x:f>IF($A147="","",IF($C147="","",IFERROR(INDEX(Clients!$B$6:$B$205,MATCH($C147,Clients!$A$6:$A$205,0)),"Client ID not found")))</x:f>
      </x:c>
      <x:c r="E147" s="791"/>
      <x:c r="F147" s="791"/>
      <x:c r="G147" s="791"/>
      <x:c r="H147" s="791"/>
      <x:c r="I147" s="791"/>
      <x:c r="J147" s="791"/>
      <x:c r="K147" s="791"/>
      <x:c r="L147" s="791"/>
      <x:c r="M147" s="794"/>
      <x:c r="N147" s="791"/>
      <x:c r="O147" s="791"/>
      <x:c r="P147" s="791"/>
      <x:c r="Q147" s="803" t="str">
        <x:f>IF($A147="","",IF(COUNTIF($A$6:$A$205,$A147)&gt;1,"Duplicate log ID",IF(COUNTIF(Clients!$A$6:$A$205,$C147)&lt;&gt;1,"Check Client ID",IF(NOT(ISNUMBER($B147)),"Add contact date",IF($E147="","Add channel",IF($H147="","Add summary",IF(AND($N147="Open",NOT(ISNUMBER($M147))),"Set action due date","")))))))</x:f>
      </x:c>
    </x:row>
    <x:row r="148" ht="26" customHeight="1">
      <x:c r="A148" s="791"/>
      <x:c r="B148" s="804"/>
      <x:c r="C148" s="791"/>
      <x:c r="D148" s="803" t="str">
        <x:f>IF($A148="","",IF($C148="","",IFERROR(INDEX(Clients!$B$6:$B$205,MATCH($C148,Clients!$A$6:$A$205,0)),"Client ID not found")))</x:f>
      </x:c>
      <x:c r="E148" s="791"/>
      <x:c r="F148" s="791"/>
      <x:c r="G148" s="791"/>
      <x:c r="H148" s="791"/>
      <x:c r="I148" s="791"/>
      <x:c r="J148" s="791"/>
      <x:c r="K148" s="791"/>
      <x:c r="L148" s="791"/>
      <x:c r="M148" s="794"/>
      <x:c r="N148" s="791"/>
      <x:c r="O148" s="791"/>
      <x:c r="P148" s="791"/>
      <x:c r="Q148" s="803" t="str">
        <x:f>IF($A148="","",IF(COUNTIF($A$6:$A$205,$A148)&gt;1,"Duplicate log ID",IF(COUNTIF(Clients!$A$6:$A$205,$C148)&lt;&gt;1,"Check Client ID",IF(NOT(ISNUMBER($B148)),"Add contact date",IF($E148="","Add channel",IF($H148="","Add summary",IF(AND($N148="Open",NOT(ISNUMBER($M148))),"Set action due date","")))))))</x:f>
      </x:c>
    </x:row>
    <x:row r="149" ht="26" customHeight="1">
      <x:c r="A149" s="791"/>
      <x:c r="B149" s="804"/>
      <x:c r="C149" s="791"/>
      <x:c r="D149" s="803" t="str">
        <x:f>IF($A149="","",IF($C149="","",IFERROR(INDEX(Clients!$B$6:$B$205,MATCH($C149,Clients!$A$6:$A$205,0)),"Client ID not found")))</x:f>
      </x:c>
      <x:c r="E149" s="791"/>
      <x:c r="F149" s="791"/>
      <x:c r="G149" s="791"/>
      <x:c r="H149" s="791"/>
      <x:c r="I149" s="791"/>
      <x:c r="J149" s="791"/>
      <x:c r="K149" s="791"/>
      <x:c r="L149" s="791"/>
      <x:c r="M149" s="794"/>
      <x:c r="N149" s="791"/>
      <x:c r="O149" s="791"/>
      <x:c r="P149" s="791"/>
      <x:c r="Q149" s="803" t="str">
        <x:f>IF($A149="","",IF(COUNTIF($A$6:$A$205,$A149)&gt;1,"Duplicate log ID",IF(COUNTIF(Clients!$A$6:$A$205,$C149)&lt;&gt;1,"Check Client ID",IF(NOT(ISNUMBER($B149)),"Add contact date",IF($E149="","Add channel",IF($H149="","Add summary",IF(AND($N149="Open",NOT(ISNUMBER($M149))),"Set action due date","")))))))</x:f>
      </x:c>
    </x:row>
    <x:row r="150" ht="26" customHeight="1">
      <x:c r="A150" s="791"/>
      <x:c r="B150" s="804"/>
      <x:c r="C150" s="791"/>
      <x:c r="D150" s="803" t="str">
        <x:f>IF($A150="","",IF($C150="","",IFERROR(INDEX(Clients!$B$6:$B$205,MATCH($C150,Clients!$A$6:$A$205,0)),"Client ID not found")))</x:f>
      </x:c>
      <x:c r="E150" s="791"/>
      <x:c r="F150" s="791"/>
      <x:c r="G150" s="791"/>
      <x:c r="H150" s="791"/>
      <x:c r="I150" s="791"/>
      <x:c r="J150" s="791"/>
      <x:c r="K150" s="791"/>
      <x:c r="L150" s="791"/>
      <x:c r="M150" s="794"/>
      <x:c r="N150" s="791"/>
      <x:c r="O150" s="791"/>
      <x:c r="P150" s="791"/>
      <x:c r="Q150" s="803" t="str">
        <x:f>IF($A150="","",IF(COUNTIF($A$6:$A$205,$A150)&gt;1,"Duplicate log ID",IF(COUNTIF(Clients!$A$6:$A$205,$C150)&lt;&gt;1,"Check Client ID",IF(NOT(ISNUMBER($B150)),"Add contact date",IF($E150="","Add channel",IF($H150="","Add summary",IF(AND($N150="Open",NOT(ISNUMBER($M150))),"Set action due date","")))))))</x:f>
      </x:c>
    </x:row>
    <x:row r="151" ht="26" customHeight="1">
      <x:c r="A151" s="791"/>
      <x:c r="B151" s="804"/>
      <x:c r="C151" s="791"/>
      <x:c r="D151" s="803" t="str">
        <x:f>IF($A151="","",IF($C151="","",IFERROR(INDEX(Clients!$B$6:$B$205,MATCH($C151,Clients!$A$6:$A$205,0)),"Client ID not found")))</x:f>
      </x:c>
      <x:c r="E151" s="791"/>
      <x:c r="F151" s="791"/>
      <x:c r="G151" s="791"/>
      <x:c r="H151" s="791"/>
      <x:c r="I151" s="791"/>
      <x:c r="J151" s="791"/>
      <x:c r="K151" s="791"/>
      <x:c r="L151" s="791"/>
      <x:c r="M151" s="794"/>
      <x:c r="N151" s="791"/>
      <x:c r="O151" s="791"/>
      <x:c r="P151" s="791"/>
      <x:c r="Q151" s="803" t="str">
        <x:f>IF($A151="","",IF(COUNTIF($A$6:$A$205,$A151)&gt;1,"Duplicate log ID",IF(COUNTIF(Clients!$A$6:$A$205,$C151)&lt;&gt;1,"Check Client ID",IF(NOT(ISNUMBER($B151)),"Add contact date",IF($E151="","Add channel",IF($H151="","Add summary",IF(AND($N151="Open",NOT(ISNUMBER($M151))),"Set action due date","")))))))</x:f>
      </x:c>
    </x:row>
    <x:row r="152" ht="26" customHeight="1">
      <x:c r="A152" s="791"/>
      <x:c r="B152" s="804"/>
      <x:c r="C152" s="791"/>
      <x:c r="D152" s="803" t="str">
        <x:f>IF($A152="","",IF($C152="","",IFERROR(INDEX(Clients!$B$6:$B$205,MATCH($C152,Clients!$A$6:$A$205,0)),"Client ID not found")))</x:f>
      </x:c>
      <x:c r="E152" s="791"/>
      <x:c r="F152" s="791"/>
      <x:c r="G152" s="791"/>
      <x:c r="H152" s="791"/>
      <x:c r="I152" s="791"/>
      <x:c r="J152" s="791"/>
      <x:c r="K152" s="791"/>
      <x:c r="L152" s="791"/>
      <x:c r="M152" s="794"/>
      <x:c r="N152" s="791"/>
      <x:c r="O152" s="791"/>
      <x:c r="P152" s="791"/>
      <x:c r="Q152" s="803" t="str">
        <x:f>IF($A152="","",IF(COUNTIF($A$6:$A$205,$A152)&gt;1,"Duplicate log ID",IF(COUNTIF(Clients!$A$6:$A$205,$C152)&lt;&gt;1,"Check Client ID",IF(NOT(ISNUMBER($B152)),"Add contact date",IF($E152="","Add channel",IF($H152="","Add summary",IF(AND($N152="Open",NOT(ISNUMBER($M152))),"Set action due date","")))))))</x:f>
      </x:c>
    </x:row>
    <x:row r="153" ht="26" customHeight="1">
      <x:c r="A153" s="791"/>
      <x:c r="B153" s="804"/>
      <x:c r="C153" s="791"/>
      <x:c r="D153" s="803" t="str">
        <x:f>IF($A153="","",IF($C153="","",IFERROR(INDEX(Clients!$B$6:$B$205,MATCH($C153,Clients!$A$6:$A$205,0)),"Client ID not found")))</x:f>
      </x:c>
      <x:c r="E153" s="791"/>
      <x:c r="F153" s="791"/>
      <x:c r="G153" s="791"/>
      <x:c r="H153" s="791"/>
      <x:c r="I153" s="791"/>
      <x:c r="J153" s="791"/>
      <x:c r="K153" s="791"/>
      <x:c r="L153" s="791"/>
      <x:c r="M153" s="794"/>
      <x:c r="N153" s="791"/>
      <x:c r="O153" s="791"/>
      <x:c r="P153" s="791"/>
      <x:c r="Q153" s="803" t="str">
        <x:f>IF($A153="","",IF(COUNTIF($A$6:$A$205,$A153)&gt;1,"Duplicate log ID",IF(COUNTIF(Clients!$A$6:$A$205,$C153)&lt;&gt;1,"Check Client ID",IF(NOT(ISNUMBER($B153)),"Add contact date",IF($E153="","Add channel",IF($H153="","Add summary",IF(AND($N153="Open",NOT(ISNUMBER($M153))),"Set action due date","")))))))</x:f>
      </x:c>
    </x:row>
    <x:row r="154" ht="26" customHeight="1">
      <x:c r="A154" s="791"/>
      <x:c r="B154" s="804"/>
      <x:c r="C154" s="791"/>
      <x:c r="D154" s="803" t="str">
        <x:f>IF($A154="","",IF($C154="","",IFERROR(INDEX(Clients!$B$6:$B$205,MATCH($C154,Clients!$A$6:$A$205,0)),"Client ID not found")))</x:f>
      </x:c>
      <x:c r="E154" s="791"/>
      <x:c r="F154" s="791"/>
      <x:c r="G154" s="791"/>
      <x:c r="H154" s="791"/>
      <x:c r="I154" s="791"/>
      <x:c r="J154" s="791"/>
      <x:c r="K154" s="791"/>
      <x:c r="L154" s="791"/>
      <x:c r="M154" s="794"/>
      <x:c r="N154" s="791"/>
      <x:c r="O154" s="791"/>
      <x:c r="P154" s="791"/>
      <x:c r="Q154" s="803" t="str">
        <x:f>IF($A154="","",IF(COUNTIF($A$6:$A$205,$A154)&gt;1,"Duplicate log ID",IF(COUNTIF(Clients!$A$6:$A$205,$C154)&lt;&gt;1,"Check Client ID",IF(NOT(ISNUMBER($B154)),"Add contact date",IF($E154="","Add channel",IF($H154="","Add summary",IF(AND($N154="Open",NOT(ISNUMBER($M154))),"Set action due date","")))))))</x:f>
      </x:c>
    </x:row>
    <x:row r="155" ht="26" customHeight="1">
      <x:c r="A155" s="791"/>
      <x:c r="B155" s="804"/>
      <x:c r="C155" s="791"/>
      <x:c r="D155" s="803" t="str">
        <x:f>IF($A155="","",IF($C155="","",IFERROR(INDEX(Clients!$B$6:$B$205,MATCH($C155,Clients!$A$6:$A$205,0)),"Client ID not found")))</x:f>
      </x:c>
      <x:c r="E155" s="791"/>
      <x:c r="F155" s="791"/>
      <x:c r="G155" s="791"/>
      <x:c r="H155" s="791"/>
      <x:c r="I155" s="791"/>
      <x:c r="J155" s="791"/>
      <x:c r="K155" s="791"/>
      <x:c r="L155" s="791"/>
      <x:c r="M155" s="794"/>
      <x:c r="N155" s="791"/>
      <x:c r="O155" s="791"/>
      <x:c r="P155" s="791"/>
      <x:c r="Q155" s="803" t="str">
        <x:f>IF($A155="","",IF(COUNTIF($A$6:$A$205,$A155)&gt;1,"Duplicate log ID",IF(COUNTIF(Clients!$A$6:$A$205,$C155)&lt;&gt;1,"Check Client ID",IF(NOT(ISNUMBER($B155)),"Add contact date",IF($E155="","Add channel",IF($H155="","Add summary",IF(AND($N155="Open",NOT(ISNUMBER($M155))),"Set action due date","")))))))</x:f>
      </x:c>
    </x:row>
    <x:row r="156" ht="26" customHeight="1">
      <x:c r="A156" s="791"/>
      <x:c r="B156" s="804"/>
      <x:c r="C156" s="791"/>
      <x:c r="D156" s="803" t="str">
        <x:f>IF($A156="","",IF($C156="","",IFERROR(INDEX(Clients!$B$6:$B$205,MATCH($C156,Clients!$A$6:$A$205,0)),"Client ID not found")))</x:f>
      </x:c>
      <x:c r="E156" s="791"/>
      <x:c r="F156" s="791"/>
      <x:c r="G156" s="791"/>
      <x:c r="H156" s="791"/>
      <x:c r="I156" s="791"/>
      <x:c r="J156" s="791"/>
      <x:c r="K156" s="791"/>
      <x:c r="L156" s="791"/>
      <x:c r="M156" s="794"/>
      <x:c r="N156" s="791"/>
      <x:c r="O156" s="791"/>
      <x:c r="P156" s="791"/>
      <x:c r="Q156" s="803" t="str">
        <x:f>IF($A156="","",IF(COUNTIF($A$6:$A$205,$A156)&gt;1,"Duplicate log ID",IF(COUNTIF(Clients!$A$6:$A$205,$C156)&lt;&gt;1,"Check Client ID",IF(NOT(ISNUMBER($B156)),"Add contact date",IF($E156="","Add channel",IF($H156="","Add summary",IF(AND($N156="Open",NOT(ISNUMBER($M156))),"Set action due date","")))))))</x:f>
      </x:c>
    </x:row>
    <x:row r="157" ht="26" customHeight="1">
      <x:c r="A157" s="791"/>
      <x:c r="B157" s="804"/>
      <x:c r="C157" s="791"/>
      <x:c r="D157" s="803" t="str">
        <x:f>IF($A157="","",IF($C157="","",IFERROR(INDEX(Clients!$B$6:$B$205,MATCH($C157,Clients!$A$6:$A$205,0)),"Client ID not found")))</x:f>
      </x:c>
      <x:c r="E157" s="791"/>
      <x:c r="F157" s="791"/>
      <x:c r="G157" s="791"/>
      <x:c r="H157" s="791"/>
      <x:c r="I157" s="791"/>
      <x:c r="J157" s="791"/>
      <x:c r="K157" s="791"/>
      <x:c r="L157" s="791"/>
      <x:c r="M157" s="794"/>
      <x:c r="N157" s="791"/>
      <x:c r="O157" s="791"/>
      <x:c r="P157" s="791"/>
      <x:c r="Q157" s="803" t="str">
        <x:f>IF($A157="","",IF(COUNTIF($A$6:$A$205,$A157)&gt;1,"Duplicate log ID",IF(COUNTIF(Clients!$A$6:$A$205,$C157)&lt;&gt;1,"Check Client ID",IF(NOT(ISNUMBER($B157)),"Add contact date",IF($E157="","Add channel",IF($H157="","Add summary",IF(AND($N157="Open",NOT(ISNUMBER($M157))),"Set action due date","")))))))</x:f>
      </x:c>
    </x:row>
    <x:row r="158" ht="26" customHeight="1">
      <x:c r="A158" s="791"/>
      <x:c r="B158" s="804"/>
      <x:c r="C158" s="791"/>
      <x:c r="D158" s="803" t="str">
        <x:f>IF($A158="","",IF($C158="","",IFERROR(INDEX(Clients!$B$6:$B$205,MATCH($C158,Clients!$A$6:$A$205,0)),"Client ID not found")))</x:f>
      </x:c>
      <x:c r="E158" s="791"/>
      <x:c r="F158" s="791"/>
      <x:c r="G158" s="791"/>
      <x:c r="H158" s="791"/>
      <x:c r="I158" s="791"/>
      <x:c r="J158" s="791"/>
      <x:c r="K158" s="791"/>
      <x:c r="L158" s="791"/>
      <x:c r="M158" s="794"/>
      <x:c r="N158" s="791"/>
      <x:c r="O158" s="791"/>
      <x:c r="P158" s="791"/>
      <x:c r="Q158" s="803" t="str">
        <x:f>IF($A158="","",IF(COUNTIF($A$6:$A$205,$A158)&gt;1,"Duplicate log ID",IF(COUNTIF(Clients!$A$6:$A$205,$C158)&lt;&gt;1,"Check Client ID",IF(NOT(ISNUMBER($B158)),"Add contact date",IF($E158="","Add channel",IF($H158="","Add summary",IF(AND($N158="Open",NOT(ISNUMBER($M158))),"Set action due date","")))))))</x:f>
      </x:c>
    </x:row>
    <x:row r="159" ht="26" customHeight="1">
      <x:c r="A159" s="791"/>
      <x:c r="B159" s="804"/>
      <x:c r="C159" s="791"/>
      <x:c r="D159" s="803" t="str">
        <x:f>IF($A159="","",IF($C159="","",IFERROR(INDEX(Clients!$B$6:$B$205,MATCH($C159,Clients!$A$6:$A$205,0)),"Client ID not found")))</x:f>
      </x:c>
      <x:c r="E159" s="791"/>
      <x:c r="F159" s="791"/>
      <x:c r="G159" s="791"/>
      <x:c r="H159" s="791"/>
      <x:c r="I159" s="791"/>
      <x:c r="J159" s="791"/>
      <x:c r="K159" s="791"/>
      <x:c r="L159" s="791"/>
      <x:c r="M159" s="794"/>
      <x:c r="N159" s="791"/>
      <x:c r="O159" s="791"/>
      <x:c r="P159" s="791"/>
      <x:c r="Q159" s="803" t="str">
        <x:f>IF($A159="","",IF(COUNTIF($A$6:$A$205,$A159)&gt;1,"Duplicate log ID",IF(COUNTIF(Clients!$A$6:$A$205,$C159)&lt;&gt;1,"Check Client ID",IF(NOT(ISNUMBER($B159)),"Add contact date",IF($E159="","Add channel",IF($H159="","Add summary",IF(AND($N159="Open",NOT(ISNUMBER($M159))),"Set action due date","")))))))</x:f>
      </x:c>
    </x:row>
    <x:row r="160" ht="26" customHeight="1">
      <x:c r="A160" s="791"/>
      <x:c r="B160" s="804"/>
      <x:c r="C160" s="791"/>
      <x:c r="D160" s="803" t="str">
        <x:f>IF($A160="","",IF($C160="","",IFERROR(INDEX(Clients!$B$6:$B$205,MATCH($C160,Clients!$A$6:$A$205,0)),"Client ID not found")))</x:f>
      </x:c>
      <x:c r="E160" s="791"/>
      <x:c r="F160" s="791"/>
      <x:c r="G160" s="791"/>
      <x:c r="H160" s="791"/>
      <x:c r="I160" s="791"/>
      <x:c r="J160" s="791"/>
      <x:c r="K160" s="791"/>
      <x:c r="L160" s="791"/>
      <x:c r="M160" s="794"/>
      <x:c r="N160" s="791"/>
      <x:c r="O160" s="791"/>
      <x:c r="P160" s="791"/>
      <x:c r="Q160" s="803" t="str">
        <x:f>IF($A160="","",IF(COUNTIF($A$6:$A$205,$A160)&gt;1,"Duplicate log ID",IF(COUNTIF(Clients!$A$6:$A$205,$C160)&lt;&gt;1,"Check Client ID",IF(NOT(ISNUMBER($B160)),"Add contact date",IF($E160="","Add channel",IF($H160="","Add summary",IF(AND($N160="Open",NOT(ISNUMBER($M160))),"Set action due date","")))))))</x:f>
      </x:c>
    </x:row>
    <x:row r="161" ht="26" customHeight="1">
      <x:c r="A161" s="791"/>
      <x:c r="B161" s="804"/>
      <x:c r="C161" s="791"/>
      <x:c r="D161" s="803" t="str">
        <x:f>IF($A161="","",IF($C161="","",IFERROR(INDEX(Clients!$B$6:$B$205,MATCH($C161,Clients!$A$6:$A$205,0)),"Client ID not found")))</x:f>
      </x:c>
      <x:c r="E161" s="791"/>
      <x:c r="F161" s="791"/>
      <x:c r="G161" s="791"/>
      <x:c r="H161" s="791"/>
      <x:c r="I161" s="791"/>
      <x:c r="J161" s="791"/>
      <x:c r="K161" s="791"/>
      <x:c r="L161" s="791"/>
      <x:c r="M161" s="794"/>
      <x:c r="N161" s="791"/>
      <x:c r="O161" s="791"/>
      <x:c r="P161" s="791"/>
      <x:c r="Q161" s="803" t="str">
        <x:f>IF($A161="","",IF(COUNTIF($A$6:$A$205,$A161)&gt;1,"Duplicate log ID",IF(COUNTIF(Clients!$A$6:$A$205,$C161)&lt;&gt;1,"Check Client ID",IF(NOT(ISNUMBER($B161)),"Add contact date",IF($E161="","Add channel",IF($H161="","Add summary",IF(AND($N161="Open",NOT(ISNUMBER($M161))),"Set action due date","")))))))</x:f>
      </x:c>
    </x:row>
    <x:row r="162" ht="26" customHeight="1">
      <x:c r="A162" s="791"/>
      <x:c r="B162" s="804"/>
      <x:c r="C162" s="791"/>
      <x:c r="D162" s="803" t="str">
        <x:f>IF($A162="","",IF($C162="","",IFERROR(INDEX(Clients!$B$6:$B$205,MATCH($C162,Clients!$A$6:$A$205,0)),"Client ID not found")))</x:f>
      </x:c>
      <x:c r="E162" s="791"/>
      <x:c r="F162" s="791"/>
      <x:c r="G162" s="791"/>
      <x:c r="H162" s="791"/>
      <x:c r="I162" s="791"/>
      <x:c r="J162" s="791"/>
      <x:c r="K162" s="791"/>
      <x:c r="L162" s="791"/>
      <x:c r="M162" s="794"/>
      <x:c r="N162" s="791"/>
      <x:c r="O162" s="791"/>
      <x:c r="P162" s="791"/>
      <x:c r="Q162" s="803" t="str">
        <x:f>IF($A162="","",IF(COUNTIF($A$6:$A$205,$A162)&gt;1,"Duplicate log ID",IF(COUNTIF(Clients!$A$6:$A$205,$C162)&lt;&gt;1,"Check Client ID",IF(NOT(ISNUMBER($B162)),"Add contact date",IF($E162="","Add channel",IF($H162="","Add summary",IF(AND($N162="Open",NOT(ISNUMBER($M162))),"Set action due date","")))))))</x:f>
      </x:c>
    </x:row>
    <x:row r="163" ht="26" customHeight="1">
      <x:c r="A163" s="791"/>
      <x:c r="B163" s="804"/>
      <x:c r="C163" s="791"/>
      <x:c r="D163" s="803" t="str">
        <x:f>IF($A163="","",IF($C163="","",IFERROR(INDEX(Clients!$B$6:$B$205,MATCH($C163,Clients!$A$6:$A$205,0)),"Client ID not found")))</x:f>
      </x:c>
      <x:c r="E163" s="791"/>
      <x:c r="F163" s="791"/>
      <x:c r="G163" s="791"/>
      <x:c r="H163" s="791"/>
      <x:c r="I163" s="791"/>
      <x:c r="J163" s="791"/>
      <x:c r="K163" s="791"/>
      <x:c r="L163" s="791"/>
      <x:c r="M163" s="794"/>
      <x:c r="N163" s="791"/>
      <x:c r="O163" s="791"/>
      <x:c r="P163" s="791"/>
      <x:c r="Q163" s="803" t="str">
        <x:f>IF($A163="","",IF(COUNTIF($A$6:$A$205,$A163)&gt;1,"Duplicate log ID",IF(COUNTIF(Clients!$A$6:$A$205,$C163)&lt;&gt;1,"Check Client ID",IF(NOT(ISNUMBER($B163)),"Add contact date",IF($E163="","Add channel",IF($H163="","Add summary",IF(AND($N163="Open",NOT(ISNUMBER($M163))),"Set action due date","")))))))</x:f>
      </x:c>
    </x:row>
    <x:row r="164" ht="26" customHeight="1">
      <x:c r="A164" s="791"/>
      <x:c r="B164" s="804"/>
      <x:c r="C164" s="791"/>
      <x:c r="D164" s="803" t="str">
        <x:f>IF($A164="","",IF($C164="","",IFERROR(INDEX(Clients!$B$6:$B$205,MATCH($C164,Clients!$A$6:$A$205,0)),"Client ID not found")))</x:f>
      </x:c>
      <x:c r="E164" s="791"/>
      <x:c r="F164" s="791"/>
      <x:c r="G164" s="791"/>
      <x:c r="H164" s="791"/>
      <x:c r="I164" s="791"/>
      <x:c r="J164" s="791"/>
      <x:c r="K164" s="791"/>
      <x:c r="L164" s="791"/>
      <x:c r="M164" s="794"/>
      <x:c r="N164" s="791"/>
      <x:c r="O164" s="791"/>
      <x:c r="P164" s="791"/>
      <x:c r="Q164" s="803" t="str">
        <x:f>IF($A164="","",IF(COUNTIF($A$6:$A$205,$A164)&gt;1,"Duplicate log ID",IF(COUNTIF(Clients!$A$6:$A$205,$C164)&lt;&gt;1,"Check Client ID",IF(NOT(ISNUMBER($B164)),"Add contact date",IF($E164="","Add channel",IF($H164="","Add summary",IF(AND($N164="Open",NOT(ISNUMBER($M164))),"Set action due date","")))))))</x:f>
      </x:c>
    </x:row>
    <x:row r="165" ht="26" customHeight="1">
      <x:c r="A165" s="791"/>
      <x:c r="B165" s="804"/>
      <x:c r="C165" s="791"/>
      <x:c r="D165" s="803" t="str">
        <x:f>IF($A165="","",IF($C165="","",IFERROR(INDEX(Clients!$B$6:$B$205,MATCH($C165,Clients!$A$6:$A$205,0)),"Client ID not found")))</x:f>
      </x:c>
      <x:c r="E165" s="791"/>
      <x:c r="F165" s="791"/>
      <x:c r="G165" s="791"/>
      <x:c r="H165" s="791"/>
      <x:c r="I165" s="791"/>
      <x:c r="J165" s="791"/>
      <x:c r="K165" s="791"/>
      <x:c r="L165" s="791"/>
      <x:c r="M165" s="794"/>
      <x:c r="N165" s="791"/>
      <x:c r="O165" s="791"/>
      <x:c r="P165" s="791"/>
      <x:c r="Q165" s="803" t="str">
        <x:f>IF($A165="","",IF(COUNTIF($A$6:$A$205,$A165)&gt;1,"Duplicate log ID",IF(COUNTIF(Clients!$A$6:$A$205,$C165)&lt;&gt;1,"Check Client ID",IF(NOT(ISNUMBER($B165)),"Add contact date",IF($E165="","Add channel",IF($H165="","Add summary",IF(AND($N165="Open",NOT(ISNUMBER($M165))),"Set action due date","")))))))</x:f>
      </x:c>
    </x:row>
    <x:row r="166" ht="26" customHeight="1">
      <x:c r="A166" s="791"/>
      <x:c r="B166" s="804"/>
      <x:c r="C166" s="791"/>
      <x:c r="D166" s="803" t="str">
        <x:f>IF($A166="","",IF($C166="","",IFERROR(INDEX(Clients!$B$6:$B$205,MATCH($C166,Clients!$A$6:$A$205,0)),"Client ID not found")))</x:f>
      </x:c>
      <x:c r="E166" s="791"/>
      <x:c r="F166" s="791"/>
      <x:c r="G166" s="791"/>
      <x:c r="H166" s="791"/>
      <x:c r="I166" s="791"/>
      <x:c r="J166" s="791"/>
      <x:c r="K166" s="791"/>
      <x:c r="L166" s="791"/>
      <x:c r="M166" s="794"/>
      <x:c r="N166" s="791"/>
      <x:c r="O166" s="791"/>
      <x:c r="P166" s="791"/>
      <x:c r="Q166" s="803" t="str">
        <x:f>IF($A166="","",IF(COUNTIF($A$6:$A$205,$A166)&gt;1,"Duplicate log ID",IF(COUNTIF(Clients!$A$6:$A$205,$C166)&lt;&gt;1,"Check Client ID",IF(NOT(ISNUMBER($B166)),"Add contact date",IF($E166="","Add channel",IF($H166="","Add summary",IF(AND($N166="Open",NOT(ISNUMBER($M166))),"Set action due date","")))))))</x:f>
      </x:c>
    </x:row>
    <x:row r="167" ht="26" customHeight="1">
      <x:c r="A167" s="791"/>
      <x:c r="B167" s="804"/>
      <x:c r="C167" s="791"/>
      <x:c r="D167" s="803" t="str">
        <x:f>IF($A167="","",IF($C167="","",IFERROR(INDEX(Clients!$B$6:$B$205,MATCH($C167,Clients!$A$6:$A$205,0)),"Client ID not found")))</x:f>
      </x:c>
      <x:c r="E167" s="791"/>
      <x:c r="F167" s="791"/>
      <x:c r="G167" s="791"/>
      <x:c r="H167" s="791"/>
      <x:c r="I167" s="791"/>
      <x:c r="J167" s="791"/>
      <x:c r="K167" s="791"/>
      <x:c r="L167" s="791"/>
      <x:c r="M167" s="794"/>
      <x:c r="N167" s="791"/>
      <x:c r="O167" s="791"/>
      <x:c r="P167" s="791"/>
      <x:c r="Q167" s="803" t="str">
        <x:f>IF($A167="","",IF(COUNTIF($A$6:$A$205,$A167)&gt;1,"Duplicate log ID",IF(COUNTIF(Clients!$A$6:$A$205,$C167)&lt;&gt;1,"Check Client ID",IF(NOT(ISNUMBER($B167)),"Add contact date",IF($E167="","Add channel",IF($H167="","Add summary",IF(AND($N167="Open",NOT(ISNUMBER($M167))),"Set action due date","")))))))</x:f>
      </x:c>
    </x:row>
    <x:row r="168" ht="26" customHeight="1">
      <x:c r="A168" s="791"/>
      <x:c r="B168" s="804"/>
      <x:c r="C168" s="791"/>
      <x:c r="D168" s="803" t="str">
        <x:f>IF($A168="","",IF($C168="","",IFERROR(INDEX(Clients!$B$6:$B$205,MATCH($C168,Clients!$A$6:$A$205,0)),"Client ID not found")))</x:f>
      </x:c>
      <x:c r="E168" s="791"/>
      <x:c r="F168" s="791"/>
      <x:c r="G168" s="791"/>
      <x:c r="H168" s="791"/>
      <x:c r="I168" s="791"/>
      <x:c r="J168" s="791"/>
      <x:c r="K168" s="791"/>
      <x:c r="L168" s="791"/>
      <x:c r="M168" s="794"/>
      <x:c r="N168" s="791"/>
      <x:c r="O168" s="791"/>
      <x:c r="P168" s="791"/>
      <x:c r="Q168" s="803" t="str">
        <x:f>IF($A168="","",IF(COUNTIF($A$6:$A$205,$A168)&gt;1,"Duplicate log ID",IF(COUNTIF(Clients!$A$6:$A$205,$C168)&lt;&gt;1,"Check Client ID",IF(NOT(ISNUMBER($B168)),"Add contact date",IF($E168="","Add channel",IF($H168="","Add summary",IF(AND($N168="Open",NOT(ISNUMBER($M168))),"Set action due date","")))))))</x:f>
      </x:c>
    </x:row>
    <x:row r="169" ht="26" customHeight="1">
      <x:c r="A169" s="791"/>
      <x:c r="B169" s="804"/>
      <x:c r="C169" s="791"/>
      <x:c r="D169" s="803" t="str">
        <x:f>IF($A169="","",IF($C169="","",IFERROR(INDEX(Clients!$B$6:$B$205,MATCH($C169,Clients!$A$6:$A$205,0)),"Client ID not found")))</x:f>
      </x:c>
      <x:c r="E169" s="791"/>
      <x:c r="F169" s="791"/>
      <x:c r="G169" s="791"/>
      <x:c r="H169" s="791"/>
      <x:c r="I169" s="791"/>
      <x:c r="J169" s="791"/>
      <x:c r="K169" s="791"/>
      <x:c r="L169" s="791"/>
      <x:c r="M169" s="794"/>
      <x:c r="N169" s="791"/>
      <x:c r="O169" s="791"/>
      <x:c r="P169" s="791"/>
      <x:c r="Q169" s="803" t="str">
        <x:f>IF($A169="","",IF(COUNTIF($A$6:$A$205,$A169)&gt;1,"Duplicate log ID",IF(COUNTIF(Clients!$A$6:$A$205,$C169)&lt;&gt;1,"Check Client ID",IF(NOT(ISNUMBER($B169)),"Add contact date",IF($E169="","Add channel",IF($H169="","Add summary",IF(AND($N169="Open",NOT(ISNUMBER($M169))),"Set action due date","")))))))</x:f>
      </x:c>
    </x:row>
    <x:row r="170" ht="26" customHeight="1">
      <x:c r="A170" s="791"/>
      <x:c r="B170" s="804"/>
      <x:c r="C170" s="791"/>
      <x:c r="D170" s="803" t="str">
        <x:f>IF($A170="","",IF($C170="","",IFERROR(INDEX(Clients!$B$6:$B$205,MATCH($C170,Clients!$A$6:$A$205,0)),"Client ID not found")))</x:f>
      </x:c>
      <x:c r="E170" s="791"/>
      <x:c r="F170" s="791"/>
      <x:c r="G170" s="791"/>
      <x:c r="H170" s="791"/>
      <x:c r="I170" s="791"/>
      <x:c r="J170" s="791"/>
      <x:c r="K170" s="791"/>
      <x:c r="L170" s="791"/>
      <x:c r="M170" s="794"/>
      <x:c r="N170" s="791"/>
      <x:c r="O170" s="791"/>
      <x:c r="P170" s="791"/>
      <x:c r="Q170" s="803" t="str">
        <x:f>IF($A170="","",IF(COUNTIF($A$6:$A$205,$A170)&gt;1,"Duplicate log ID",IF(COUNTIF(Clients!$A$6:$A$205,$C170)&lt;&gt;1,"Check Client ID",IF(NOT(ISNUMBER($B170)),"Add contact date",IF($E170="","Add channel",IF($H170="","Add summary",IF(AND($N170="Open",NOT(ISNUMBER($M170))),"Set action due date","")))))))</x:f>
      </x:c>
    </x:row>
    <x:row r="171" ht="26" customHeight="1">
      <x:c r="A171" s="791"/>
      <x:c r="B171" s="804"/>
      <x:c r="C171" s="791"/>
      <x:c r="D171" s="803" t="str">
        <x:f>IF($A171="","",IF($C171="","",IFERROR(INDEX(Clients!$B$6:$B$205,MATCH($C171,Clients!$A$6:$A$205,0)),"Client ID not found")))</x:f>
      </x:c>
      <x:c r="E171" s="791"/>
      <x:c r="F171" s="791"/>
      <x:c r="G171" s="791"/>
      <x:c r="H171" s="791"/>
      <x:c r="I171" s="791"/>
      <x:c r="J171" s="791"/>
      <x:c r="K171" s="791"/>
      <x:c r="L171" s="791"/>
      <x:c r="M171" s="794"/>
      <x:c r="N171" s="791"/>
      <x:c r="O171" s="791"/>
      <x:c r="P171" s="791"/>
      <x:c r="Q171" s="803" t="str">
        <x:f>IF($A171="","",IF(COUNTIF($A$6:$A$205,$A171)&gt;1,"Duplicate log ID",IF(COUNTIF(Clients!$A$6:$A$205,$C171)&lt;&gt;1,"Check Client ID",IF(NOT(ISNUMBER($B171)),"Add contact date",IF($E171="","Add channel",IF($H171="","Add summary",IF(AND($N171="Open",NOT(ISNUMBER($M171))),"Set action due date","")))))))</x:f>
      </x:c>
    </x:row>
    <x:row r="172" ht="26" customHeight="1">
      <x:c r="A172" s="791"/>
      <x:c r="B172" s="804"/>
      <x:c r="C172" s="791"/>
      <x:c r="D172" s="803" t="str">
        <x:f>IF($A172="","",IF($C172="","",IFERROR(INDEX(Clients!$B$6:$B$205,MATCH($C172,Clients!$A$6:$A$205,0)),"Client ID not found")))</x:f>
      </x:c>
      <x:c r="E172" s="791"/>
      <x:c r="F172" s="791"/>
      <x:c r="G172" s="791"/>
      <x:c r="H172" s="791"/>
      <x:c r="I172" s="791"/>
      <x:c r="J172" s="791"/>
      <x:c r="K172" s="791"/>
      <x:c r="L172" s="791"/>
      <x:c r="M172" s="794"/>
      <x:c r="N172" s="791"/>
      <x:c r="O172" s="791"/>
      <x:c r="P172" s="791"/>
      <x:c r="Q172" s="803" t="str">
        <x:f>IF($A172="","",IF(COUNTIF($A$6:$A$205,$A172)&gt;1,"Duplicate log ID",IF(COUNTIF(Clients!$A$6:$A$205,$C172)&lt;&gt;1,"Check Client ID",IF(NOT(ISNUMBER($B172)),"Add contact date",IF($E172="","Add channel",IF($H172="","Add summary",IF(AND($N172="Open",NOT(ISNUMBER($M172))),"Set action due date","")))))))</x:f>
      </x:c>
    </x:row>
    <x:row r="173" ht="26" customHeight="1">
      <x:c r="A173" s="791"/>
      <x:c r="B173" s="804"/>
      <x:c r="C173" s="791"/>
      <x:c r="D173" s="803" t="str">
        <x:f>IF($A173="","",IF($C173="","",IFERROR(INDEX(Clients!$B$6:$B$205,MATCH($C173,Clients!$A$6:$A$205,0)),"Client ID not found")))</x:f>
      </x:c>
      <x:c r="E173" s="791"/>
      <x:c r="F173" s="791"/>
      <x:c r="G173" s="791"/>
      <x:c r="H173" s="791"/>
      <x:c r="I173" s="791"/>
      <x:c r="J173" s="791"/>
      <x:c r="K173" s="791"/>
      <x:c r="L173" s="791"/>
      <x:c r="M173" s="794"/>
      <x:c r="N173" s="791"/>
      <x:c r="O173" s="791"/>
      <x:c r="P173" s="791"/>
      <x:c r="Q173" s="803" t="str">
        <x:f>IF($A173="","",IF(COUNTIF($A$6:$A$205,$A173)&gt;1,"Duplicate log ID",IF(COUNTIF(Clients!$A$6:$A$205,$C173)&lt;&gt;1,"Check Client ID",IF(NOT(ISNUMBER($B173)),"Add contact date",IF($E173="","Add channel",IF($H173="","Add summary",IF(AND($N173="Open",NOT(ISNUMBER($M173))),"Set action due date","")))))))</x:f>
      </x:c>
    </x:row>
    <x:row r="174" ht="26" customHeight="1">
      <x:c r="A174" s="791"/>
      <x:c r="B174" s="804"/>
      <x:c r="C174" s="791"/>
      <x:c r="D174" s="803" t="str">
        <x:f>IF($A174="","",IF($C174="","",IFERROR(INDEX(Clients!$B$6:$B$205,MATCH($C174,Clients!$A$6:$A$205,0)),"Client ID not found")))</x:f>
      </x:c>
      <x:c r="E174" s="791"/>
      <x:c r="F174" s="791"/>
      <x:c r="G174" s="791"/>
      <x:c r="H174" s="791"/>
      <x:c r="I174" s="791"/>
      <x:c r="J174" s="791"/>
      <x:c r="K174" s="791"/>
      <x:c r="L174" s="791"/>
      <x:c r="M174" s="794"/>
      <x:c r="N174" s="791"/>
      <x:c r="O174" s="791"/>
      <x:c r="P174" s="791"/>
      <x:c r="Q174" s="803" t="str">
        <x:f>IF($A174="","",IF(COUNTIF($A$6:$A$205,$A174)&gt;1,"Duplicate log ID",IF(COUNTIF(Clients!$A$6:$A$205,$C174)&lt;&gt;1,"Check Client ID",IF(NOT(ISNUMBER($B174)),"Add contact date",IF($E174="","Add channel",IF($H174="","Add summary",IF(AND($N174="Open",NOT(ISNUMBER($M174))),"Set action due date","")))))))</x:f>
      </x:c>
    </x:row>
    <x:row r="175" ht="26" customHeight="1">
      <x:c r="A175" s="791"/>
      <x:c r="B175" s="804"/>
      <x:c r="C175" s="791"/>
      <x:c r="D175" s="803" t="str">
        <x:f>IF($A175="","",IF($C175="","",IFERROR(INDEX(Clients!$B$6:$B$205,MATCH($C175,Clients!$A$6:$A$205,0)),"Client ID not found")))</x:f>
      </x:c>
      <x:c r="E175" s="791"/>
      <x:c r="F175" s="791"/>
      <x:c r="G175" s="791"/>
      <x:c r="H175" s="791"/>
      <x:c r="I175" s="791"/>
      <x:c r="J175" s="791"/>
      <x:c r="K175" s="791"/>
      <x:c r="L175" s="791"/>
      <x:c r="M175" s="794"/>
      <x:c r="N175" s="791"/>
      <x:c r="O175" s="791"/>
      <x:c r="P175" s="791"/>
      <x:c r="Q175" s="803" t="str">
        <x:f>IF($A175="","",IF(COUNTIF($A$6:$A$205,$A175)&gt;1,"Duplicate log ID",IF(COUNTIF(Clients!$A$6:$A$205,$C175)&lt;&gt;1,"Check Client ID",IF(NOT(ISNUMBER($B175)),"Add contact date",IF($E175="","Add channel",IF($H175="","Add summary",IF(AND($N175="Open",NOT(ISNUMBER($M175))),"Set action due date","")))))))</x:f>
      </x:c>
    </x:row>
    <x:row r="176" ht="26" customHeight="1">
      <x:c r="A176" s="791"/>
      <x:c r="B176" s="804"/>
      <x:c r="C176" s="791"/>
      <x:c r="D176" s="803" t="str">
        <x:f>IF($A176="","",IF($C176="","",IFERROR(INDEX(Clients!$B$6:$B$205,MATCH($C176,Clients!$A$6:$A$205,0)),"Client ID not found")))</x:f>
      </x:c>
      <x:c r="E176" s="791"/>
      <x:c r="F176" s="791"/>
      <x:c r="G176" s="791"/>
      <x:c r="H176" s="791"/>
      <x:c r="I176" s="791"/>
      <x:c r="J176" s="791"/>
      <x:c r="K176" s="791"/>
      <x:c r="L176" s="791"/>
      <x:c r="M176" s="794"/>
      <x:c r="N176" s="791"/>
      <x:c r="O176" s="791"/>
      <x:c r="P176" s="791"/>
      <x:c r="Q176" s="803" t="str">
        <x:f>IF($A176="","",IF(COUNTIF($A$6:$A$205,$A176)&gt;1,"Duplicate log ID",IF(COUNTIF(Clients!$A$6:$A$205,$C176)&lt;&gt;1,"Check Client ID",IF(NOT(ISNUMBER($B176)),"Add contact date",IF($E176="","Add channel",IF($H176="","Add summary",IF(AND($N176="Open",NOT(ISNUMBER($M176))),"Set action due date","")))))))</x:f>
      </x:c>
    </x:row>
    <x:row r="177" ht="26" customHeight="1">
      <x:c r="A177" s="791"/>
      <x:c r="B177" s="804"/>
      <x:c r="C177" s="791"/>
      <x:c r="D177" s="803" t="str">
        <x:f>IF($A177="","",IF($C177="","",IFERROR(INDEX(Clients!$B$6:$B$205,MATCH($C177,Clients!$A$6:$A$205,0)),"Client ID not found")))</x:f>
      </x:c>
      <x:c r="E177" s="791"/>
      <x:c r="F177" s="791"/>
      <x:c r="G177" s="791"/>
      <x:c r="H177" s="791"/>
      <x:c r="I177" s="791"/>
      <x:c r="J177" s="791"/>
      <x:c r="K177" s="791"/>
      <x:c r="L177" s="791"/>
      <x:c r="M177" s="794"/>
      <x:c r="N177" s="791"/>
      <x:c r="O177" s="791"/>
      <x:c r="P177" s="791"/>
      <x:c r="Q177" s="803" t="str">
        <x:f>IF($A177="","",IF(COUNTIF($A$6:$A$205,$A177)&gt;1,"Duplicate log ID",IF(COUNTIF(Clients!$A$6:$A$205,$C177)&lt;&gt;1,"Check Client ID",IF(NOT(ISNUMBER($B177)),"Add contact date",IF($E177="","Add channel",IF($H177="","Add summary",IF(AND($N177="Open",NOT(ISNUMBER($M177))),"Set action due date","")))))))</x:f>
      </x:c>
    </x:row>
    <x:row r="178" ht="26" customHeight="1">
      <x:c r="A178" s="791"/>
      <x:c r="B178" s="804"/>
      <x:c r="C178" s="791"/>
      <x:c r="D178" s="803" t="str">
        <x:f>IF($A178="","",IF($C178="","",IFERROR(INDEX(Clients!$B$6:$B$205,MATCH($C178,Clients!$A$6:$A$205,0)),"Client ID not found")))</x:f>
      </x:c>
      <x:c r="E178" s="791"/>
      <x:c r="F178" s="791"/>
      <x:c r="G178" s="791"/>
      <x:c r="H178" s="791"/>
      <x:c r="I178" s="791"/>
      <x:c r="J178" s="791"/>
      <x:c r="K178" s="791"/>
      <x:c r="L178" s="791"/>
      <x:c r="M178" s="794"/>
      <x:c r="N178" s="791"/>
      <x:c r="O178" s="791"/>
      <x:c r="P178" s="791"/>
      <x:c r="Q178" s="803" t="str">
        <x:f>IF($A178="","",IF(COUNTIF($A$6:$A$205,$A178)&gt;1,"Duplicate log ID",IF(COUNTIF(Clients!$A$6:$A$205,$C178)&lt;&gt;1,"Check Client ID",IF(NOT(ISNUMBER($B178)),"Add contact date",IF($E178="","Add channel",IF($H178="","Add summary",IF(AND($N178="Open",NOT(ISNUMBER($M178))),"Set action due date","")))))))</x:f>
      </x:c>
    </x:row>
    <x:row r="179" ht="26" customHeight="1">
      <x:c r="A179" s="791"/>
      <x:c r="B179" s="804"/>
      <x:c r="C179" s="791"/>
      <x:c r="D179" s="803" t="str">
        <x:f>IF($A179="","",IF($C179="","",IFERROR(INDEX(Clients!$B$6:$B$205,MATCH($C179,Clients!$A$6:$A$205,0)),"Client ID not found")))</x:f>
      </x:c>
      <x:c r="E179" s="791"/>
      <x:c r="F179" s="791"/>
      <x:c r="G179" s="791"/>
      <x:c r="H179" s="791"/>
      <x:c r="I179" s="791"/>
      <x:c r="J179" s="791"/>
      <x:c r="K179" s="791"/>
      <x:c r="L179" s="791"/>
      <x:c r="M179" s="794"/>
      <x:c r="N179" s="791"/>
      <x:c r="O179" s="791"/>
      <x:c r="P179" s="791"/>
      <x:c r="Q179" s="803" t="str">
        <x:f>IF($A179="","",IF(COUNTIF($A$6:$A$205,$A179)&gt;1,"Duplicate log ID",IF(COUNTIF(Clients!$A$6:$A$205,$C179)&lt;&gt;1,"Check Client ID",IF(NOT(ISNUMBER($B179)),"Add contact date",IF($E179="","Add channel",IF($H179="","Add summary",IF(AND($N179="Open",NOT(ISNUMBER($M179))),"Set action due date","")))))))</x:f>
      </x:c>
    </x:row>
    <x:row r="180" ht="26" customHeight="1">
      <x:c r="A180" s="791"/>
      <x:c r="B180" s="804"/>
      <x:c r="C180" s="791"/>
      <x:c r="D180" s="803" t="str">
        <x:f>IF($A180="","",IF($C180="","",IFERROR(INDEX(Clients!$B$6:$B$205,MATCH($C180,Clients!$A$6:$A$205,0)),"Client ID not found")))</x:f>
      </x:c>
      <x:c r="E180" s="791"/>
      <x:c r="F180" s="791"/>
      <x:c r="G180" s="791"/>
      <x:c r="H180" s="791"/>
      <x:c r="I180" s="791"/>
      <x:c r="J180" s="791"/>
      <x:c r="K180" s="791"/>
      <x:c r="L180" s="791"/>
      <x:c r="M180" s="794"/>
      <x:c r="N180" s="791"/>
      <x:c r="O180" s="791"/>
      <x:c r="P180" s="791"/>
      <x:c r="Q180" s="803" t="str">
        <x:f>IF($A180="","",IF(COUNTIF($A$6:$A$205,$A180)&gt;1,"Duplicate log ID",IF(COUNTIF(Clients!$A$6:$A$205,$C180)&lt;&gt;1,"Check Client ID",IF(NOT(ISNUMBER($B180)),"Add contact date",IF($E180="","Add channel",IF($H180="","Add summary",IF(AND($N180="Open",NOT(ISNUMBER($M180))),"Set action due date","")))))))</x:f>
      </x:c>
    </x:row>
    <x:row r="181" ht="26" customHeight="1">
      <x:c r="A181" s="791"/>
      <x:c r="B181" s="804"/>
      <x:c r="C181" s="791"/>
      <x:c r="D181" s="803" t="str">
        <x:f>IF($A181="","",IF($C181="","",IFERROR(INDEX(Clients!$B$6:$B$205,MATCH($C181,Clients!$A$6:$A$205,0)),"Client ID not found")))</x:f>
      </x:c>
      <x:c r="E181" s="791"/>
      <x:c r="F181" s="791"/>
      <x:c r="G181" s="791"/>
      <x:c r="H181" s="791"/>
      <x:c r="I181" s="791"/>
      <x:c r="J181" s="791"/>
      <x:c r="K181" s="791"/>
      <x:c r="L181" s="791"/>
      <x:c r="M181" s="794"/>
      <x:c r="N181" s="791"/>
      <x:c r="O181" s="791"/>
      <x:c r="P181" s="791"/>
      <x:c r="Q181" s="803" t="str">
        <x:f>IF($A181="","",IF(COUNTIF($A$6:$A$205,$A181)&gt;1,"Duplicate log ID",IF(COUNTIF(Clients!$A$6:$A$205,$C181)&lt;&gt;1,"Check Client ID",IF(NOT(ISNUMBER($B181)),"Add contact date",IF($E181="","Add channel",IF($H181="","Add summary",IF(AND($N181="Open",NOT(ISNUMBER($M181))),"Set action due date","")))))))</x:f>
      </x:c>
    </x:row>
    <x:row r="182" ht="26" customHeight="1">
      <x:c r="A182" s="791"/>
      <x:c r="B182" s="804"/>
      <x:c r="C182" s="791"/>
      <x:c r="D182" s="803" t="str">
        <x:f>IF($A182="","",IF($C182="","",IFERROR(INDEX(Clients!$B$6:$B$205,MATCH($C182,Clients!$A$6:$A$205,0)),"Client ID not found")))</x:f>
      </x:c>
      <x:c r="E182" s="791"/>
      <x:c r="F182" s="791"/>
      <x:c r="G182" s="791"/>
      <x:c r="H182" s="791"/>
      <x:c r="I182" s="791"/>
      <x:c r="J182" s="791"/>
      <x:c r="K182" s="791"/>
      <x:c r="L182" s="791"/>
      <x:c r="M182" s="794"/>
      <x:c r="N182" s="791"/>
      <x:c r="O182" s="791"/>
      <x:c r="P182" s="791"/>
      <x:c r="Q182" s="803" t="str">
        <x:f>IF($A182="","",IF(COUNTIF($A$6:$A$205,$A182)&gt;1,"Duplicate log ID",IF(COUNTIF(Clients!$A$6:$A$205,$C182)&lt;&gt;1,"Check Client ID",IF(NOT(ISNUMBER($B182)),"Add contact date",IF($E182="","Add channel",IF($H182="","Add summary",IF(AND($N182="Open",NOT(ISNUMBER($M182))),"Set action due date","")))))))</x:f>
      </x:c>
    </x:row>
    <x:row r="183" ht="26" customHeight="1">
      <x:c r="A183" s="791"/>
      <x:c r="B183" s="804"/>
      <x:c r="C183" s="791"/>
      <x:c r="D183" s="803" t="str">
        <x:f>IF($A183="","",IF($C183="","",IFERROR(INDEX(Clients!$B$6:$B$205,MATCH($C183,Clients!$A$6:$A$205,0)),"Client ID not found")))</x:f>
      </x:c>
      <x:c r="E183" s="791"/>
      <x:c r="F183" s="791"/>
      <x:c r="G183" s="791"/>
      <x:c r="H183" s="791"/>
      <x:c r="I183" s="791"/>
      <x:c r="J183" s="791"/>
      <x:c r="K183" s="791"/>
      <x:c r="L183" s="791"/>
      <x:c r="M183" s="794"/>
      <x:c r="N183" s="791"/>
      <x:c r="O183" s="791"/>
      <x:c r="P183" s="791"/>
      <x:c r="Q183" s="803" t="str">
        <x:f>IF($A183="","",IF(COUNTIF($A$6:$A$205,$A183)&gt;1,"Duplicate log ID",IF(COUNTIF(Clients!$A$6:$A$205,$C183)&lt;&gt;1,"Check Client ID",IF(NOT(ISNUMBER($B183)),"Add contact date",IF($E183="","Add channel",IF($H183="","Add summary",IF(AND($N183="Open",NOT(ISNUMBER($M183))),"Set action due date","")))))))</x:f>
      </x:c>
    </x:row>
    <x:row r="184" ht="26" customHeight="1">
      <x:c r="A184" s="791"/>
      <x:c r="B184" s="804"/>
      <x:c r="C184" s="791"/>
      <x:c r="D184" s="803" t="str">
        <x:f>IF($A184="","",IF($C184="","",IFERROR(INDEX(Clients!$B$6:$B$205,MATCH($C184,Clients!$A$6:$A$205,0)),"Client ID not found")))</x:f>
      </x:c>
      <x:c r="E184" s="791"/>
      <x:c r="F184" s="791"/>
      <x:c r="G184" s="791"/>
      <x:c r="H184" s="791"/>
      <x:c r="I184" s="791"/>
      <x:c r="J184" s="791"/>
      <x:c r="K184" s="791"/>
      <x:c r="L184" s="791"/>
      <x:c r="M184" s="794"/>
      <x:c r="N184" s="791"/>
      <x:c r="O184" s="791"/>
      <x:c r="P184" s="791"/>
      <x:c r="Q184" s="803" t="str">
        <x:f>IF($A184="","",IF(COUNTIF($A$6:$A$205,$A184)&gt;1,"Duplicate log ID",IF(COUNTIF(Clients!$A$6:$A$205,$C184)&lt;&gt;1,"Check Client ID",IF(NOT(ISNUMBER($B184)),"Add contact date",IF($E184="","Add channel",IF($H184="","Add summary",IF(AND($N184="Open",NOT(ISNUMBER($M184))),"Set action due date","")))))))</x:f>
      </x:c>
    </x:row>
    <x:row r="185" ht="26" customHeight="1">
      <x:c r="A185" s="791"/>
      <x:c r="B185" s="804"/>
      <x:c r="C185" s="791"/>
      <x:c r="D185" s="803" t="str">
        <x:f>IF($A185="","",IF($C185="","",IFERROR(INDEX(Clients!$B$6:$B$205,MATCH($C185,Clients!$A$6:$A$205,0)),"Client ID not found")))</x:f>
      </x:c>
      <x:c r="E185" s="791"/>
      <x:c r="F185" s="791"/>
      <x:c r="G185" s="791"/>
      <x:c r="H185" s="791"/>
      <x:c r="I185" s="791"/>
      <x:c r="J185" s="791"/>
      <x:c r="K185" s="791"/>
      <x:c r="L185" s="791"/>
      <x:c r="M185" s="794"/>
      <x:c r="N185" s="791"/>
      <x:c r="O185" s="791"/>
      <x:c r="P185" s="791"/>
      <x:c r="Q185" s="803" t="str">
        <x:f>IF($A185="","",IF(COUNTIF($A$6:$A$205,$A185)&gt;1,"Duplicate log ID",IF(COUNTIF(Clients!$A$6:$A$205,$C185)&lt;&gt;1,"Check Client ID",IF(NOT(ISNUMBER($B185)),"Add contact date",IF($E185="","Add channel",IF($H185="","Add summary",IF(AND($N185="Open",NOT(ISNUMBER($M185))),"Set action due date","")))))))</x:f>
      </x:c>
    </x:row>
    <x:row r="186" ht="26" customHeight="1">
      <x:c r="A186" s="791"/>
      <x:c r="B186" s="804"/>
      <x:c r="C186" s="791"/>
      <x:c r="D186" s="803" t="str">
        <x:f>IF($A186="","",IF($C186="","",IFERROR(INDEX(Clients!$B$6:$B$205,MATCH($C186,Clients!$A$6:$A$205,0)),"Client ID not found")))</x:f>
      </x:c>
      <x:c r="E186" s="791"/>
      <x:c r="F186" s="791"/>
      <x:c r="G186" s="791"/>
      <x:c r="H186" s="791"/>
      <x:c r="I186" s="791"/>
      <x:c r="J186" s="791"/>
      <x:c r="K186" s="791"/>
      <x:c r="L186" s="791"/>
      <x:c r="M186" s="794"/>
      <x:c r="N186" s="791"/>
      <x:c r="O186" s="791"/>
      <x:c r="P186" s="791"/>
      <x:c r="Q186" s="803" t="str">
        <x:f>IF($A186="","",IF(COUNTIF($A$6:$A$205,$A186)&gt;1,"Duplicate log ID",IF(COUNTIF(Clients!$A$6:$A$205,$C186)&lt;&gt;1,"Check Client ID",IF(NOT(ISNUMBER($B186)),"Add contact date",IF($E186="","Add channel",IF($H186="","Add summary",IF(AND($N186="Open",NOT(ISNUMBER($M186))),"Set action due date","")))))))</x:f>
      </x:c>
    </x:row>
    <x:row r="187" ht="26" customHeight="1">
      <x:c r="A187" s="791"/>
      <x:c r="B187" s="804"/>
      <x:c r="C187" s="791"/>
      <x:c r="D187" s="803" t="str">
        <x:f>IF($A187="","",IF($C187="","",IFERROR(INDEX(Clients!$B$6:$B$205,MATCH($C187,Clients!$A$6:$A$205,0)),"Client ID not found")))</x:f>
      </x:c>
      <x:c r="E187" s="791"/>
      <x:c r="F187" s="791"/>
      <x:c r="G187" s="791"/>
      <x:c r="H187" s="791"/>
      <x:c r="I187" s="791"/>
      <x:c r="J187" s="791"/>
      <x:c r="K187" s="791"/>
      <x:c r="L187" s="791"/>
      <x:c r="M187" s="794"/>
      <x:c r="N187" s="791"/>
      <x:c r="O187" s="791"/>
      <x:c r="P187" s="791"/>
      <x:c r="Q187" s="803" t="str">
        <x:f>IF($A187="","",IF(COUNTIF($A$6:$A$205,$A187)&gt;1,"Duplicate log ID",IF(COUNTIF(Clients!$A$6:$A$205,$C187)&lt;&gt;1,"Check Client ID",IF(NOT(ISNUMBER($B187)),"Add contact date",IF($E187="","Add channel",IF($H187="","Add summary",IF(AND($N187="Open",NOT(ISNUMBER($M187))),"Set action due date","")))))))</x:f>
      </x:c>
    </x:row>
    <x:row r="188" ht="26" customHeight="1">
      <x:c r="A188" s="791"/>
      <x:c r="B188" s="804"/>
      <x:c r="C188" s="791"/>
      <x:c r="D188" s="803" t="str">
        <x:f>IF($A188="","",IF($C188="","",IFERROR(INDEX(Clients!$B$6:$B$205,MATCH($C188,Clients!$A$6:$A$205,0)),"Client ID not found")))</x:f>
      </x:c>
      <x:c r="E188" s="791"/>
      <x:c r="F188" s="791"/>
      <x:c r="G188" s="791"/>
      <x:c r="H188" s="791"/>
      <x:c r="I188" s="791"/>
      <x:c r="J188" s="791"/>
      <x:c r="K188" s="791"/>
      <x:c r="L188" s="791"/>
      <x:c r="M188" s="794"/>
      <x:c r="N188" s="791"/>
      <x:c r="O188" s="791"/>
      <x:c r="P188" s="791"/>
      <x:c r="Q188" s="803" t="str">
        <x:f>IF($A188="","",IF(COUNTIF($A$6:$A$205,$A188)&gt;1,"Duplicate log ID",IF(COUNTIF(Clients!$A$6:$A$205,$C188)&lt;&gt;1,"Check Client ID",IF(NOT(ISNUMBER($B188)),"Add contact date",IF($E188="","Add channel",IF($H188="","Add summary",IF(AND($N188="Open",NOT(ISNUMBER($M188))),"Set action due date","")))))))</x:f>
      </x:c>
    </x:row>
    <x:row r="189" ht="26" customHeight="1">
      <x:c r="A189" s="791"/>
      <x:c r="B189" s="804"/>
      <x:c r="C189" s="791"/>
      <x:c r="D189" s="803" t="str">
        <x:f>IF($A189="","",IF($C189="","",IFERROR(INDEX(Clients!$B$6:$B$205,MATCH($C189,Clients!$A$6:$A$205,0)),"Client ID not found")))</x:f>
      </x:c>
      <x:c r="E189" s="791"/>
      <x:c r="F189" s="791"/>
      <x:c r="G189" s="791"/>
      <x:c r="H189" s="791"/>
      <x:c r="I189" s="791"/>
      <x:c r="J189" s="791"/>
      <x:c r="K189" s="791"/>
      <x:c r="L189" s="791"/>
      <x:c r="M189" s="794"/>
      <x:c r="N189" s="791"/>
      <x:c r="O189" s="791"/>
      <x:c r="P189" s="791"/>
      <x:c r="Q189" s="803" t="str">
        <x:f>IF($A189="","",IF(COUNTIF($A$6:$A$205,$A189)&gt;1,"Duplicate log ID",IF(COUNTIF(Clients!$A$6:$A$205,$C189)&lt;&gt;1,"Check Client ID",IF(NOT(ISNUMBER($B189)),"Add contact date",IF($E189="","Add channel",IF($H189="","Add summary",IF(AND($N189="Open",NOT(ISNUMBER($M189))),"Set action due date","")))))))</x:f>
      </x:c>
    </x:row>
    <x:row r="190" ht="26" customHeight="1">
      <x:c r="A190" s="791"/>
      <x:c r="B190" s="804"/>
      <x:c r="C190" s="791"/>
      <x:c r="D190" s="803" t="str">
        <x:f>IF($A190="","",IF($C190="","",IFERROR(INDEX(Clients!$B$6:$B$205,MATCH($C190,Clients!$A$6:$A$205,0)),"Client ID not found")))</x:f>
      </x:c>
      <x:c r="E190" s="791"/>
      <x:c r="F190" s="791"/>
      <x:c r="G190" s="791"/>
      <x:c r="H190" s="791"/>
      <x:c r="I190" s="791"/>
      <x:c r="J190" s="791"/>
      <x:c r="K190" s="791"/>
      <x:c r="L190" s="791"/>
      <x:c r="M190" s="794"/>
      <x:c r="N190" s="791"/>
      <x:c r="O190" s="791"/>
      <x:c r="P190" s="791"/>
      <x:c r="Q190" s="803" t="str">
        <x:f>IF($A190="","",IF(COUNTIF($A$6:$A$205,$A190)&gt;1,"Duplicate log ID",IF(COUNTIF(Clients!$A$6:$A$205,$C190)&lt;&gt;1,"Check Client ID",IF(NOT(ISNUMBER($B190)),"Add contact date",IF($E190="","Add channel",IF($H190="","Add summary",IF(AND($N190="Open",NOT(ISNUMBER($M190))),"Set action due date","")))))))</x:f>
      </x:c>
    </x:row>
    <x:row r="191" ht="26" customHeight="1">
      <x:c r="A191" s="791"/>
      <x:c r="B191" s="804"/>
      <x:c r="C191" s="791"/>
      <x:c r="D191" s="803" t="str">
        <x:f>IF($A191="","",IF($C191="","",IFERROR(INDEX(Clients!$B$6:$B$205,MATCH($C191,Clients!$A$6:$A$205,0)),"Client ID not found")))</x:f>
      </x:c>
      <x:c r="E191" s="791"/>
      <x:c r="F191" s="791"/>
      <x:c r="G191" s="791"/>
      <x:c r="H191" s="791"/>
      <x:c r="I191" s="791"/>
      <x:c r="J191" s="791"/>
      <x:c r="K191" s="791"/>
      <x:c r="L191" s="791"/>
      <x:c r="M191" s="794"/>
      <x:c r="N191" s="791"/>
      <x:c r="O191" s="791"/>
      <x:c r="P191" s="791"/>
      <x:c r="Q191" s="803" t="str">
        <x:f>IF($A191="","",IF(COUNTIF($A$6:$A$205,$A191)&gt;1,"Duplicate log ID",IF(COUNTIF(Clients!$A$6:$A$205,$C191)&lt;&gt;1,"Check Client ID",IF(NOT(ISNUMBER($B191)),"Add contact date",IF($E191="","Add channel",IF($H191="","Add summary",IF(AND($N191="Open",NOT(ISNUMBER($M191))),"Set action due date","")))))))</x:f>
      </x:c>
    </x:row>
    <x:row r="192" ht="26" customHeight="1">
      <x:c r="A192" s="791"/>
      <x:c r="B192" s="804"/>
      <x:c r="C192" s="791"/>
      <x:c r="D192" s="803" t="str">
        <x:f>IF($A192="","",IF($C192="","",IFERROR(INDEX(Clients!$B$6:$B$205,MATCH($C192,Clients!$A$6:$A$205,0)),"Client ID not found")))</x:f>
      </x:c>
      <x:c r="E192" s="791"/>
      <x:c r="F192" s="791"/>
      <x:c r="G192" s="791"/>
      <x:c r="H192" s="791"/>
      <x:c r="I192" s="791"/>
      <x:c r="J192" s="791"/>
      <x:c r="K192" s="791"/>
      <x:c r="L192" s="791"/>
      <x:c r="M192" s="794"/>
      <x:c r="N192" s="791"/>
      <x:c r="O192" s="791"/>
      <x:c r="P192" s="791"/>
      <x:c r="Q192" s="803" t="str">
        <x:f>IF($A192="","",IF(COUNTIF($A$6:$A$205,$A192)&gt;1,"Duplicate log ID",IF(COUNTIF(Clients!$A$6:$A$205,$C192)&lt;&gt;1,"Check Client ID",IF(NOT(ISNUMBER($B192)),"Add contact date",IF($E192="","Add channel",IF($H192="","Add summary",IF(AND($N192="Open",NOT(ISNUMBER($M192))),"Set action due date","")))))))</x:f>
      </x:c>
    </x:row>
    <x:row r="193" ht="26" customHeight="1">
      <x:c r="A193" s="791"/>
      <x:c r="B193" s="804"/>
      <x:c r="C193" s="791"/>
      <x:c r="D193" s="803" t="str">
        <x:f>IF($A193="","",IF($C193="","",IFERROR(INDEX(Clients!$B$6:$B$205,MATCH($C193,Clients!$A$6:$A$205,0)),"Client ID not found")))</x:f>
      </x:c>
      <x:c r="E193" s="791"/>
      <x:c r="F193" s="791"/>
      <x:c r="G193" s="791"/>
      <x:c r="H193" s="791"/>
      <x:c r="I193" s="791"/>
      <x:c r="J193" s="791"/>
      <x:c r="K193" s="791"/>
      <x:c r="L193" s="791"/>
      <x:c r="M193" s="794"/>
      <x:c r="N193" s="791"/>
      <x:c r="O193" s="791"/>
      <x:c r="P193" s="791"/>
      <x:c r="Q193" s="803" t="str">
        <x:f>IF($A193="","",IF(COUNTIF($A$6:$A$205,$A193)&gt;1,"Duplicate log ID",IF(COUNTIF(Clients!$A$6:$A$205,$C193)&lt;&gt;1,"Check Client ID",IF(NOT(ISNUMBER($B193)),"Add contact date",IF($E193="","Add channel",IF($H193="","Add summary",IF(AND($N193="Open",NOT(ISNUMBER($M193))),"Set action due date","")))))))</x:f>
      </x:c>
    </x:row>
    <x:row r="194" ht="26" customHeight="1">
      <x:c r="A194" s="791"/>
      <x:c r="B194" s="804"/>
      <x:c r="C194" s="791"/>
      <x:c r="D194" s="803" t="str">
        <x:f>IF($A194="","",IF($C194="","",IFERROR(INDEX(Clients!$B$6:$B$205,MATCH($C194,Clients!$A$6:$A$205,0)),"Client ID not found")))</x:f>
      </x:c>
      <x:c r="E194" s="791"/>
      <x:c r="F194" s="791"/>
      <x:c r="G194" s="791"/>
      <x:c r="H194" s="791"/>
      <x:c r="I194" s="791"/>
      <x:c r="J194" s="791"/>
      <x:c r="K194" s="791"/>
      <x:c r="L194" s="791"/>
      <x:c r="M194" s="794"/>
      <x:c r="N194" s="791"/>
      <x:c r="O194" s="791"/>
      <x:c r="P194" s="791"/>
      <x:c r="Q194" s="803" t="str">
        <x:f>IF($A194="","",IF(COUNTIF($A$6:$A$205,$A194)&gt;1,"Duplicate log ID",IF(COUNTIF(Clients!$A$6:$A$205,$C194)&lt;&gt;1,"Check Client ID",IF(NOT(ISNUMBER($B194)),"Add contact date",IF($E194="","Add channel",IF($H194="","Add summary",IF(AND($N194="Open",NOT(ISNUMBER($M194))),"Set action due date","")))))))</x:f>
      </x:c>
    </x:row>
    <x:row r="195" ht="26" customHeight="1">
      <x:c r="A195" s="791"/>
      <x:c r="B195" s="804"/>
      <x:c r="C195" s="791"/>
      <x:c r="D195" s="803" t="str">
        <x:f>IF($A195="","",IF($C195="","",IFERROR(INDEX(Clients!$B$6:$B$205,MATCH($C195,Clients!$A$6:$A$205,0)),"Client ID not found")))</x:f>
      </x:c>
      <x:c r="E195" s="791"/>
      <x:c r="F195" s="791"/>
      <x:c r="G195" s="791"/>
      <x:c r="H195" s="791"/>
      <x:c r="I195" s="791"/>
      <x:c r="J195" s="791"/>
      <x:c r="K195" s="791"/>
      <x:c r="L195" s="791"/>
      <x:c r="M195" s="794"/>
      <x:c r="N195" s="791"/>
      <x:c r="O195" s="791"/>
      <x:c r="P195" s="791"/>
      <x:c r="Q195" s="803" t="str">
        <x:f>IF($A195="","",IF(COUNTIF($A$6:$A$205,$A195)&gt;1,"Duplicate log ID",IF(COUNTIF(Clients!$A$6:$A$205,$C195)&lt;&gt;1,"Check Client ID",IF(NOT(ISNUMBER($B195)),"Add contact date",IF($E195="","Add channel",IF($H195="","Add summary",IF(AND($N195="Open",NOT(ISNUMBER($M195))),"Set action due date","")))))))</x:f>
      </x:c>
    </x:row>
    <x:row r="196" ht="26" customHeight="1">
      <x:c r="A196" s="791"/>
      <x:c r="B196" s="804"/>
      <x:c r="C196" s="791"/>
      <x:c r="D196" s="803" t="str">
        <x:f>IF($A196="","",IF($C196="","",IFERROR(INDEX(Clients!$B$6:$B$205,MATCH($C196,Clients!$A$6:$A$205,0)),"Client ID not found")))</x:f>
      </x:c>
      <x:c r="E196" s="791"/>
      <x:c r="F196" s="791"/>
      <x:c r="G196" s="791"/>
      <x:c r="H196" s="791"/>
      <x:c r="I196" s="791"/>
      <x:c r="J196" s="791"/>
      <x:c r="K196" s="791"/>
      <x:c r="L196" s="791"/>
      <x:c r="M196" s="794"/>
      <x:c r="N196" s="791"/>
      <x:c r="O196" s="791"/>
      <x:c r="P196" s="791"/>
      <x:c r="Q196" s="803" t="str">
        <x:f>IF($A196="","",IF(COUNTIF($A$6:$A$205,$A196)&gt;1,"Duplicate log ID",IF(COUNTIF(Clients!$A$6:$A$205,$C196)&lt;&gt;1,"Check Client ID",IF(NOT(ISNUMBER($B196)),"Add contact date",IF($E196="","Add channel",IF($H196="","Add summary",IF(AND($N196="Open",NOT(ISNUMBER($M196))),"Set action due date","")))))))</x:f>
      </x:c>
    </x:row>
    <x:row r="197" ht="26" customHeight="1">
      <x:c r="A197" s="791"/>
      <x:c r="B197" s="804"/>
      <x:c r="C197" s="791"/>
      <x:c r="D197" s="803" t="str">
        <x:f>IF($A197="","",IF($C197="","",IFERROR(INDEX(Clients!$B$6:$B$205,MATCH($C197,Clients!$A$6:$A$205,0)),"Client ID not found")))</x:f>
      </x:c>
      <x:c r="E197" s="791"/>
      <x:c r="F197" s="791"/>
      <x:c r="G197" s="791"/>
      <x:c r="H197" s="791"/>
      <x:c r="I197" s="791"/>
      <x:c r="J197" s="791"/>
      <x:c r="K197" s="791"/>
      <x:c r="L197" s="791"/>
      <x:c r="M197" s="794"/>
      <x:c r="N197" s="791"/>
      <x:c r="O197" s="791"/>
      <x:c r="P197" s="791"/>
      <x:c r="Q197" s="803" t="str">
        <x:f>IF($A197="","",IF(COUNTIF($A$6:$A$205,$A197)&gt;1,"Duplicate log ID",IF(COUNTIF(Clients!$A$6:$A$205,$C197)&lt;&gt;1,"Check Client ID",IF(NOT(ISNUMBER($B197)),"Add contact date",IF($E197="","Add channel",IF($H197="","Add summary",IF(AND($N197="Open",NOT(ISNUMBER($M197))),"Set action due date","")))))))</x:f>
      </x:c>
    </x:row>
    <x:row r="198" ht="26" customHeight="1">
      <x:c r="A198" s="791"/>
      <x:c r="B198" s="804"/>
      <x:c r="C198" s="791"/>
      <x:c r="D198" s="803" t="str">
        <x:f>IF($A198="","",IF($C198="","",IFERROR(INDEX(Clients!$B$6:$B$205,MATCH($C198,Clients!$A$6:$A$205,0)),"Client ID not found")))</x:f>
      </x:c>
      <x:c r="E198" s="791"/>
      <x:c r="F198" s="791"/>
      <x:c r="G198" s="791"/>
      <x:c r="H198" s="791"/>
      <x:c r="I198" s="791"/>
      <x:c r="J198" s="791"/>
      <x:c r="K198" s="791"/>
      <x:c r="L198" s="791"/>
      <x:c r="M198" s="794"/>
      <x:c r="N198" s="791"/>
      <x:c r="O198" s="791"/>
      <x:c r="P198" s="791"/>
      <x:c r="Q198" s="803" t="str">
        <x:f>IF($A198="","",IF(COUNTIF($A$6:$A$205,$A198)&gt;1,"Duplicate log ID",IF(COUNTIF(Clients!$A$6:$A$205,$C198)&lt;&gt;1,"Check Client ID",IF(NOT(ISNUMBER($B198)),"Add contact date",IF($E198="","Add channel",IF($H198="","Add summary",IF(AND($N198="Open",NOT(ISNUMBER($M198))),"Set action due date","")))))))</x:f>
      </x:c>
    </x:row>
    <x:row r="199" ht="26" customHeight="1">
      <x:c r="A199" s="791"/>
      <x:c r="B199" s="804"/>
      <x:c r="C199" s="791"/>
      <x:c r="D199" s="803" t="str">
        <x:f>IF($A199="","",IF($C199="","",IFERROR(INDEX(Clients!$B$6:$B$205,MATCH($C199,Clients!$A$6:$A$205,0)),"Client ID not found")))</x:f>
      </x:c>
      <x:c r="E199" s="791"/>
      <x:c r="F199" s="791"/>
      <x:c r="G199" s="791"/>
      <x:c r="H199" s="791"/>
      <x:c r="I199" s="791"/>
      <x:c r="J199" s="791"/>
      <x:c r="K199" s="791"/>
      <x:c r="L199" s="791"/>
      <x:c r="M199" s="794"/>
      <x:c r="N199" s="791"/>
      <x:c r="O199" s="791"/>
      <x:c r="P199" s="791"/>
      <x:c r="Q199" s="803" t="str">
        <x:f>IF($A199="","",IF(COUNTIF($A$6:$A$205,$A199)&gt;1,"Duplicate log ID",IF(COUNTIF(Clients!$A$6:$A$205,$C199)&lt;&gt;1,"Check Client ID",IF(NOT(ISNUMBER($B199)),"Add contact date",IF($E199="","Add channel",IF($H199="","Add summary",IF(AND($N199="Open",NOT(ISNUMBER($M199))),"Set action due date","")))))))</x:f>
      </x:c>
    </x:row>
    <x:row r="200" ht="26" customHeight="1">
      <x:c r="A200" s="791"/>
      <x:c r="B200" s="804"/>
      <x:c r="C200" s="791"/>
      <x:c r="D200" s="803" t="str">
        <x:f>IF($A200="","",IF($C200="","",IFERROR(INDEX(Clients!$B$6:$B$205,MATCH($C200,Clients!$A$6:$A$205,0)),"Client ID not found")))</x:f>
      </x:c>
      <x:c r="E200" s="791"/>
      <x:c r="F200" s="791"/>
      <x:c r="G200" s="791"/>
      <x:c r="H200" s="791"/>
      <x:c r="I200" s="791"/>
      <x:c r="J200" s="791"/>
      <x:c r="K200" s="791"/>
      <x:c r="L200" s="791"/>
      <x:c r="M200" s="794"/>
      <x:c r="N200" s="791"/>
      <x:c r="O200" s="791"/>
      <x:c r="P200" s="791"/>
      <x:c r="Q200" s="803" t="str">
        <x:f>IF($A200="","",IF(COUNTIF($A$6:$A$205,$A200)&gt;1,"Duplicate log ID",IF(COUNTIF(Clients!$A$6:$A$205,$C200)&lt;&gt;1,"Check Client ID",IF(NOT(ISNUMBER($B200)),"Add contact date",IF($E200="","Add channel",IF($H200="","Add summary",IF(AND($N200="Open",NOT(ISNUMBER($M200))),"Set action due date","")))))))</x:f>
      </x:c>
    </x:row>
    <x:row r="201" ht="26" customHeight="1">
      <x:c r="A201" s="791"/>
      <x:c r="B201" s="804"/>
      <x:c r="C201" s="791"/>
      <x:c r="D201" s="803" t="str">
        <x:f>IF($A201="","",IF($C201="","",IFERROR(INDEX(Clients!$B$6:$B$205,MATCH($C201,Clients!$A$6:$A$205,0)),"Client ID not found")))</x:f>
      </x:c>
      <x:c r="E201" s="791"/>
      <x:c r="F201" s="791"/>
      <x:c r="G201" s="791"/>
      <x:c r="H201" s="791"/>
      <x:c r="I201" s="791"/>
      <x:c r="J201" s="791"/>
      <x:c r="K201" s="791"/>
      <x:c r="L201" s="791"/>
      <x:c r="M201" s="794"/>
      <x:c r="N201" s="791"/>
      <x:c r="O201" s="791"/>
      <x:c r="P201" s="791"/>
      <x:c r="Q201" s="803" t="str">
        <x:f>IF($A201="","",IF(COUNTIF($A$6:$A$205,$A201)&gt;1,"Duplicate log ID",IF(COUNTIF(Clients!$A$6:$A$205,$C201)&lt;&gt;1,"Check Client ID",IF(NOT(ISNUMBER($B201)),"Add contact date",IF($E201="","Add channel",IF($H201="","Add summary",IF(AND($N201="Open",NOT(ISNUMBER($M201))),"Set action due date","")))))))</x:f>
      </x:c>
    </x:row>
    <x:row r="202" ht="26" customHeight="1">
      <x:c r="A202" s="791"/>
      <x:c r="B202" s="804"/>
      <x:c r="C202" s="791"/>
      <x:c r="D202" s="803" t="str">
        <x:f>IF($A202="","",IF($C202="","",IFERROR(INDEX(Clients!$B$6:$B$205,MATCH($C202,Clients!$A$6:$A$205,0)),"Client ID not found")))</x:f>
      </x:c>
      <x:c r="E202" s="791"/>
      <x:c r="F202" s="791"/>
      <x:c r="G202" s="791"/>
      <x:c r="H202" s="791"/>
      <x:c r="I202" s="791"/>
      <x:c r="J202" s="791"/>
      <x:c r="K202" s="791"/>
      <x:c r="L202" s="791"/>
      <x:c r="M202" s="794"/>
      <x:c r="N202" s="791"/>
      <x:c r="O202" s="791"/>
      <x:c r="P202" s="791"/>
      <x:c r="Q202" s="803" t="str">
        <x:f>IF($A202="","",IF(COUNTIF($A$6:$A$205,$A202)&gt;1,"Duplicate log ID",IF(COUNTIF(Clients!$A$6:$A$205,$C202)&lt;&gt;1,"Check Client ID",IF(NOT(ISNUMBER($B202)),"Add contact date",IF($E202="","Add channel",IF($H202="","Add summary",IF(AND($N202="Open",NOT(ISNUMBER($M202))),"Set action due date","")))))))</x:f>
      </x:c>
    </x:row>
    <x:row r="203" ht="26" customHeight="1">
      <x:c r="A203" s="791"/>
      <x:c r="B203" s="804"/>
      <x:c r="C203" s="791"/>
      <x:c r="D203" s="803" t="str">
        <x:f>IF($A203="","",IF($C203="","",IFERROR(INDEX(Clients!$B$6:$B$205,MATCH($C203,Clients!$A$6:$A$205,0)),"Client ID not found")))</x:f>
      </x:c>
      <x:c r="E203" s="791"/>
      <x:c r="F203" s="791"/>
      <x:c r="G203" s="791"/>
      <x:c r="H203" s="791"/>
      <x:c r="I203" s="791"/>
      <x:c r="J203" s="791"/>
      <x:c r="K203" s="791"/>
      <x:c r="L203" s="791"/>
      <x:c r="M203" s="794"/>
      <x:c r="N203" s="791"/>
      <x:c r="O203" s="791"/>
      <x:c r="P203" s="791"/>
      <x:c r="Q203" s="803" t="str">
        <x:f>IF($A203="","",IF(COUNTIF($A$6:$A$205,$A203)&gt;1,"Duplicate log ID",IF(COUNTIF(Clients!$A$6:$A$205,$C203)&lt;&gt;1,"Check Client ID",IF(NOT(ISNUMBER($B203)),"Add contact date",IF($E203="","Add channel",IF($H203="","Add summary",IF(AND($N203="Open",NOT(ISNUMBER($M203))),"Set action due date","")))))))</x:f>
      </x:c>
    </x:row>
    <x:row r="204" ht="26" customHeight="1">
      <x:c r="A204" s="791"/>
      <x:c r="B204" s="804"/>
      <x:c r="C204" s="791"/>
      <x:c r="D204" s="803" t="str">
        <x:f>IF($A204="","",IF($C204="","",IFERROR(INDEX(Clients!$B$6:$B$205,MATCH($C204,Clients!$A$6:$A$205,0)),"Client ID not found")))</x:f>
      </x:c>
      <x:c r="E204" s="791"/>
      <x:c r="F204" s="791"/>
      <x:c r="G204" s="791"/>
      <x:c r="H204" s="791"/>
      <x:c r="I204" s="791"/>
      <x:c r="J204" s="791"/>
      <x:c r="K204" s="791"/>
      <x:c r="L204" s="791"/>
      <x:c r="M204" s="794"/>
      <x:c r="N204" s="791"/>
      <x:c r="O204" s="791"/>
      <x:c r="P204" s="791"/>
      <x:c r="Q204" s="803" t="str">
        <x:f>IF($A204="","",IF(COUNTIF($A$6:$A$205,$A204)&gt;1,"Duplicate log ID",IF(COUNTIF(Clients!$A$6:$A$205,$C204)&lt;&gt;1,"Check Client ID",IF(NOT(ISNUMBER($B204)),"Add contact date",IF($E204="","Add channel",IF($H204="","Add summary",IF(AND($N204="Open",NOT(ISNUMBER($M204))),"Set action due date","")))))))</x:f>
      </x:c>
    </x:row>
    <x:row r="205" ht="26" customHeight="1">
      <x:c r="A205" s="791"/>
      <x:c r="B205" s="804"/>
      <x:c r="C205" s="791"/>
      <x:c r="D205" s="803" t="str">
        <x:f>IF($A205="","",IF($C205="","",IFERROR(INDEX(Clients!$B$6:$B$205,MATCH($C205,Clients!$A$6:$A$205,0)),"Client ID not found")))</x:f>
      </x:c>
      <x:c r="E205" s="791"/>
      <x:c r="F205" s="791"/>
      <x:c r="G205" s="791"/>
      <x:c r="H205" s="791"/>
      <x:c r="I205" s="791"/>
      <x:c r="J205" s="791"/>
      <x:c r="K205" s="791"/>
      <x:c r="L205" s="791"/>
      <x:c r="M205" s="794"/>
      <x:c r="N205" s="791"/>
      <x:c r="O205" s="791"/>
      <x:c r="P205" s="791"/>
      <x:c r="Q205" s="803" t="str">
        <x:f>IF($A205="","",IF(COUNTIF($A$6:$A$205,$A205)&gt;1,"Duplicate log ID",IF(COUNTIF(Clients!$A$6:$A$205,$C205)&lt;&gt;1,"Check Client ID",IF(NOT(ISNUMBER($B205)),"Add contact date",IF($E205="","Add channel",IF($H205="","Add summary",IF(AND($N205="Open",NOT(ISNUMBER($M205))),"Set action due date","")))))))</x:f>
      </x:c>
    </x:row>
  </x:sheetData>
  <x:mergeCells>
    <x:mergeCell ref="A1:Q1"/>
    <x:mergeCell ref="A2:Q2"/>
    <x:mergeCell ref="A3:Q3"/>
    <x:mergeCell ref="A4:D4"/>
    <x:mergeCell ref="E4:J4"/>
    <x:mergeCell ref="K4:N4"/>
    <x:mergeCell ref="O4:Q4"/>
  </x:mergeCells>
  <x:conditionalFormatting sqref="M6:M205">
    <x:cfRule type="expression" dxfId="53" priority="1">
      <x:formula>AND($A6&lt;&gt;"",$N6="Open",$M6&gt;0,$M6&lt;TODAY())</x:formula>
    </x:cfRule>
  </x:conditionalFormatting>
  <x:dataValidations count="5">
    <x:dataValidation type="list" sqref="E6:E205">
      <x:formula1>"WhatsApp,Phone,Email,SMS,Video call,In person,Property viewing,Other"</x:formula1>
    </x:dataValidation>
    <x:dataValidation type="list" sqref="F6:F205">
      <x:formula1>"Inbound,Outbound"</x:formula1>
    </x:dataValidation>
    <x:dataValidation type="list" sqref="G6:G205">
      <x:formula1>"Initial inquiry,Qualification,Property recommendation,Viewing feedback,Negotiation,Paperwork,After-sales,Referral,Other"</x:formula1>
    </x:dataValidation>
    <x:dataValidation type="list" sqref="I6:I205">
      <x:formula1>"None,Budget,Price,Location,Financing,Timing,Competition,No response,Property quality,Documentation,Trust,Other"</x:formula1>
    </x:dataValidation>
    <x:dataValidation type="list" sqref="N6:N205">
      <x:formula1>"Open,Completed,Waiting,Cancelled"</x:formula1>
    </x:dataValidation>
  </x:dataValidations>
  <x:pageMargins left="0.7" right="0.7" top="0.75" bottom="0.75" header="0.3" footer="0.3"/>
</x:worksheet>
</file>

<file path=xl/worksheets/sheet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17" hidden="0" customWidth="1"/>
    <x:col min="3" max="3" width="25" hidden="0" customWidth="1"/>
    <x:col min="4" max="4" width="25" hidden="0" customWidth="1"/>
    <x:col min="5" max="5" width="20" hidden="0" customWidth="1"/>
    <x:col min="6" max="6" width="19" hidden="0" customWidth="1"/>
    <x:col min="7" max="7" width="19" hidden="0" customWidth="1"/>
    <x:col min="8" max="8" width="18" hidden="0" customWidth="1"/>
    <x:col min="9" max="9" width="22" hidden="0" customWidth="1"/>
    <x:col min="10" max="10" width="23" hidden="0" customWidth="1"/>
    <x:col min="11" max="11" width="20" hidden="0" customWidth="1"/>
    <x:col min="12" max="12" width="37" hidden="0" customWidth="1"/>
    <x:col min="13" max="13" width="37" hidden="0" customWidth="1"/>
    <x:col min="14" max="14" width="19" hidden="0" customWidth="1"/>
    <x:col min="15" max="15" width="25" hidden="0" customWidth="1"/>
  </x:cols>
  <x:sheetData>
    <x:row r="1" ht="36" customHeight="1">
      <x:c r="A1" s="796" t="str">
        <x:v>KEYS WITH SIMONI   |   CRM WORKSPACE</x:v>
      </x:c>
      <x:c r="B1" s="796"/>
      <x:c r="C1" s="796"/>
      <x:c r="D1" s="796"/>
      <x:c r="E1" s="796"/>
      <x:c r="F1" s="796"/>
      <x:c r="G1" s="796"/>
      <x:c r="H1" s="796"/>
      <x:c r="I1" s="796"/>
      <x:c r="J1" s="796"/>
      <x:c r="K1" s="796"/>
      <x:c r="L1" s="796"/>
      <x:c r="M1" s="796"/>
      <x:c r="N1" s="796"/>
      <x:c r="O1" s="796"/>
    </x:row>
    <x:row r="2" ht="39" customHeight="1">
      <x:c r="A2" s="799" t="str">
        <x:v>Renewals, referrals &amp; long-term relationships</x:v>
      </x:c>
      <x:c r="B2" s="799"/>
      <x:c r="C2" s="799"/>
      <x:c r="D2" s="799"/>
      <x:c r="E2" s="799"/>
      <x:c r="F2" s="799"/>
      <x:c r="G2" s="799"/>
      <x:c r="H2" s="799"/>
      <x:c r="I2" s="799"/>
      <x:c r="J2" s="799"/>
      <x:c r="K2" s="799"/>
      <x:c r="L2" s="799"/>
      <x:c r="M2" s="799"/>
      <x:c r="N2" s="799"/>
      <x:c r="O2" s="799"/>
    </x:row>
    <x:row r="3" ht="30" customHeight="1">
      <x:c r="A3" s="802" t="str">
        <x:v>Use CL-IDs from Clients. Keep one row per planned touchpoint; update the due date after each contact.</x:v>
      </x:c>
      <x:c r="B3" s="802"/>
      <x:c r="C3" s="802"/>
      <x:c r="D3" s="802"/>
      <x:c r="E3" s="802"/>
      <x:c r="F3" s="802"/>
      <x:c r="G3" s="802"/>
      <x:c r="H3" s="802"/>
      <x:c r="I3" s="802"/>
      <x:c r="J3" s="802"/>
      <x:c r="K3" s="802"/>
      <x:c r="L3" s="802"/>
      <x:c r="M3" s="802"/>
      <x:c r="N3" s="802"/>
      <x:c r="O3" s="802"/>
    </x:row>
    <x:row r="4" ht="24" customHeight="1">
      <x:c r="A4" s="783" t="str">
        <x:v>01  CLIENT RELATIONSHIP</x:v>
      </x:c>
      <x:c r="B4" s="783"/>
      <x:c r="C4" s="783"/>
      <x:c r="D4" s="783"/>
      <x:c r="E4" s="783"/>
      <x:c r="F4" s="783" t="str">
        <x:v>02  TOUCHPOINT SCHEDULE</x:v>
      </x:c>
      <x:c r="G4" s="783"/>
      <x:c r="H4" s="783"/>
      <x:c r="I4" s="783"/>
      <x:c r="J4" s="783" t="str">
        <x:v>03  REFERRALS &amp; NOTES</x:v>
      </x:c>
      <x:c r="K4" s="783"/>
      <x:c r="L4" s="783"/>
      <x:c r="M4" s="783"/>
      <x:c r="N4" s="783"/>
      <x:c r="O4" s="783"/>
    </x:row>
    <x:row r="5" ht="58" customHeight="1">
      <x:c r="A5" s="788" t="str">
        <x:v>Care ID</x:v>
      </x:c>
      <x:c r="B5" s="788" t="str">
        <x:v>Client ID</x:v>
      </x:c>
      <x:c r="C5" s="788" t="str">
        <x:v>Client name
auto</x:v>
      </x:c>
      <x:c r="D5" s="788" t="str">
        <x:v>Touchpoint type</x:v>
      </x:c>
      <x:c r="E5" s="788" t="str">
        <x:v>Property ID
optional</x:v>
      </x:c>
      <x:c r="F5" s="788" t="str">
        <x:v>Last contact</x:v>
      </x:c>
      <x:c r="G5" s="788" t="str">
        <x:v>Next contact</x:v>
      </x:c>
      <x:c r="H5" s="788" t="str">
        <x:v>Reminder
auto</x:v>
      </x:c>
      <x:c r="I5" s="788" t="str">
        <x:v>Client relationship</x:v>
      </x:c>
      <x:c r="J5" s="788" t="str">
        <x:v>Referral outcome</x:v>
      </x:c>
      <x:c r="K5" s="788" t="str">
        <x:v>Referred client ID</x:v>
      </x:c>
      <x:c r="L5" s="788" t="str">
        <x:v>Preferences / interests</x:v>
      </x:c>
      <x:c r="M5" s="788" t="str">
        <x:v>Conversation notes</x:v>
      </x:c>
      <x:c r="N5" s="788" t="str">
        <x:v>Task status</x:v>
      </x:c>
      <x:c r="O5" s="788" t="str">
        <x:v>Record check
auto</x:v>
      </x:c>
    </x:row>
    <x:row r="6" ht="26" customHeight="1">
      <x:c r="A6" s="791"/>
      <x:c r="B6" s="791"/>
      <x:c r="C6" s="803" t="str">
        <x:f>IF($A6="","",IF($B6="","",IFERROR(INDEX(Clients!$B$6:$B$205,MATCH($B6,Clients!$A$6:$A$205,0)),"Client ID not found")))</x:f>
      </x:c>
      <x:c r="D6" s="791"/>
      <x:c r="E6" s="791"/>
      <x:c r="F6" s="794"/>
      <x:c r="G6" s="794"/>
      <x:c r="H6" s="803" t="str">
        <x:f>IF($A6="","",IF($N6="Completed","Completed",IF(NOT(ISNUMBER($G6)),"Set next contact",IF($G6&lt;TODAY(),"Overdue",IF($G6=TODAY(),"Due today","Scheduled")))))</x:f>
      </x:c>
      <x:c r="I6" s="791"/>
      <x:c r="J6" s="791"/>
      <x:c r="K6" s="791"/>
      <x:c r="L6" s="791"/>
      <x:c r="M6" s="791"/>
      <x:c r="N6" s="791"/>
      <x:c r="O6" s="803" t="str">
        <x:f>IF($A6="","",IF(COUNTIF($A$6:$A$205,$A6)&gt;1,"Duplicate Care ID",IF(COUNTIF(Clients!$A$6:$A$205,$B6)&lt;&gt;1,"Check Client ID",IF($D6="","Set touchpoint type",IF($N6="","Set task status",IF(AND($N6="Open",NOT(ISNUMBER($G6))),"Set next date",""))))))</x:f>
      </x:c>
    </x:row>
    <x:row r="7" ht="26" customHeight="1">
      <x:c r="A7" s="791"/>
      <x:c r="B7" s="791"/>
      <x:c r="C7" s="803" t="str">
        <x:f>IF($A7="","",IF($B7="","",IFERROR(INDEX(Clients!$B$6:$B$205,MATCH($B7,Clients!$A$6:$A$205,0)),"Client ID not found")))</x:f>
      </x:c>
      <x:c r="D7" s="791"/>
      <x:c r="E7" s="791"/>
      <x:c r="F7" s="794"/>
      <x:c r="G7" s="794"/>
      <x:c r="H7" s="803" t="str">
        <x:f>IF($A7="","",IF($N7="Completed","Completed",IF(NOT(ISNUMBER($G7)),"Set next contact",IF($G7&lt;TODAY(),"Overdue",IF($G7=TODAY(),"Due today","Scheduled")))))</x:f>
      </x:c>
      <x:c r="I7" s="791"/>
      <x:c r="J7" s="791"/>
      <x:c r="K7" s="791"/>
      <x:c r="L7" s="791"/>
      <x:c r="M7" s="791"/>
      <x:c r="N7" s="791"/>
      <x:c r="O7" s="803" t="str">
        <x:f>IF($A7="","",IF(COUNTIF($A$6:$A$205,$A7)&gt;1,"Duplicate Care ID",IF(COUNTIF(Clients!$A$6:$A$205,$B7)&lt;&gt;1,"Check Client ID",IF($D7="","Set touchpoint type",IF($N7="","Set task status",IF(AND($N7="Open",NOT(ISNUMBER($G7))),"Set next date",""))))))</x:f>
      </x:c>
    </x:row>
    <x:row r="8" ht="26" customHeight="1">
      <x:c r="A8" s="791"/>
      <x:c r="B8" s="791"/>
      <x:c r="C8" s="803" t="str">
        <x:f>IF($A8="","",IF($B8="","",IFERROR(INDEX(Clients!$B$6:$B$205,MATCH($B8,Clients!$A$6:$A$205,0)),"Client ID not found")))</x:f>
      </x:c>
      <x:c r="D8" s="791"/>
      <x:c r="E8" s="791"/>
      <x:c r="F8" s="794"/>
      <x:c r="G8" s="794"/>
      <x:c r="H8" s="803" t="str">
        <x:f>IF($A8="","",IF($N8="Completed","Completed",IF(NOT(ISNUMBER($G8)),"Set next contact",IF($G8&lt;TODAY(),"Overdue",IF($G8=TODAY(),"Due today","Scheduled")))))</x:f>
      </x:c>
      <x:c r="I8" s="791"/>
      <x:c r="J8" s="791"/>
      <x:c r="K8" s="791"/>
      <x:c r="L8" s="791"/>
      <x:c r="M8" s="791"/>
      <x:c r="N8" s="791"/>
      <x:c r="O8" s="803" t="str">
        <x:f>IF($A8="","",IF(COUNTIF($A$6:$A$205,$A8)&gt;1,"Duplicate Care ID",IF(COUNTIF(Clients!$A$6:$A$205,$B8)&lt;&gt;1,"Check Client ID",IF($D8="","Set touchpoint type",IF($N8="","Set task status",IF(AND($N8="Open",NOT(ISNUMBER($G8))),"Set next date",""))))))</x:f>
      </x:c>
    </x:row>
    <x:row r="9" ht="26" customHeight="1">
      <x:c r="A9" s="791"/>
      <x:c r="B9" s="791"/>
      <x:c r="C9" s="803" t="str">
        <x:f>IF($A9="","",IF($B9="","",IFERROR(INDEX(Clients!$B$6:$B$205,MATCH($B9,Clients!$A$6:$A$205,0)),"Client ID not found")))</x:f>
      </x:c>
      <x:c r="D9" s="791"/>
      <x:c r="E9" s="791"/>
      <x:c r="F9" s="794"/>
      <x:c r="G9" s="794"/>
      <x:c r="H9" s="803" t="str">
        <x:f>IF($A9="","",IF($N9="Completed","Completed",IF(NOT(ISNUMBER($G9)),"Set next contact",IF($G9&lt;TODAY(),"Overdue",IF($G9=TODAY(),"Due today","Scheduled")))))</x:f>
      </x:c>
      <x:c r="I9" s="791"/>
      <x:c r="J9" s="791"/>
      <x:c r="K9" s="791"/>
      <x:c r="L9" s="791"/>
      <x:c r="M9" s="791"/>
      <x:c r="N9" s="791"/>
      <x:c r="O9" s="803" t="str">
        <x:f>IF($A9="","",IF(COUNTIF($A$6:$A$205,$A9)&gt;1,"Duplicate Care ID",IF(COUNTIF(Clients!$A$6:$A$205,$B9)&lt;&gt;1,"Check Client ID",IF($D9="","Set touchpoint type",IF($N9="","Set task status",IF(AND($N9="Open",NOT(ISNUMBER($G9))),"Set next date",""))))))</x:f>
      </x:c>
    </x:row>
    <x:row r="10" ht="26" customHeight="1">
      <x:c r="A10" s="791"/>
      <x:c r="B10" s="791"/>
      <x:c r="C10" s="803" t="str">
        <x:f>IF($A10="","",IF($B10="","",IFERROR(INDEX(Clients!$B$6:$B$205,MATCH($B10,Clients!$A$6:$A$205,0)),"Client ID not found")))</x:f>
      </x:c>
      <x:c r="D10" s="791"/>
      <x:c r="E10" s="791"/>
      <x:c r="F10" s="794"/>
      <x:c r="G10" s="794"/>
      <x:c r="H10" s="803" t="str">
        <x:f>IF($A10="","",IF($N10="Completed","Completed",IF(NOT(ISNUMBER($G10)),"Set next contact",IF($G10&lt;TODAY(),"Overdue",IF($G10=TODAY(),"Due today","Scheduled")))))</x:f>
      </x:c>
      <x:c r="I10" s="791"/>
      <x:c r="J10" s="791"/>
      <x:c r="K10" s="791"/>
      <x:c r="L10" s="791"/>
      <x:c r="M10" s="791"/>
      <x:c r="N10" s="791"/>
      <x:c r="O10" s="803" t="str">
        <x:f>IF($A10="","",IF(COUNTIF($A$6:$A$205,$A10)&gt;1,"Duplicate Care ID",IF(COUNTIF(Clients!$A$6:$A$205,$B10)&lt;&gt;1,"Check Client ID",IF($D10="","Set touchpoint type",IF($N10="","Set task status",IF(AND($N10="Open",NOT(ISNUMBER($G10))),"Set next date",""))))))</x:f>
      </x:c>
    </x:row>
    <x:row r="11" ht="26" customHeight="1">
      <x:c r="A11" s="791"/>
      <x:c r="B11" s="791"/>
      <x:c r="C11" s="803" t="str">
        <x:f>IF($A11="","",IF($B11="","",IFERROR(INDEX(Clients!$B$6:$B$205,MATCH($B11,Clients!$A$6:$A$205,0)),"Client ID not found")))</x:f>
      </x:c>
      <x:c r="D11" s="791"/>
      <x:c r="E11" s="791"/>
      <x:c r="F11" s="794"/>
      <x:c r="G11" s="794"/>
      <x:c r="H11" s="803" t="str">
        <x:f>IF($A11="","",IF($N11="Completed","Completed",IF(NOT(ISNUMBER($G11)),"Set next contact",IF($G11&lt;TODAY(),"Overdue",IF($G11=TODAY(),"Due today","Scheduled")))))</x:f>
      </x:c>
      <x:c r="I11" s="791"/>
      <x:c r="J11" s="791"/>
      <x:c r="K11" s="791"/>
      <x:c r="L11" s="791"/>
      <x:c r="M11" s="791"/>
      <x:c r="N11" s="791"/>
      <x:c r="O11" s="803" t="str">
        <x:f>IF($A11="","",IF(COUNTIF($A$6:$A$205,$A11)&gt;1,"Duplicate Care ID",IF(COUNTIF(Clients!$A$6:$A$205,$B11)&lt;&gt;1,"Check Client ID",IF($D11="","Set touchpoint type",IF($N11="","Set task status",IF(AND($N11="Open",NOT(ISNUMBER($G11))),"Set next date",""))))))</x:f>
      </x:c>
    </x:row>
    <x:row r="12" ht="26" customHeight="1">
      <x:c r="A12" s="791"/>
      <x:c r="B12" s="791"/>
      <x:c r="C12" s="803" t="str">
        <x:f>IF($A12="","",IF($B12="","",IFERROR(INDEX(Clients!$B$6:$B$205,MATCH($B12,Clients!$A$6:$A$205,0)),"Client ID not found")))</x:f>
      </x:c>
      <x:c r="D12" s="791"/>
      <x:c r="E12" s="791"/>
      <x:c r="F12" s="794"/>
      <x:c r="G12" s="794"/>
      <x:c r="H12" s="803" t="str">
        <x:f>IF($A12="","",IF($N12="Completed","Completed",IF(NOT(ISNUMBER($G12)),"Set next contact",IF($G12&lt;TODAY(),"Overdue",IF($G12=TODAY(),"Due today","Scheduled")))))</x:f>
      </x:c>
      <x:c r="I12" s="791"/>
      <x:c r="J12" s="791"/>
      <x:c r="K12" s="791"/>
      <x:c r="L12" s="791"/>
      <x:c r="M12" s="791"/>
      <x:c r="N12" s="791"/>
      <x:c r="O12" s="803" t="str">
        <x:f>IF($A12="","",IF(COUNTIF($A$6:$A$205,$A12)&gt;1,"Duplicate Care ID",IF(COUNTIF(Clients!$A$6:$A$205,$B12)&lt;&gt;1,"Check Client ID",IF($D12="","Set touchpoint type",IF($N12="","Set task status",IF(AND($N12="Open",NOT(ISNUMBER($G12))),"Set next date",""))))))</x:f>
      </x:c>
    </x:row>
    <x:row r="13" ht="26" customHeight="1">
      <x:c r="A13" s="791"/>
      <x:c r="B13" s="791"/>
      <x:c r="C13" s="803" t="str">
        <x:f>IF($A13="","",IF($B13="","",IFERROR(INDEX(Clients!$B$6:$B$205,MATCH($B13,Clients!$A$6:$A$205,0)),"Client ID not found")))</x:f>
      </x:c>
      <x:c r="D13" s="791"/>
      <x:c r="E13" s="791"/>
      <x:c r="F13" s="794"/>
      <x:c r="G13" s="794"/>
      <x:c r="H13" s="803" t="str">
        <x:f>IF($A13="","",IF($N13="Completed","Completed",IF(NOT(ISNUMBER($G13)),"Set next contact",IF($G13&lt;TODAY(),"Overdue",IF($G13=TODAY(),"Due today","Scheduled")))))</x:f>
      </x:c>
      <x:c r="I13" s="791"/>
      <x:c r="J13" s="791"/>
      <x:c r="K13" s="791"/>
      <x:c r="L13" s="791"/>
      <x:c r="M13" s="791"/>
      <x:c r="N13" s="791"/>
      <x:c r="O13" s="803" t="str">
        <x:f>IF($A13="","",IF(COUNTIF($A$6:$A$205,$A13)&gt;1,"Duplicate Care ID",IF(COUNTIF(Clients!$A$6:$A$205,$B13)&lt;&gt;1,"Check Client ID",IF($D13="","Set touchpoint type",IF($N13="","Set task status",IF(AND($N13="Open",NOT(ISNUMBER($G13))),"Set next date",""))))))</x:f>
      </x:c>
    </x:row>
    <x:row r="14" ht="26" customHeight="1">
      <x:c r="A14" s="791"/>
      <x:c r="B14" s="791"/>
      <x:c r="C14" s="803" t="str">
        <x:f>IF($A14="","",IF($B14="","",IFERROR(INDEX(Clients!$B$6:$B$205,MATCH($B14,Clients!$A$6:$A$205,0)),"Client ID not found")))</x:f>
      </x:c>
      <x:c r="D14" s="791"/>
      <x:c r="E14" s="791"/>
      <x:c r="F14" s="794"/>
      <x:c r="G14" s="794"/>
      <x:c r="H14" s="803" t="str">
        <x:f>IF($A14="","",IF($N14="Completed","Completed",IF(NOT(ISNUMBER($G14)),"Set next contact",IF($G14&lt;TODAY(),"Overdue",IF($G14=TODAY(),"Due today","Scheduled")))))</x:f>
      </x:c>
      <x:c r="I14" s="791"/>
      <x:c r="J14" s="791"/>
      <x:c r="K14" s="791"/>
      <x:c r="L14" s="791"/>
      <x:c r="M14" s="791"/>
      <x:c r="N14" s="791"/>
      <x:c r="O14" s="803" t="str">
        <x:f>IF($A14="","",IF(COUNTIF($A$6:$A$205,$A14)&gt;1,"Duplicate Care ID",IF(COUNTIF(Clients!$A$6:$A$205,$B14)&lt;&gt;1,"Check Client ID",IF($D14="","Set touchpoint type",IF($N14="","Set task status",IF(AND($N14="Open",NOT(ISNUMBER($G14))),"Set next date",""))))))</x:f>
      </x:c>
    </x:row>
    <x:row r="15" ht="26" customHeight="1">
      <x:c r="A15" s="791"/>
      <x:c r="B15" s="791"/>
      <x:c r="C15" s="803" t="str">
        <x:f>IF($A15="","",IF($B15="","",IFERROR(INDEX(Clients!$B$6:$B$205,MATCH($B15,Clients!$A$6:$A$205,0)),"Client ID not found")))</x:f>
      </x:c>
      <x:c r="D15" s="791"/>
      <x:c r="E15" s="791"/>
      <x:c r="F15" s="794"/>
      <x:c r="G15" s="794"/>
      <x:c r="H15" s="803" t="str">
        <x:f>IF($A15="","",IF($N15="Completed","Completed",IF(NOT(ISNUMBER($G15)),"Set next contact",IF($G15&lt;TODAY(),"Overdue",IF($G15=TODAY(),"Due today","Scheduled")))))</x:f>
      </x:c>
      <x:c r="I15" s="791"/>
      <x:c r="J15" s="791"/>
      <x:c r="K15" s="791"/>
      <x:c r="L15" s="791"/>
      <x:c r="M15" s="791"/>
      <x:c r="N15" s="791"/>
      <x:c r="O15" s="803" t="str">
        <x:f>IF($A15="","",IF(COUNTIF($A$6:$A$205,$A15)&gt;1,"Duplicate Care ID",IF(COUNTIF(Clients!$A$6:$A$205,$B15)&lt;&gt;1,"Check Client ID",IF($D15="","Set touchpoint type",IF($N15="","Set task status",IF(AND($N15="Open",NOT(ISNUMBER($G15))),"Set next date",""))))))</x:f>
      </x:c>
    </x:row>
    <x:row r="16" ht="26" customHeight="1">
      <x:c r="A16" s="791"/>
      <x:c r="B16" s="791"/>
      <x:c r="C16" s="803" t="str">
        <x:f>IF($A16="","",IF($B16="","",IFERROR(INDEX(Clients!$B$6:$B$205,MATCH($B16,Clients!$A$6:$A$205,0)),"Client ID not found")))</x:f>
      </x:c>
      <x:c r="D16" s="791"/>
      <x:c r="E16" s="791"/>
      <x:c r="F16" s="794"/>
      <x:c r="G16" s="794"/>
      <x:c r="H16" s="803" t="str">
        <x:f>IF($A16="","",IF($N16="Completed","Completed",IF(NOT(ISNUMBER($G16)),"Set next contact",IF($G16&lt;TODAY(),"Overdue",IF($G16=TODAY(),"Due today","Scheduled")))))</x:f>
      </x:c>
      <x:c r="I16" s="791"/>
      <x:c r="J16" s="791"/>
      <x:c r="K16" s="791"/>
      <x:c r="L16" s="791"/>
      <x:c r="M16" s="791"/>
      <x:c r="N16" s="791"/>
      <x:c r="O16" s="803" t="str">
        <x:f>IF($A16="","",IF(COUNTIF($A$6:$A$205,$A16)&gt;1,"Duplicate Care ID",IF(COUNTIF(Clients!$A$6:$A$205,$B16)&lt;&gt;1,"Check Client ID",IF($D16="","Set touchpoint type",IF($N16="","Set task status",IF(AND($N16="Open",NOT(ISNUMBER($G16))),"Set next date",""))))))</x:f>
      </x:c>
    </x:row>
    <x:row r="17" ht="26" customHeight="1">
      <x:c r="A17" s="791"/>
      <x:c r="B17" s="791"/>
      <x:c r="C17" s="803" t="str">
        <x:f>IF($A17="","",IF($B17="","",IFERROR(INDEX(Clients!$B$6:$B$205,MATCH($B17,Clients!$A$6:$A$205,0)),"Client ID not found")))</x:f>
      </x:c>
      <x:c r="D17" s="791"/>
      <x:c r="E17" s="791"/>
      <x:c r="F17" s="794"/>
      <x:c r="G17" s="794"/>
      <x:c r="H17" s="803" t="str">
        <x:f>IF($A17="","",IF($N17="Completed","Completed",IF(NOT(ISNUMBER($G17)),"Set next contact",IF($G17&lt;TODAY(),"Overdue",IF($G17=TODAY(),"Due today","Scheduled")))))</x:f>
      </x:c>
      <x:c r="I17" s="791"/>
      <x:c r="J17" s="791"/>
      <x:c r="K17" s="791"/>
      <x:c r="L17" s="791"/>
      <x:c r="M17" s="791"/>
      <x:c r="N17" s="791"/>
      <x:c r="O17" s="803" t="str">
        <x:f>IF($A17="","",IF(COUNTIF($A$6:$A$205,$A17)&gt;1,"Duplicate Care ID",IF(COUNTIF(Clients!$A$6:$A$205,$B17)&lt;&gt;1,"Check Client ID",IF($D17="","Set touchpoint type",IF($N17="","Set task status",IF(AND($N17="Open",NOT(ISNUMBER($G17))),"Set next date",""))))))</x:f>
      </x:c>
    </x:row>
    <x:row r="18" ht="26" customHeight="1">
      <x:c r="A18" s="791"/>
      <x:c r="B18" s="791"/>
      <x:c r="C18" s="803" t="str">
        <x:f>IF($A18="","",IF($B18="","",IFERROR(INDEX(Clients!$B$6:$B$205,MATCH($B18,Clients!$A$6:$A$205,0)),"Client ID not found")))</x:f>
      </x:c>
      <x:c r="D18" s="791"/>
      <x:c r="E18" s="791"/>
      <x:c r="F18" s="794"/>
      <x:c r="G18" s="794"/>
      <x:c r="H18" s="803" t="str">
        <x:f>IF($A18="","",IF($N18="Completed","Completed",IF(NOT(ISNUMBER($G18)),"Set next contact",IF($G18&lt;TODAY(),"Overdue",IF($G18=TODAY(),"Due today","Scheduled")))))</x:f>
      </x:c>
      <x:c r="I18" s="791"/>
      <x:c r="J18" s="791"/>
      <x:c r="K18" s="791"/>
      <x:c r="L18" s="791"/>
      <x:c r="M18" s="791"/>
      <x:c r="N18" s="791"/>
      <x:c r="O18" s="803" t="str">
        <x:f>IF($A18="","",IF(COUNTIF($A$6:$A$205,$A18)&gt;1,"Duplicate Care ID",IF(COUNTIF(Clients!$A$6:$A$205,$B18)&lt;&gt;1,"Check Client ID",IF($D18="","Set touchpoint type",IF($N18="","Set task status",IF(AND($N18="Open",NOT(ISNUMBER($G18))),"Set next date",""))))))</x:f>
      </x:c>
    </x:row>
    <x:row r="19" ht="26" customHeight="1">
      <x:c r="A19" s="791"/>
      <x:c r="B19" s="791"/>
      <x:c r="C19" s="803" t="str">
        <x:f>IF($A19="","",IF($B19="","",IFERROR(INDEX(Clients!$B$6:$B$205,MATCH($B19,Clients!$A$6:$A$205,0)),"Client ID not found")))</x:f>
      </x:c>
      <x:c r="D19" s="791"/>
      <x:c r="E19" s="791"/>
      <x:c r="F19" s="794"/>
      <x:c r="G19" s="794"/>
      <x:c r="H19" s="803" t="str">
        <x:f>IF($A19="","",IF($N19="Completed","Completed",IF(NOT(ISNUMBER($G19)),"Set next contact",IF($G19&lt;TODAY(),"Overdue",IF($G19=TODAY(),"Due today","Scheduled")))))</x:f>
      </x:c>
      <x:c r="I19" s="791"/>
      <x:c r="J19" s="791"/>
      <x:c r="K19" s="791"/>
      <x:c r="L19" s="791"/>
      <x:c r="M19" s="791"/>
      <x:c r="N19" s="791"/>
      <x:c r="O19" s="803" t="str">
        <x:f>IF($A19="","",IF(COUNTIF($A$6:$A$205,$A19)&gt;1,"Duplicate Care ID",IF(COUNTIF(Clients!$A$6:$A$205,$B19)&lt;&gt;1,"Check Client ID",IF($D19="","Set touchpoint type",IF($N19="","Set task status",IF(AND($N19="Open",NOT(ISNUMBER($G19))),"Set next date",""))))))</x:f>
      </x:c>
    </x:row>
    <x:row r="20" ht="26" customHeight="1">
      <x:c r="A20" s="791"/>
      <x:c r="B20" s="791"/>
      <x:c r="C20" s="803" t="str">
        <x:f>IF($A20="","",IF($B20="","",IFERROR(INDEX(Clients!$B$6:$B$205,MATCH($B20,Clients!$A$6:$A$205,0)),"Client ID not found")))</x:f>
      </x:c>
      <x:c r="D20" s="791"/>
      <x:c r="E20" s="791"/>
      <x:c r="F20" s="794"/>
      <x:c r="G20" s="794"/>
      <x:c r="H20" s="803" t="str">
        <x:f>IF($A20="","",IF($N20="Completed","Completed",IF(NOT(ISNUMBER($G20)),"Set next contact",IF($G20&lt;TODAY(),"Overdue",IF($G20=TODAY(),"Due today","Scheduled")))))</x:f>
      </x:c>
      <x:c r="I20" s="791"/>
      <x:c r="J20" s="791"/>
      <x:c r="K20" s="791"/>
      <x:c r="L20" s="791"/>
      <x:c r="M20" s="791"/>
      <x:c r="N20" s="791"/>
      <x:c r="O20" s="803" t="str">
        <x:f>IF($A20="","",IF(COUNTIF($A$6:$A$205,$A20)&gt;1,"Duplicate Care ID",IF(COUNTIF(Clients!$A$6:$A$205,$B20)&lt;&gt;1,"Check Client ID",IF($D20="","Set touchpoint type",IF($N20="","Set task status",IF(AND($N20="Open",NOT(ISNUMBER($G20))),"Set next date",""))))))</x:f>
      </x:c>
    </x:row>
    <x:row r="21" ht="26" customHeight="1">
      <x:c r="A21" s="791"/>
      <x:c r="B21" s="791"/>
      <x:c r="C21" s="803" t="str">
        <x:f>IF($A21="","",IF($B21="","",IFERROR(INDEX(Clients!$B$6:$B$205,MATCH($B21,Clients!$A$6:$A$205,0)),"Client ID not found")))</x:f>
      </x:c>
      <x:c r="D21" s="791"/>
      <x:c r="E21" s="791"/>
      <x:c r="F21" s="794"/>
      <x:c r="G21" s="794"/>
      <x:c r="H21" s="803" t="str">
        <x:f>IF($A21="","",IF($N21="Completed","Completed",IF(NOT(ISNUMBER($G21)),"Set next contact",IF($G21&lt;TODAY(),"Overdue",IF($G21=TODAY(),"Due today","Scheduled")))))</x:f>
      </x:c>
      <x:c r="I21" s="791"/>
      <x:c r="J21" s="791"/>
      <x:c r="K21" s="791"/>
      <x:c r="L21" s="791"/>
      <x:c r="M21" s="791"/>
      <x:c r="N21" s="791"/>
      <x:c r="O21" s="803" t="str">
        <x:f>IF($A21="","",IF(COUNTIF($A$6:$A$205,$A21)&gt;1,"Duplicate Care ID",IF(COUNTIF(Clients!$A$6:$A$205,$B21)&lt;&gt;1,"Check Client ID",IF($D21="","Set touchpoint type",IF($N21="","Set task status",IF(AND($N21="Open",NOT(ISNUMBER($G21))),"Set next date",""))))))</x:f>
      </x:c>
    </x:row>
    <x:row r="22" ht="26" customHeight="1">
      <x:c r="A22" s="791"/>
      <x:c r="B22" s="791"/>
      <x:c r="C22" s="803" t="str">
        <x:f>IF($A22="","",IF($B22="","",IFERROR(INDEX(Clients!$B$6:$B$205,MATCH($B22,Clients!$A$6:$A$205,0)),"Client ID not found")))</x:f>
      </x:c>
      <x:c r="D22" s="791"/>
      <x:c r="E22" s="791"/>
      <x:c r="F22" s="794"/>
      <x:c r="G22" s="794"/>
      <x:c r="H22" s="803" t="str">
        <x:f>IF($A22="","",IF($N22="Completed","Completed",IF(NOT(ISNUMBER($G22)),"Set next contact",IF($G22&lt;TODAY(),"Overdue",IF($G22=TODAY(),"Due today","Scheduled")))))</x:f>
      </x:c>
      <x:c r="I22" s="791"/>
      <x:c r="J22" s="791"/>
      <x:c r="K22" s="791"/>
      <x:c r="L22" s="791"/>
      <x:c r="M22" s="791"/>
      <x:c r="N22" s="791"/>
      <x:c r="O22" s="803" t="str">
        <x:f>IF($A22="","",IF(COUNTIF($A$6:$A$205,$A22)&gt;1,"Duplicate Care ID",IF(COUNTIF(Clients!$A$6:$A$205,$B22)&lt;&gt;1,"Check Client ID",IF($D22="","Set touchpoint type",IF($N22="","Set task status",IF(AND($N22="Open",NOT(ISNUMBER($G22))),"Set next date",""))))))</x:f>
      </x:c>
    </x:row>
    <x:row r="23" ht="26" customHeight="1">
      <x:c r="A23" s="791"/>
      <x:c r="B23" s="791"/>
      <x:c r="C23" s="803" t="str">
        <x:f>IF($A23="","",IF($B23="","",IFERROR(INDEX(Clients!$B$6:$B$205,MATCH($B23,Clients!$A$6:$A$205,0)),"Client ID not found")))</x:f>
      </x:c>
      <x:c r="D23" s="791"/>
      <x:c r="E23" s="791"/>
      <x:c r="F23" s="794"/>
      <x:c r="G23" s="794"/>
      <x:c r="H23" s="803" t="str">
        <x:f>IF($A23="","",IF($N23="Completed","Completed",IF(NOT(ISNUMBER($G23)),"Set next contact",IF($G23&lt;TODAY(),"Overdue",IF($G23=TODAY(),"Due today","Scheduled")))))</x:f>
      </x:c>
      <x:c r="I23" s="791"/>
      <x:c r="J23" s="791"/>
      <x:c r="K23" s="791"/>
      <x:c r="L23" s="791"/>
      <x:c r="M23" s="791"/>
      <x:c r="N23" s="791"/>
      <x:c r="O23" s="803" t="str">
        <x:f>IF($A23="","",IF(COUNTIF($A$6:$A$205,$A23)&gt;1,"Duplicate Care ID",IF(COUNTIF(Clients!$A$6:$A$205,$B23)&lt;&gt;1,"Check Client ID",IF($D23="","Set touchpoint type",IF($N23="","Set task status",IF(AND($N23="Open",NOT(ISNUMBER($G23))),"Set next date",""))))))</x:f>
      </x:c>
    </x:row>
    <x:row r="24" ht="26" customHeight="1">
      <x:c r="A24" s="791"/>
      <x:c r="B24" s="791"/>
      <x:c r="C24" s="803" t="str">
        <x:f>IF($A24="","",IF($B24="","",IFERROR(INDEX(Clients!$B$6:$B$205,MATCH($B24,Clients!$A$6:$A$205,0)),"Client ID not found")))</x:f>
      </x:c>
      <x:c r="D24" s="791"/>
      <x:c r="E24" s="791"/>
      <x:c r="F24" s="794"/>
      <x:c r="G24" s="794"/>
      <x:c r="H24" s="803" t="str">
        <x:f>IF($A24="","",IF($N24="Completed","Completed",IF(NOT(ISNUMBER($G24)),"Set next contact",IF($G24&lt;TODAY(),"Overdue",IF($G24=TODAY(),"Due today","Scheduled")))))</x:f>
      </x:c>
      <x:c r="I24" s="791"/>
      <x:c r="J24" s="791"/>
      <x:c r="K24" s="791"/>
      <x:c r="L24" s="791"/>
      <x:c r="M24" s="791"/>
      <x:c r="N24" s="791"/>
      <x:c r="O24" s="803" t="str">
        <x:f>IF($A24="","",IF(COUNTIF($A$6:$A$205,$A24)&gt;1,"Duplicate Care ID",IF(COUNTIF(Clients!$A$6:$A$205,$B24)&lt;&gt;1,"Check Client ID",IF($D24="","Set touchpoint type",IF($N24="","Set task status",IF(AND($N24="Open",NOT(ISNUMBER($G24))),"Set next date",""))))))</x:f>
      </x:c>
    </x:row>
    <x:row r="25" ht="26" customHeight="1">
      <x:c r="A25" s="791"/>
      <x:c r="B25" s="791"/>
      <x:c r="C25" s="803" t="str">
        <x:f>IF($A25="","",IF($B25="","",IFERROR(INDEX(Clients!$B$6:$B$205,MATCH($B25,Clients!$A$6:$A$205,0)),"Client ID not found")))</x:f>
      </x:c>
      <x:c r="D25" s="791"/>
      <x:c r="E25" s="791"/>
      <x:c r="F25" s="794"/>
      <x:c r="G25" s="794"/>
      <x:c r="H25" s="803" t="str">
        <x:f>IF($A25="","",IF($N25="Completed","Completed",IF(NOT(ISNUMBER($G25)),"Set next contact",IF($G25&lt;TODAY(),"Overdue",IF($G25=TODAY(),"Due today","Scheduled")))))</x:f>
      </x:c>
      <x:c r="I25" s="791"/>
      <x:c r="J25" s="791"/>
      <x:c r="K25" s="791"/>
      <x:c r="L25" s="791"/>
      <x:c r="M25" s="791"/>
      <x:c r="N25" s="791"/>
      <x:c r="O25" s="803" t="str">
        <x:f>IF($A25="","",IF(COUNTIF($A$6:$A$205,$A25)&gt;1,"Duplicate Care ID",IF(COUNTIF(Clients!$A$6:$A$205,$B25)&lt;&gt;1,"Check Client ID",IF($D25="","Set touchpoint type",IF($N25="","Set task status",IF(AND($N25="Open",NOT(ISNUMBER($G25))),"Set next date",""))))))</x:f>
      </x:c>
    </x:row>
    <x:row r="26" ht="26" customHeight="1">
      <x:c r="A26" s="791"/>
      <x:c r="B26" s="791"/>
      <x:c r="C26" s="803" t="str">
        <x:f>IF($A26="","",IF($B26="","",IFERROR(INDEX(Clients!$B$6:$B$205,MATCH($B26,Clients!$A$6:$A$205,0)),"Client ID not found")))</x:f>
      </x:c>
      <x:c r="D26" s="791"/>
      <x:c r="E26" s="791"/>
      <x:c r="F26" s="794"/>
      <x:c r="G26" s="794"/>
      <x:c r="H26" s="803" t="str">
        <x:f>IF($A26="","",IF($N26="Completed","Completed",IF(NOT(ISNUMBER($G26)),"Set next contact",IF($G26&lt;TODAY(),"Overdue",IF($G26=TODAY(),"Due today","Scheduled")))))</x:f>
      </x:c>
      <x:c r="I26" s="791"/>
      <x:c r="J26" s="791"/>
      <x:c r="K26" s="791"/>
      <x:c r="L26" s="791"/>
      <x:c r="M26" s="791"/>
      <x:c r="N26" s="791"/>
      <x:c r="O26" s="803" t="str">
        <x:f>IF($A26="","",IF(COUNTIF($A$6:$A$205,$A26)&gt;1,"Duplicate Care ID",IF(COUNTIF(Clients!$A$6:$A$205,$B26)&lt;&gt;1,"Check Client ID",IF($D26="","Set touchpoint type",IF($N26="","Set task status",IF(AND($N26="Open",NOT(ISNUMBER($G26))),"Set next date",""))))))</x:f>
      </x:c>
    </x:row>
    <x:row r="27" ht="26" customHeight="1">
      <x:c r="A27" s="791"/>
      <x:c r="B27" s="791"/>
      <x:c r="C27" s="803" t="str">
        <x:f>IF($A27="","",IF($B27="","",IFERROR(INDEX(Clients!$B$6:$B$205,MATCH($B27,Clients!$A$6:$A$205,0)),"Client ID not found")))</x:f>
      </x:c>
      <x:c r="D27" s="791"/>
      <x:c r="E27" s="791"/>
      <x:c r="F27" s="794"/>
      <x:c r="G27" s="794"/>
      <x:c r="H27" s="803" t="str">
        <x:f>IF($A27="","",IF($N27="Completed","Completed",IF(NOT(ISNUMBER($G27)),"Set next contact",IF($G27&lt;TODAY(),"Overdue",IF($G27=TODAY(),"Due today","Scheduled")))))</x:f>
      </x:c>
      <x:c r="I27" s="791"/>
      <x:c r="J27" s="791"/>
      <x:c r="K27" s="791"/>
      <x:c r="L27" s="791"/>
      <x:c r="M27" s="791"/>
      <x:c r="N27" s="791"/>
      <x:c r="O27" s="803" t="str">
        <x:f>IF($A27="","",IF(COUNTIF($A$6:$A$205,$A27)&gt;1,"Duplicate Care ID",IF(COUNTIF(Clients!$A$6:$A$205,$B27)&lt;&gt;1,"Check Client ID",IF($D27="","Set touchpoint type",IF($N27="","Set task status",IF(AND($N27="Open",NOT(ISNUMBER($G27))),"Set next date",""))))))</x:f>
      </x:c>
    </x:row>
    <x:row r="28" ht="26" customHeight="1">
      <x:c r="A28" s="791"/>
      <x:c r="B28" s="791"/>
      <x:c r="C28" s="803" t="str">
        <x:f>IF($A28="","",IF($B28="","",IFERROR(INDEX(Clients!$B$6:$B$205,MATCH($B28,Clients!$A$6:$A$205,0)),"Client ID not found")))</x:f>
      </x:c>
      <x:c r="D28" s="791"/>
      <x:c r="E28" s="791"/>
      <x:c r="F28" s="794"/>
      <x:c r="G28" s="794"/>
      <x:c r="H28" s="803" t="str">
        <x:f>IF($A28="","",IF($N28="Completed","Completed",IF(NOT(ISNUMBER($G28)),"Set next contact",IF($G28&lt;TODAY(),"Overdue",IF($G28=TODAY(),"Due today","Scheduled")))))</x:f>
      </x:c>
      <x:c r="I28" s="791"/>
      <x:c r="J28" s="791"/>
      <x:c r="K28" s="791"/>
      <x:c r="L28" s="791"/>
      <x:c r="M28" s="791"/>
      <x:c r="N28" s="791"/>
      <x:c r="O28" s="803" t="str">
        <x:f>IF($A28="","",IF(COUNTIF($A$6:$A$205,$A28)&gt;1,"Duplicate Care ID",IF(COUNTIF(Clients!$A$6:$A$205,$B28)&lt;&gt;1,"Check Client ID",IF($D28="","Set touchpoint type",IF($N28="","Set task status",IF(AND($N28="Open",NOT(ISNUMBER($G28))),"Set next date",""))))))</x:f>
      </x:c>
    </x:row>
    <x:row r="29" ht="26" customHeight="1">
      <x:c r="A29" s="791"/>
      <x:c r="B29" s="791"/>
      <x:c r="C29" s="803" t="str">
        <x:f>IF($A29="","",IF($B29="","",IFERROR(INDEX(Clients!$B$6:$B$205,MATCH($B29,Clients!$A$6:$A$205,0)),"Client ID not found")))</x:f>
      </x:c>
      <x:c r="D29" s="791"/>
      <x:c r="E29" s="791"/>
      <x:c r="F29" s="794"/>
      <x:c r="G29" s="794"/>
      <x:c r="H29" s="803" t="str">
        <x:f>IF($A29="","",IF($N29="Completed","Completed",IF(NOT(ISNUMBER($G29)),"Set next contact",IF($G29&lt;TODAY(),"Overdue",IF($G29=TODAY(),"Due today","Scheduled")))))</x:f>
      </x:c>
      <x:c r="I29" s="791"/>
      <x:c r="J29" s="791"/>
      <x:c r="K29" s="791"/>
      <x:c r="L29" s="791"/>
      <x:c r="M29" s="791"/>
      <x:c r="N29" s="791"/>
      <x:c r="O29" s="803" t="str">
        <x:f>IF($A29="","",IF(COUNTIF($A$6:$A$205,$A29)&gt;1,"Duplicate Care ID",IF(COUNTIF(Clients!$A$6:$A$205,$B29)&lt;&gt;1,"Check Client ID",IF($D29="","Set touchpoint type",IF($N29="","Set task status",IF(AND($N29="Open",NOT(ISNUMBER($G29))),"Set next date",""))))))</x:f>
      </x:c>
    </x:row>
    <x:row r="30" ht="26" customHeight="1">
      <x:c r="A30" s="791"/>
      <x:c r="B30" s="791"/>
      <x:c r="C30" s="803" t="str">
        <x:f>IF($A30="","",IF($B30="","",IFERROR(INDEX(Clients!$B$6:$B$205,MATCH($B30,Clients!$A$6:$A$205,0)),"Client ID not found")))</x:f>
      </x:c>
      <x:c r="D30" s="791"/>
      <x:c r="E30" s="791"/>
      <x:c r="F30" s="794"/>
      <x:c r="G30" s="794"/>
      <x:c r="H30" s="803" t="str">
        <x:f>IF($A30="","",IF($N30="Completed","Completed",IF(NOT(ISNUMBER($G30)),"Set next contact",IF($G30&lt;TODAY(),"Overdue",IF($G30=TODAY(),"Due today","Scheduled")))))</x:f>
      </x:c>
      <x:c r="I30" s="791"/>
      <x:c r="J30" s="791"/>
      <x:c r="K30" s="791"/>
      <x:c r="L30" s="791"/>
      <x:c r="M30" s="791"/>
      <x:c r="N30" s="791"/>
      <x:c r="O30" s="803" t="str">
        <x:f>IF($A30="","",IF(COUNTIF($A$6:$A$205,$A30)&gt;1,"Duplicate Care ID",IF(COUNTIF(Clients!$A$6:$A$205,$B30)&lt;&gt;1,"Check Client ID",IF($D30="","Set touchpoint type",IF($N30="","Set task status",IF(AND($N30="Open",NOT(ISNUMBER($G30))),"Set next date",""))))))</x:f>
      </x:c>
    </x:row>
    <x:row r="31" ht="26" customHeight="1">
      <x:c r="A31" s="791"/>
      <x:c r="B31" s="791"/>
      <x:c r="C31" s="803" t="str">
        <x:f>IF($A31="","",IF($B31="","",IFERROR(INDEX(Clients!$B$6:$B$205,MATCH($B31,Clients!$A$6:$A$205,0)),"Client ID not found")))</x:f>
      </x:c>
      <x:c r="D31" s="791"/>
      <x:c r="E31" s="791"/>
      <x:c r="F31" s="794"/>
      <x:c r="G31" s="794"/>
      <x:c r="H31" s="803" t="str">
        <x:f>IF($A31="","",IF($N31="Completed","Completed",IF(NOT(ISNUMBER($G31)),"Set next contact",IF($G31&lt;TODAY(),"Overdue",IF($G31=TODAY(),"Due today","Scheduled")))))</x:f>
      </x:c>
      <x:c r="I31" s="791"/>
      <x:c r="J31" s="791"/>
      <x:c r="K31" s="791"/>
      <x:c r="L31" s="791"/>
      <x:c r="M31" s="791"/>
      <x:c r="N31" s="791"/>
      <x:c r="O31" s="803" t="str">
        <x:f>IF($A31="","",IF(COUNTIF($A$6:$A$205,$A31)&gt;1,"Duplicate Care ID",IF(COUNTIF(Clients!$A$6:$A$205,$B31)&lt;&gt;1,"Check Client ID",IF($D31="","Set touchpoint type",IF($N31="","Set task status",IF(AND($N31="Open",NOT(ISNUMBER($G31))),"Set next date",""))))))</x:f>
      </x:c>
    </x:row>
    <x:row r="32" ht="26" customHeight="1">
      <x:c r="A32" s="791"/>
      <x:c r="B32" s="791"/>
      <x:c r="C32" s="803" t="str">
        <x:f>IF($A32="","",IF($B32="","",IFERROR(INDEX(Clients!$B$6:$B$205,MATCH($B32,Clients!$A$6:$A$205,0)),"Client ID not found")))</x:f>
      </x:c>
      <x:c r="D32" s="791"/>
      <x:c r="E32" s="791"/>
      <x:c r="F32" s="794"/>
      <x:c r="G32" s="794"/>
      <x:c r="H32" s="803" t="str">
        <x:f>IF($A32="","",IF($N32="Completed","Completed",IF(NOT(ISNUMBER($G32)),"Set next contact",IF($G32&lt;TODAY(),"Overdue",IF($G32=TODAY(),"Due today","Scheduled")))))</x:f>
      </x:c>
      <x:c r="I32" s="791"/>
      <x:c r="J32" s="791"/>
      <x:c r="K32" s="791"/>
      <x:c r="L32" s="791"/>
      <x:c r="M32" s="791"/>
      <x:c r="N32" s="791"/>
      <x:c r="O32" s="803" t="str">
        <x:f>IF($A32="","",IF(COUNTIF($A$6:$A$205,$A32)&gt;1,"Duplicate Care ID",IF(COUNTIF(Clients!$A$6:$A$205,$B32)&lt;&gt;1,"Check Client ID",IF($D32="","Set touchpoint type",IF($N32="","Set task status",IF(AND($N32="Open",NOT(ISNUMBER($G32))),"Set next date",""))))))</x:f>
      </x:c>
    </x:row>
    <x:row r="33" ht="26" customHeight="1">
      <x:c r="A33" s="791"/>
      <x:c r="B33" s="791"/>
      <x:c r="C33" s="803" t="str">
        <x:f>IF($A33="","",IF($B33="","",IFERROR(INDEX(Clients!$B$6:$B$205,MATCH($B33,Clients!$A$6:$A$205,0)),"Client ID not found")))</x:f>
      </x:c>
      <x:c r="D33" s="791"/>
      <x:c r="E33" s="791"/>
      <x:c r="F33" s="794"/>
      <x:c r="G33" s="794"/>
      <x:c r="H33" s="803" t="str">
        <x:f>IF($A33="","",IF($N33="Completed","Completed",IF(NOT(ISNUMBER($G33)),"Set next contact",IF($G33&lt;TODAY(),"Overdue",IF($G33=TODAY(),"Due today","Scheduled")))))</x:f>
      </x:c>
      <x:c r="I33" s="791"/>
      <x:c r="J33" s="791"/>
      <x:c r="K33" s="791"/>
      <x:c r="L33" s="791"/>
      <x:c r="M33" s="791"/>
      <x:c r="N33" s="791"/>
      <x:c r="O33" s="803" t="str">
        <x:f>IF($A33="","",IF(COUNTIF($A$6:$A$205,$A33)&gt;1,"Duplicate Care ID",IF(COUNTIF(Clients!$A$6:$A$205,$B33)&lt;&gt;1,"Check Client ID",IF($D33="","Set touchpoint type",IF($N33="","Set task status",IF(AND($N33="Open",NOT(ISNUMBER($G33))),"Set next date",""))))))</x:f>
      </x:c>
    </x:row>
    <x:row r="34" ht="26" customHeight="1">
      <x:c r="A34" s="791"/>
      <x:c r="B34" s="791"/>
      <x:c r="C34" s="803" t="str">
        <x:f>IF($A34="","",IF($B34="","",IFERROR(INDEX(Clients!$B$6:$B$205,MATCH($B34,Clients!$A$6:$A$205,0)),"Client ID not found")))</x:f>
      </x:c>
      <x:c r="D34" s="791"/>
      <x:c r="E34" s="791"/>
      <x:c r="F34" s="794"/>
      <x:c r="G34" s="794"/>
      <x:c r="H34" s="803" t="str">
        <x:f>IF($A34="","",IF($N34="Completed","Completed",IF(NOT(ISNUMBER($G34)),"Set next contact",IF($G34&lt;TODAY(),"Overdue",IF($G34=TODAY(),"Due today","Scheduled")))))</x:f>
      </x:c>
      <x:c r="I34" s="791"/>
      <x:c r="J34" s="791"/>
      <x:c r="K34" s="791"/>
      <x:c r="L34" s="791"/>
      <x:c r="M34" s="791"/>
      <x:c r="N34" s="791"/>
      <x:c r="O34" s="803" t="str">
        <x:f>IF($A34="","",IF(COUNTIF($A$6:$A$205,$A34)&gt;1,"Duplicate Care ID",IF(COUNTIF(Clients!$A$6:$A$205,$B34)&lt;&gt;1,"Check Client ID",IF($D34="","Set touchpoint type",IF($N34="","Set task status",IF(AND($N34="Open",NOT(ISNUMBER($G34))),"Set next date",""))))))</x:f>
      </x:c>
    </x:row>
    <x:row r="35" ht="26" customHeight="1">
      <x:c r="A35" s="791"/>
      <x:c r="B35" s="791"/>
      <x:c r="C35" s="803" t="str">
        <x:f>IF($A35="","",IF($B35="","",IFERROR(INDEX(Clients!$B$6:$B$205,MATCH($B35,Clients!$A$6:$A$205,0)),"Client ID not found")))</x:f>
      </x:c>
      <x:c r="D35" s="791"/>
      <x:c r="E35" s="791"/>
      <x:c r="F35" s="794"/>
      <x:c r="G35" s="794"/>
      <x:c r="H35" s="803" t="str">
        <x:f>IF($A35="","",IF($N35="Completed","Completed",IF(NOT(ISNUMBER($G35)),"Set next contact",IF($G35&lt;TODAY(),"Overdue",IF($G35=TODAY(),"Due today","Scheduled")))))</x:f>
      </x:c>
      <x:c r="I35" s="791"/>
      <x:c r="J35" s="791"/>
      <x:c r="K35" s="791"/>
      <x:c r="L35" s="791"/>
      <x:c r="M35" s="791"/>
      <x:c r="N35" s="791"/>
      <x:c r="O35" s="803" t="str">
        <x:f>IF($A35="","",IF(COUNTIF($A$6:$A$205,$A35)&gt;1,"Duplicate Care ID",IF(COUNTIF(Clients!$A$6:$A$205,$B35)&lt;&gt;1,"Check Client ID",IF($D35="","Set touchpoint type",IF($N35="","Set task status",IF(AND($N35="Open",NOT(ISNUMBER($G35))),"Set next date",""))))))</x:f>
      </x:c>
    </x:row>
    <x:row r="36" ht="26" customHeight="1">
      <x:c r="A36" s="791"/>
      <x:c r="B36" s="791"/>
      <x:c r="C36" s="803" t="str">
        <x:f>IF($A36="","",IF($B36="","",IFERROR(INDEX(Clients!$B$6:$B$205,MATCH($B36,Clients!$A$6:$A$205,0)),"Client ID not found")))</x:f>
      </x:c>
      <x:c r="D36" s="791"/>
      <x:c r="E36" s="791"/>
      <x:c r="F36" s="794"/>
      <x:c r="G36" s="794"/>
      <x:c r="H36" s="803" t="str">
        <x:f>IF($A36="","",IF($N36="Completed","Completed",IF(NOT(ISNUMBER($G36)),"Set next contact",IF($G36&lt;TODAY(),"Overdue",IF($G36=TODAY(),"Due today","Scheduled")))))</x:f>
      </x:c>
      <x:c r="I36" s="791"/>
      <x:c r="J36" s="791"/>
      <x:c r="K36" s="791"/>
      <x:c r="L36" s="791"/>
      <x:c r="M36" s="791"/>
      <x:c r="N36" s="791"/>
      <x:c r="O36" s="803" t="str">
        <x:f>IF($A36="","",IF(COUNTIF($A$6:$A$205,$A36)&gt;1,"Duplicate Care ID",IF(COUNTIF(Clients!$A$6:$A$205,$B36)&lt;&gt;1,"Check Client ID",IF($D36="","Set touchpoint type",IF($N36="","Set task status",IF(AND($N36="Open",NOT(ISNUMBER($G36))),"Set next date",""))))))</x:f>
      </x:c>
    </x:row>
    <x:row r="37" ht="26" customHeight="1">
      <x:c r="A37" s="791"/>
      <x:c r="B37" s="791"/>
      <x:c r="C37" s="803" t="str">
        <x:f>IF($A37="","",IF($B37="","",IFERROR(INDEX(Clients!$B$6:$B$205,MATCH($B37,Clients!$A$6:$A$205,0)),"Client ID not found")))</x:f>
      </x:c>
      <x:c r="D37" s="791"/>
      <x:c r="E37" s="791"/>
      <x:c r="F37" s="794"/>
      <x:c r="G37" s="794"/>
      <x:c r="H37" s="803" t="str">
        <x:f>IF($A37="","",IF($N37="Completed","Completed",IF(NOT(ISNUMBER($G37)),"Set next contact",IF($G37&lt;TODAY(),"Overdue",IF($G37=TODAY(),"Due today","Scheduled")))))</x:f>
      </x:c>
      <x:c r="I37" s="791"/>
      <x:c r="J37" s="791"/>
      <x:c r="K37" s="791"/>
      <x:c r="L37" s="791"/>
      <x:c r="M37" s="791"/>
      <x:c r="N37" s="791"/>
      <x:c r="O37" s="803" t="str">
        <x:f>IF($A37="","",IF(COUNTIF($A$6:$A$205,$A37)&gt;1,"Duplicate Care ID",IF(COUNTIF(Clients!$A$6:$A$205,$B37)&lt;&gt;1,"Check Client ID",IF($D37="","Set touchpoint type",IF($N37="","Set task status",IF(AND($N37="Open",NOT(ISNUMBER($G37))),"Set next date",""))))))</x:f>
      </x:c>
    </x:row>
    <x:row r="38" ht="26" customHeight="1">
      <x:c r="A38" s="791"/>
      <x:c r="B38" s="791"/>
      <x:c r="C38" s="803" t="str">
        <x:f>IF($A38="","",IF($B38="","",IFERROR(INDEX(Clients!$B$6:$B$205,MATCH($B38,Clients!$A$6:$A$205,0)),"Client ID not found")))</x:f>
      </x:c>
      <x:c r="D38" s="791"/>
      <x:c r="E38" s="791"/>
      <x:c r="F38" s="794"/>
      <x:c r="G38" s="794"/>
      <x:c r="H38" s="803" t="str">
        <x:f>IF($A38="","",IF($N38="Completed","Completed",IF(NOT(ISNUMBER($G38)),"Set next contact",IF($G38&lt;TODAY(),"Overdue",IF($G38=TODAY(),"Due today","Scheduled")))))</x:f>
      </x:c>
      <x:c r="I38" s="791"/>
      <x:c r="J38" s="791"/>
      <x:c r="K38" s="791"/>
      <x:c r="L38" s="791"/>
      <x:c r="M38" s="791"/>
      <x:c r="N38" s="791"/>
      <x:c r="O38" s="803" t="str">
        <x:f>IF($A38="","",IF(COUNTIF($A$6:$A$205,$A38)&gt;1,"Duplicate Care ID",IF(COUNTIF(Clients!$A$6:$A$205,$B38)&lt;&gt;1,"Check Client ID",IF($D38="","Set touchpoint type",IF($N38="","Set task status",IF(AND($N38="Open",NOT(ISNUMBER($G38))),"Set next date",""))))))</x:f>
      </x:c>
    </x:row>
    <x:row r="39" ht="26" customHeight="1">
      <x:c r="A39" s="791"/>
      <x:c r="B39" s="791"/>
      <x:c r="C39" s="803" t="str">
        <x:f>IF($A39="","",IF($B39="","",IFERROR(INDEX(Clients!$B$6:$B$205,MATCH($B39,Clients!$A$6:$A$205,0)),"Client ID not found")))</x:f>
      </x:c>
      <x:c r="D39" s="791"/>
      <x:c r="E39" s="791"/>
      <x:c r="F39" s="794"/>
      <x:c r="G39" s="794"/>
      <x:c r="H39" s="803" t="str">
        <x:f>IF($A39="","",IF($N39="Completed","Completed",IF(NOT(ISNUMBER($G39)),"Set next contact",IF($G39&lt;TODAY(),"Overdue",IF($G39=TODAY(),"Due today","Scheduled")))))</x:f>
      </x:c>
      <x:c r="I39" s="791"/>
      <x:c r="J39" s="791"/>
      <x:c r="K39" s="791"/>
      <x:c r="L39" s="791"/>
      <x:c r="M39" s="791"/>
      <x:c r="N39" s="791"/>
      <x:c r="O39" s="803" t="str">
        <x:f>IF($A39="","",IF(COUNTIF($A$6:$A$205,$A39)&gt;1,"Duplicate Care ID",IF(COUNTIF(Clients!$A$6:$A$205,$B39)&lt;&gt;1,"Check Client ID",IF($D39="","Set touchpoint type",IF($N39="","Set task status",IF(AND($N39="Open",NOT(ISNUMBER($G39))),"Set next date",""))))))</x:f>
      </x:c>
    </x:row>
    <x:row r="40" ht="26" customHeight="1">
      <x:c r="A40" s="791"/>
      <x:c r="B40" s="791"/>
      <x:c r="C40" s="803" t="str">
        <x:f>IF($A40="","",IF($B40="","",IFERROR(INDEX(Clients!$B$6:$B$205,MATCH($B40,Clients!$A$6:$A$205,0)),"Client ID not found")))</x:f>
      </x:c>
      <x:c r="D40" s="791"/>
      <x:c r="E40" s="791"/>
      <x:c r="F40" s="794"/>
      <x:c r="G40" s="794"/>
      <x:c r="H40" s="803" t="str">
        <x:f>IF($A40="","",IF($N40="Completed","Completed",IF(NOT(ISNUMBER($G40)),"Set next contact",IF($G40&lt;TODAY(),"Overdue",IF($G40=TODAY(),"Due today","Scheduled")))))</x:f>
      </x:c>
      <x:c r="I40" s="791"/>
      <x:c r="J40" s="791"/>
      <x:c r="K40" s="791"/>
      <x:c r="L40" s="791"/>
      <x:c r="M40" s="791"/>
      <x:c r="N40" s="791"/>
      <x:c r="O40" s="803" t="str">
        <x:f>IF($A40="","",IF(COUNTIF($A$6:$A$205,$A40)&gt;1,"Duplicate Care ID",IF(COUNTIF(Clients!$A$6:$A$205,$B40)&lt;&gt;1,"Check Client ID",IF($D40="","Set touchpoint type",IF($N40="","Set task status",IF(AND($N40="Open",NOT(ISNUMBER($G40))),"Set next date",""))))))</x:f>
      </x:c>
    </x:row>
    <x:row r="41" ht="26" customHeight="1">
      <x:c r="A41" s="791"/>
      <x:c r="B41" s="791"/>
      <x:c r="C41" s="803" t="str">
        <x:f>IF($A41="","",IF($B41="","",IFERROR(INDEX(Clients!$B$6:$B$205,MATCH($B41,Clients!$A$6:$A$205,0)),"Client ID not found")))</x:f>
      </x:c>
      <x:c r="D41" s="791"/>
      <x:c r="E41" s="791"/>
      <x:c r="F41" s="794"/>
      <x:c r="G41" s="794"/>
      <x:c r="H41" s="803" t="str">
        <x:f>IF($A41="","",IF($N41="Completed","Completed",IF(NOT(ISNUMBER($G41)),"Set next contact",IF($G41&lt;TODAY(),"Overdue",IF($G41=TODAY(),"Due today","Scheduled")))))</x:f>
      </x:c>
      <x:c r="I41" s="791"/>
      <x:c r="J41" s="791"/>
      <x:c r="K41" s="791"/>
      <x:c r="L41" s="791"/>
      <x:c r="M41" s="791"/>
      <x:c r="N41" s="791"/>
      <x:c r="O41" s="803" t="str">
        <x:f>IF($A41="","",IF(COUNTIF($A$6:$A$205,$A41)&gt;1,"Duplicate Care ID",IF(COUNTIF(Clients!$A$6:$A$205,$B41)&lt;&gt;1,"Check Client ID",IF($D41="","Set touchpoint type",IF($N41="","Set task status",IF(AND($N41="Open",NOT(ISNUMBER($G41))),"Set next date",""))))))</x:f>
      </x:c>
    </x:row>
    <x:row r="42" ht="26" customHeight="1">
      <x:c r="A42" s="791"/>
      <x:c r="B42" s="791"/>
      <x:c r="C42" s="803" t="str">
        <x:f>IF($A42="","",IF($B42="","",IFERROR(INDEX(Clients!$B$6:$B$205,MATCH($B42,Clients!$A$6:$A$205,0)),"Client ID not found")))</x:f>
      </x:c>
      <x:c r="D42" s="791"/>
      <x:c r="E42" s="791"/>
      <x:c r="F42" s="794"/>
      <x:c r="G42" s="794"/>
      <x:c r="H42" s="803" t="str">
        <x:f>IF($A42="","",IF($N42="Completed","Completed",IF(NOT(ISNUMBER($G42)),"Set next contact",IF($G42&lt;TODAY(),"Overdue",IF($G42=TODAY(),"Due today","Scheduled")))))</x:f>
      </x:c>
      <x:c r="I42" s="791"/>
      <x:c r="J42" s="791"/>
      <x:c r="K42" s="791"/>
      <x:c r="L42" s="791"/>
      <x:c r="M42" s="791"/>
      <x:c r="N42" s="791"/>
      <x:c r="O42" s="803" t="str">
        <x:f>IF($A42="","",IF(COUNTIF($A$6:$A$205,$A42)&gt;1,"Duplicate Care ID",IF(COUNTIF(Clients!$A$6:$A$205,$B42)&lt;&gt;1,"Check Client ID",IF($D42="","Set touchpoint type",IF($N42="","Set task status",IF(AND($N42="Open",NOT(ISNUMBER($G42))),"Set next date",""))))))</x:f>
      </x:c>
    </x:row>
    <x:row r="43" ht="26" customHeight="1">
      <x:c r="A43" s="791"/>
      <x:c r="B43" s="791"/>
      <x:c r="C43" s="803" t="str">
        <x:f>IF($A43="","",IF($B43="","",IFERROR(INDEX(Clients!$B$6:$B$205,MATCH($B43,Clients!$A$6:$A$205,0)),"Client ID not found")))</x:f>
      </x:c>
      <x:c r="D43" s="791"/>
      <x:c r="E43" s="791"/>
      <x:c r="F43" s="794"/>
      <x:c r="G43" s="794"/>
      <x:c r="H43" s="803" t="str">
        <x:f>IF($A43="","",IF($N43="Completed","Completed",IF(NOT(ISNUMBER($G43)),"Set next contact",IF($G43&lt;TODAY(),"Overdue",IF($G43=TODAY(),"Due today","Scheduled")))))</x:f>
      </x:c>
      <x:c r="I43" s="791"/>
      <x:c r="J43" s="791"/>
      <x:c r="K43" s="791"/>
      <x:c r="L43" s="791"/>
      <x:c r="M43" s="791"/>
      <x:c r="N43" s="791"/>
      <x:c r="O43" s="803" t="str">
        <x:f>IF($A43="","",IF(COUNTIF($A$6:$A$205,$A43)&gt;1,"Duplicate Care ID",IF(COUNTIF(Clients!$A$6:$A$205,$B43)&lt;&gt;1,"Check Client ID",IF($D43="","Set touchpoint type",IF($N43="","Set task status",IF(AND($N43="Open",NOT(ISNUMBER($G43))),"Set next date",""))))))</x:f>
      </x:c>
    </x:row>
    <x:row r="44" ht="26" customHeight="1">
      <x:c r="A44" s="791"/>
      <x:c r="B44" s="791"/>
      <x:c r="C44" s="803" t="str">
        <x:f>IF($A44="","",IF($B44="","",IFERROR(INDEX(Clients!$B$6:$B$205,MATCH($B44,Clients!$A$6:$A$205,0)),"Client ID not found")))</x:f>
      </x:c>
      <x:c r="D44" s="791"/>
      <x:c r="E44" s="791"/>
      <x:c r="F44" s="794"/>
      <x:c r="G44" s="794"/>
      <x:c r="H44" s="803" t="str">
        <x:f>IF($A44="","",IF($N44="Completed","Completed",IF(NOT(ISNUMBER($G44)),"Set next contact",IF($G44&lt;TODAY(),"Overdue",IF($G44=TODAY(),"Due today","Scheduled")))))</x:f>
      </x:c>
      <x:c r="I44" s="791"/>
      <x:c r="J44" s="791"/>
      <x:c r="K44" s="791"/>
      <x:c r="L44" s="791"/>
      <x:c r="M44" s="791"/>
      <x:c r="N44" s="791"/>
      <x:c r="O44" s="803" t="str">
        <x:f>IF($A44="","",IF(COUNTIF($A$6:$A$205,$A44)&gt;1,"Duplicate Care ID",IF(COUNTIF(Clients!$A$6:$A$205,$B44)&lt;&gt;1,"Check Client ID",IF($D44="","Set touchpoint type",IF($N44="","Set task status",IF(AND($N44="Open",NOT(ISNUMBER($G44))),"Set next date",""))))))</x:f>
      </x:c>
    </x:row>
    <x:row r="45" ht="26" customHeight="1">
      <x:c r="A45" s="791"/>
      <x:c r="B45" s="791"/>
      <x:c r="C45" s="803" t="str">
        <x:f>IF($A45="","",IF($B45="","",IFERROR(INDEX(Clients!$B$6:$B$205,MATCH($B45,Clients!$A$6:$A$205,0)),"Client ID not found")))</x:f>
      </x:c>
      <x:c r="D45" s="791"/>
      <x:c r="E45" s="791"/>
      <x:c r="F45" s="794"/>
      <x:c r="G45" s="794"/>
      <x:c r="H45" s="803" t="str">
        <x:f>IF($A45="","",IF($N45="Completed","Completed",IF(NOT(ISNUMBER($G45)),"Set next contact",IF($G45&lt;TODAY(),"Overdue",IF($G45=TODAY(),"Due today","Scheduled")))))</x:f>
      </x:c>
      <x:c r="I45" s="791"/>
      <x:c r="J45" s="791"/>
      <x:c r="K45" s="791"/>
      <x:c r="L45" s="791"/>
      <x:c r="M45" s="791"/>
      <x:c r="N45" s="791"/>
      <x:c r="O45" s="803" t="str">
        <x:f>IF($A45="","",IF(COUNTIF($A$6:$A$205,$A45)&gt;1,"Duplicate Care ID",IF(COUNTIF(Clients!$A$6:$A$205,$B45)&lt;&gt;1,"Check Client ID",IF($D45="","Set touchpoint type",IF($N45="","Set task status",IF(AND($N45="Open",NOT(ISNUMBER($G45))),"Set next date",""))))))</x:f>
      </x:c>
    </x:row>
    <x:row r="46" ht="26" customHeight="1">
      <x:c r="A46" s="791"/>
      <x:c r="B46" s="791"/>
      <x:c r="C46" s="803" t="str">
        <x:f>IF($A46="","",IF($B46="","",IFERROR(INDEX(Clients!$B$6:$B$205,MATCH($B46,Clients!$A$6:$A$205,0)),"Client ID not found")))</x:f>
      </x:c>
      <x:c r="D46" s="791"/>
      <x:c r="E46" s="791"/>
      <x:c r="F46" s="794"/>
      <x:c r="G46" s="794"/>
      <x:c r="H46" s="803" t="str">
        <x:f>IF($A46="","",IF($N46="Completed","Completed",IF(NOT(ISNUMBER($G46)),"Set next contact",IF($G46&lt;TODAY(),"Overdue",IF($G46=TODAY(),"Due today","Scheduled")))))</x:f>
      </x:c>
      <x:c r="I46" s="791"/>
      <x:c r="J46" s="791"/>
      <x:c r="K46" s="791"/>
      <x:c r="L46" s="791"/>
      <x:c r="M46" s="791"/>
      <x:c r="N46" s="791"/>
      <x:c r="O46" s="803" t="str">
        <x:f>IF($A46="","",IF(COUNTIF($A$6:$A$205,$A46)&gt;1,"Duplicate Care ID",IF(COUNTIF(Clients!$A$6:$A$205,$B46)&lt;&gt;1,"Check Client ID",IF($D46="","Set touchpoint type",IF($N46="","Set task status",IF(AND($N46="Open",NOT(ISNUMBER($G46))),"Set next date",""))))))</x:f>
      </x:c>
    </x:row>
    <x:row r="47" ht="26" customHeight="1">
      <x:c r="A47" s="791"/>
      <x:c r="B47" s="791"/>
      <x:c r="C47" s="803" t="str">
        <x:f>IF($A47="","",IF($B47="","",IFERROR(INDEX(Clients!$B$6:$B$205,MATCH($B47,Clients!$A$6:$A$205,0)),"Client ID not found")))</x:f>
      </x:c>
      <x:c r="D47" s="791"/>
      <x:c r="E47" s="791"/>
      <x:c r="F47" s="794"/>
      <x:c r="G47" s="794"/>
      <x:c r="H47" s="803" t="str">
        <x:f>IF($A47="","",IF($N47="Completed","Completed",IF(NOT(ISNUMBER($G47)),"Set next contact",IF($G47&lt;TODAY(),"Overdue",IF($G47=TODAY(),"Due today","Scheduled")))))</x:f>
      </x:c>
      <x:c r="I47" s="791"/>
      <x:c r="J47" s="791"/>
      <x:c r="K47" s="791"/>
      <x:c r="L47" s="791"/>
      <x:c r="M47" s="791"/>
      <x:c r="N47" s="791"/>
      <x:c r="O47" s="803" t="str">
        <x:f>IF($A47="","",IF(COUNTIF($A$6:$A$205,$A47)&gt;1,"Duplicate Care ID",IF(COUNTIF(Clients!$A$6:$A$205,$B47)&lt;&gt;1,"Check Client ID",IF($D47="","Set touchpoint type",IF($N47="","Set task status",IF(AND($N47="Open",NOT(ISNUMBER($G47))),"Set next date",""))))))</x:f>
      </x:c>
    </x:row>
    <x:row r="48" ht="26" customHeight="1">
      <x:c r="A48" s="791"/>
      <x:c r="B48" s="791"/>
      <x:c r="C48" s="803" t="str">
        <x:f>IF($A48="","",IF($B48="","",IFERROR(INDEX(Clients!$B$6:$B$205,MATCH($B48,Clients!$A$6:$A$205,0)),"Client ID not found")))</x:f>
      </x:c>
      <x:c r="D48" s="791"/>
      <x:c r="E48" s="791"/>
      <x:c r="F48" s="794"/>
      <x:c r="G48" s="794"/>
      <x:c r="H48" s="803" t="str">
        <x:f>IF($A48="","",IF($N48="Completed","Completed",IF(NOT(ISNUMBER($G48)),"Set next contact",IF($G48&lt;TODAY(),"Overdue",IF($G48=TODAY(),"Due today","Scheduled")))))</x:f>
      </x:c>
      <x:c r="I48" s="791"/>
      <x:c r="J48" s="791"/>
      <x:c r="K48" s="791"/>
      <x:c r="L48" s="791"/>
      <x:c r="M48" s="791"/>
      <x:c r="N48" s="791"/>
      <x:c r="O48" s="803" t="str">
        <x:f>IF($A48="","",IF(COUNTIF($A$6:$A$205,$A48)&gt;1,"Duplicate Care ID",IF(COUNTIF(Clients!$A$6:$A$205,$B48)&lt;&gt;1,"Check Client ID",IF($D48="","Set touchpoint type",IF($N48="","Set task status",IF(AND($N48="Open",NOT(ISNUMBER($G48))),"Set next date",""))))))</x:f>
      </x:c>
    </x:row>
    <x:row r="49" ht="26" customHeight="1">
      <x:c r="A49" s="791"/>
      <x:c r="B49" s="791"/>
      <x:c r="C49" s="803" t="str">
        <x:f>IF($A49="","",IF($B49="","",IFERROR(INDEX(Clients!$B$6:$B$205,MATCH($B49,Clients!$A$6:$A$205,0)),"Client ID not found")))</x:f>
      </x:c>
      <x:c r="D49" s="791"/>
      <x:c r="E49" s="791"/>
      <x:c r="F49" s="794"/>
      <x:c r="G49" s="794"/>
      <x:c r="H49" s="803" t="str">
        <x:f>IF($A49="","",IF($N49="Completed","Completed",IF(NOT(ISNUMBER($G49)),"Set next contact",IF($G49&lt;TODAY(),"Overdue",IF($G49=TODAY(),"Due today","Scheduled")))))</x:f>
      </x:c>
      <x:c r="I49" s="791"/>
      <x:c r="J49" s="791"/>
      <x:c r="K49" s="791"/>
      <x:c r="L49" s="791"/>
      <x:c r="M49" s="791"/>
      <x:c r="N49" s="791"/>
      <x:c r="O49" s="803" t="str">
        <x:f>IF($A49="","",IF(COUNTIF($A$6:$A$205,$A49)&gt;1,"Duplicate Care ID",IF(COUNTIF(Clients!$A$6:$A$205,$B49)&lt;&gt;1,"Check Client ID",IF($D49="","Set touchpoint type",IF($N49="","Set task status",IF(AND($N49="Open",NOT(ISNUMBER($G49))),"Set next date",""))))))</x:f>
      </x:c>
    </x:row>
    <x:row r="50" ht="26" customHeight="1">
      <x:c r="A50" s="791"/>
      <x:c r="B50" s="791"/>
      <x:c r="C50" s="803" t="str">
        <x:f>IF($A50="","",IF($B50="","",IFERROR(INDEX(Clients!$B$6:$B$205,MATCH($B50,Clients!$A$6:$A$205,0)),"Client ID not found")))</x:f>
      </x:c>
      <x:c r="D50" s="791"/>
      <x:c r="E50" s="791"/>
      <x:c r="F50" s="794"/>
      <x:c r="G50" s="794"/>
      <x:c r="H50" s="803" t="str">
        <x:f>IF($A50="","",IF($N50="Completed","Completed",IF(NOT(ISNUMBER($G50)),"Set next contact",IF($G50&lt;TODAY(),"Overdue",IF($G50=TODAY(),"Due today","Scheduled")))))</x:f>
      </x:c>
      <x:c r="I50" s="791"/>
      <x:c r="J50" s="791"/>
      <x:c r="K50" s="791"/>
      <x:c r="L50" s="791"/>
      <x:c r="M50" s="791"/>
      <x:c r="N50" s="791"/>
      <x:c r="O50" s="803" t="str">
        <x:f>IF($A50="","",IF(COUNTIF($A$6:$A$205,$A50)&gt;1,"Duplicate Care ID",IF(COUNTIF(Clients!$A$6:$A$205,$B50)&lt;&gt;1,"Check Client ID",IF($D50="","Set touchpoint type",IF($N50="","Set task status",IF(AND($N50="Open",NOT(ISNUMBER($G50))),"Set next date",""))))))</x:f>
      </x:c>
    </x:row>
    <x:row r="51" ht="26" customHeight="1">
      <x:c r="A51" s="791"/>
      <x:c r="B51" s="791"/>
      <x:c r="C51" s="803" t="str">
        <x:f>IF($A51="","",IF($B51="","",IFERROR(INDEX(Clients!$B$6:$B$205,MATCH($B51,Clients!$A$6:$A$205,0)),"Client ID not found")))</x:f>
      </x:c>
      <x:c r="D51" s="791"/>
      <x:c r="E51" s="791"/>
      <x:c r="F51" s="794"/>
      <x:c r="G51" s="794"/>
      <x:c r="H51" s="803" t="str">
        <x:f>IF($A51="","",IF($N51="Completed","Completed",IF(NOT(ISNUMBER($G51)),"Set next contact",IF($G51&lt;TODAY(),"Overdue",IF($G51=TODAY(),"Due today","Scheduled")))))</x:f>
      </x:c>
      <x:c r="I51" s="791"/>
      <x:c r="J51" s="791"/>
      <x:c r="K51" s="791"/>
      <x:c r="L51" s="791"/>
      <x:c r="M51" s="791"/>
      <x:c r="N51" s="791"/>
      <x:c r="O51" s="803" t="str">
        <x:f>IF($A51="","",IF(COUNTIF($A$6:$A$205,$A51)&gt;1,"Duplicate Care ID",IF(COUNTIF(Clients!$A$6:$A$205,$B51)&lt;&gt;1,"Check Client ID",IF($D51="","Set touchpoint type",IF($N51="","Set task status",IF(AND($N51="Open",NOT(ISNUMBER($G51))),"Set next date",""))))))</x:f>
      </x:c>
    </x:row>
    <x:row r="52" ht="26" customHeight="1">
      <x:c r="A52" s="791"/>
      <x:c r="B52" s="791"/>
      <x:c r="C52" s="803" t="str">
        <x:f>IF($A52="","",IF($B52="","",IFERROR(INDEX(Clients!$B$6:$B$205,MATCH($B52,Clients!$A$6:$A$205,0)),"Client ID not found")))</x:f>
      </x:c>
      <x:c r="D52" s="791"/>
      <x:c r="E52" s="791"/>
      <x:c r="F52" s="794"/>
      <x:c r="G52" s="794"/>
      <x:c r="H52" s="803" t="str">
        <x:f>IF($A52="","",IF($N52="Completed","Completed",IF(NOT(ISNUMBER($G52)),"Set next contact",IF($G52&lt;TODAY(),"Overdue",IF($G52=TODAY(),"Due today","Scheduled")))))</x:f>
      </x:c>
      <x:c r="I52" s="791"/>
      <x:c r="J52" s="791"/>
      <x:c r="K52" s="791"/>
      <x:c r="L52" s="791"/>
      <x:c r="M52" s="791"/>
      <x:c r="N52" s="791"/>
      <x:c r="O52" s="803" t="str">
        <x:f>IF($A52="","",IF(COUNTIF($A$6:$A$205,$A52)&gt;1,"Duplicate Care ID",IF(COUNTIF(Clients!$A$6:$A$205,$B52)&lt;&gt;1,"Check Client ID",IF($D52="","Set touchpoint type",IF($N52="","Set task status",IF(AND($N52="Open",NOT(ISNUMBER($G52))),"Set next date",""))))))</x:f>
      </x:c>
    </x:row>
    <x:row r="53" ht="26" customHeight="1">
      <x:c r="A53" s="791"/>
      <x:c r="B53" s="791"/>
      <x:c r="C53" s="803" t="str">
        <x:f>IF($A53="","",IF($B53="","",IFERROR(INDEX(Clients!$B$6:$B$205,MATCH($B53,Clients!$A$6:$A$205,0)),"Client ID not found")))</x:f>
      </x:c>
      <x:c r="D53" s="791"/>
      <x:c r="E53" s="791"/>
      <x:c r="F53" s="794"/>
      <x:c r="G53" s="794"/>
      <x:c r="H53" s="803" t="str">
        <x:f>IF($A53="","",IF($N53="Completed","Completed",IF(NOT(ISNUMBER($G53)),"Set next contact",IF($G53&lt;TODAY(),"Overdue",IF($G53=TODAY(),"Due today","Scheduled")))))</x:f>
      </x:c>
      <x:c r="I53" s="791"/>
      <x:c r="J53" s="791"/>
      <x:c r="K53" s="791"/>
      <x:c r="L53" s="791"/>
      <x:c r="M53" s="791"/>
      <x:c r="N53" s="791"/>
      <x:c r="O53" s="803" t="str">
        <x:f>IF($A53="","",IF(COUNTIF($A$6:$A$205,$A53)&gt;1,"Duplicate Care ID",IF(COUNTIF(Clients!$A$6:$A$205,$B53)&lt;&gt;1,"Check Client ID",IF($D53="","Set touchpoint type",IF($N53="","Set task status",IF(AND($N53="Open",NOT(ISNUMBER($G53))),"Set next date",""))))))</x:f>
      </x:c>
    </x:row>
    <x:row r="54" ht="26" customHeight="1">
      <x:c r="A54" s="791"/>
      <x:c r="B54" s="791"/>
      <x:c r="C54" s="803" t="str">
        <x:f>IF($A54="","",IF($B54="","",IFERROR(INDEX(Clients!$B$6:$B$205,MATCH($B54,Clients!$A$6:$A$205,0)),"Client ID not found")))</x:f>
      </x:c>
      <x:c r="D54" s="791"/>
      <x:c r="E54" s="791"/>
      <x:c r="F54" s="794"/>
      <x:c r="G54" s="794"/>
      <x:c r="H54" s="803" t="str">
        <x:f>IF($A54="","",IF($N54="Completed","Completed",IF(NOT(ISNUMBER($G54)),"Set next contact",IF($G54&lt;TODAY(),"Overdue",IF($G54=TODAY(),"Due today","Scheduled")))))</x:f>
      </x:c>
      <x:c r="I54" s="791"/>
      <x:c r="J54" s="791"/>
      <x:c r="K54" s="791"/>
      <x:c r="L54" s="791"/>
      <x:c r="M54" s="791"/>
      <x:c r="N54" s="791"/>
      <x:c r="O54" s="803" t="str">
        <x:f>IF($A54="","",IF(COUNTIF($A$6:$A$205,$A54)&gt;1,"Duplicate Care ID",IF(COUNTIF(Clients!$A$6:$A$205,$B54)&lt;&gt;1,"Check Client ID",IF($D54="","Set touchpoint type",IF($N54="","Set task status",IF(AND($N54="Open",NOT(ISNUMBER($G54))),"Set next date",""))))))</x:f>
      </x:c>
    </x:row>
    <x:row r="55" ht="26" customHeight="1">
      <x:c r="A55" s="791"/>
      <x:c r="B55" s="791"/>
      <x:c r="C55" s="803" t="str">
        <x:f>IF($A55="","",IF($B55="","",IFERROR(INDEX(Clients!$B$6:$B$205,MATCH($B55,Clients!$A$6:$A$205,0)),"Client ID not found")))</x:f>
      </x:c>
      <x:c r="D55" s="791"/>
      <x:c r="E55" s="791"/>
      <x:c r="F55" s="794"/>
      <x:c r="G55" s="794"/>
      <x:c r="H55" s="803" t="str">
        <x:f>IF($A55="","",IF($N55="Completed","Completed",IF(NOT(ISNUMBER($G55)),"Set next contact",IF($G55&lt;TODAY(),"Overdue",IF($G55=TODAY(),"Due today","Scheduled")))))</x:f>
      </x:c>
      <x:c r="I55" s="791"/>
      <x:c r="J55" s="791"/>
      <x:c r="K55" s="791"/>
      <x:c r="L55" s="791"/>
      <x:c r="M55" s="791"/>
      <x:c r="N55" s="791"/>
      <x:c r="O55" s="803" t="str">
        <x:f>IF($A55="","",IF(COUNTIF($A$6:$A$205,$A55)&gt;1,"Duplicate Care ID",IF(COUNTIF(Clients!$A$6:$A$205,$B55)&lt;&gt;1,"Check Client ID",IF($D55="","Set touchpoint type",IF($N55="","Set task status",IF(AND($N55="Open",NOT(ISNUMBER($G55))),"Set next date",""))))))</x:f>
      </x:c>
    </x:row>
    <x:row r="56" ht="26" customHeight="1">
      <x:c r="A56" s="791"/>
      <x:c r="B56" s="791"/>
      <x:c r="C56" s="803" t="str">
        <x:f>IF($A56="","",IF($B56="","",IFERROR(INDEX(Clients!$B$6:$B$205,MATCH($B56,Clients!$A$6:$A$205,0)),"Client ID not found")))</x:f>
      </x:c>
      <x:c r="D56" s="791"/>
      <x:c r="E56" s="791"/>
      <x:c r="F56" s="794"/>
      <x:c r="G56" s="794"/>
      <x:c r="H56" s="803" t="str">
        <x:f>IF($A56="","",IF($N56="Completed","Completed",IF(NOT(ISNUMBER($G56)),"Set next contact",IF($G56&lt;TODAY(),"Overdue",IF($G56=TODAY(),"Due today","Scheduled")))))</x:f>
      </x:c>
      <x:c r="I56" s="791"/>
      <x:c r="J56" s="791"/>
      <x:c r="K56" s="791"/>
      <x:c r="L56" s="791"/>
      <x:c r="M56" s="791"/>
      <x:c r="N56" s="791"/>
      <x:c r="O56" s="803" t="str">
        <x:f>IF($A56="","",IF(COUNTIF($A$6:$A$205,$A56)&gt;1,"Duplicate Care ID",IF(COUNTIF(Clients!$A$6:$A$205,$B56)&lt;&gt;1,"Check Client ID",IF($D56="","Set touchpoint type",IF($N56="","Set task status",IF(AND($N56="Open",NOT(ISNUMBER($G56))),"Set next date",""))))))</x:f>
      </x:c>
    </x:row>
    <x:row r="57" ht="26" customHeight="1">
      <x:c r="A57" s="791"/>
      <x:c r="B57" s="791"/>
      <x:c r="C57" s="803" t="str">
        <x:f>IF($A57="","",IF($B57="","",IFERROR(INDEX(Clients!$B$6:$B$205,MATCH($B57,Clients!$A$6:$A$205,0)),"Client ID not found")))</x:f>
      </x:c>
      <x:c r="D57" s="791"/>
      <x:c r="E57" s="791"/>
      <x:c r="F57" s="794"/>
      <x:c r="G57" s="794"/>
      <x:c r="H57" s="803" t="str">
        <x:f>IF($A57="","",IF($N57="Completed","Completed",IF(NOT(ISNUMBER($G57)),"Set next contact",IF($G57&lt;TODAY(),"Overdue",IF($G57=TODAY(),"Due today","Scheduled")))))</x:f>
      </x:c>
      <x:c r="I57" s="791"/>
      <x:c r="J57" s="791"/>
      <x:c r="K57" s="791"/>
      <x:c r="L57" s="791"/>
      <x:c r="M57" s="791"/>
      <x:c r="N57" s="791"/>
      <x:c r="O57" s="803" t="str">
        <x:f>IF($A57="","",IF(COUNTIF($A$6:$A$205,$A57)&gt;1,"Duplicate Care ID",IF(COUNTIF(Clients!$A$6:$A$205,$B57)&lt;&gt;1,"Check Client ID",IF($D57="","Set touchpoint type",IF($N57="","Set task status",IF(AND($N57="Open",NOT(ISNUMBER($G57))),"Set next date",""))))))</x:f>
      </x:c>
    </x:row>
    <x:row r="58" ht="26" customHeight="1">
      <x:c r="A58" s="791"/>
      <x:c r="B58" s="791"/>
      <x:c r="C58" s="803" t="str">
        <x:f>IF($A58="","",IF($B58="","",IFERROR(INDEX(Clients!$B$6:$B$205,MATCH($B58,Clients!$A$6:$A$205,0)),"Client ID not found")))</x:f>
      </x:c>
      <x:c r="D58" s="791"/>
      <x:c r="E58" s="791"/>
      <x:c r="F58" s="794"/>
      <x:c r="G58" s="794"/>
      <x:c r="H58" s="803" t="str">
        <x:f>IF($A58="","",IF($N58="Completed","Completed",IF(NOT(ISNUMBER($G58)),"Set next contact",IF($G58&lt;TODAY(),"Overdue",IF($G58=TODAY(),"Due today","Scheduled")))))</x:f>
      </x:c>
      <x:c r="I58" s="791"/>
      <x:c r="J58" s="791"/>
      <x:c r="K58" s="791"/>
      <x:c r="L58" s="791"/>
      <x:c r="M58" s="791"/>
      <x:c r="N58" s="791"/>
      <x:c r="O58" s="803" t="str">
        <x:f>IF($A58="","",IF(COUNTIF($A$6:$A$205,$A58)&gt;1,"Duplicate Care ID",IF(COUNTIF(Clients!$A$6:$A$205,$B58)&lt;&gt;1,"Check Client ID",IF($D58="","Set touchpoint type",IF($N58="","Set task status",IF(AND($N58="Open",NOT(ISNUMBER($G58))),"Set next date",""))))))</x:f>
      </x:c>
    </x:row>
    <x:row r="59" ht="26" customHeight="1">
      <x:c r="A59" s="791"/>
      <x:c r="B59" s="791"/>
      <x:c r="C59" s="803" t="str">
        <x:f>IF($A59="","",IF($B59="","",IFERROR(INDEX(Clients!$B$6:$B$205,MATCH($B59,Clients!$A$6:$A$205,0)),"Client ID not found")))</x:f>
      </x:c>
      <x:c r="D59" s="791"/>
      <x:c r="E59" s="791"/>
      <x:c r="F59" s="794"/>
      <x:c r="G59" s="794"/>
      <x:c r="H59" s="803" t="str">
        <x:f>IF($A59="","",IF($N59="Completed","Completed",IF(NOT(ISNUMBER($G59)),"Set next contact",IF($G59&lt;TODAY(),"Overdue",IF($G59=TODAY(),"Due today","Scheduled")))))</x:f>
      </x:c>
      <x:c r="I59" s="791"/>
      <x:c r="J59" s="791"/>
      <x:c r="K59" s="791"/>
      <x:c r="L59" s="791"/>
      <x:c r="M59" s="791"/>
      <x:c r="N59" s="791"/>
      <x:c r="O59" s="803" t="str">
        <x:f>IF($A59="","",IF(COUNTIF($A$6:$A$205,$A59)&gt;1,"Duplicate Care ID",IF(COUNTIF(Clients!$A$6:$A$205,$B59)&lt;&gt;1,"Check Client ID",IF($D59="","Set touchpoint type",IF($N59="","Set task status",IF(AND($N59="Open",NOT(ISNUMBER($G59))),"Set next date",""))))))</x:f>
      </x:c>
    </x:row>
    <x:row r="60" ht="26" customHeight="1">
      <x:c r="A60" s="791"/>
      <x:c r="B60" s="791"/>
      <x:c r="C60" s="803" t="str">
        <x:f>IF($A60="","",IF($B60="","",IFERROR(INDEX(Clients!$B$6:$B$205,MATCH($B60,Clients!$A$6:$A$205,0)),"Client ID not found")))</x:f>
      </x:c>
      <x:c r="D60" s="791"/>
      <x:c r="E60" s="791"/>
      <x:c r="F60" s="794"/>
      <x:c r="G60" s="794"/>
      <x:c r="H60" s="803" t="str">
        <x:f>IF($A60="","",IF($N60="Completed","Completed",IF(NOT(ISNUMBER($G60)),"Set next contact",IF($G60&lt;TODAY(),"Overdue",IF($G60=TODAY(),"Due today","Scheduled")))))</x:f>
      </x:c>
      <x:c r="I60" s="791"/>
      <x:c r="J60" s="791"/>
      <x:c r="K60" s="791"/>
      <x:c r="L60" s="791"/>
      <x:c r="M60" s="791"/>
      <x:c r="N60" s="791"/>
      <x:c r="O60" s="803" t="str">
        <x:f>IF($A60="","",IF(COUNTIF($A$6:$A$205,$A60)&gt;1,"Duplicate Care ID",IF(COUNTIF(Clients!$A$6:$A$205,$B60)&lt;&gt;1,"Check Client ID",IF($D60="","Set touchpoint type",IF($N60="","Set task status",IF(AND($N60="Open",NOT(ISNUMBER($G60))),"Set next date",""))))))</x:f>
      </x:c>
    </x:row>
    <x:row r="61" ht="26" customHeight="1">
      <x:c r="A61" s="791"/>
      <x:c r="B61" s="791"/>
      <x:c r="C61" s="803" t="str">
        <x:f>IF($A61="","",IF($B61="","",IFERROR(INDEX(Clients!$B$6:$B$205,MATCH($B61,Clients!$A$6:$A$205,0)),"Client ID not found")))</x:f>
      </x:c>
      <x:c r="D61" s="791"/>
      <x:c r="E61" s="791"/>
      <x:c r="F61" s="794"/>
      <x:c r="G61" s="794"/>
      <x:c r="H61" s="803" t="str">
        <x:f>IF($A61="","",IF($N61="Completed","Completed",IF(NOT(ISNUMBER($G61)),"Set next contact",IF($G61&lt;TODAY(),"Overdue",IF($G61=TODAY(),"Due today","Scheduled")))))</x:f>
      </x:c>
      <x:c r="I61" s="791"/>
      <x:c r="J61" s="791"/>
      <x:c r="K61" s="791"/>
      <x:c r="L61" s="791"/>
      <x:c r="M61" s="791"/>
      <x:c r="N61" s="791"/>
      <x:c r="O61" s="803" t="str">
        <x:f>IF($A61="","",IF(COUNTIF($A$6:$A$205,$A61)&gt;1,"Duplicate Care ID",IF(COUNTIF(Clients!$A$6:$A$205,$B61)&lt;&gt;1,"Check Client ID",IF($D61="","Set touchpoint type",IF($N61="","Set task status",IF(AND($N61="Open",NOT(ISNUMBER($G61))),"Set next date",""))))))</x:f>
      </x:c>
    </x:row>
    <x:row r="62" ht="26" customHeight="1">
      <x:c r="A62" s="791"/>
      <x:c r="B62" s="791"/>
      <x:c r="C62" s="803" t="str">
        <x:f>IF($A62="","",IF($B62="","",IFERROR(INDEX(Clients!$B$6:$B$205,MATCH($B62,Clients!$A$6:$A$205,0)),"Client ID not found")))</x:f>
      </x:c>
      <x:c r="D62" s="791"/>
      <x:c r="E62" s="791"/>
      <x:c r="F62" s="794"/>
      <x:c r="G62" s="794"/>
      <x:c r="H62" s="803" t="str">
        <x:f>IF($A62="","",IF($N62="Completed","Completed",IF(NOT(ISNUMBER($G62)),"Set next contact",IF($G62&lt;TODAY(),"Overdue",IF($G62=TODAY(),"Due today","Scheduled")))))</x:f>
      </x:c>
      <x:c r="I62" s="791"/>
      <x:c r="J62" s="791"/>
      <x:c r="K62" s="791"/>
      <x:c r="L62" s="791"/>
      <x:c r="M62" s="791"/>
      <x:c r="N62" s="791"/>
      <x:c r="O62" s="803" t="str">
        <x:f>IF($A62="","",IF(COUNTIF($A$6:$A$205,$A62)&gt;1,"Duplicate Care ID",IF(COUNTIF(Clients!$A$6:$A$205,$B62)&lt;&gt;1,"Check Client ID",IF($D62="","Set touchpoint type",IF($N62="","Set task status",IF(AND($N62="Open",NOT(ISNUMBER($G62))),"Set next date",""))))))</x:f>
      </x:c>
    </x:row>
    <x:row r="63" ht="26" customHeight="1">
      <x:c r="A63" s="791"/>
      <x:c r="B63" s="791"/>
      <x:c r="C63" s="803" t="str">
        <x:f>IF($A63="","",IF($B63="","",IFERROR(INDEX(Clients!$B$6:$B$205,MATCH($B63,Clients!$A$6:$A$205,0)),"Client ID not found")))</x:f>
      </x:c>
      <x:c r="D63" s="791"/>
      <x:c r="E63" s="791"/>
      <x:c r="F63" s="794"/>
      <x:c r="G63" s="794"/>
      <x:c r="H63" s="803" t="str">
        <x:f>IF($A63="","",IF($N63="Completed","Completed",IF(NOT(ISNUMBER($G63)),"Set next contact",IF($G63&lt;TODAY(),"Overdue",IF($G63=TODAY(),"Due today","Scheduled")))))</x:f>
      </x:c>
      <x:c r="I63" s="791"/>
      <x:c r="J63" s="791"/>
      <x:c r="K63" s="791"/>
      <x:c r="L63" s="791"/>
      <x:c r="M63" s="791"/>
      <x:c r="N63" s="791"/>
      <x:c r="O63" s="803" t="str">
        <x:f>IF($A63="","",IF(COUNTIF($A$6:$A$205,$A63)&gt;1,"Duplicate Care ID",IF(COUNTIF(Clients!$A$6:$A$205,$B63)&lt;&gt;1,"Check Client ID",IF($D63="","Set touchpoint type",IF($N63="","Set task status",IF(AND($N63="Open",NOT(ISNUMBER($G63))),"Set next date",""))))))</x:f>
      </x:c>
    </x:row>
    <x:row r="64" ht="26" customHeight="1">
      <x:c r="A64" s="791"/>
      <x:c r="B64" s="791"/>
      <x:c r="C64" s="803" t="str">
        <x:f>IF($A64="","",IF($B64="","",IFERROR(INDEX(Clients!$B$6:$B$205,MATCH($B64,Clients!$A$6:$A$205,0)),"Client ID not found")))</x:f>
      </x:c>
      <x:c r="D64" s="791"/>
      <x:c r="E64" s="791"/>
      <x:c r="F64" s="794"/>
      <x:c r="G64" s="794"/>
      <x:c r="H64" s="803" t="str">
        <x:f>IF($A64="","",IF($N64="Completed","Completed",IF(NOT(ISNUMBER($G64)),"Set next contact",IF($G64&lt;TODAY(),"Overdue",IF($G64=TODAY(),"Due today","Scheduled")))))</x:f>
      </x:c>
      <x:c r="I64" s="791"/>
      <x:c r="J64" s="791"/>
      <x:c r="K64" s="791"/>
      <x:c r="L64" s="791"/>
      <x:c r="M64" s="791"/>
      <x:c r="N64" s="791"/>
      <x:c r="O64" s="803" t="str">
        <x:f>IF($A64="","",IF(COUNTIF($A$6:$A$205,$A64)&gt;1,"Duplicate Care ID",IF(COUNTIF(Clients!$A$6:$A$205,$B64)&lt;&gt;1,"Check Client ID",IF($D64="","Set touchpoint type",IF($N64="","Set task status",IF(AND($N64="Open",NOT(ISNUMBER($G64))),"Set next date",""))))))</x:f>
      </x:c>
    </x:row>
    <x:row r="65" ht="26" customHeight="1">
      <x:c r="A65" s="791"/>
      <x:c r="B65" s="791"/>
      <x:c r="C65" s="803" t="str">
        <x:f>IF($A65="","",IF($B65="","",IFERROR(INDEX(Clients!$B$6:$B$205,MATCH($B65,Clients!$A$6:$A$205,0)),"Client ID not found")))</x:f>
      </x:c>
      <x:c r="D65" s="791"/>
      <x:c r="E65" s="791"/>
      <x:c r="F65" s="794"/>
      <x:c r="G65" s="794"/>
      <x:c r="H65" s="803" t="str">
        <x:f>IF($A65="","",IF($N65="Completed","Completed",IF(NOT(ISNUMBER($G65)),"Set next contact",IF($G65&lt;TODAY(),"Overdue",IF($G65=TODAY(),"Due today","Scheduled")))))</x:f>
      </x:c>
      <x:c r="I65" s="791"/>
      <x:c r="J65" s="791"/>
      <x:c r="K65" s="791"/>
      <x:c r="L65" s="791"/>
      <x:c r="M65" s="791"/>
      <x:c r="N65" s="791"/>
      <x:c r="O65" s="803" t="str">
        <x:f>IF($A65="","",IF(COUNTIF($A$6:$A$205,$A65)&gt;1,"Duplicate Care ID",IF(COUNTIF(Clients!$A$6:$A$205,$B65)&lt;&gt;1,"Check Client ID",IF($D65="","Set touchpoint type",IF($N65="","Set task status",IF(AND($N65="Open",NOT(ISNUMBER($G65))),"Set next date",""))))))</x:f>
      </x:c>
    </x:row>
    <x:row r="66" ht="26" customHeight="1">
      <x:c r="A66" s="791"/>
      <x:c r="B66" s="791"/>
      <x:c r="C66" s="803" t="str">
        <x:f>IF($A66="","",IF($B66="","",IFERROR(INDEX(Clients!$B$6:$B$205,MATCH($B66,Clients!$A$6:$A$205,0)),"Client ID not found")))</x:f>
      </x:c>
      <x:c r="D66" s="791"/>
      <x:c r="E66" s="791"/>
      <x:c r="F66" s="794"/>
      <x:c r="G66" s="794"/>
      <x:c r="H66" s="803" t="str">
        <x:f>IF($A66="","",IF($N66="Completed","Completed",IF(NOT(ISNUMBER($G66)),"Set next contact",IF($G66&lt;TODAY(),"Overdue",IF($G66=TODAY(),"Due today","Scheduled")))))</x:f>
      </x:c>
      <x:c r="I66" s="791"/>
      <x:c r="J66" s="791"/>
      <x:c r="K66" s="791"/>
      <x:c r="L66" s="791"/>
      <x:c r="M66" s="791"/>
      <x:c r="N66" s="791"/>
      <x:c r="O66" s="803" t="str">
        <x:f>IF($A66="","",IF(COUNTIF($A$6:$A$205,$A66)&gt;1,"Duplicate Care ID",IF(COUNTIF(Clients!$A$6:$A$205,$B66)&lt;&gt;1,"Check Client ID",IF($D66="","Set touchpoint type",IF($N66="","Set task status",IF(AND($N66="Open",NOT(ISNUMBER($G66))),"Set next date",""))))))</x:f>
      </x:c>
    </x:row>
    <x:row r="67" ht="26" customHeight="1">
      <x:c r="A67" s="791"/>
      <x:c r="B67" s="791"/>
      <x:c r="C67" s="803" t="str">
        <x:f>IF($A67="","",IF($B67="","",IFERROR(INDEX(Clients!$B$6:$B$205,MATCH($B67,Clients!$A$6:$A$205,0)),"Client ID not found")))</x:f>
      </x:c>
      <x:c r="D67" s="791"/>
      <x:c r="E67" s="791"/>
      <x:c r="F67" s="794"/>
      <x:c r="G67" s="794"/>
      <x:c r="H67" s="803" t="str">
        <x:f>IF($A67="","",IF($N67="Completed","Completed",IF(NOT(ISNUMBER($G67)),"Set next contact",IF($G67&lt;TODAY(),"Overdue",IF($G67=TODAY(),"Due today","Scheduled")))))</x:f>
      </x:c>
      <x:c r="I67" s="791"/>
      <x:c r="J67" s="791"/>
      <x:c r="K67" s="791"/>
      <x:c r="L67" s="791"/>
      <x:c r="M67" s="791"/>
      <x:c r="N67" s="791"/>
      <x:c r="O67" s="803" t="str">
        <x:f>IF($A67="","",IF(COUNTIF($A$6:$A$205,$A67)&gt;1,"Duplicate Care ID",IF(COUNTIF(Clients!$A$6:$A$205,$B67)&lt;&gt;1,"Check Client ID",IF($D67="","Set touchpoint type",IF($N67="","Set task status",IF(AND($N67="Open",NOT(ISNUMBER($G67))),"Set next date",""))))))</x:f>
      </x:c>
    </x:row>
    <x:row r="68" ht="26" customHeight="1">
      <x:c r="A68" s="791"/>
      <x:c r="B68" s="791"/>
      <x:c r="C68" s="803" t="str">
        <x:f>IF($A68="","",IF($B68="","",IFERROR(INDEX(Clients!$B$6:$B$205,MATCH($B68,Clients!$A$6:$A$205,0)),"Client ID not found")))</x:f>
      </x:c>
      <x:c r="D68" s="791"/>
      <x:c r="E68" s="791"/>
      <x:c r="F68" s="794"/>
      <x:c r="G68" s="794"/>
      <x:c r="H68" s="803" t="str">
        <x:f>IF($A68="","",IF($N68="Completed","Completed",IF(NOT(ISNUMBER($G68)),"Set next contact",IF($G68&lt;TODAY(),"Overdue",IF($G68=TODAY(),"Due today","Scheduled")))))</x:f>
      </x:c>
      <x:c r="I68" s="791"/>
      <x:c r="J68" s="791"/>
      <x:c r="K68" s="791"/>
      <x:c r="L68" s="791"/>
      <x:c r="M68" s="791"/>
      <x:c r="N68" s="791"/>
      <x:c r="O68" s="803" t="str">
        <x:f>IF($A68="","",IF(COUNTIF($A$6:$A$205,$A68)&gt;1,"Duplicate Care ID",IF(COUNTIF(Clients!$A$6:$A$205,$B68)&lt;&gt;1,"Check Client ID",IF($D68="","Set touchpoint type",IF($N68="","Set task status",IF(AND($N68="Open",NOT(ISNUMBER($G68))),"Set next date",""))))))</x:f>
      </x:c>
    </x:row>
    <x:row r="69" ht="26" customHeight="1">
      <x:c r="A69" s="791"/>
      <x:c r="B69" s="791"/>
      <x:c r="C69" s="803" t="str">
        <x:f>IF($A69="","",IF($B69="","",IFERROR(INDEX(Clients!$B$6:$B$205,MATCH($B69,Clients!$A$6:$A$205,0)),"Client ID not found")))</x:f>
      </x:c>
      <x:c r="D69" s="791"/>
      <x:c r="E69" s="791"/>
      <x:c r="F69" s="794"/>
      <x:c r="G69" s="794"/>
      <x:c r="H69" s="803" t="str">
        <x:f>IF($A69="","",IF($N69="Completed","Completed",IF(NOT(ISNUMBER($G69)),"Set next contact",IF($G69&lt;TODAY(),"Overdue",IF($G69=TODAY(),"Due today","Scheduled")))))</x:f>
      </x:c>
      <x:c r="I69" s="791"/>
      <x:c r="J69" s="791"/>
      <x:c r="K69" s="791"/>
      <x:c r="L69" s="791"/>
      <x:c r="M69" s="791"/>
      <x:c r="N69" s="791"/>
      <x:c r="O69" s="803" t="str">
        <x:f>IF($A69="","",IF(COUNTIF($A$6:$A$205,$A69)&gt;1,"Duplicate Care ID",IF(COUNTIF(Clients!$A$6:$A$205,$B69)&lt;&gt;1,"Check Client ID",IF($D69="","Set touchpoint type",IF($N69="","Set task status",IF(AND($N69="Open",NOT(ISNUMBER($G69))),"Set next date",""))))))</x:f>
      </x:c>
    </x:row>
    <x:row r="70" ht="26" customHeight="1">
      <x:c r="A70" s="791"/>
      <x:c r="B70" s="791"/>
      <x:c r="C70" s="803" t="str">
        <x:f>IF($A70="","",IF($B70="","",IFERROR(INDEX(Clients!$B$6:$B$205,MATCH($B70,Clients!$A$6:$A$205,0)),"Client ID not found")))</x:f>
      </x:c>
      <x:c r="D70" s="791"/>
      <x:c r="E70" s="791"/>
      <x:c r="F70" s="794"/>
      <x:c r="G70" s="794"/>
      <x:c r="H70" s="803" t="str">
        <x:f>IF($A70="","",IF($N70="Completed","Completed",IF(NOT(ISNUMBER($G70)),"Set next contact",IF($G70&lt;TODAY(),"Overdue",IF($G70=TODAY(),"Due today","Scheduled")))))</x:f>
      </x:c>
      <x:c r="I70" s="791"/>
      <x:c r="J70" s="791"/>
      <x:c r="K70" s="791"/>
      <x:c r="L70" s="791"/>
      <x:c r="M70" s="791"/>
      <x:c r="N70" s="791"/>
      <x:c r="O70" s="803" t="str">
        <x:f>IF($A70="","",IF(COUNTIF($A$6:$A$205,$A70)&gt;1,"Duplicate Care ID",IF(COUNTIF(Clients!$A$6:$A$205,$B70)&lt;&gt;1,"Check Client ID",IF($D70="","Set touchpoint type",IF($N70="","Set task status",IF(AND($N70="Open",NOT(ISNUMBER($G70))),"Set next date",""))))))</x:f>
      </x:c>
    </x:row>
    <x:row r="71" ht="26" customHeight="1">
      <x:c r="A71" s="791"/>
      <x:c r="B71" s="791"/>
      <x:c r="C71" s="803" t="str">
        <x:f>IF($A71="","",IF($B71="","",IFERROR(INDEX(Clients!$B$6:$B$205,MATCH($B71,Clients!$A$6:$A$205,0)),"Client ID not found")))</x:f>
      </x:c>
      <x:c r="D71" s="791"/>
      <x:c r="E71" s="791"/>
      <x:c r="F71" s="794"/>
      <x:c r="G71" s="794"/>
      <x:c r="H71" s="803" t="str">
        <x:f>IF($A71="","",IF($N71="Completed","Completed",IF(NOT(ISNUMBER($G71)),"Set next contact",IF($G71&lt;TODAY(),"Overdue",IF($G71=TODAY(),"Due today","Scheduled")))))</x:f>
      </x:c>
      <x:c r="I71" s="791"/>
      <x:c r="J71" s="791"/>
      <x:c r="K71" s="791"/>
      <x:c r="L71" s="791"/>
      <x:c r="M71" s="791"/>
      <x:c r="N71" s="791"/>
      <x:c r="O71" s="803" t="str">
        <x:f>IF($A71="","",IF(COUNTIF($A$6:$A$205,$A71)&gt;1,"Duplicate Care ID",IF(COUNTIF(Clients!$A$6:$A$205,$B71)&lt;&gt;1,"Check Client ID",IF($D71="","Set touchpoint type",IF($N71="","Set task status",IF(AND($N71="Open",NOT(ISNUMBER($G71))),"Set next date",""))))))</x:f>
      </x:c>
    </x:row>
    <x:row r="72" ht="26" customHeight="1">
      <x:c r="A72" s="791"/>
      <x:c r="B72" s="791"/>
      <x:c r="C72" s="803" t="str">
        <x:f>IF($A72="","",IF($B72="","",IFERROR(INDEX(Clients!$B$6:$B$205,MATCH($B72,Clients!$A$6:$A$205,0)),"Client ID not found")))</x:f>
      </x:c>
      <x:c r="D72" s="791"/>
      <x:c r="E72" s="791"/>
      <x:c r="F72" s="794"/>
      <x:c r="G72" s="794"/>
      <x:c r="H72" s="803" t="str">
        <x:f>IF($A72="","",IF($N72="Completed","Completed",IF(NOT(ISNUMBER($G72)),"Set next contact",IF($G72&lt;TODAY(),"Overdue",IF($G72=TODAY(),"Due today","Scheduled")))))</x:f>
      </x:c>
      <x:c r="I72" s="791"/>
      <x:c r="J72" s="791"/>
      <x:c r="K72" s="791"/>
      <x:c r="L72" s="791"/>
      <x:c r="M72" s="791"/>
      <x:c r="N72" s="791"/>
      <x:c r="O72" s="803" t="str">
        <x:f>IF($A72="","",IF(COUNTIF($A$6:$A$205,$A72)&gt;1,"Duplicate Care ID",IF(COUNTIF(Clients!$A$6:$A$205,$B72)&lt;&gt;1,"Check Client ID",IF($D72="","Set touchpoint type",IF($N72="","Set task status",IF(AND($N72="Open",NOT(ISNUMBER($G72))),"Set next date",""))))))</x:f>
      </x:c>
    </x:row>
    <x:row r="73" ht="26" customHeight="1">
      <x:c r="A73" s="791"/>
      <x:c r="B73" s="791"/>
      <x:c r="C73" s="803" t="str">
        <x:f>IF($A73="","",IF($B73="","",IFERROR(INDEX(Clients!$B$6:$B$205,MATCH($B73,Clients!$A$6:$A$205,0)),"Client ID not found")))</x:f>
      </x:c>
      <x:c r="D73" s="791"/>
      <x:c r="E73" s="791"/>
      <x:c r="F73" s="794"/>
      <x:c r="G73" s="794"/>
      <x:c r="H73" s="803" t="str">
        <x:f>IF($A73="","",IF($N73="Completed","Completed",IF(NOT(ISNUMBER($G73)),"Set next contact",IF($G73&lt;TODAY(),"Overdue",IF($G73=TODAY(),"Due today","Scheduled")))))</x:f>
      </x:c>
      <x:c r="I73" s="791"/>
      <x:c r="J73" s="791"/>
      <x:c r="K73" s="791"/>
      <x:c r="L73" s="791"/>
      <x:c r="M73" s="791"/>
      <x:c r="N73" s="791"/>
      <x:c r="O73" s="803" t="str">
        <x:f>IF($A73="","",IF(COUNTIF($A$6:$A$205,$A73)&gt;1,"Duplicate Care ID",IF(COUNTIF(Clients!$A$6:$A$205,$B73)&lt;&gt;1,"Check Client ID",IF($D73="","Set touchpoint type",IF($N73="","Set task status",IF(AND($N73="Open",NOT(ISNUMBER($G73))),"Set next date",""))))))</x:f>
      </x:c>
    </x:row>
    <x:row r="74" ht="26" customHeight="1">
      <x:c r="A74" s="791"/>
      <x:c r="B74" s="791"/>
      <x:c r="C74" s="803" t="str">
        <x:f>IF($A74="","",IF($B74="","",IFERROR(INDEX(Clients!$B$6:$B$205,MATCH($B74,Clients!$A$6:$A$205,0)),"Client ID not found")))</x:f>
      </x:c>
      <x:c r="D74" s="791"/>
      <x:c r="E74" s="791"/>
      <x:c r="F74" s="794"/>
      <x:c r="G74" s="794"/>
      <x:c r="H74" s="803" t="str">
        <x:f>IF($A74="","",IF($N74="Completed","Completed",IF(NOT(ISNUMBER($G74)),"Set next contact",IF($G74&lt;TODAY(),"Overdue",IF($G74=TODAY(),"Due today","Scheduled")))))</x:f>
      </x:c>
      <x:c r="I74" s="791"/>
      <x:c r="J74" s="791"/>
      <x:c r="K74" s="791"/>
      <x:c r="L74" s="791"/>
      <x:c r="M74" s="791"/>
      <x:c r="N74" s="791"/>
      <x:c r="O74" s="803" t="str">
        <x:f>IF($A74="","",IF(COUNTIF($A$6:$A$205,$A74)&gt;1,"Duplicate Care ID",IF(COUNTIF(Clients!$A$6:$A$205,$B74)&lt;&gt;1,"Check Client ID",IF($D74="","Set touchpoint type",IF($N74="","Set task status",IF(AND($N74="Open",NOT(ISNUMBER($G74))),"Set next date",""))))))</x:f>
      </x:c>
    </x:row>
    <x:row r="75" ht="26" customHeight="1">
      <x:c r="A75" s="791"/>
      <x:c r="B75" s="791"/>
      <x:c r="C75" s="803" t="str">
        <x:f>IF($A75="","",IF($B75="","",IFERROR(INDEX(Clients!$B$6:$B$205,MATCH($B75,Clients!$A$6:$A$205,0)),"Client ID not found")))</x:f>
      </x:c>
      <x:c r="D75" s="791"/>
      <x:c r="E75" s="791"/>
      <x:c r="F75" s="794"/>
      <x:c r="G75" s="794"/>
      <x:c r="H75" s="803" t="str">
        <x:f>IF($A75="","",IF($N75="Completed","Completed",IF(NOT(ISNUMBER($G75)),"Set next contact",IF($G75&lt;TODAY(),"Overdue",IF($G75=TODAY(),"Due today","Scheduled")))))</x:f>
      </x:c>
      <x:c r="I75" s="791"/>
      <x:c r="J75" s="791"/>
      <x:c r="K75" s="791"/>
      <x:c r="L75" s="791"/>
      <x:c r="M75" s="791"/>
      <x:c r="N75" s="791"/>
      <x:c r="O75" s="803" t="str">
        <x:f>IF($A75="","",IF(COUNTIF($A$6:$A$205,$A75)&gt;1,"Duplicate Care ID",IF(COUNTIF(Clients!$A$6:$A$205,$B75)&lt;&gt;1,"Check Client ID",IF($D75="","Set touchpoint type",IF($N75="","Set task status",IF(AND($N75="Open",NOT(ISNUMBER($G75))),"Set next date",""))))))</x:f>
      </x:c>
    </x:row>
    <x:row r="76" ht="26" customHeight="1">
      <x:c r="A76" s="791"/>
      <x:c r="B76" s="791"/>
      <x:c r="C76" s="803" t="str">
        <x:f>IF($A76="","",IF($B76="","",IFERROR(INDEX(Clients!$B$6:$B$205,MATCH($B76,Clients!$A$6:$A$205,0)),"Client ID not found")))</x:f>
      </x:c>
      <x:c r="D76" s="791"/>
      <x:c r="E76" s="791"/>
      <x:c r="F76" s="794"/>
      <x:c r="G76" s="794"/>
      <x:c r="H76" s="803" t="str">
        <x:f>IF($A76="","",IF($N76="Completed","Completed",IF(NOT(ISNUMBER($G76)),"Set next contact",IF($G76&lt;TODAY(),"Overdue",IF($G76=TODAY(),"Due today","Scheduled")))))</x:f>
      </x:c>
      <x:c r="I76" s="791"/>
      <x:c r="J76" s="791"/>
      <x:c r="K76" s="791"/>
      <x:c r="L76" s="791"/>
      <x:c r="M76" s="791"/>
      <x:c r="N76" s="791"/>
      <x:c r="O76" s="803" t="str">
        <x:f>IF($A76="","",IF(COUNTIF($A$6:$A$205,$A76)&gt;1,"Duplicate Care ID",IF(COUNTIF(Clients!$A$6:$A$205,$B76)&lt;&gt;1,"Check Client ID",IF($D76="","Set touchpoint type",IF($N76="","Set task status",IF(AND($N76="Open",NOT(ISNUMBER($G76))),"Set next date",""))))))</x:f>
      </x:c>
    </x:row>
    <x:row r="77" ht="26" customHeight="1">
      <x:c r="A77" s="791"/>
      <x:c r="B77" s="791"/>
      <x:c r="C77" s="803" t="str">
        <x:f>IF($A77="","",IF($B77="","",IFERROR(INDEX(Clients!$B$6:$B$205,MATCH($B77,Clients!$A$6:$A$205,0)),"Client ID not found")))</x:f>
      </x:c>
      <x:c r="D77" s="791"/>
      <x:c r="E77" s="791"/>
      <x:c r="F77" s="794"/>
      <x:c r="G77" s="794"/>
      <x:c r="H77" s="803" t="str">
        <x:f>IF($A77="","",IF($N77="Completed","Completed",IF(NOT(ISNUMBER($G77)),"Set next contact",IF($G77&lt;TODAY(),"Overdue",IF($G77=TODAY(),"Due today","Scheduled")))))</x:f>
      </x:c>
      <x:c r="I77" s="791"/>
      <x:c r="J77" s="791"/>
      <x:c r="K77" s="791"/>
      <x:c r="L77" s="791"/>
      <x:c r="M77" s="791"/>
      <x:c r="N77" s="791"/>
      <x:c r="O77" s="803" t="str">
        <x:f>IF($A77="","",IF(COUNTIF($A$6:$A$205,$A77)&gt;1,"Duplicate Care ID",IF(COUNTIF(Clients!$A$6:$A$205,$B77)&lt;&gt;1,"Check Client ID",IF($D77="","Set touchpoint type",IF($N77="","Set task status",IF(AND($N77="Open",NOT(ISNUMBER($G77))),"Set next date",""))))))</x:f>
      </x:c>
    </x:row>
    <x:row r="78" ht="26" customHeight="1">
      <x:c r="A78" s="791"/>
      <x:c r="B78" s="791"/>
      <x:c r="C78" s="803" t="str">
        <x:f>IF($A78="","",IF($B78="","",IFERROR(INDEX(Clients!$B$6:$B$205,MATCH($B78,Clients!$A$6:$A$205,0)),"Client ID not found")))</x:f>
      </x:c>
      <x:c r="D78" s="791"/>
      <x:c r="E78" s="791"/>
      <x:c r="F78" s="794"/>
      <x:c r="G78" s="794"/>
      <x:c r="H78" s="803" t="str">
        <x:f>IF($A78="","",IF($N78="Completed","Completed",IF(NOT(ISNUMBER($G78)),"Set next contact",IF($G78&lt;TODAY(),"Overdue",IF($G78=TODAY(),"Due today","Scheduled")))))</x:f>
      </x:c>
      <x:c r="I78" s="791"/>
      <x:c r="J78" s="791"/>
      <x:c r="K78" s="791"/>
      <x:c r="L78" s="791"/>
      <x:c r="M78" s="791"/>
      <x:c r="N78" s="791"/>
      <x:c r="O78" s="803" t="str">
        <x:f>IF($A78="","",IF(COUNTIF($A$6:$A$205,$A78)&gt;1,"Duplicate Care ID",IF(COUNTIF(Clients!$A$6:$A$205,$B78)&lt;&gt;1,"Check Client ID",IF($D78="","Set touchpoint type",IF($N78="","Set task status",IF(AND($N78="Open",NOT(ISNUMBER($G78))),"Set next date",""))))))</x:f>
      </x:c>
    </x:row>
    <x:row r="79" ht="26" customHeight="1">
      <x:c r="A79" s="791"/>
      <x:c r="B79" s="791"/>
      <x:c r="C79" s="803" t="str">
        <x:f>IF($A79="","",IF($B79="","",IFERROR(INDEX(Clients!$B$6:$B$205,MATCH($B79,Clients!$A$6:$A$205,0)),"Client ID not found")))</x:f>
      </x:c>
      <x:c r="D79" s="791"/>
      <x:c r="E79" s="791"/>
      <x:c r="F79" s="794"/>
      <x:c r="G79" s="794"/>
      <x:c r="H79" s="803" t="str">
        <x:f>IF($A79="","",IF($N79="Completed","Completed",IF(NOT(ISNUMBER($G79)),"Set next contact",IF($G79&lt;TODAY(),"Overdue",IF($G79=TODAY(),"Due today","Scheduled")))))</x:f>
      </x:c>
      <x:c r="I79" s="791"/>
      <x:c r="J79" s="791"/>
      <x:c r="K79" s="791"/>
      <x:c r="L79" s="791"/>
      <x:c r="M79" s="791"/>
      <x:c r="N79" s="791"/>
      <x:c r="O79" s="803" t="str">
        <x:f>IF($A79="","",IF(COUNTIF($A$6:$A$205,$A79)&gt;1,"Duplicate Care ID",IF(COUNTIF(Clients!$A$6:$A$205,$B79)&lt;&gt;1,"Check Client ID",IF($D79="","Set touchpoint type",IF($N79="","Set task status",IF(AND($N79="Open",NOT(ISNUMBER($G79))),"Set next date",""))))))</x:f>
      </x:c>
    </x:row>
    <x:row r="80" ht="26" customHeight="1">
      <x:c r="A80" s="791"/>
      <x:c r="B80" s="791"/>
      <x:c r="C80" s="803" t="str">
        <x:f>IF($A80="","",IF($B80="","",IFERROR(INDEX(Clients!$B$6:$B$205,MATCH($B80,Clients!$A$6:$A$205,0)),"Client ID not found")))</x:f>
      </x:c>
      <x:c r="D80" s="791"/>
      <x:c r="E80" s="791"/>
      <x:c r="F80" s="794"/>
      <x:c r="G80" s="794"/>
      <x:c r="H80" s="803" t="str">
        <x:f>IF($A80="","",IF($N80="Completed","Completed",IF(NOT(ISNUMBER($G80)),"Set next contact",IF($G80&lt;TODAY(),"Overdue",IF($G80=TODAY(),"Due today","Scheduled")))))</x:f>
      </x:c>
      <x:c r="I80" s="791"/>
      <x:c r="J80" s="791"/>
      <x:c r="K80" s="791"/>
      <x:c r="L80" s="791"/>
      <x:c r="M80" s="791"/>
      <x:c r="N80" s="791"/>
      <x:c r="O80" s="803" t="str">
        <x:f>IF($A80="","",IF(COUNTIF($A$6:$A$205,$A80)&gt;1,"Duplicate Care ID",IF(COUNTIF(Clients!$A$6:$A$205,$B80)&lt;&gt;1,"Check Client ID",IF($D80="","Set touchpoint type",IF($N80="","Set task status",IF(AND($N80="Open",NOT(ISNUMBER($G80))),"Set next date",""))))))</x:f>
      </x:c>
    </x:row>
    <x:row r="81" ht="26" customHeight="1">
      <x:c r="A81" s="791"/>
      <x:c r="B81" s="791"/>
      <x:c r="C81" s="803" t="str">
        <x:f>IF($A81="","",IF($B81="","",IFERROR(INDEX(Clients!$B$6:$B$205,MATCH($B81,Clients!$A$6:$A$205,0)),"Client ID not found")))</x:f>
      </x:c>
      <x:c r="D81" s="791"/>
      <x:c r="E81" s="791"/>
      <x:c r="F81" s="794"/>
      <x:c r="G81" s="794"/>
      <x:c r="H81" s="803" t="str">
        <x:f>IF($A81="","",IF($N81="Completed","Completed",IF(NOT(ISNUMBER($G81)),"Set next contact",IF($G81&lt;TODAY(),"Overdue",IF($G81=TODAY(),"Due today","Scheduled")))))</x:f>
      </x:c>
      <x:c r="I81" s="791"/>
      <x:c r="J81" s="791"/>
      <x:c r="K81" s="791"/>
      <x:c r="L81" s="791"/>
      <x:c r="M81" s="791"/>
      <x:c r="N81" s="791"/>
      <x:c r="O81" s="803" t="str">
        <x:f>IF($A81="","",IF(COUNTIF($A$6:$A$205,$A81)&gt;1,"Duplicate Care ID",IF(COUNTIF(Clients!$A$6:$A$205,$B81)&lt;&gt;1,"Check Client ID",IF($D81="","Set touchpoint type",IF($N81="","Set task status",IF(AND($N81="Open",NOT(ISNUMBER($G81))),"Set next date",""))))))</x:f>
      </x:c>
    </x:row>
    <x:row r="82" ht="26" customHeight="1">
      <x:c r="A82" s="791"/>
      <x:c r="B82" s="791"/>
      <x:c r="C82" s="803" t="str">
        <x:f>IF($A82="","",IF($B82="","",IFERROR(INDEX(Clients!$B$6:$B$205,MATCH($B82,Clients!$A$6:$A$205,0)),"Client ID not found")))</x:f>
      </x:c>
      <x:c r="D82" s="791"/>
      <x:c r="E82" s="791"/>
      <x:c r="F82" s="794"/>
      <x:c r="G82" s="794"/>
      <x:c r="H82" s="803" t="str">
        <x:f>IF($A82="","",IF($N82="Completed","Completed",IF(NOT(ISNUMBER($G82)),"Set next contact",IF($G82&lt;TODAY(),"Overdue",IF($G82=TODAY(),"Due today","Scheduled")))))</x:f>
      </x:c>
      <x:c r="I82" s="791"/>
      <x:c r="J82" s="791"/>
      <x:c r="K82" s="791"/>
      <x:c r="L82" s="791"/>
      <x:c r="M82" s="791"/>
      <x:c r="N82" s="791"/>
      <x:c r="O82" s="803" t="str">
        <x:f>IF($A82="","",IF(COUNTIF($A$6:$A$205,$A82)&gt;1,"Duplicate Care ID",IF(COUNTIF(Clients!$A$6:$A$205,$B82)&lt;&gt;1,"Check Client ID",IF($D82="","Set touchpoint type",IF($N82="","Set task status",IF(AND($N82="Open",NOT(ISNUMBER($G82))),"Set next date",""))))))</x:f>
      </x:c>
    </x:row>
    <x:row r="83" ht="26" customHeight="1">
      <x:c r="A83" s="791"/>
      <x:c r="B83" s="791"/>
      <x:c r="C83" s="803" t="str">
        <x:f>IF($A83="","",IF($B83="","",IFERROR(INDEX(Clients!$B$6:$B$205,MATCH($B83,Clients!$A$6:$A$205,0)),"Client ID not found")))</x:f>
      </x:c>
      <x:c r="D83" s="791"/>
      <x:c r="E83" s="791"/>
      <x:c r="F83" s="794"/>
      <x:c r="G83" s="794"/>
      <x:c r="H83" s="803" t="str">
        <x:f>IF($A83="","",IF($N83="Completed","Completed",IF(NOT(ISNUMBER($G83)),"Set next contact",IF($G83&lt;TODAY(),"Overdue",IF($G83=TODAY(),"Due today","Scheduled")))))</x:f>
      </x:c>
      <x:c r="I83" s="791"/>
      <x:c r="J83" s="791"/>
      <x:c r="K83" s="791"/>
      <x:c r="L83" s="791"/>
      <x:c r="M83" s="791"/>
      <x:c r="N83" s="791"/>
      <x:c r="O83" s="803" t="str">
        <x:f>IF($A83="","",IF(COUNTIF($A$6:$A$205,$A83)&gt;1,"Duplicate Care ID",IF(COUNTIF(Clients!$A$6:$A$205,$B83)&lt;&gt;1,"Check Client ID",IF($D83="","Set touchpoint type",IF($N83="","Set task status",IF(AND($N83="Open",NOT(ISNUMBER($G83))),"Set next date",""))))))</x:f>
      </x:c>
    </x:row>
    <x:row r="84" ht="26" customHeight="1">
      <x:c r="A84" s="791"/>
      <x:c r="B84" s="791"/>
      <x:c r="C84" s="803" t="str">
        <x:f>IF($A84="","",IF($B84="","",IFERROR(INDEX(Clients!$B$6:$B$205,MATCH($B84,Clients!$A$6:$A$205,0)),"Client ID not found")))</x:f>
      </x:c>
      <x:c r="D84" s="791"/>
      <x:c r="E84" s="791"/>
      <x:c r="F84" s="794"/>
      <x:c r="G84" s="794"/>
      <x:c r="H84" s="803" t="str">
        <x:f>IF($A84="","",IF($N84="Completed","Completed",IF(NOT(ISNUMBER($G84)),"Set next contact",IF($G84&lt;TODAY(),"Overdue",IF($G84=TODAY(),"Due today","Scheduled")))))</x:f>
      </x:c>
      <x:c r="I84" s="791"/>
      <x:c r="J84" s="791"/>
      <x:c r="K84" s="791"/>
      <x:c r="L84" s="791"/>
      <x:c r="M84" s="791"/>
      <x:c r="N84" s="791"/>
      <x:c r="O84" s="803" t="str">
        <x:f>IF($A84="","",IF(COUNTIF($A$6:$A$205,$A84)&gt;1,"Duplicate Care ID",IF(COUNTIF(Clients!$A$6:$A$205,$B84)&lt;&gt;1,"Check Client ID",IF($D84="","Set touchpoint type",IF($N84="","Set task status",IF(AND($N84="Open",NOT(ISNUMBER($G84))),"Set next date",""))))))</x:f>
      </x:c>
    </x:row>
    <x:row r="85" ht="26" customHeight="1">
      <x:c r="A85" s="791"/>
      <x:c r="B85" s="791"/>
      <x:c r="C85" s="803" t="str">
        <x:f>IF($A85="","",IF($B85="","",IFERROR(INDEX(Clients!$B$6:$B$205,MATCH($B85,Clients!$A$6:$A$205,0)),"Client ID not found")))</x:f>
      </x:c>
      <x:c r="D85" s="791"/>
      <x:c r="E85" s="791"/>
      <x:c r="F85" s="794"/>
      <x:c r="G85" s="794"/>
      <x:c r="H85" s="803" t="str">
        <x:f>IF($A85="","",IF($N85="Completed","Completed",IF(NOT(ISNUMBER($G85)),"Set next contact",IF($G85&lt;TODAY(),"Overdue",IF($G85=TODAY(),"Due today","Scheduled")))))</x:f>
      </x:c>
      <x:c r="I85" s="791"/>
      <x:c r="J85" s="791"/>
      <x:c r="K85" s="791"/>
      <x:c r="L85" s="791"/>
      <x:c r="M85" s="791"/>
      <x:c r="N85" s="791"/>
      <x:c r="O85" s="803" t="str">
        <x:f>IF($A85="","",IF(COUNTIF($A$6:$A$205,$A85)&gt;1,"Duplicate Care ID",IF(COUNTIF(Clients!$A$6:$A$205,$B85)&lt;&gt;1,"Check Client ID",IF($D85="","Set touchpoint type",IF($N85="","Set task status",IF(AND($N85="Open",NOT(ISNUMBER($G85))),"Set next date",""))))))</x:f>
      </x:c>
    </x:row>
    <x:row r="86" ht="26" customHeight="1">
      <x:c r="A86" s="791"/>
      <x:c r="B86" s="791"/>
      <x:c r="C86" s="803" t="str">
        <x:f>IF($A86="","",IF($B86="","",IFERROR(INDEX(Clients!$B$6:$B$205,MATCH($B86,Clients!$A$6:$A$205,0)),"Client ID not found")))</x:f>
      </x:c>
      <x:c r="D86" s="791"/>
      <x:c r="E86" s="791"/>
      <x:c r="F86" s="794"/>
      <x:c r="G86" s="794"/>
      <x:c r="H86" s="803" t="str">
        <x:f>IF($A86="","",IF($N86="Completed","Completed",IF(NOT(ISNUMBER($G86)),"Set next contact",IF($G86&lt;TODAY(),"Overdue",IF($G86=TODAY(),"Due today","Scheduled")))))</x:f>
      </x:c>
      <x:c r="I86" s="791"/>
      <x:c r="J86" s="791"/>
      <x:c r="K86" s="791"/>
      <x:c r="L86" s="791"/>
      <x:c r="M86" s="791"/>
      <x:c r="N86" s="791"/>
      <x:c r="O86" s="803" t="str">
        <x:f>IF($A86="","",IF(COUNTIF($A$6:$A$205,$A86)&gt;1,"Duplicate Care ID",IF(COUNTIF(Clients!$A$6:$A$205,$B86)&lt;&gt;1,"Check Client ID",IF($D86="","Set touchpoint type",IF($N86="","Set task status",IF(AND($N86="Open",NOT(ISNUMBER($G86))),"Set next date",""))))))</x:f>
      </x:c>
    </x:row>
    <x:row r="87" ht="26" customHeight="1">
      <x:c r="A87" s="791"/>
      <x:c r="B87" s="791"/>
      <x:c r="C87" s="803" t="str">
        <x:f>IF($A87="","",IF($B87="","",IFERROR(INDEX(Clients!$B$6:$B$205,MATCH($B87,Clients!$A$6:$A$205,0)),"Client ID not found")))</x:f>
      </x:c>
      <x:c r="D87" s="791"/>
      <x:c r="E87" s="791"/>
      <x:c r="F87" s="794"/>
      <x:c r="G87" s="794"/>
      <x:c r="H87" s="803" t="str">
        <x:f>IF($A87="","",IF($N87="Completed","Completed",IF(NOT(ISNUMBER($G87)),"Set next contact",IF($G87&lt;TODAY(),"Overdue",IF($G87=TODAY(),"Due today","Scheduled")))))</x:f>
      </x:c>
      <x:c r="I87" s="791"/>
      <x:c r="J87" s="791"/>
      <x:c r="K87" s="791"/>
      <x:c r="L87" s="791"/>
      <x:c r="M87" s="791"/>
      <x:c r="N87" s="791"/>
      <x:c r="O87" s="803" t="str">
        <x:f>IF($A87="","",IF(COUNTIF($A$6:$A$205,$A87)&gt;1,"Duplicate Care ID",IF(COUNTIF(Clients!$A$6:$A$205,$B87)&lt;&gt;1,"Check Client ID",IF($D87="","Set touchpoint type",IF($N87="","Set task status",IF(AND($N87="Open",NOT(ISNUMBER($G87))),"Set next date",""))))))</x:f>
      </x:c>
    </x:row>
    <x:row r="88" ht="26" customHeight="1">
      <x:c r="A88" s="791"/>
      <x:c r="B88" s="791"/>
      <x:c r="C88" s="803" t="str">
        <x:f>IF($A88="","",IF($B88="","",IFERROR(INDEX(Clients!$B$6:$B$205,MATCH($B88,Clients!$A$6:$A$205,0)),"Client ID not found")))</x:f>
      </x:c>
      <x:c r="D88" s="791"/>
      <x:c r="E88" s="791"/>
      <x:c r="F88" s="794"/>
      <x:c r="G88" s="794"/>
      <x:c r="H88" s="803" t="str">
        <x:f>IF($A88="","",IF($N88="Completed","Completed",IF(NOT(ISNUMBER($G88)),"Set next contact",IF($G88&lt;TODAY(),"Overdue",IF($G88=TODAY(),"Due today","Scheduled")))))</x:f>
      </x:c>
      <x:c r="I88" s="791"/>
      <x:c r="J88" s="791"/>
      <x:c r="K88" s="791"/>
      <x:c r="L88" s="791"/>
      <x:c r="M88" s="791"/>
      <x:c r="N88" s="791"/>
      <x:c r="O88" s="803" t="str">
        <x:f>IF($A88="","",IF(COUNTIF($A$6:$A$205,$A88)&gt;1,"Duplicate Care ID",IF(COUNTIF(Clients!$A$6:$A$205,$B88)&lt;&gt;1,"Check Client ID",IF($D88="","Set touchpoint type",IF($N88="","Set task status",IF(AND($N88="Open",NOT(ISNUMBER($G88))),"Set next date",""))))))</x:f>
      </x:c>
    </x:row>
    <x:row r="89" ht="26" customHeight="1">
      <x:c r="A89" s="791"/>
      <x:c r="B89" s="791"/>
      <x:c r="C89" s="803" t="str">
        <x:f>IF($A89="","",IF($B89="","",IFERROR(INDEX(Clients!$B$6:$B$205,MATCH($B89,Clients!$A$6:$A$205,0)),"Client ID not found")))</x:f>
      </x:c>
      <x:c r="D89" s="791"/>
      <x:c r="E89" s="791"/>
      <x:c r="F89" s="794"/>
      <x:c r="G89" s="794"/>
      <x:c r="H89" s="803" t="str">
        <x:f>IF($A89="","",IF($N89="Completed","Completed",IF(NOT(ISNUMBER($G89)),"Set next contact",IF($G89&lt;TODAY(),"Overdue",IF($G89=TODAY(),"Due today","Scheduled")))))</x:f>
      </x:c>
      <x:c r="I89" s="791"/>
      <x:c r="J89" s="791"/>
      <x:c r="K89" s="791"/>
      <x:c r="L89" s="791"/>
      <x:c r="M89" s="791"/>
      <x:c r="N89" s="791"/>
      <x:c r="O89" s="803" t="str">
        <x:f>IF($A89="","",IF(COUNTIF($A$6:$A$205,$A89)&gt;1,"Duplicate Care ID",IF(COUNTIF(Clients!$A$6:$A$205,$B89)&lt;&gt;1,"Check Client ID",IF($D89="","Set touchpoint type",IF($N89="","Set task status",IF(AND($N89="Open",NOT(ISNUMBER($G89))),"Set next date",""))))))</x:f>
      </x:c>
    </x:row>
    <x:row r="90" ht="26" customHeight="1">
      <x:c r="A90" s="791"/>
      <x:c r="B90" s="791"/>
      <x:c r="C90" s="803" t="str">
        <x:f>IF($A90="","",IF($B90="","",IFERROR(INDEX(Clients!$B$6:$B$205,MATCH($B90,Clients!$A$6:$A$205,0)),"Client ID not found")))</x:f>
      </x:c>
      <x:c r="D90" s="791"/>
      <x:c r="E90" s="791"/>
      <x:c r="F90" s="794"/>
      <x:c r="G90" s="794"/>
      <x:c r="H90" s="803" t="str">
        <x:f>IF($A90="","",IF($N90="Completed","Completed",IF(NOT(ISNUMBER($G90)),"Set next contact",IF($G90&lt;TODAY(),"Overdue",IF($G90=TODAY(),"Due today","Scheduled")))))</x:f>
      </x:c>
      <x:c r="I90" s="791"/>
      <x:c r="J90" s="791"/>
      <x:c r="K90" s="791"/>
      <x:c r="L90" s="791"/>
      <x:c r="M90" s="791"/>
      <x:c r="N90" s="791"/>
      <x:c r="O90" s="803" t="str">
        <x:f>IF($A90="","",IF(COUNTIF($A$6:$A$205,$A90)&gt;1,"Duplicate Care ID",IF(COUNTIF(Clients!$A$6:$A$205,$B90)&lt;&gt;1,"Check Client ID",IF($D90="","Set touchpoint type",IF($N90="","Set task status",IF(AND($N90="Open",NOT(ISNUMBER($G90))),"Set next date",""))))))</x:f>
      </x:c>
    </x:row>
    <x:row r="91" ht="26" customHeight="1">
      <x:c r="A91" s="791"/>
      <x:c r="B91" s="791"/>
      <x:c r="C91" s="803" t="str">
        <x:f>IF($A91="","",IF($B91="","",IFERROR(INDEX(Clients!$B$6:$B$205,MATCH($B91,Clients!$A$6:$A$205,0)),"Client ID not found")))</x:f>
      </x:c>
      <x:c r="D91" s="791"/>
      <x:c r="E91" s="791"/>
      <x:c r="F91" s="794"/>
      <x:c r="G91" s="794"/>
      <x:c r="H91" s="803" t="str">
        <x:f>IF($A91="","",IF($N91="Completed","Completed",IF(NOT(ISNUMBER($G91)),"Set next contact",IF($G91&lt;TODAY(),"Overdue",IF($G91=TODAY(),"Due today","Scheduled")))))</x:f>
      </x:c>
      <x:c r="I91" s="791"/>
      <x:c r="J91" s="791"/>
      <x:c r="K91" s="791"/>
      <x:c r="L91" s="791"/>
      <x:c r="M91" s="791"/>
      <x:c r="N91" s="791"/>
      <x:c r="O91" s="803" t="str">
        <x:f>IF($A91="","",IF(COUNTIF($A$6:$A$205,$A91)&gt;1,"Duplicate Care ID",IF(COUNTIF(Clients!$A$6:$A$205,$B91)&lt;&gt;1,"Check Client ID",IF($D91="","Set touchpoint type",IF($N91="","Set task status",IF(AND($N91="Open",NOT(ISNUMBER($G91))),"Set next date",""))))))</x:f>
      </x:c>
    </x:row>
    <x:row r="92" ht="26" customHeight="1">
      <x:c r="A92" s="791"/>
      <x:c r="B92" s="791"/>
      <x:c r="C92" s="803" t="str">
        <x:f>IF($A92="","",IF($B92="","",IFERROR(INDEX(Clients!$B$6:$B$205,MATCH($B92,Clients!$A$6:$A$205,0)),"Client ID not found")))</x:f>
      </x:c>
      <x:c r="D92" s="791"/>
      <x:c r="E92" s="791"/>
      <x:c r="F92" s="794"/>
      <x:c r="G92" s="794"/>
      <x:c r="H92" s="803" t="str">
        <x:f>IF($A92="","",IF($N92="Completed","Completed",IF(NOT(ISNUMBER($G92)),"Set next contact",IF($G92&lt;TODAY(),"Overdue",IF($G92=TODAY(),"Due today","Scheduled")))))</x:f>
      </x:c>
      <x:c r="I92" s="791"/>
      <x:c r="J92" s="791"/>
      <x:c r="K92" s="791"/>
      <x:c r="L92" s="791"/>
      <x:c r="M92" s="791"/>
      <x:c r="N92" s="791"/>
      <x:c r="O92" s="803" t="str">
        <x:f>IF($A92="","",IF(COUNTIF($A$6:$A$205,$A92)&gt;1,"Duplicate Care ID",IF(COUNTIF(Clients!$A$6:$A$205,$B92)&lt;&gt;1,"Check Client ID",IF($D92="","Set touchpoint type",IF($N92="","Set task status",IF(AND($N92="Open",NOT(ISNUMBER($G92))),"Set next date",""))))))</x:f>
      </x:c>
    </x:row>
    <x:row r="93" ht="26" customHeight="1">
      <x:c r="A93" s="791"/>
      <x:c r="B93" s="791"/>
      <x:c r="C93" s="803" t="str">
        <x:f>IF($A93="","",IF($B93="","",IFERROR(INDEX(Clients!$B$6:$B$205,MATCH($B93,Clients!$A$6:$A$205,0)),"Client ID not found")))</x:f>
      </x:c>
      <x:c r="D93" s="791"/>
      <x:c r="E93" s="791"/>
      <x:c r="F93" s="794"/>
      <x:c r="G93" s="794"/>
      <x:c r="H93" s="803" t="str">
        <x:f>IF($A93="","",IF($N93="Completed","Completed",IF(NOT(ISNUMBER($G93)),"Set next contact",IF($G93&lt;TODAY(),"Overdue",IF($G93=TODAY(),"Due today","Scheduled")))))</x:f>
      </x:c>
      <x:c r="I93" s="791"/>
      <x:c r="J93" s="791"/>
      <x:c r="K93" s="791"/>
      <x:c r="L93" s="791"/>
      <x:c r="M93" s="791"/>
      <x:c r="N93" s="791"/>
      <x:c r="O93" s="803" t="str">
        <x:f>IF($A93="","",IF(COUNTIF($A$6:$A$205,$A93)&gt;1,"Duplicate Care ID",IF(COUNTIF(Clients!$A$6:$A$205,$B93)&lt;&gt;1,"Check Client ID",IF($D93="","Set touchpoint type",IF($N93="","Set task status",IF(AND($N93="Open",NOT(ISNUMBER($G93))),"Set next date",""))))))</x:f>
      </x:c>
    </x:row>
    <x:row r="94" ht="26" customHeight="1">
      <x:c r="A94" s="791"/>
      <x:c r="B94" s="791"/>
      <x:c r="C94" s="803" t="str">
        <x:f>IF($A94="","",IF($B94="","",IFERROR(INDEX(Clients!$B$6:$B$205,MATCH($B94,Clients!$A$6:$A$205,0)),"Client ID not found")))</x:f>
      </x:c>
      <x:c r="D94" s="791"/>
      <x:c r="E94" s="791"/>
      <x:c r="F94" s="794"/>
      <x:c r="G94" s="794"/>
      <x:c r="H94" s="803" t="str">
        <x:f>IF($A94="","",IF($N94="Completed","Completed",IF(NOT(ISNUMBER($G94)),"Set next contact",IF($G94&lt;TODAY(),"Overdue",IF($G94=TODAY(),"Due today","Scheduled")))))</x:f>
      </x:c>
      <x:c r="I94" s="791"/>
      <x:c r="J94" s="791"/>
      <x:c r="K94" s="791"/>
      <x:c r="L94" s="791"/>
      <x:c r="M94" s="791"/>
      <x:c r="N94" s="791"/>
      <x:c r="O94" s="803" t="str">
        <x:f>IF($A94="","",IF(COUNTIF($A$6:$A$205,$A94)&gt;1,"Duplicate Care ID",IF(COUNTIF(Clients!$A$6:$A$205,$B94)&lt;&gt;1,"Check Client ID",IF($D94="","Set touchpoint type",IF($N94="","Set task status",IF(AND($N94="Open",NOT(ISNUMBER($G94))),"Set next date",""))))))</x:f>
      </x:c>
    </x:row>
    <x:row r="95" ht="26" customHeight="1">
      <x:c r="A95" s="791"/>
      <x:c r="B95" s="791"/>
      <x:c r="C95" s="803" t="str">
        <x:f>IF($A95="","",IF($B95="","",IFERROR(INDEX(Clients!$B$6:$B$205,MATCH($B95,Clients!$A$6:$A$205,0)),"Client ID not found")))</x:f>
      </x:c>
      <x:c r="D95" s="791"/>
      <x:c r="E95" s="791"/>
      <x:c r="F95" s="794"/>
      <x:c r="G95" s="794"/>
      <x:c r="H95" s="803" t="str">
        <x:f>IF($A95="","",IF($N95="Completed","Completed",IF(NOT(ISNUMBER($G95)),"Set next contact",IF($G95&lt;TODAY(),"Overdue",IF($G95=TODAY(),"Due today","Scheduled")))))</x:f>
      </x:c>
      <x:c r="I95" s="791"/>
      <x:c r="J95" s="791"/>
      <x:c r="K95" s="791"/>
      <x:c r="L95" s="791"/>
      <x:c r="M95" s="791"/>
      <x:c r="N95" s="791"/>
      <x:c r="O95" s="803" t="str">
        <x:f>IF($A95="","",IF(COUNTIF($A$6:$A$205,$A95)&gt;1,"Duplicate Care ID",IF(COUNTIF(Clients!$A$6:$A$205,$B95)&lt;&gt;1,"Check Client ID",IF($D95="","Set touchpoint type",IF($N95="","Set task status",IF(AND($N95="Open",NOT(ISNUMBER($G95))),"Set next date",""))))))</x:f>
      </x:c>
    </x:row>
    <x:row r="96" ht="26" customHeight="1">
      <x:c r="A96" s="791"/>
      <x:c r="B96" s="791"/>
      <x:c r="C96" s="803" t="str">
        <x:f>IF($A96="","",IF($B96="","",IFERROR(INDEX(Clients!$B$6:$B$205,MATCH($B96,Clients!$A$6:$A$205,0)),"Client ID not found")))</x:f>
      </x:c>
      <x:c r="D96" s="791"/>
      <x:c r="E96" s="791"/>
      <x:c r="F96" s="794"/>
      <x:c r="G96" s="794"/>
      <x:c r="H96" s="803" t="str">
        <x:f>IF($A96="","",IF($N96="Completed","Completed",IF(NOT(ISNUMBER($G96)),"Set next contact",IF($G96&lt;TODAY(),"Overdue",IF($G96=TODAY(),"Due today","Scheduled")))))</x:f>
      </x:c>
      <x:c r="I96" s="791"/>
      <x:c r="J96" s="791"/>
      <x:c r="K96" s="791"/>
      <x:c r="L96" s="791"/>
      <x:c r="M96" s="791"/>
      <x:c r="N96" s="791"/>
      <x:c r="O96" s="803" t="str">
        <x:f>IF($A96="","",IF(COUNTIF($A$6:$A$205,$A96)&gt;1,"Duplicate Care ID",IF(COUNTIF(Clients!$A$6:$A$205,$B96)&lt;&gt;1,"Check Client ID",IF($D96="","Set touchpoint type",IF($N96="","Set task status",IF(AND($N96="Open",NOT(ISNUMBER($G96))),"Set next date",""))))))</x:f>
      </x:c>
    </x:row>
    <x:row r="97" ht="26" customHeight="1">
      <x:c r="A97" s="791"/>
      <x:c r="B97" s="791"/>
      <x:c r="C97" s="803" t="str">
        <x:f>IF($A97="","",IF($B97="","",IFERROR(INDEX(Clients!$B$6:$B$205,MATCH($B97,Clients!$A$6:$A$205,0)),"Client ID not found")))</x:f>
      </x:c>
      <x:c r="D97" s="791"/>
      <x:c r="E97" s="791"/>
      <x:c r="F97" s="794"/>
      <x:c r="G97" s="794"/>
      <x:c r="H97" s="803" t="str">
        <x:f>IF($A97="","",IF($N97="Completed","Completed",IF(NOT(ISNUMBER($G97)),"Set next contact",IF($G97&lt;TODAY(),"Overdue",IF($G97=TODAY(),"Due today","Scheduled")))))</x:f>
      </x:c>
      <x:c r="I97" s="791"/>
      <x:c r="J97" s="791"/>
      <x:c r="K97" s="791"/>
      <x:c r="L97" s="791"/>
      <x:c r="M97" s="791"/>
      <x:c r="N97" s="791"/>
      <x:c r="O97" s="803" t="str">
        <x:f>IF($A97="","",IF(COUNTIF($A$6:$A$205,$A97)&gt;1,"Duplicate Care ID",IF(COUNTIF(Clients!$A$6:$A$205,$B97)&lt;&gt;1,"Check Client ID",IF($D97="","Set touchpoint type",IF($N97="","Set task status",IF(AND($N97="Open",NOT(ISNUMBER($G97))),"Set next date",""))))))</x:f>
      </x:c>
    </x:row>
    <x:row r="98" ht="26" customHeight="1">
      <x:c r="A98" s="791"/>
      <x:c r="B98" s="791"/>
      <x:c r="C98" s="803" t="str">
        <x:f>IF($A98="","",IF($B98="","",IFERROR(INDEX(Clients!$B$6:$B$205,MATCH($B98,Clients!$A$6:$A$205,0)),"Client ID not found")))</x:f>
      </x:c>
      <x:c r="D98" s="791"/>
      <x:c r="E98" s="791"/>
      <x:c r="F98" s="794"/>
      <x:c r="G98" s="794"/>
      <x:c r="H98" s="803" t="str">
        <x:f>IF($A98="","",IF($N98="Completed","Completed",IF(NOT(ISNUMBER($G98)),"Set next contact",IF($G98&lt;TODAY(),"Overdue",IF($G98=TODAY(),"Due today","Scheduled")))))</x:f>
      </x:c>
      <x:c r="I98" s="791"/>
      <x:c r="J98" s="791"/>
      <x:c r="K98" s="791"/>
      <x:c r="L98" s="791"/>
      <x:c r="M98" s="791"/>
      <x:c r="N98" s="791"/>
      <x:c r="O98" s="803" t="str">
        <x:f>IF($A98="","",IF(COUNTIF($A$6:$A$205,$A98)&gt;1,"Duplicate Care ID",IF(COUNTIF(Clients!$A$6:$A$205,$B98)&lt;&gt;1,"Check Client ID",IF($D98="","Set touchpoint type",IF($N98="","Set task status",IF(AND($N98="Open",NOT(ISNUMBER($G98))),"Set next date",""))))))</x:f>
      </x:c>
    </x:row>
    <x:row r="99" ht="26" customHeight="1">
      <x:c r="A99" s="791"/>
      <x:c r="B99" s="791"/>
      <x:c r="C99" s="803" t="str">
        <x:f>IF($A99="","",IF($B99="","",IFERROR(INDEX(Clients!$B$6:$B$205,MATCH($B99,Clients!$A$6:$A$205,0)),"Client ID not found")))</x:f>
      </x:c>
      <x:c r="D99" s="791"/>
      <x:c r="E99" s="791"/>
      <x:c r="F99" s="794"/>
      <x:c r="G99" s="794"/>
      <x:c r="H99" s="803" t="str">
        <x:f>IF($A99="","",IF($N99="Completed","Completed",IF(NOT(ISNUMBER($G99)),"Set next contact",IF($G99&lt;TODAY(),"Overdue",IF($G99=TODAY(),"Due today","Scheduled")))))</x:f>
      </x:c>
      <x:c r="I99" s="791"/>
      <x:c r="J99" s="791"/>
      <x:c r="K99" s="791"/>
      <x:c r="L99" s="791"/>
      <x:c r="M99" s="791"/>
      <x:c r="N99" s="791"/>
      <x:c r="O99" s="803" t="str">
        <x:f>IF($A99="","",IF(COUNTIF($A$6:$A$205,$A99)&gt;1,"Duplicate Care ID",IF(COUNTIF(Clients!$A$6:$A$205,$B99)&lt;&gt;1,"Check Client ID",IF($D99="","Set touchpoint type",IF($N99="","Set task status",IF(AND($N99="Open",NOT(ISNUMBER($G99))),"Set next date",""))))))</x:f>
      </x:c>
    </x:row>
    <x:row r="100" ht="26" customHeight="1">
      <x:c r="A100" s="791"/>
      <x:c r="B100" s="791"/>
      <x:c r="C100" s="803" t="str">
        <x:f>IF($A100="","",IF($B100="","",IFERROR(INDEX(Clients!$B$6:$B$205,MATCH($B100,Clients!$A$6:$A$205,0)),"Client ID not found")))</x:f>
      </x:c>
      <x:c r="D100" s="791"/>
      <x:c r="E100" s="791"/>
      <x:c r="F100" s="794"/>
      <x:c r="G100" s="794"/>
      <x:c r="H100" s="803" t="str">
        <x:f>IF($A100="","",IF($N100="Completed","Completed",IF(NOT(ISNUMBER($G100)),"Set next contact",IF($G100&lt;TODAY(),"Overdue",IF($G100=TODAY(),"Due today","Scheduled")))))</x:f>
      </x:c>
      <x:c r="I100" s="791"/>
      <x:c r="J100" s="791"/>
      <x:c r="K100" s="791"/>
      <x:c r="L100" s="791"/>
      <x:c r="M100" s="791"/>
      <x:c r="N100" s="791"/>
      <x:c r="O100" s="803" t="str">
        <x:f>IF($A100="","",IF(COUNTIF($A$6:$A$205,$A100)&gt;1,"Duplicate Care ID",IF(COUNTIF(Clients!$A$6:$A$205,$B100)&lt;&gt;1,"Check Client ID",IF($D100="","Set touchpoint type",IF($N100="","Set task status",IF(AND($N100="Open",NOT(ISNUMBER($G100))),"Set next date",""))))))</x:f>
      </x:c>
    </x:row>
    <x:row r="101" ht="26" customHeight="1">
      <x:c r="A101" s="791"/>
      <x:c r="B101" s="791"/>
      <x:c r="C101" s="803" t="str">
        <x:f>IF($A101="","",IF($B101="","",IFERROR(INDEX(Clients!$B$6:$B$205,MATCH($B101,Clients!$A$6:$A$205,0)),"Client ID not found")))</x:f>
      </x:c>
      <x:c r="D101" s="791"/>
      <x:c r="E101" s="791"/>
      <x:c r="F101" s="794"/>
      <x:c r="G101" s="794"/>
      <x:c r="H101" s="803" t="str">
        <x:f>IF($A101="","",IF($N101="Completed","Completed",IF(NOT(ISNUMBER($G101)),"Set next contact",IF($G101&lt;TODAY(),"Overdue",IF($G101=TODAY(),"Due today","Scheduled")))))</x:f>
      </x:c>
      <x:c r="I101" s="791"/>
      <x:c r="J101" s="791"/>
      <x:c r="K101" s="791"/>
      <x:c r="L101" s="791"/>
      <x:c r="M101" s="791"/>
      <x:c r="N101" s="791"/>
      <x:c r="O101" s="803" t="str">
        <x:f>IF($A101="","",IF(COUNTIF($A$6:$A$205,$A101)&gt;1,"Duplicate Care ID",IF(COUNTIF(Clients!$A$6:$A$205,$B101)&lt;&gt;1,"Check Client ID",IF($D101="","Set touchpoint type",IF($N101="","Set task status",IF(AND($N101="Open",NOT(ISNUMBER($G101))),"Set next date",""))))))</x:f>
      </x:c>
    </x:row>
    <x:row r="102" ht="26" customHeight="1">
      <x:c r="A102" s="791"/>
      <x:c r="B102" s="791"/>
      <x:c r="C102" s="803" t="str">
        <x:f>IF($A102="","",IF($B102="","",IFERROR(INDEX(Clients!$B$6:$B$205,MATCH($B102,Clients!$A$6:$A$205,0)),"Client ID not found")))</x:f>
      </x:c>
      <x:c r="D102" s="791"/>
      <x:c r="E102" s="791"/>
      <x:c r="F102" s="794"/>
      <x:c r="G102" s="794"/>
      <x:c r="H102" s="803" t="str">
        <x:f>IF($A102="","",IF($N102="Completed","Completed",IF(NOT(ISNUMBER($G102)),"Set next contact",IF($G102&lt;TODAY(),"Overdue",IF($G102=TODAY(),"Due today","Scheduled")))))</x:f>
      </x:c>
      <x:c r="I102" s="791"/>
      <x:c r="J102" s="791"/>
      <x:c r="K102" s="791"/>
      <x:c r="L102" s="791"/>
      <x:c r="M102" s="791"/>
      <x:c r="N102" s="791"/>
      <x:c r="O102" s="803" t="str">
        <x:f>IF($A102="","",IF(COUNTIF($A$6:$A$205,$A102)&gt;1,"Duplicate Care ID",IF(COUNTIF(Clients!$A$6:$A$205,$B102)&lt;&gt;1,"Check Client ID",IF($D102="","Set touchpoint type",IF($N102="","Set task status",IF(AND($N102="Open",NOT(ISNUMBER($G102))),"Set next date",""))))))</x:f>
      </x:c>
    </x:row>
    <x:row r="103" ht="26" customHeight="1">
      <x:c r="A103" s="791"/>
      <x:c r="B103" s="791"/>
      <x:c r="C103" s="803" t="str">
        <x:f>IF($A103="","",IF($B103="","",IFERROR(INDEX(Clients!$B$6:$B$205,MATCH($B103,Clients!$A$6:$A$205,0)),"Client ID not found")))</x:f>
      </x:c>
      <x:c r="D103" s="791"/>
      <x:c r="E103" s="791"/>
      <x:c r="F103" s="794"/>
      <x:c r="G103" s="794"/>
      <x:c r="H103" s="803" t="str">
        <x:f>IF($A103="","",IF($N103="Completed","Completed",IF(NOT(ISNUMBER($G103)),"Set next contact",IF($G103&lt;TODAY(),"Overdue",IF($G103=TODAY(),"Due today","Scheduled")))))</x:f>
      </x:c>
      <x:c r="I103" s="791"/>
      <x:c r="J103" s="791"/>
      <x:c r="K103" s="791"/>
      <x:c r="L103" s="791"/>
      <x:c r="M103" s="791"/>
      <x:c r="N103" s="791"/>
      <x:c r="O103" s="803" t="str">
        <x:f>IF($A103="","",IF(COUNTIF($A$6:$A$205,$A103)&gt;1,"Duplicate Care ID",IF(COUNTIF(Clients!$A$6:$A$205,$B103)&lt;&gt;1,"Check Client ID",IF($D103="","Set touchpoint type",IF($N103="","Set task status",IF(AND($N103="Open",NOT(ISNUMBER($G103))),"Set next date",""))))))</x:f>
      </x:c>
    </x:row>
    <x:row r="104" ht="26" customHeight="1">
      <x:c r="A104" s="791"/>
      <x:c r="B104" s="791"/>
      <x:c r="C104" s="803" t="str">
        <x:f>IF($A104="","",IF($B104="","",IFERROR(INDEX(Clients!$B$6:$B$205,MATCH($B104,Clients!$A$6:$A$205,0)),"Client ID not found")))</x:f>
      </x:c>
      <x:c r="D104" s="791"/>
      <x:c r="E104" s="791"/>
      <x:c r="F104" s="794"/>
      <x:c r="G104" s="794"/>
      <x:c r="H104" s="803" t="str">
        <x:f>IF($A104="","",IF($N104="Completed","Completed",IF(NOT(ISNUMBER($G104)),"Set next contact",IF($G104&lt;TODAY(),"Overdue",IF($G104=TODAY(),"Due today","Scheduled")))))</x:f>
      </x:c>
      <x:c r="I104" s="791"/>
      <x:c r="J104" s="791"/>
      <x:c r="K104" s="791"/>
      <x:c r="L104" s="791"/>
      <x:c r="M104" s="791"/>
      <x:c r="N104" s="791"/>
      <x:c r="O104" s="803" t="str">
        <x:f>IF($A104="","",IF(COUNTIF($A$6:$A$205,$A104)&gt;1,"Duplicate Care ID",IF(COUNTIF(Clients!$A$6:$A$205,$B104)&lt;&gt;1,"Check Client ID",IF($D104="","Set touchpoint type",IF($N104="","Set task status",IF(AND($N104="Open",NOT(ISNUMBER($G104))),"Set next date",""))))))</x:f>
      </x:c>
    </x:row>
    <x:row r="105" ht="26" customHeight="1">
      <x:c r="A105" s="791"/>
      <x:c r="B105" s="791"/>
      <x:c r="C105" s="803" t="str">
        <x:f>IF($A105="","",IF($B105="","",IFERROR(INDEX(Clients!$B$6:$B$205,MATCH($B105,Clients!$A$6:$A$205,0)),"Client ID not found")))</x:f>
      </x:c>
      <x:c r="D105" s="791"/>
      <x:c r="E105" s="791"/>
      <x:c r="F105" s="794"/>
      <x:c r="G105" s="794"/>
      <x:c r="H105" s="803" t="str">
        <x:f>IF($A105="","",IF($N105="Completed","Completed",IF(NOT(ISNUMBER($G105)),"Set next contact",IF($G105&lt;TODAY(),"Overdue",IF($G105=TODAY(),"Due today","Scheduled")))))</x:f>
      </x:c>
      <x:c r="I105" s="791"/>
      <x:c r="J105" s="791"/>
      <x:c r="K105" s="791"/>
      <x:c r="L105" s="791"/>
      <x:c r="M105" s="791"/>
      <x:c r="N105" s="791"/>
      <x:c r="O105" s="803" t="str">
        <x:f>IF($A105="","",IF(COUNTIF($A$6:$A$205,$A105)&gt;1,"Duplicate Care ID",IF(COUNTIF(Clients!$A$6:$A$205,$B105)&lt;&gt;1,"Check Client ID",IF($D105="","Set touchpoint type",IF($N105="","Set task status",IF(AND($N105="Open",NOT(ISNUMBER($G105))),"Set next date",""))))))</x:f>
      </x:c>
    </x:row>
    <x:row r="106" ht="26" customHeight="1">
      <x:c r="A106" s="791"/>
      <x:c r="B106" s="791"/>
      <x:c r="C106" s="803" t="str">
        <x:f>IF($A106="","",IF($B106="","",IFERROR(INDEX(Clients!$B$6:$B$205,MATCH($B106,Clients!$A$6:$A$205,0)),"Client ID not found")))</x:f>
      </x:c>
      <x:c r="D106" s="791"/>
      <x:c r="E106" s="791"/>
      <x:c r="F106" s="794"/>
      <x:c r="G106" s="794"/>
      <x:c r="H106" s="803" t="str">
        <x:f>IF($A106="","",IF($N106="Completed","Completed",IF(NOT(ISNUMBER($G106)),"Set next contact",IF($G106&lt;TODAY(),"Overdue",IF($G106=TODAY(),"Due today","Scheduled")))))</x:f>
      </x:c>
      <x:c r="I106" s="791"/>
      <x:c r="J106" s="791"/>
      <x:c r="K106" s="791"/>
      <x:c r="L106" s="791"/>
      <x:c r="M106" s="791"/>
      <x:c r="N106" s="791"/>
      <x:c r="O106" s="803" t="str">
        <x:f>IF($A106="","",IF(COUNTIF($A$6:$A$205,$A106)&gt;1,"Duplicate Care ID",IF(COUNTIF(Clients!$A$6:$A$205,$B106)&lt;&gt;1,"Check Client ID",IF($D106="","Set touchpoint type",IF($N106="","Set task status",IF(AND($N106="Open",NOT(ISNUMBER($G106))),"Set next date",""))))))</x:f>
      </x:c>
    </x:row>
    <x:row r="107" ht="26" customHeight="1">
      <x:c r="A107" s="791"/>
      <x:c r="B107" s="791"/>
      <x:c r="C107" s="803" t="str">
        <x:f>IF($A107="","",IF($B107="","",IFERROR(INDEX(Clients!$B$6:$B$205,MATCH($B107,Clients!$A$6:$A$205,0)),"Client ID not found")))</x:f>
      </x:c>
      <x:c r="D107" s="791"/>
      <x:c r="E107" s="791"/>
      <x:c r="F107" s="794"/>
      <x:c r="G107" s="794"/>
      <x:c r="H107" s="803" t="str">
        <x:f>IF($A107="","",IF($N107="Completed","Completed",IF(NOT(ISNUMBER($G107)),"Set next contact",IF($G107&lt;TODAY(),"Overdue",IF($G107=TODAY(),"Due today","Scheduled")))))</x:f>
      </x:c>
      <x:c r="I107" s="791"/>
      <x:c r="J107" s="791"/>
      <x:c r="K107" s="791"/>
      <x:c r="L107" s="791"/>
      <x:c r="M107" s="791"/>
      <x:c r="N107" s="791"/>
      <x:c r="O107" s="803" t="str">
        <x:f>IF($A107="","",IF(COUNTIF($A$6:$A$205,$A107)&gt;1,"Duplicate Care ID",IF(COUNTIF(Clients!$A$6:$A$205,$B107)&lt;&gt;1,"Check Client ID",IF($D107="","Set touchpoint type",IF($N107="","Set task status",IF(AND($N107="Open",NOT(ISNUMBER($G107))),"Set next date",""))))))</x:f>
      </x:c>
    </x:row>
    <x:row r="108" ht="26" customHeight="1">
      <x:c r="A108" s="791"/>
      <x:c r="B108" s="791"/>
      <x:c r="C108" s="803" t="str">
        <x:f>IF($A108="","",IF($B108="","",IFERROR(INDEX(Clients!$B$6:$B$205,MATCH($B108,Clients!$A$6:$A$205,0)),"Client ID not found")))</x:f>
      </x:c>
      <x:c r="D108" s="791"/>
      <x:c r="E108" s="791"/>
      <x:c r="F108" s="794"/>
      <x:c r="G108" s="794"/>
      <x:c r="H108" s="803" t="str">
        <x:f>IF($A108="","",IF($N108="Completed","Completed",IF(NOT(ISNUMBER($G108)),"Set next contact",IF($G108&lt;TODAY(),"Overdue",IF($G108=TODAY(),"Due today","Scheduled")))))</x:f>
      </x:c>
      <x:c r="I108" s="791"/>
      <x:c r="J108" s="791"/>
      <x:c r="K108" s="791"/>
      <x:c r="L108" s="791"/>
      <x:c r="M108" s="791"/>
      <x:c r="N108" s="791"/>
      <x:c r="O108" s="803" t="str">
        <x:f>IF($A108="","",IF(COUNTIF($A$6:$A$205,$A108)&gt;1,"Duplicate Care ID",IF(COUNTIF(Clients!$A$6:$A$205,$B108)&lt;&gt;1,"Check Client ID",IF($D108="","Set touchpoint type",IF($N108="","Set task status",IF(AND($N108="Open",NOT(ISNUMBER($G108))),"Set next date",""))))))</x:f>
      </x:c>
    </x:row>
    <x:row r="109" ht="26" customHeight="1">
      <x:c r="A109" s="791"/>
      <x:c r="B109" s="791"/>
      <x:c r="C109" s="803" t="str">
        <x:f>IF($A109="","",IF($B109="","",IFERROR(INDEX(Clients!$B$6:$B$205,MATCH($B109,Clients!$A$6:$A$205,0)),"Client ID not found")))</x:f>
      </x:c>
      <x:c r="D109" s="791"/>
      <x:c r="E109" s="791"/>
      <x:c r="F109" s="794"/>
      <x:c r="G109" s="794"/>
      <x:c r="H109" s="803" t="str">
        <x:f>IF($A109="","",IF($N109="Completed","Completed",IF(NOT(ISNUMBER($G109)),"Set next contact",IF($G109&lt;TODAY(),"Overdue",IF($G109=TODAY(),"Due today","Scheduled")))))</x:f>
      </x:c>
      <x:c r="I109" s="791"/>
      <x:c r="J109" s="791"/>
      <x:c r="K109" s="791"/>
      <x:c r="L109" s="791"/>
      <x:c r="M109" s="791"/>
      <x:c r="N109" s="791"/>
      <x:c r="O109" s="803" t="str">
        <x:f>IF($A109="","",IF(COUNTIF($A$6:$A$205,$A109)&gt;1,"Duplicate Care ID",IF(COUNTIF(Clients!$A$6:$A$205,$B109)&lt;&gt;1,"Check Client ID",IF($D109="","Set touchpoint type",IF($N109="","Set task status",IF(AND($N109="Open",NOT(ISNUMBER($G109))),"Set next date",""))))))</x:f>
      </x:c>
    </x:row>
    <x:row r="110" ht="26" customHeight="1">
      <x:c r="A110" s="791"/>
      <x:c r="B110" s="791"/>
      <x:c r="C110" s="803" t="str">
        <x:f>IF($A110="","",IF($B110="","",IFERROR(INDEX(Clients!$B$6:$B$205,MATCH($B110,Clients!$A$6:$A$205,0)),"Client ID not found")))</x:f>
      </x:c>
      <x:c r="D110" s="791"/>
      <x:c r="E110" s="791"/>
      <x:c r="F110" s="794"/>
      <x:c r="G110" s="794"/>
      <x:c r="H110" s="803" t="str">
        <x:f>IF($A110="","",IF($N110="Completed","Completed",IF(NOT(ISNUMBER($G110)),"Set next contact",IF($G110&lt;TODAY(),"Overdue",IF($G110=TODAY(),"Due today","Scheduled")))))</x:f>
      </x:c>
      <x:c r="I110" s="791"/>
      <x:c r="J110" s="791"/>
      <x:c r="K110" s="791"/>
      <x:c r="L110" s="791"/>
      <x:c r="M110" s="791"/>
      <x:c r="N110" s="791"/>
      <x:c r="O110" s="803" t="str">
        <x:f>IF($A110="","",IF(COUNTIF($A$6:$A$205,$A110)&gt;1,"Duplicate Care ID",IF(COUNTIF(Clients!$A$6:$A$205,$B110)&lt;&gt;1,"Check Client ID",IF($D110="","Set touchpoint type",IF($N110="","Set task status",IF(AND($N110="Open",NOT(ISNUMBER($G110))),"Set next date",""))))))</x:f>
      </x:c>
    </x:row>
    <x:row r="111" ht="26" customHeight="1">
      <x:c r="A111" s="791"/>
      <x:c r="B111" s="791"/>
      <x:c r="C111" s="803" t="str">
        <x:f>IF($A111="","",IF($B111="","",IFERROR(INDEX(Clients!$B$6:$B$205,MATCH($B111,Clients!$A$6:$A$205,0)),"Client ID not found")))</x:f>
      </x:c>
      <x:c r="D111" s="791"/>
      <x:c r="E111" s="791"/>
      <x:c r="F111" s="794"/>
      <x:c r="G111" s="794"/>
      <x:c r="H111" s="803" t="str">
        <x:f>IF($A111="","",IF($N111="Completed","Completed",IF(NOT(ISNUMBER($G111)),"Set next contact",IF($G111&lt;TODAY(),"Overdue",IF($G111=TODAY(),"Due today","Scheduled")))))</x:f>
      </x:c>
      <x:c r="I111" s="791"/>
      <x:c r="J111" s="791"/>
      <x:c r="K111" s="791"/>
      <x:c r="L111" s="791"/>
      <x:c r="M111" s="791"/>
      <x:c r="N111" s="791"/>
      <x:c r="O111" s="803" t="str">
        <x:f>IF($A111="","",IF(COUNTIF($A$6:$A$205,$A111)&gt;1,"Duplicate Care ID",IF(COUNTIF(Clients!$A$6:$A$205,$B111)&lt;&gt;1,"Check Client ID",IF($D111="","Set touchpoint type",IF($N111="","Set task status",IF(AND($N111="Open",NOT(ISNUMBER($G111))),"Set next date",""))))))</x:f>
      </x:c>
    </x:row>
    <x:row r="112" ht="26" customHeight="1">
      <x:c r="A112" s="791"/>
      <x:c r="B112" s="791"/>
      <x:c r="C112" s="803" t="str">
        <x:f>IF($A112="","",IF($B112="","",IFERROR(INDEX(Clients!$B$6:$B$205,MATCH($B112,Clients!$A$6:$A$205,0)),"Client ID not found")))</x:f>
      </x:c>
      <x:c r="D112" s="791"/>
      <x:c r="E112" s="791"/>
      <x:c r="F112" s="794"/>
      <x:c r="G112" s="794"/>
      <x:c r="H112" s="803" t="str">
        <x:f>IF($A112="","",IF($N112="Completed","Completed",IF(NOT(ISNUMBER($G112)),"Set next contact",IF($G112&lt;TODAY(),"Overdue",IF($G112=TODAY(),"Due today","Scheduled")))))</x:f>
      </x:c>
      <x:c r="I112" s="791"/>
      <x:c r="J112" s="791"/>
      <x:c r="K112" s="791"/>
      <x:c r="L112" s="791"/>
      <x:c r="M112" s="791"/>
      <x:c r="N112" s="791"/>
      <x:c r="O112" s="803" t="str">
        <x:f>IF($A112="","",IF(COUNTIF($A$6:$A$205,$A112)&gt;1,"Duplicate Care ID",IF(COUNTIF(Clients!$A$6:$A$205,$B112)&lt;&gt;1,"Check Client ID",IF($D112="","Set touchpoint type",IF($N112="","Set task status",IF(AND($N112="Open",NOT(ISNUMBER($G112))),"Set next date",""))))))</x:f>
      </x:c>
    </x:row>
    <x:row r="113" ht="26" customHeight="1">
      <x:c r="A113" s="791"/>
      <x:c r="B113" s="791"/>
      <x:c r="C113" s="803" t="str">
        <x:f>IF($A113="","",IF($B113="","",IFERROR(INDEX(Clients!$B$6:$B$205,MATCH($B113,Clients!$A$6:$A$205,0)),"Client ID not found")))</x:f>
      </x:c>
      <x:c r="D113" s="791"/>
      <x:c r="E113" s="791"/>
      <x:c r="F113" s="794"/>
      <x:c r="G113" s="794"/>
      <x:c r="H113" s="803" t="str">
        <x:f>IF($A113="","",IF($N113="Completed","Completed",IF(NOT(ISNUMBER($G113)),"Set next contact",IF($G113&lt;TODAY(),"Overdue",IF($G113=TODAY(),"Due today","Scheduled")))))</x:f>
      </x:c>
      <x:c r="I113" s="791"/>
      <x:c r="J113" s="791"/>
      <x:c r="K113" s="791"/>
      <x:c r="L113" s="791"/>
      <x:c r="M113" s="791"/>
      <x:c r="N113" s="791"/>
      <x:c r="O113" s="803" t="str">
        <x:f>IF($A113="","",IF(COUNTIF($A$6:$A$205,$A113)&gt;1,"Duplicate Care ID",IF(COUNTIF(Clients!$A$6:$A$205,$B113)&lt;&gt;1,"Check Client ID",IF($D113="","Set touchpoint type",IF($N113="","Set task status",IF(AND($N113="Open",NOT(ISNUMBER($G113))),"Set next date",""))))))</x:f>
      </x:c>
    </x:row>
    <x:row r="114" ht="26" customHeight="1">
      <x:c r="A114" s="791"/>
      <x:c r="B114" s="791"/>
      <x:c r="C114" s="803" t="str">
        <x:f>IF($A114="","",IF($B114="","",IFERROR(INDEX(Clients!$B$6:$B$205,MATCH($B114,Clients!$A$6:$A$205,0)),"Client ID not found")))</x:f>
      </x:c>
      <x:c r="D114" s="791"/>
      <x:c r="E114" s="791"/>
      <x:c r="F114" s="794"/>
      <x:c r="G114" s="794"/>
      <x:c r="H114" s="803" t="str">
        <x:f>IF($A114="","",IF($N114="Completed","Completed",IF(NOT(ISNUMBER($G114)),"Set next contact",IF($G114&lt;TODAY(),"Overdue",IF($G114=TODAY(),"Due today","Scheduled")))))</x:f>
      </x:c>
      <x:c r="I114" s="791"/>
      <x:c r="J114" s="791"/>
      <x:c r="K114" s="791"/>
      <x:c r="L114" s="791"/>
      <x:c r="M114" s="791"/>
      <x:c r="N114" s="791"/>
      <x:c r="O114" s="803" t="str">
        <x:f>IF($A114="","",IF(COUNTIF($A$6:$A$205,$A114)&gt;1,"Duplicate Care ID",IF(COUNTIF(Clients!$A$6:$A$205,$B114)&lt;&gt;1,"Check Client ID",IF($D114="","Set touchpoint type",IF($N114="","Set task status",IF(AND($N114="Open",NOT(ISNUMBER($G114))),"Set next date",""))))))</x:f>
      </x:c>
    </x:row>
    <x:row r="115" ht="26" customHeight="1">
      <x:c r="A115" s="791"/>
      <x:c r="B115" s="791"/>
      <x:c r="C115" s="803" t="str">
        <x:f>IF($A115="","",IF($B115="","",IFERROR(INDEX(Clients!$B$6:$B$205,MATCH($B115,Clients!$A$6:$A$205,0)),"Client ID not found")))</x:f>
      </x:c>
      <x:c r="D115" s="791"/>
      <x:c r="E115" s="791"/>
      <x:c r="F115" s="794"/>
      <x:c r="G115" s="794"/>
      <x:c r="H115" s="803" t="str">
        <x:f>IF($A115="","",IF($N115="Completed","Completed",IF(NOT(ISNUMBER($G115)),"Set next contact",IF($G115&lt;TODAY(),"Overdue",IF($G115=TODAY(),"Due today","Scheduled")))))</x:f>
      </x:c>
      <x:c r="I115" s="791"/>
      <x:c r="J115" s="791"/>
      <x:c r="K115" s="791"/>
      <x:c r="L115" s="791"/>
      <x:c r="M115" s="791"/>
      <x:c r="N115" s="791"/>
      <x:c r="O115" s="803" t="str">
        <x:f>IF($A115="","",IF(COUNTIF($A$6:$A$205,$A115)&gt;1,"Duplicate Care ID",IF(COUNTIF(Clients!$A$6:$A$205,$B115)&lt;&gt;1,"Check Client ID",IF($D115="","Set touchpoint type",IF($N115="","Set task status",IF(AND($N115="Open",NOT(ISNUMBER($G115))),"Set next date",""))))))</x:f>
      </x:c>
    </x:row>
    <x:row r="116" ht="26" customHeight="1">
      <x:c r="A116" s="791"/>
      <x:c r="B116" s="791"/>
      <x:c r="C116" s="803" t="str">
        <x:f>IF($A116="","",IF($B116="","",IFERROR(INDEX(Clients!$B$6:$B$205,MATCH($B116,Clients!$A$6:$A$205,0)),"Client ID not found")))</x:f>
      </x:c>
      <x:c r="D116" s="791"/>
      <x:c r="E116" s="791"/>
      <x:c r="F116" s="794"/>
      <x:c r="G116" s="794"/>
      <x:c r="H116" s="803" t="str">
        <x:f>IF($A116="","",IF($N116="Completed","Completed",IF(NOT(ISNUMBER($G116)),"Set next contact",IF($G116&lt;TODAY(),"Overdue",IF($G116=TODAY(),"Due today","Scheduled")))))</x:f>
      </x:c>
      <x:c r="I116" s="791"/>
      <x:c r="J116" s="791"/>
      <x:c r="K116" s="791"/>
      <x:c r="L116" s="791"/>
      <x:c r="M116" s="791"/>
      <x:c r="N116" s="791"/>
      <x:c r="O116" s="803" t="str">
        <x:f>IF($A116="","",IF(COUNTIF($A$6:$A$205,$A116)&gt;1,"Duplicate Care ID",IF(COUNTIF(Clients!$A$6:$A$205,$B116)&lt;&gt;1,"Check Client ID",IF($D116="","Set touchpoint type",IF($N116="","Set task status",IF(AND($N116="Open",NOT(ISNUMBER($G116))),"Set next date",""))))))</x:f>
      </x:c>
    </x:row>
    <x:row r="117" ht="26" customHeight="1">
      <x:c r="A117" s="791"/>
      <x:c r="B117" s="791"/>
      <x:c r="C117" s="803" t="str">
        <x:f>IF($A117="","",IF($B117="","",IFERROR(INDEX(Clients!$B$6:$B$205,MATCH($B117,Clients!$A$6:$A$205,0)),"Client ID not found")))</x:f>
      </x:c>
      <x:c r="D117" s="791"/>
      <x:c r="E117" s="791"/>
      <x:c r="F117" s="794"/>
      <x:c r="G117" s="794"/>
      <x:c r="H117" s="803" t="str">
        <x:f>IF($A117="","",IF($N117="Completed","Completed",IF(NOT(ISNUMBER($G117)),"Set next contact",IF($G117&lt;TODAY(),"Overdue",IF($G117=TODAY(),"Due today","Scheduled")))))</x:f>
      </x:c>
      <x:c r="I117" s="791"/>
      <x:c r="J117" s="791"/>
      <x:c r="K117" s="791"/>
      <x:c r="L117" s="791"/>
      <x:c r="M117" s="791"/>
      <x:c r="N117" s="791"/>
      <x:c r="O117" s="803" t="str">
        <x:f>IF($A117="","",IF(COUNTIF($A$6:$A$205,$A117)&gt;1,"Duplicate Care ID",IF(COUNTIF(Clients!$A$6:$A$205,$B117)&lt;&gt;1,"Check Client ID",IF($D117="","Set touchpoint type",IF($N117="","Set task status",IF(AND($N117="Open",NOT(ISNUMBER($G117))),"Set next date",""))))))</x:f>
      </x:c>
    </x:row>
    <x:row r="118" ht="26" customHeight="1">
      <x:c r="A118" s="791"/>
      <x:c r="B118" s="791"/>
      <x:c r="C118" s="803" t="str">
        <x:f>IF($A118="","",IF($B118="","",IFERROR(INDEX(Clients!$B$6:$B$205,MATCH($B118,Clients!$A$6:$A$205,0)),"Client ID not found")))</x:f>
      </x:c>
      <x:c r="D118" s="791"/>
      <x:c r="E118" s="791"/>
      <x:c r="F118" s="794"/>
      <x:c r="G118" s="794"/>
      <x:c r="H118" s="803" t="str">
        <x:f>IF($A118="","",IF($N118="Completed","Completed",IF(NOT(ISNUMBER($G118)),"Set next contact",IF($G118&lt;TODAY(),"Overdue",IF($G118=TODAY(),"Due today","Scheduled")))))</x:f>
      </x:c>
      <x:c r="I118" s="791"/>
      <x:c r="J118" s="791"/>
      <x:c r="K118" s="791"/>
      <x:c r="L118" s="791"/>
      <x:c r="M118" s="791"/>
      <x:c r="N118" s="791"/>
      <x:c r="O118" s="803" t="str">
        <x:f>IF($A118="","",IF(COUNTIF($A$6:$A$205,$A118)&gt;1,"Duplicate Care ID",IF(COUNTIF(Clients!$A$6:$A$205,$B118)&lt;&gt;1,"Check Client ID",IF($D118="","Set touchpoint type",IF($N118="","Set task status",IF(AND($N118="Open",NOT(ISNUMBER($G118))),"Set next date",""))))))</x:f>
      </x:c>
    </x:row>
    <x:row r="119" ht="26" customHeight="1">
      <x:c r="A119" s="791"/>
      <x:c r="B119" s="791"/>
      <x:c r="C119" s="803" t="str">
        <x:f>IF($A119="","",IF($B119="","",IFERROR(INDEX(Clients!$B$6:$B$205,MATCH($B119,Clients!$A$6:$A$205,0)),"Client ID not found")))</x:f>
      </x:c>
      <x:c r="D119" s="791"/>
      <x:c r="E119" s="791"/>
      <x:c r="F119" s="794"/>
      <x:c r="G119" s="794"/>
      <x:c r="H119" s="803" t="str">
        <x:f>IF($A119="","",IF($N119="Completed","Completed",IF(NOT(ISNUMBER($G119)),"Set next contact",IF($G119&lt;TODAY(),"Overdue",IF($G119=TODAY(),"Due today","Scheduled")))))</x:f>
      </x:c>
      <x:c r="I119" s="791"/>
      <x:c r="J119" s="791"/>
      <x:c r="K119" s="791"/>
      <x:c r="L119" s="791"/>
      <x:c r="M119" s="791"/>
      <x:c r="N119" s="791"/>
      <x:c r="O119" s="803" t="str">
        <x:f>IF($A119="","",IF(COUNTIF($A$6:$A$205,$A119)&gt;1,"Duplicate Care ID",IF(COUNTIF(Clients!$A$6:$A$205,$B119)&lt;&gt;1,"Check Client ID",IF($D119="","Set touchpoint type",IF($N119="","Set task status",IF(AND($N119="Open",NOT(ISNUMBER($G119))),"Set next date",""))))))</x:f>
      </x:c>
    </x:row>
    <x:row r="120" ht="26" customHeight="1">
      <x:c r="A120" s="791"/>
      <x:c r="B120" s="791"/>
      <x:c r="C120" s="803" t="str">
        <x:f>IF($A120="","",IF($B120="","",IFERROR(INDEX(Clients!$B$6:$B$205,MATCH($B120,Clients!$A$6:$A$205,0)),"Client ID not found")))</x:f>
      </x:c>
      <x:c r="D120" s="791"/>
      <x:c r="E120" s="791"/>
      <x:c r="F120" s="794"/>
      <x:c r="G120" s="794"/>
      <x:c r="H120" s="803" t="str">
        <x:f>IF($A120="","",IF($N120="Completed","Completed",IF(NOT(ISNUMBER($G120)),"Set next contact",IF($G120&lt;TODAY(),"Overdue",IF($G120=TODAY(),"Due today","Scheduled")))))</x:f>
      </x:c>
      <x:c r="I120" s="791"/>
      <x:c r="J120" s="791"/>
      <x:c r="K120" s="791"/>
      <x:c r="L120" s="791"/>
      <x:c r="M120" s="791"/>
      <x:c r="N120" s="791"/>
      <x:c r="O120" s="803" t="str">
        <x:f>IF($A120="","",IF(COUNTIF($A$6:$A$205,$A120)&gt;1,"Duplicate Care ID",IF(COUNTIF(Clients!$A$6:$A$205,$B120)&lt;&gt;1,"Check Client ID",IF($D120="","Set touchpoint type",IF($N120="","Set task status",IF(AND($N120="Open",NOT(ISNUMBER($G120))),"Set next date",""))))))</x:f>
      </x:c>
    </x:row>
    <x:row r="121" ht="26" customHeight="1">
      <x:c r="A121" s="791"/>
      <x:c r="B121" s="791"/>
      <x:c r="C121" s="803" t="str">
        <x:f>IF($A121="","",IF($B121="","",IFERROR(INDEX(Clients!$B$6:$B$205,MATCH($B121,Clients!$A$6:$A$205,0)),"Client ID not found")))</x:f>
      </x:c>
      <x:c r="D121" s="791"/>
      <x:c r="E121" s="791"/>
      <x:c r="F121" s="794"/>
      <x:c r="G121" s="794"/>
      <x:c r="H121" s="803" t="str">
        <x:f>IF($A121="","",IF($N121="Completed","Completed",IF(NOT(ISNUMBER($G121)),"Set next contact",IF($G121&lt;TODAY(),"Overdue",IF($G121=TODAY(),"Due today","Scheduled")))))</x:f>
      </x:c>
      <x:c r="I121" s="791"/>
      <x:c r="J121" s="791"/>
      <x:c r="K121" s="791"/>
      <x:c r="L121" s="791"/>
      <x:c r="M121" s="791"/>
      <x:c r="N121" s="791"/>
      <x:c r="O121" s="803" t="str">
        <x:f>IF($A121="","",IF(COUNTIF($A$6:$A$205,$A121)&gt;1,"Duplicate Care ID",IF(COUNTIF(Clients!$A$6:$A$205,$B121)&lt;&gt;1,"Check Client ID",IF($D121="","Set touchpoint type",IF($N121="","Set task status",IF(AND($N121="Open",NOT(ISNUMBER($G121))),"Set next date",""))))))</x:f>
      </x:c>
    </x:row>
    <x:row r="122" ht="26" customHeight="1">
      <x:c r="A122" s="791"/>
      <x:c r="B122" s="791"/>
      <x:c r="C122" s="803" t="str">
        <x:f>IF($A122="","",IF($B122="","",IFERROR(INDEX(Clients!$B$6:$B$205,MATCH($B122,Clients!$A$6:$A$205,0)),"Client ID not found")))</x:f>
      </x:c>
      <x:c r="D122" s="791"/>
      <x:c r="E122" s="791"/>
      <x:c r="F122" s="794"/>
      <x:c r="G122" s="794"/>
      <x:c r="H122" s="803" t="str">
        <x:f>IF($A122="","",IF($N122="Completed","Completed",IF(NOT(ISNUMBER($G122)),"Set next contact",IF($G122&lt;TODAY(),"Overdue",IF($G122=TODAY(),"Due today","Scheduled")))))</x:f>
      </x:c>
      <x:c r="I122" s="791"/>
      <x:c r="J122" s="791"/>
      <x:c r="K122" s="791"/>
      <x:c r="L122" s="791"/>
      <x:c r="M122" s="791"/>
      <x:c r="N122" s="791"/>
      <x:c r="O122" s="803" t="str">
        <x:f>IF($A122="","",IF(COUNTIF($A$6:$A$205,$A122)&gt;1,"Duplicate Care ID",IF(COUNTIF(Clients!$A$6:$A$205,$B122)&lt;&gt;1,"Check Client ID",IF($D122="","Set touchpoint type",IF($N122="","Set task status",IF(AND($N122="Open",NOT(ISNUMBER($G122))),"Set next date",""))))))</x:f>
      </x:c>
    </x:row>
    <x:row r="123" ht="26" customHeight="1">
      <x:c r="A123" s="791"/>
      <x:c r="B123" s="791"/>
      <x:c r="C123" s="803" t="str">
        <x:f>IF($A123="","",IF($B123="","",IFERROR(INDEX(Clients!$B$6:$B$205,MATCH($B123,Clients!$A$6:$A$205,0)),"Client ID not found")))</x:f>
      </x:c>
      <x:c r="D123" s="791"/>
      <x:c r="E123" s="791"/>
      <x:c r="F123" s="794"/>
      <x:c r="G123" s="794"/>
      <x:c r="H123" s="803" t="str">
        <x:f>IF($A123="","",IF($N123="Completed","Completed",IF(NOT(ISNUMBER($G123)),"Set next contact",IF($G123&lt;TODAY(),"Overdue",IF($G123=TODAY(),"Due today","Scheduled")))))</x:f>
      </x:c>
      <x:c r="I123" s="791"/>
      <x:c r="J123" s="791"/>
      <x:c r="K123" s="791"/>
      <x:c r="L123" s="791"/>
      <x:c r="M123" s="791"/>
      <x:c r="N123" s="791"/>
      <x:c r="O123" s="803" t="str">
        <x:f>IF($A123="","",IF(COUNTIF($A$6:$A$205,$A123)&gt;1,"Duplicate Care ID",IF(COUNTIF(Clients!$A$6:$A$205,$B123)&lt;&gt;1,"Check Client ID",IF($D123="","Set touchpoint type",IF($N123="","Set task status",IF(AND($N123="Open",NOT(ISNUMBER($G123))),"Set next date",""))))))</x:f>
      </x:c>
    </x:row>
    <x:row r="124" ht="26" customHeight="1">
      <x:c r="A124" s="791"/>
      <x:c r="B124" s="791"/>
      <x:c r="C124" s="803" t="str">
        <x:f>IF($A124="","",IF($B124="","",IFERROR(INDEX(Clients!$B$6:$B$205,MATCH($B124,Clients!$A$6:$A$205,0)),"Client ID not found")))</x:f>
      </x:c>
      <x:c r="D124" s="791"/>
      <x:c r="E124" s="791"/>
      <x:c r="F124" s="794"/>
      <x:c r="G124" s="794"/>
      <x:c r="H124" s="803" t="str">
        <x:f>IF($A124="","",IF($N124="Completed","Completed",IF(NOT(ISNUMBER($G124)),"Set next contact",IF($G124&lt;TODAY(),"Overdue",IF($G124=TODAY(),"Due today","Scheduled")))))</x:f>
      </x:c>
      <x:c r="I124" s="791"/>
      <x:c r="J124" s="791"/>
      <x:c r="K124" s="791"/>
      <x:c r="L124" s="791"/>
      <x:c r="M124" s="791"/>
      <x:c r="N124" s="791"/>
      <x:c r="O124" s="803" t="str">
        <x:f>IF($A124="","",IF(COUNTIF($A$6:$A$205,$A124)&gt;1,"Duplicate Care ID",IF(COUNTIF(Clients!$A$6:$A$205,$B124)&lt;&gt;1,"Check Client ID",IF($D124="","Set touchpoint type",IF($N124="","Set task status",IF(AND($N124="Open",NOT(ISNUMBER($G124))),"Set next date",""))))))</x:f>
      </x:c>
    </x:row>
    <x:row r="125" ht="26" customHeight="1">
      <x:c r="A125" s="791"/>
      <x:c r="B125" s="791"/>
      <x:c r="C125" s="803" t="str">
        <x:f>IF($A125="","",IF($B125="","",IFERROR(INDEX(Clients!$B$6:$B$205,MATCH($B125,Clients!$A$6:$A$205,0)),"Client ID not found")))</x:f>
      </x:c>
      <x:c r="D125" s="791"/>
      <x:c r="E125" s="791"/>
      <x:c r="F125" s="794"/>
      <x:c r="G125" s="794"/>
      <x:c r="H125" s="803" t="str">
        <x:f>IF($A125="","",IF($N125="Completed","Completed",IF(NOT(ISNUMBER($G125)),"Set next contact",IF($G125&lt;TODAY(),"Overdue",IF($G125=TODAY(),"Due today","Scheduled")))))</x:f>
      </x:c>
      <x:c r="I125" s="791"/>
      <x:c r="J125" s="791"/>
      <x:c r="K125" s="791"/>
      <x:c r="L125" s="791"/>
      <x:c r="M125" s="791"/>
      <x:c r="N125" s="791"/>
      <x:c r="O125" s="803" t="str">
        <x:f>IF($A125="","",IF(COUNTIF($A$6:$A$205,$A125)&gt;1,"Duplicate Care ID",IF(COUNTIF(Clients!$A$6:$A$205,$B125)&lt;&gt;1,"Check Client ID",IF($D125="","Set touchpoint type",IF($N125="","Set task status",IF(AND($N125="Open",NOT(ISNUMBER($G125))),"Set next date",""))))))</x:f>
      </x:c>
    </x:row>
    <x:row r="126" ht="26" customHeight="1">
      <x:c r="A126" s="791"/>
      <x:c r="B126" s="791"/>
      <x:c r="C126" s="803" t="str">
        <x:f>IF($A126="","",IF($B126="","",IFERROR(INDEX(Clients!$B$6:$B$205,MATCH($B126,Clients!$A$6:$A$205,0)),"Client ID not found")))</x:f>
      </x:c>
      <x:c r="D126" s="791"/>
      <x:c r="E126" s="791"/>
      <x:c r="F126" s="794"/>
      <x:c r="G126" s="794"/>
      <x:c r="H126" s="803" t="str">
        <x:f>IF($A126="","",IF($N126="Completed","Completed",IF(NOT(ISNUMBER($G126)),"Set next contact",IF($G126&lt;TODAY(),"Overdue",IF($G126=TODAY(),"Due today","Scheduled")))))</x:f>
      </x:c>
      <x:c r="I126" s="791"/>
      <x:c r="J126" s="791"/>
      <x:c r="K126" s="791"/>
      <x:c r="L126" s="791"/>
      <x:c r="M126" s="791"/>
      <x:c r="N126" s="791"/>
      <x:c r="O126" s="803" t="str">
        <x:f>IF($A126="","",IF(COUNTIF($A$6:$A$205,$A126)&gt;1,"Duplicate Care ID",IF(COUNTIF(Clients!$A$6:$A$205,$B126)&lt;&gt;1,"Check Client ID",IF($D126="","Set touchpoint type",IF($N126="","Set task status",IF(AND($N126="Open",NOT(ISNUMBER($G126))),"Set next date",""))))))</x:f>
      </x:c>
    </x:row>
    <x:row r="127" ht="26" customHeight="1">
      <x:c r="A127" s="791"/>
      <x:c r="B127" s="791"/>
      <x:c r="C127" s="803" t="str">
        <x:f>IF($A127="","",IF($B127="","",IFERROR(INDEX(Clients!$B$6:$B$205,MATCH($B127,Clients!$A$6:$A$205,0)),"Client ID not found")))</x:f>
      </x:c>
      <x:c r="D127" s="791"/>
      <x:c r="E127" s="791"/>
      <x:c r="F127" s="794"/>
      <x:c r="G127" s="794"/>
      <x:c r="H127" s="803" t="str">
        <x:f>IF($A127="","",IF($N127="Completed","Completed",IF(NOT(ISNUMBER($G127)),"Set next contact",IF($G127&lt;TODAY(),"Overdue",IF($G127=TODAY(),"Due today","Scheduled")))))</x:f>
      </x:c>
      <x:c r="I127" s="791"/>
      <x:c r="J127" s="791"/>
      <x:c r="K127" s="791"/>
      <x:c r="L127" s="791"/>
      <x:c r="M127" s="791"/>
      <x:c r="N127" s="791"/>
      <x:c r="O127" s="803" t="str">
        <x:f>IF($A127="","",IF(COUNTIF($A$6:$A$205,$A127)&gt;1,"Duplicate Care ID",IF(COUNTIF(Clients!$A$6:$A$205,$B127)&lt;&gt;1,"Check Client ID",IF($D127="","Set touchpoint type",IF($N127="","Set task status",IF(AND($N127="Open",NOT(ISNUMBER($G127))),"Set next date",""))))))</x:f>
      </x:c>
    </x:row>
    <x:row r="128" ht="26" customHeight="1">
      <x:c r="A128" s="791"/>
      <x:c r="B128" s="791"/>
      <x:c r="C128" s="803" t="str">
        <x:f>IF($A128="","",IF($B128="","",IFERROR(INDEX(Clients!$B$6:$B$205,MATCH($B128,Clients!$A$6:$A$205,0)),"Client ID not found")))</x:f>
      </x:c>
      <x:c r="D128" s="791"/>
      <x:c r="E128" s="791"/>
      <x:c r="F128" s="794"/>
      <x:c r="G128" s="794"/>
      <x:c r="H128" s="803" t="str">
        <x:f>IF($A128="","",IF($N128="Completed","Completed",IF(NOT(ISNUMBER($G128)),"Set next contact",IF($G128&lt;TODAY(),"Overdue",IF($G128=TODAY(),"Due today","Scheduled")))))</x:f>
      </x:c>
      <x:c r="I128" s="791"/>
      <x:c r="J128" s="791"/>
      <x:c r="K128" s="791"/>
      <x:c r="L128" s="791"/>
      <x:c r="M128" s="791"/>
      <x:c r="N128" s="791"/>
      <x:c r="O128" s="803" t="str">
        <x:f>IF($A128="","",IF(COUNTIF($A$6:$A$205,$A128)&gt;1,"Duplicate Care ID",IF(COUNTIF(Clients!$A$6:$A$205,$B128)&lt;&gt;1,"Check Client ID",IF($D128="","Set touchpoint type",IF($N128="","Set task status",IF(AND($N128="Open",NOT(ISNUMBER($G128))),"Set next date",""))))))</x:f>
      </x:c>
    </x:row>
    <x:row r="129" ht="26" customHeight="1">
      <x:c r="A129" s="791"/>
      <x:c r="B129" s="791"/>
      <x:c r="C129" s="803" t="str">
        <x:f>IF($A129="","",IF($B129="","",IFERROR(INDEX(Clients!$B$6:$B$205,MATCH($B129,Clients!$A$6:$A$205,0)),"Client ID not found")))</x:f>
      </x:c>
      <x:c r="D129" s="791"/>
      <x:c r="E129" s="791"/>
      <x:c r="F129" s="794"/>
      <x:c r="G129" s="794"/>
      <x:c r="H129" s="803" t="str">
        <x:f>IF($A129="","",IF($N129="Completed","Completed",IF(NOT(ISNUMBER($G129)),"Set next contact",IF($G129&lt;TODAY(),"Overdue",IF($G129=TODAY(),"Due today","Scheduled")))))</x:f>
      </x:c>
      <x:c r="I129" s="791"/>
      <x:c r="J129" s="791"/>
      <x:c r="K129" s="791"/>
      <x:c r="L129" s="791"/>
      <x:c r="M129" s="791"/>
      <x:c r="N129" s="791"/>
      <x:c r="O129" s="803" t="str">
        <x:f>IF($A129="","",IF(COUNTIF($A$6:$A$205,$A129)&gt;1,"Duplicate Care ID",IF(COUNTIF(Clients!$A$6:$A$205,$B129)&lt;&gt;1,"Check Client ID",IF($D129="","Set touchpoint type",IF($N129="","Set task status",IF(AND($N129="Open",NOT(ISNUMBER($G129))),"Set next date",""))))))</x:f>
      </x:c>
    </x:row>
    <x:row r="130" ht="26" customHeight="1">
      <x:c r="A130" s="791"/>
      <x:c r="B130" s="791"/>
      <x:c r="C130" s="803" t="str">
        <x:f>IF($A130="","",IF($B130="","",IFERROR(INDEX(Clients!$B$6:$B$205,MATCH($B130,Clients!$A$6:$A$205,0)),"Client ID not found")))</x:f>
      </x:c>
      <x:c r="D130" s="791"/>
      <x:c r="E130" s="791"/>
      <x:c r="F130" s="794"/>
      <x:c r="G130" s="794"/>
      <x:c r="H130" s="803" t="str">
        <x:f>IF($A130="","",IF($N130="Completed","Completed",IF(NOT(ISNUMBER($G130)),"Set next contact",IF($G130&lt;TODAY(),"Overdue",IF($G130=TODAY(),"Due today","Scheduled")))))</x:f>
      </x:c>
      <x:c r="I130" s="791"/>
      <x:c r="J130" s="791"/>
      <x:c r="K130" s="791"/>
      <x:c r="L130" s="791"/>
      <x:c r="M130" s="791"/>
      <x:c r="N130" s="791"/>
      <x:c r="O130" s="803" t="str">
        <x:f>IF($A130="","",IF(COUNTIF($A$6:$A$205,$A130)&gt;1,"Duplicate Care ID",IF(COUNTIF(Clients!$A$6:$A$205,$B130)&lt;&gt;1,"Check Client ID",IF($D130="","Set touchpoint type",IF($N130="","Set task status",IF(AND($N130="Open",NOT(ISNUMBER($G130))),"Set next date",""))))))</x:f>
      </x:c>
    </x:row>
    <x:row r="131" ht="26" customHeight="1">
      <x:c r="A131" s="791"/>
      <x:c r="B131" s="791"/>
      <x:c r="C131" s="803" t="str">
        <x:f>IF($A131="","",IF($B131="","",IFERROR(INDEX(Clients!$B$6:$B$205,MATCH($B131,Clients!$A$6:$A$205,0)),"Client ID not found")))</x:f>
      </x:c>
      <x:c r="D131" s="791"/>
      <x:c r="E131" s="791"/>
      <x:c r="F131" s="794"/>
      <x:c r="G131" s="794"/>
      <x:c r="H131" s="803" t="str">
        <x:f>IF($A131="","",IF($N131="Completed","Completed",IF(NOT(ISNUMBER($G131)),"Set next contact",IF($G131&lt;TODAY(),"Overdue",IF($G131=TODAY(),"Due today","Scheduled")))))</x:f>
      </x:c>
      <x:c r="I131" s="791"/>
      <x:c r="J131" s="791"/>
      <x:c r="K131" s="791"/>
      <x:c r="L131" s="791"/>
      <x:c r="M131" s="791"/>
      <x:c r="N131" s="791"/>
      <x:c r="O131" s="803" t="str">
        <x:f>IF($A131="","",IF(COUNTIF($A$6:$A$205,$A131)&gt;1,"Duplicate Care ID",IF(COUNTIF(Clients!$A$6:$A$205,$B131)&lt;&gt;1,"Check Client ID",IF($D131="","Set touchpoint type",IF($N131="","Set task status",IF(AND($N131="Open",NOT(ISNUMBER($G131))),"Set next date",""))))))</x:f>
      </x:c>
    </x:row>
    <x:row r="132" ht="26" customHeight="1">
      <x:c r="A132" s="791"/>
      <x:c r="B132" s="791"/>
      <x:c r="C132" s="803" t="str">
        <x:f>IF($A132="","",IF($B132="","",IFERROR(INDEX(Clients!$B$6:$B$205,MATCH($B132,Clients!$A$6:$A$205,0)),"Client ID not found")))</x:f>
      </x:c>
      <x:c r="D132" s="791"/>
      <x:c r="E132" s="791"/>
      <x:c r="F132" s="794"/>
      <x:c r="G132" s="794"/>
      <x:c r="H132" s="803" t="str">
        <x:f>IF($A132="","",IF($N132="Completed","Completed",IF(NOT(ISNUMBER($G132)),"Set next contact",IF($G132&lt;TODAY(),"Overdue",IF($G132=TODAY(),"Due today","Scheduled")))))</x:f>
      </x:c>
      <x:c r="I132" s="791"/>
      <x:c r="J132" s="791"/>
      <x:c r="K132" s="791"/>
      <x:c r="L132" s="791"/>
      <x:c r="M132" s="791"/>
      <x:c r="N132" s="791"/>
      <x:c r="O132" s="803" t="str">
        <x:f>IF($A132="","",IF(COUNTIF($A$6:$A$205,$A132)&gt;1,"Duplicate Care ID",IF(COUNTIF(Clients!$A$6:$A$205,$B132)&lt;&gt;1,"Check Client ID",IF($D132="","Set touchpoint type",IF($N132="","Set task status",IF(AND($N132="Open",NOT(ISNUMBER($G132))),"Set next date",""))))))</x:f>
      </x:c>
    </x:row>
    <x:row r="133" ht="26" customHeight="1">
      <x:c r="A133" s="791"/>
      <x:c r="B133" s="791"/>
      <x:c r="C133" s="803" t="str">
        <x:f>IF($A133="","",IF($B133="","",IFERROR(INDEX(Clients!$B$6:$B$205,MATCH($B133,Clients!$A$6:$A$205,0)),"Client ID not found")))</x:f>
      </x:c>
      <x:c r="D133" s="791"/>
      <x:c r="E133" s="791"/>
      <x:c r="F133" s="794"/>
      <x:c r="G133" s="794"/>
      <x:c r="H133" s="803" t="str">
        <x:f>IF($A133="","",IF($N133="Completed","Completed",IF(NOT(ISNUMBER($G133)),"Set next contact",IF($G133&lt;TODAY(),"Overdue",IF($G133=TODAY(),"Due today","Scheduled")))))</x:f>
      </x:c>
      <x:c r="I133" s="791"/>
      <x:c r="J133" s="791"/>
      <x:c r="K133" s="791"/>
      <x:c r="L133" s="791"/>
      <x:c r="M133" s="791"/>
      <x:c r="N133" s="791"/>
      <x:c r="O133" s="803" t="str">
        <x:f>IF($A133="","",IF(COUNTIF($A$6:$A$205,$A133)&gt;1,"Duplicate Care ID",IF(COUNTIF(Clients!$A$6:$A$205,$B133)&lt;&gt;1,"Check Client ID",IF($D133="","Set touchpoint type",IF($N133="","Set task status",IF(AND($N133="Open",NOT(ISNUMBER($G133))),"Set next date",""))))))</x:f>
      </x:c>
    </x:row>
    <x:row r="134" ht="26" customHeight="1">
      <x:c r="A134" s="791"/>
      <x:c r="B134" s="791"/>
      <x:c r="C134" s="803" t="str">
        <x:f>IF($A134="","",IF($B134="","",IFERROR(INDEX(Clients!$B$6:$B$205,MATCH($B134,Clients!$A$6:$A$205,0)),"Client ID not found")))</x:f>
      </x:c>
      <x:c r="D134" s="791"/>
      <x:c r="E134" s="791"/>
      <x:c r="F134" s="794"/>
      <x:c r="G134" s="794"/>
      <x:c r="H134" s="803" t="str">
        <x:f>IF($A134="","",IF($N134="Completed","Completed",IF(NOT(ISNUMBER($G134)),"Set next contact",IF($G134&lt;TODAY(),"Overdue",IF($G134=TODAY(),"Due today","Scheduled")))))</x:f>
      </x:c>
      <x:c r="I134" s="791"/>
      <x:c r="J134" s="791"/>
      <x:c r="K134" s="791"/>
      <x:c r="L134" s="791"/>
      <x:c r="M134" s="791"/>
      <x:c r="N134" s="791"/>
      <x:c r="O134" s="803" t="str">
        <x:f>IF($A134="","",IF(COUNTIF($A$6:$A$205,$A134)&gt;1,"Duplicate Care ID",IF(COUNTIF(Clients!$A$6:$A$205,$B134)&lt;&gt;1,"Check Client ID",IF($D134="","Set touchpoint type",IF($N134="","Set task status",IF(AND($N134="Open",NOT(ISNUMBER($G134))),"Set next date",""))))))</x:f>
      </x:c>
    </x:row>
    <x:row r="135" ht="26" customHeight="1">
      <x:c r="A135" s="791"/>
      <x:c r="B135" s="791"/>
      <x:c r="C135" s="803" t="str">
        <x:f>IF($A135="","",IF($B135="","",IFERROR(INDEX(Clients!$B$6:$B$205,MATCH($B135,Clients!$A$6:$A$205,0)),"Client ID not found")))</x:f>
      </x:c>
      <x:c r="D135" s="791"/>
      <x:c r="E135" s="791"/>
      <x:c r="F135" s="794"/>
      <x:c r="G135" s="794"/>
      <x:c r="H135" s="803" t="str">
        <x:f>IF($A135="","",IF($N135="Completed","Completed",IF(NOT(ISNUMBER($G135)),"Set next contact",IF($G135&lt;TODAY(),"Overdue",IF($G135=TODAY(),"Due today","Scheduled")))))</x:f>
      </x:c>
      <x:c r="I135" s="791"/>
      <x:c r="J135" s="791"/>
      <x:c r="K135" s="791"/>
      <x:c r="L135" s="791"/>
      <x:c r="M135" s="791"/>
      <x:c r="N135" s="791"/>
      <x:c r="O135" s="803" t="str">
        <x:f>IF($A135="","",IF(COUNTIF($A$6:$A$205,$A135)&gt;1,"Duplicate Care ID",IF(COUNTIF(Clients!$A$6:$A$205,$B135)&lt;&gt;1,"Check Client ID",IF($D135="","Set touchpoint type",IF($N135="","Set task status",IF(AND($N135="Open",NOT(ISNUMBER($G135))),"Set next date",""))))))</x:f>
      </x:c>
    </x:row>
    <x:row r="136" ht="26" customHeight="1">
      <x:c r="A136" s="791"/>
      <x:c r="B136" s="791"/>
      <x:c r="C136" s="803" t="str">
        <x:f>IF($A136="","",IF($B136="","",IFERROR(INDEX(Clients!$B$6:$B$205,MATCH($B136,Clients!$A$6:$A$205,0)),"Client ID not found")))</x:f>
      </x:c>
      <x:c r="D136" s="791"/>
      <x:c r="E136" s="791"/>
      <x:c r="F136" s="794"/>
      <x:c r="G136" s="794"/>
      <x:c r="H136" s="803" t="str">
        <x:f>IF($A136="","",IF($N136="Completed","Completed",IF(NOT(ISNUMBER($G136)),"Set next contact",IF($G136&lt;TODAY(),"Overdue",IF($G136=TODAY(),"Due today","Scheduled")))))</x:f>
      </x:c>
      <x:c r="I136" s="791"/>
      <x:c r="J136" s="791"/>
      <x:c r="K136" s="791"/>
      <x:c r="L136" s="791"/>
      <x:c r="M136" s="791"/>
      <x:c r="N136" s="791"/>
      <x:c r="O136" s="803" t="str">
        <x:f>IF($A136="","",IF(COUNTIF($A$6:$A$205,$A136)&gt;1,"Duplicate Care ID",IF(COUNTIF(Clients!$A$6:$A$205,$B136)&lt;&gt;1,"Check Client ID",IF($D136="","Set touchpoint type",IF($N136="","Set task status",IF(AND($N136="Open",NOT(ISNUMBER($G136))),"Set next date",""))))))</x:f>
      </x:c>
    </x:row>
    <x:row r="137" ht="26" customHeight="1">
      <x:c r="A137" s="791"/>
      <x:c r="B137" s="791"/>
      <x:c r="C137" s="803" t="str">
        <x:f>IF($A137="","",IF($B137="","",IFERROR(INDEX(Clients!$B$6:$B$205,MATCH($B137,Clients!$A$6:$A$205,0)),"Client ID not found")))</x:f>
      </x:c>
      <x:c r="D137" s="791"/>
      <x:c r="E137" s="791"/>
      <x:c r="F137" s="794"/>
      <x:c r="G137" s="794"/>
      <x:c r="H137" s="803" t="str">
        <x:f>IF($A137="","",IF($N137="Completed","Completed",IF(NOT(ISNUMBER($G137)),"Set next contact",IF($G137&lt;TODAY(),"Overdue",IF($G137=TODAY(),"Due today","Scheduled")))))</x:f>
      </x:c>
      <x:c r="I137" s="791"/>
      <x:c r="J137" s="791"/>
      <x:c r="K137" s="791"/>
      <x:c r="L137" s="791"/>
      <x:c r="M137" s="791"/>
      <x:c r="N137" s="791"/>
      <x:c r="O137" s="803" t="str">
        <x:f>IF($A137="","",IF(COUNTIF($A$6:$A$205,$A137)&gt;1,"Duplicate Care ID",IF(COUNTIF(Clients!$A$6:$A$205,$B137)&lt;&gt;1,"Check Client ID",IF($D137="","Set touchpoint type",IF($N137="","Set task status",IF(AND($N137="Open",NOT(ISNUMBER($G137))),"Set next date",""))))))</x:f>
      </x:c>
    </x:row>
    <x:row r="138" ht="26" customHeight="1">
      <x:c r="A138" s="791"/>
      <x:c r="B138" s="791"/>
      <x:c r="C138" s="803" t="str">
        <x:f>IF($A138="","",IF($B138="","",IFERROR(INDEX(Clients!$B$6:$B$205,MATCH($B138,Clients!$A$6:$A$205,0)),"Client ID not found")))</x:f>
      </x:c>
      <x:c r="D138" s="791"/>
      <x:c r="E138" s="791"/>
      <x:c r="F138" s="794"/>
      <x:c r="G138" s="794"/>
      <x:c r="H138" s="803" t="str">
        <x:f>IF($A138="","",IF($N138="Completed","Completed",IF(NOT(ISNUMBER($G138)),"Set next contact",IF($G138&lt;TODAY(),"Overdue",IF($G138=TODAY(),"Due today","Scheduled")))))</x:f>
      </x:c>
      <x:c r="I138" s="791"/>
      <x:c r="J138" s="791"/>
      <x:c r="K138" s="791"/>
      <x:c r="L138" s="791"/>
      <x:c r="M138" s="791"/>
      <x:c r="N138" s="791"/>
      <x:c r="O138" s="803" t="str">
        <x:f>IF($A138="","",IF(COUNTIF($A$6:$A$205,$A138)&gt;1,"Duplicate Care ID",IF(COUNTIF(Clients!$A$6:$A$205,$B138)&lt;&gt;1,"Check Client ID",IF($D138="","Set touchpoint type",IF($N138="","Set task status",IF(AND($N138="Open",NOT(ISNUMBER($G138))),"Set next date",""))))))</x:f>
      </x:c>
    </x:row>
    <x:row r="139" ht="26" customHeight="1">
      <x:c r="A139" s="791"/>
      <x:c r="B139" s="791"/>
      <x:c r="C139" s="803" t="str">
        <x:f>IF($A139="","",IF($B139="","",IFERROR(INDEX(Clients!$B$6:$B$205,MATCH($B139,Clients!$A$6:$A$205,0)),"Client ID not found")))</x:f>
      </x:c>
      <x:c r="D139" s="791"/>
      <x:c r="E139" s="791"/>
      <x:c r="F139" s="794"/>
      <x:c r="G139" s="794"/>
      <x:c r="H139" s="803" t="str">
        <x:f>IF($A139="","",IF($N139="Completed","Completed",IF(NOT(ISNUMBER($G139)),"Set next contact",IF($G139&lt;TODAY(),"Overdue",IF($G139=TODAY(),"Due today","Scheduled")))))</x:f>
      </x:c>
      <x:c r="I139" s="791"/>
      <x:c r="J139" s="791"/>
      <x:c r="K139" s="791"/>
      <x:c r="L139" s="791"/>
      <x:c r="M139" s="791"/>
      <x:c r="N139" s="791"/>
      <x:c r="O139" s="803" t="str">
        <x:f>IF($A139="","",IF(COUNTIF($A$6:$A$205,$A139)&gt;1,"Duplicate Care ID",IF(COUNTIF(Clients!$A$6:$A$205,$B139)&lt;&gt;1,"Check Client ID",IF($D139="","Set touchpoint type",IF($N139="","Set task status",IF(AND($N139="Open",NOT(ISNUMBER($G139))),"Set next date",""))))))</x:f>
      </x:c>
    </x:row>
    <x:row r="140" ht="26" customHeight="1">
      <x:c r="A140" s="791"/>
      <x:c r="B140" s="791"/>
      <x:c r="C140" s="803" t="str">
        <x:f>IF($A140="","",IF($B140="","",IFERROR(INDEX(Clients!$B$6:$B$205,MATCH($B140,Clients!$A$6:$A$205,0)),"Client ID not found")))</x:f>
      </x:c>
      <x:c r="D140" s="791"/>
      <x:c r="E140" s="791"/>
      <x:c r="F140" s="794"/>
      <x:c r="G140" s="794"/>
      <x:c r="H140" s="803" t="str">
        <x:f>IF($A140="","",IF($N140="Completed","Completed",IF(NOT(ISNUMBER($G140)),"Set next contact",IF($G140&lt;TODAY(),"Overdue",IF($G140=TODAY(),"Due today","Scheduled")))))</x:f>
      </x:c>
      <x:c r="I140" s="791"/>
      <x:c r="J140" s="791"/>
      <x:c r="K140" s="791"/>
      <x:c r="L140" s="791"/>
      <x:c r="M140" s="791"/>
      <x:c r="N140" s="791"/>
      <x:c r="O140" s="803" t="str">
        <x:f>IF($A140="","",IF(COUNTIF($A$6:$A$205,$A140)&gt;1,"Duplicate Care ID",IF(COUNTIF(Clients!$A$6:$A$205,$B140)&lt;&gt;1,"Check Client ID",IF($D140="","Set touchpoint type",IF($N140="","Set task status",IF(AND($N140="Open",NOT(ISNUMBER($G140))),"Set next date",""))))))</x:f>
      </x:c>
    </x:row>
    <x:row r="141" ht="26" customHeight="1">
      <x:c r="A141" s="791"/>
      <x:c r="B141" s="791"/>
      <x:c r="C141" s="803" t="str">
        <x:f>IF($A141="","",IF($B141="","",IFERROR(INDEX(Clients!$B$6:$B$205,MATCH($B141,Clients!$A$6:$A$205,0)),"Client ID not found")))</x:f>
      </x:c>
      <x:c r="D141" s="791"/>
      <x:c r="E141" s="791"/>
      <x:c r="F141" s="794"/>
      <x:c r="G141" s="794"/>
      <x:c r="H141" s="803" t="str">
        <x:f>IF($A141="","",IF($N141="Completed","Completed",IF(NOT(ISNUMBER($G141)),"Set next contact",IF($G141&lt;TODAY(),"Overdue",IF($G141=TODAY(),"Due today","Scheduled")))))</x:f>
      </x:c>
      <x:c r="I141" s="791"/>
      <x:c r="J141" s="791"/>
      <x:c r="K141" s="791"/>
      <x:c r="L141" s="791"/>
      <x:c r="M141" s="791"/>
      <x:c r="N141" s="791"/>
      <x:c r="O141" s="803" t="str">
        <x:f>IF($A141="","",IF(COUNTIF($A$6:$A$205,$A141)&gt;1,"Duplicate Care ID",IF(COUNTIF(Clients!$A$6:$A$205,$B141)&lt;&gt;1,"Check Client ID",IF($D141="","Set touchpoint type",IF($N141="","Set task status",IF(AND($N141="Open",NOT(ISNUMBER($G141))),"Set next date",""))))))</x:f>
      </x:c>
    </x:row>
    <x:row r="142" ht="26" customHeight="1">
      <x:c r="A142" s="791"/>
      <x:c r="B142" s="791"/>
      <x:c r="C142" s="803" t="str">
        <x:f>IF($A142="","",IF($B142="","",IFERROR(INDEX(Clients!$B$6:$B$205,MATCH($B142,Clients!$A$6:$A$205,0)),"Client ID not found")))</x:f>
      </x:c>
      <x:c r="D142" s="791"/>
      <x:c r="E142" s="791"/>
      <x:c r="F142" s="794"/>
      <x:c r="G142" s="794"/>
      <x:c r="H142" s="803" t="str">
        <x:f>IF($A142="","",IF($N142="Completed","Completed",IF(NOT(ISNUMBER($G142)),"Set next contact",IF($G142&lt;TODAY(),"Overdue",IF($G142=TODAY(),"Due today","Scheduled")))))</x:f>
      </x:c>
      <x:c r="I142" s="791"/>
      <x:c r="J142" s="791"/>
      <x:c r="K142" s="791"/>
      <x:c r="L142" s="791"/>
      <x:c r="M142" s="791"/>
      <x:c r="N142" s="791"/>
      <x:c r="O142" s="803" t="str">
        <x:f>IF($A142="","",IF(COUNTIF($A$6:$A$205,$A142)&gt;1,"Duplicate Care ID",IF(COUNTIF(Clients!$A$6:$A$205,$B142)&lt;&gt;1,"Check Client ID",IF($D142="","Set touchpoint type",IF($N142="","Set task status",IF(AND($N142="Open",NOT(ISNUMBER($G142))),"Set next date",""))))))</x:f>
      </x:c>
    </x:row>
    <x:row r="143" ht="26" customHeight="1">
      <x:c r="A143" s="791"/>
      <x:c r="B143" s="791"/>
      <x:c r="C143" s="803" t="str">
        <x:f>IF($A143="","",IF($B143="","",IFERROR(INDEX(Clients!$B$6:$B$205,MATCH($B143,Clients!$A$6:$A$205,0)),"Client ID not found")))</x:f>
      </x:c>
      <x:c r="D143" s="791"/>
      <x:c r="E143" s="791"/>
      <x:c r="F143" s="794"/>
      <x:c r="G143" s="794"/>
      <x:c r="H143" s="803" t="str">
        <x:f>IF($A143="","",IF($N143="Completed","Completed",IF(NOT(ISNUMBER($G143)),"Set next contact",IF($G143&lt;TODAY(),"Overdue",IF($G143=TODAY(),"Due today","Scheduled")))))</x:f>
      </x:c>
      <x:c r="I143" s="791"/>
      <x:c r="J143" s="791"/>
      <x:c r="K143" s="791"/>
      <x:c r="L143" s="791"/>
      <x:c r="M143" s="791"/>
      <x:c r="N143" s="791"/>
      <x:c r="O143" s="803" t="str">
        <x:f>IF($A143="","",IF(COUNTIF($A$6:$A$205,$A143)&gt;1,"Duplicate Care ID",IF(COUNTIF(Clients!$A$6:$A$205,$B143)&lt;&gt;1,"Check Client ID",IF($D143="","Set touchpoint type",IF($N143="","Set task status",IF(AND($N143="Open",NOT(ISNUMBER($G143))),"Set next date",""))))))</x:f>
      </x:c>
    </x:row>
    <x:row r="144" ht="26" customHeight="1">
      <x:c r="A144" s="791"/>
      <x:c r="B144" s="791"/>
      <x:c r="C144" s="803" t="str">
        <x:f>IF($A144="","",IF($B144="","",IFERROR(INDEX(Clients!$B$6:$B$205,MATCH($B144,Clients!$A$6:$A$205,0)),"Client ID not found")))</x:f>
      </x:c>
      <x:c r="D144" s="791"/>
      <x:c r="E144" s="791"/>
      <x:c r="F144" s="794"/>
      <x:c r="G144" s="794"/>
      <x:c r="H144" s="803" t="str">
        <x:f>IF($A144="","",IF($N144="Completed","Completed",IF(NOT(ISNUMBER($G144)),"Set next contact",IF($G144&lt;TODAY(),"Overdue",IF($G144=TODAY(),"Due today","Scheduled")))))</x:f>
      </x:c>
      <x:c r="I144" s="791"/>
      <x:c r="J144" s="791"/>
      <x:c r="K144" s="791"/>
      <x:c r="L144" s="791"/>
      <x:c r="M144" s="791"/>
      <x:c r="N144" s="791"/>
      <x:c r="O144" s="803" t="str">
        <x:f>IF($A144="","",IF(COUNTIF($A$6:$A$205,$A144)&gt;1,"Duplicate Care ID",IF(COUNTIF(Clients!$A$6:$A$205,$B144)&lt;&gt;1,"Check Client ID",IF($D144="","Set touchpoint type",IF($N144="","Set task status",IF(AND($N144="Open",NOT(ISNUMBER($G144))),"Set next date",""))))))</x:f>
      </x:c>
    </x:row>
    <x:row r="145" ht="26" customHeight="1">
      <x:c r="A145" s="791"/>
      <x:c r="B145" s="791"/>
      <x:c r="C145" s="803" t="str">
        <x:f>IF($A145="","",IF($B145="","",IFERROR(INDEX(Clients!$B$6:$B$205,MATCH($B145,Clients!$A$6:$A$205,0)),"Client ID not found")))</x:f>
      </x:c>
      <x:c r="D145" s="791"/>
      <x:c r="E145" s="791"/>
      <x:c r="F145" s="794"/>
      <x:c r="G145" s="794"/>
      <x:c r="H145" s="803" t="str">
        <x:f>IF($A145="","",IF($N145="Completed","Completed",IF(NOT(ISNUMBER($G145)),"Set next contact",IF($G145&lt;TODAY(),"Overdue",IF($G145=TODAY(),"Due today","Scheduled")))))</x:f>
      </x:c>
      <x:c r="I145" s="791"/>
      <x:c r="J145" s="791"/>
      <x:c r="K145" s="791"/>
      <x:c r="L145" s="791"/>
      <x:c r="M145" s="791"/>
      <x:c r="N145" s="791"/>
      <x:c r="O145" s="803" t="str">
        <x:f>IF($A145="","",IF(COUNTIF($A$6:$A$205,$A145)&gt;1,"Duplicate Care ID",IF(COUNTIF(Clients!$A$6:$A$205,$B145)&lt;&gt;1,"Check Client ID",IF($D145="","Set touchpoint type",IF($N145="","Set task status",IF(AND($N145="Open",NOT(ISNUMBER($G145))),"Set next date",""))))))</x:f>
      </x:c>
    </x:row>
    <x:row r="146" ht="26" customHeight="1">
      <x:c r="A146" s="791"/>
      <x:c r="B146" s="791"/>
      <x:c r="C146" s="803" t="str">
        <x:f>IF($A146="","",IF($B146="","",IFERROR(INDEX(Clients!$B$6:$B$205,MATCH($B146,Clients!$A$6:$A$205,0)),"Client ID not found")))</x:f>
      </x:c>
      <x:c r="D146" s="791"/>
      <x:c r="E146" s="791"/>
      <x:c r="F146" s="794"/>
      <x:c r="G146" s="794"/>
      <x:c r="H146" s="803" t="str">
        <x:f>IF($A146="","",IF($N146="Completed","Completed",IF(NOT(ISNUMBER($G146)),"Set next contact",IF($G146&lt;TODAY(),"Overdue",IF($G146=TODAY(),"Due today","Scheduled")))))</x:f>
      </x:c>
      <x:c r="I146" s="791"/>
      <x:c r="J146" s="791"/>
      <x:c r="K146" s="791"/>
      <x:c r="L146" s="791"/>
      <x:c r="M146" s="791"/>
      <x:c r="N146" s="791"/>
      <x:c r="O146" s="803" t="str">
        <x:f>IF($A146="","",IF(COUNTIF($A$6:$A$205,$A146)&gt;1,"Duplicate Care ID",IF(COUNTIF(Clients!$A$6:$A$205,$B146)&lt;&gt;1,"Check Client ID",IF($D146="","Set touchpoint type",IF($N146="","Set task status",IF(AND($N146="Open",NOT(ISNUMBER($G146))),"Set next date",""))))))</x:f>
      </x:c>
    </x:row>
    <x:row r="147" ht="26" customHeight="1">
      <x:c r="A147" s="791"/>
      <x:c r="B147" s="791"/>
      <x:c r="C147" s="803" t="str">
        <x:f>IF($A147="","",IF($B147="","",IFERROR(INDEX(Clients!$B$6:$B$205,MATCH($B147,Clients!$A$6:$A$205,0)),"Client ID not found")))</x:f>
      </x:c>
      <x:c r="D147" s="791"/>
      <x:c r="E147" s="791"/>
      <x:c r="F147" s="794"/>
      <x:c r="G147" s="794"/>
      <x:c r="H147" s="803" t="str">
        <x:f>IF($A147="","",IF($N147="Completed","Completed",IF(NOT(ISNUMBER($G147)),"Set next contact",IF($G147&lt;TODAY(),"Overdue",IF($G147=TODAY(),"Due today","Scheduled")))))</x:f>
      </x:c>
      <x:c r="I147" s="791"/>
      <x:c r="J147" s="791"/>
      <x:c r="K147" s="791"/>
      <x:c r="L147" s="791"/>
      <x:c r="M147" s="791"/>
      <x:c r="N147" s="791"/>
      <x:c r="O147" s="803" t="str">
        <x:f>IF($A147="","",IF(COUNTIF($A$6:$A$205,$A147)&gt;1,"Duplicate Care ID",IF(COUNTIF(Clients!$A$6:$A$205,$B147)&lt;&gt;1,"Check Client ID",IF($D147="","Set touchpoint type",IF($N147="","Set task status",IF(AND($N147="Open",NOT(ISNUMBER($G147))),"Set next date",""))))))</x:f>
      </x:c>
    </x:row>
    <x:row r="148" ht="26" customHeight="1">
      <x:c r="A148" s="791"/>
      <x:c r="B148" s="791"/>
      <x:c r="C148" s="803" t="str">
        <x:f>IF($A148="","",IF($B148="","",IFERROR(INDEX(Clients!$B$6:$B$205,MATCH($B148,Clients!$A$6:$A$205,0)),"Client ID not found")))</x:f>
      </x:c>
      <x:c r="D148" s="791"/>
      <x:c r="E148" s="791"/>
      <x:c r="F148" s="794"/>
      <x:c r="G148" s="794"/>
      <x:c r="H148" s="803" t="str">
        <x:f>IF($A148="","",IF($N148="Completed","Completed",IF(NOT(ISNUMBER($G148)),"Set next contact",IF($G148&lt;TODAY(),"Overdue",IF($G148=TODAY(),"Due today","Scheduled")))))</x:f>
      </x:c>
      <x:c r="I148" s="791"/>
      <x:c r="J148" s="791"/>
      <x:c r="K148" s="791"/>
      <x:c r="L148" s="791"/>
      <x:c r="M148" s="791"/>
      <x:c r="N148" s="791"/>
      <x:c r="O148" s="803" t="str">
        <x:f>IF($A148="","",IF(COUNTIF($A$6:$A$205,$A148)&gt;1,"Duplicate Care ID",IF(COUNTIF(Clients!$A$6:$A$205,$B148)&lt;&gt;1,"Check Client ID",IF($D148="","Set touchpoint type",IF($N148="","Set task status",IF(AND($N148="Open",NOT(ISNUMBER($G148))),"Set next date",""))))))</x:f>
      </x:c>
    </x:row>
    <x:row r="149" ht="26" customHeight="1">
      <x:c r="A149" s="791"/>
      <x:c r="B149" s="791"/>
      <x:c r="C149" s="803" t="str">
        <x:f>IF($A149="","",IF($B149="","",IFERROR(INDEX(Clients!$B$6:$B$205,MATCH($B149,Clients!$A$6:$A$205,0)),"Client ID not found")))</x:f>
      </x:c>
      <x:c r="D149" s="791"/>
      <x:c r="E149" s="791"/>
      <x:c r="F149" s="794"/>
      <x:c r="G149" s="794"/>
      <x:c r="H149" s="803" t="str">
        <x:f>IF($A149="","",IF($N149="Completed","Completed",IF(NOT(ISNUMBER($G149)),"Set next contact",IF($G149&lt;TODAY(),"Overdue",IF($G149=TODAY(),"Due today","Scheduled")))))</x:f>
      </x:c>
      <x:c r="I149" s="791"/>
      <x:c r="J149" s="791"/>
      <x:c r="K149" s="791"/>
      <x:c r="L149" s="791"/>
      <x:c r="M149" s="791"/>
      <x:c r="N149" s="791"/>
      <x:c r="O149" s="803" t="str">
        <x:f>IF($A149="","",IF(COUNTIF($A$6:$A$205,$A149)&gt;1,"Duplicate Care ID",IF(COUNTIF(Clients!$A$6:$A$205,$B149)&lt;&gt;1,"Check Client ID",IF($D149="","Set touchpoint type",IF($N149="","Set task status",IF(AND($N149="Open",NOT(ISNUMBER($G149))),"Set next date",""))))))</x:f>
      </x:c>
    </x:row>
    <x:row r="150" ht="26" customHeight="1">
      <x:c r="A150" s="791"/>
      <x:c r="B150" s="791"/>
      <x:c r="C150" s="803" t="str">
        <x:f>IF($A150="","",IF($B150="","",IFERROR(INDEX(Clients!$B$6:$B$205,MATCH($B150,Clients!$A$6:$A$205,0)),"Client ID not found")))</x:f>
      </x:c>
      <x:c r="D150" s="791"/>
      <x:c r="E150" s="791"/>
      <x:c r="F150" s="794"/>
      <x:c r="G150" s="794"/>
      <x:c r="H150" s="803" t="str">
        <x:f>IF($A150="","",IF($N150="Completed","Completed",IF(NOT(ISNUMBER($G150)),"Set next contact",IF($G150&lt;TODAY(),"Overdue",IF($G150=TODAY(),"Due today","Scheduled")))))</x:f>
      </x:c>
      <x:c r="I150" s="791"/>
      <x:c r="J150" s="791"/>
      <x:c r="K150" s="791"/>
      <x:c r="L150" s="791"/>
      <x:c r="M150" s="791"/>
      <x:c r="N150" s="791"/>
      <x:c r="O150" s="803" t="str">
        <x:f>IF($A150="","",IF(COUNTIF($A$6:$A$205,$A150)&gt;1,"Duplicate Care ID",IF(COUNTIF(Clients!$A$6:$A$205,$B150)&lt;&gt;1,"Check Client ID",IF($D150="","Set touchpoint type",IF($N150="","Set task status",IF(AND($N150="Open",NOT(ISNUMBER($G150))),"Set next date",""))))))</x:f>
      </x:c>
    </x:row>
    <x:row r="151" ht="26" customHeight="1">
      <x:c r="A151" s="791"/>
      <x:c r="B151" s="791"/>
      <x:c r="C151" s="803" t="str">
        <x:f>IF($A151="","",IF($B151="","",IFERROR(INDEX(Clients!$B$6:$B$205,MATCH($B151,Clients!$A$6:$A$205,0)),"Client ID not found")))</x:f>
      </x:c>
      <x:c r="D151" s="791"/>
      <x:c r="E151" s="791"/>
      <x:c r="F151" s="794"/>
      <x:c r="G151" s="794"/>
      <x:c r="H151" s="803" t="str">
        <x:f>IF($A151="","",IF($N151="Completed","Completed",IF(NOT(ISNUMBER($G151)),"Set next contact",IF($G151&lt;TODAY(),"Overdue",IF($G151=TODAY(),"Due today","Scheduled")))))</x:f>
      </x:c>
      <x:c r="I151" s="791"/>
      <x:c r="J151" s="791"/>
      <x:c r="K151" s="791"/>
      <x:c r="L151" s="791"/>
      <x:c r="M151" s="791"/>
      <x:c r="N151" s="791"/>
      <x:c r="O151" s="803" t="str">
        <x:f>IF($A151="","",IF(COUNTIF($A$6:$A$205,$A151)&gt;1,"Duplicate Care ID",IF(COUNTIF(Clients!$A$6:$A$205,$B151)&lt;&gt;1,"Check Client ID",IF($D151="","Set touchpoint type",IF($N151="","Set task status",IF(AND($N151="Open",NOT(ISNUMBER($G151))),"Set next date",""))))))</x:f>
      </x:c>
    </x:row>
    <x:row r="152" ht="26" customHeight="1">
      <x:c r="A152" s="791"/>
      <x:c r="B152" s="791"/>
      <x:c r="C152" s="803" t="str">
        <x:f>IF($A152="","",IF($B152="","",IFERROR(INDEX(Clients!$B$6:$B$205,MATCH($B152,Clients!$A$6:$A$205,0)),"Client ID not found")))</x:f>
      </x:c>
      <x:c r="D152" s="791"/>
      <x:c r="E152" s="791"/>
      <x:c r="F152" s="794"/>
      <x:c r="G152" s="794"/>
      <x:c r="H152" s="803" t="str">
        <x:f>IF($A152="","",IF($N152="Completed","Completed",IF(NOT(ISNUMBER($G152)),"Set next contact",IF($G152&lt;TODAY(),"Overdue",IF($G152=TODAY(),"Due today","Scheduled")))))</x:f>
      </x:c>
      <x:c r="I152" s="791"/>
      <x:c r="J152" s="791"/>
      <x:c r="K152" s="791"/>
      <x:c r="L152" s="791"/>
      <x:c r="M152" s="791"/>
      <x:c r="N152" s="791"/>
      <x:c r="O152" s="803" t="str">
        <x:f>IF($A152="","",IF(COUNTIF($A$6:$A$205,$A152)&gt;1,"Duplicate Care ID",IF(COUNTIF(Clients!$A$6:$A$205,$B152)&lt;&gt;1,"Check Client ID",IF($D152="","Set touchpoint type",IF($N152="","Set task status",IF(AND($N152="Open",NOT(ISNUMBER($G152))),"Set next date",""))))))</x:f>
      </x:c>
    </x:row>
    <x:row r="153" ht="26" customHeight="1">
      <x:c r="A153" s="791"/>
      <x:c r="B153" s="791"/>
      <x:c r="C153" s="803" t="str">
        <x:f>IF($A153="","",IF($B153="","",IFERROR(INDEX(Clients!$B$6:$B$205,MATCH($B153,Clients!$A$6:$A$205,0)),"Client ID not found")))</x:f>
      </x:c>
      <x:c r="D153" s="791"/>
      <x:c r="E153" s="791"/>
      <x:c r="F153" s="794"/>
      <x:c r="G153" s="794"/>
      <x:c r="H153" s="803" t="str">
        <x:f>IF($A153="","",IF($N153="Completed","Completed",IF(NOT(ISNUMBER($G153)),"Set next contact",IF($G153&lt;TODAY(),"Overdue",IF($G153=TODAY(),"Due today","Scheduled")))))</x:f>
      </x:c>
      <x:c r="I153" s="791"/>
      <x:c r="J153" s="791"/>
      <x:c r="K153" s="791"/>
      <x:c r="L153" s="791"/>
      <x:c r="M153" s="791"/>
      <x:c r="N153" s="791"/>
      <x:c r="O153" s="803" t="str">
        <x:f>IF($A153="","",IF(COUNTIF($A$6:$A$205,$A153)&gt;1,"Duplicate Care ID",IF(COUNTIF(Clients!$A$6:$A$205,$B153)&lt;&gt;1,"Check Client ID",IF($D153="","Set touchpoint type",IF($N153="","Set task status",IF(AND($N153="Open",NOT(ISNUMBER($G153))),"Set next date",""))))))</x:f>
      </x:c>
    </x:row>
    <x:row r="154" ht="26" customHeight="1">
      <x:c r="A154" s="791"/>
      <x:c r="B154" s="791"/>
      <x:c r="C154" s="803" t="str">
        <x:f>IF($A154="","",IF($B154="","",IFERROR(INDEX(Clients!$B$6:$B$205,MATCH($B154,Clients!$A$6:$A$205,0)),"Client ID not found")))</x:f>
      </x:c>
      <x:c r="D154" s="791"/>
      <x:c r="E154" s="791"/>
      <x:c r="F154" s="794"/>
      <x:c r="G154" s="794"/>
      <x:c r="H154" s="803" t="str">
        <x:f>IF($A154="","",IF($N154="Completed","Completed",IF(NOT(ISNUMBER($G154)),"Set next contact",IF($G154&lt;TODAY(),"Overdue",IF($G154=TODAY(),"Due today","Scheduled")))))</x:f>
      </x:c>
      <x:c r="I154" s="791"/>
      <x:c r="J154" s="791"/>
      <x:c r="K154" s="791"/>
      <x:c r="L154" s="791"/>
      <x:c r="M154" s="791"/>
      <x:c r="N154" s="791"/>
      <x:c r="O154" s="803" t="str">
        <x:f>IF($A154="","",IF(COUNTIF($A$6:$A$205,$A154)&gt;1,"Duplicate Care ID",IF(COUNTIF(Clients!$A$6:$A$205,$B154)&lt;&gt;1,"Check Client ID",IF($D154="","Set touchpoint type",IF($N154="","Set task status",IF(AND($N154="Open",NOT(ISNUMBER($G154))),"Set next date",""))))))</x:f>
      </x:c>
    </x:row>
    <x:row r="155" ht="26" customHeight="1">
      <x:c r="A155" s="791"/>
      <x:c r="B155" s="791"/>
      <x:c r="C155" s="803" t="str">
        <x:f>IF($A155="","",IF($B155="","",IFERROR(INDEX(Clients!$B$6:$B$205,MATCH($B155,Clients!$A$6:$A$205,0)),"Client ID not found")))</x:f>
      </x:c>
      <x:c r="D155" s="791"/>
      <x:c r="E155" s="791"/>
      <x:c r="F155" s="794"/>
      <x:c r="G155" s="794"/>
      <x:c r="H155" s="803" t="str">
        <x:f>IF($A155="","",IF($N155="Completed","Completed",IF(NOT(ISNUMBER($G155)),"Set next contact",IF($G155&lt;TODAY(),"Overdue",IF($G155=TODAY(),"Due today","Scheduled")))))</x:f>
      </x:c>
      <x:c r="I155" s="791"/>
      <x:c r="J155" s="791"/>
      <x:c r="K155" s="791"/>
      <x:c r="L155" s="791"/>
      <x:c r="M155" s="791"/>
      <x:c r="N155" s="791"/>
      <x:c r="O155" s="803" t="str">
        <x:f>IF($A155="","",IF(COUNTIF($A$6:$A$205,$A155)&gt;1,"Duplicate Care ID",IF(COUNTIF(Clients!$A$6:$A$205,$B155)&lt;&gt;1,"Check Client ID",IF($D155="","Set touchpoint type",IF($N155="","Set task status",IF(AND($N155="Open",NOT(ISNUMBER($G155))),"Set next date",""))))))</x:f>
      </x:c>
    </x:row>
    <x:row r="156" ht="26" customHeight="1">
      <x:c r="A156" s="791"/>
      <x:c r="B156" s="791"/>
      <x:c r="C156" s="803" t="str">
        <x:f>IF($A156="","",IF($B156="","",IFERROR(INDEX(Clients!$B$6:$B$205,MATCH($B156,Clients!$A$6:$A$205,0)),"Client ID not found")))</x:f>
      </x:c>
      <x:c r="D156" s="791"/>
      <x:c r="E156" s="791"/>
      <x:c r="F156" s="794"/>
      <x:c r="G156" s="794"/>
      <x:c r="H156" s="803" t="str">
        <x:f>IF($A156="","",IF($N156="Completed","Completed",IF(NOT(ISNUMBER($G156)),"Set next contact",IF($G156&lt;TODAY(),"Overdue",IF($G156=TODAY(),"Due today","Scheduled")))))</x:f>
      </x:c>
      <x:c r="I156" s="791"/>
      <x:c r="J156" s="791"/>
      <x:c r="K156" s="791"/>
      <x:c r="L156" s="791"/>
      <x:c r="M156" s="791"/>
      <x:c r="N156" s="791"/>
      <x:c r="O156" s="803" t="str">
        <x:f>IF($A156="","",IF(COUNTIF($A$6:$A$205,$A156)&gt;1,"Duplicate Care ID",IF(COUNTIF(Clients!$A$6:$A$205,$B156)&lt;&gt;1,"Check Client ID",IF($D156="","Set touchpoint type",IF($N156="","Set task status",IF(AND($N156="Open",NOT(ISNUMBER($G156))),"Set next date",""))))))</x:f>
      </x:c>
    </x:row>
    <x:row r="157" ht="26" customHeight="1">
      <x:c r="A157" s="791"/>
      <x:c r="B157" s="791"/>
      <x:c r="C157" s="803" t="str">
        <x:f>IF($A157="","",IF($B157="","",IFERROR(INDEX(Clients!$B$6:$B$205,MATCH($B157,Clients!$A$6:$A$205,0)),"Client ID not found")))</x:f>
      </x:c>
      <x:c r="D157" s="791"/>
      <x:c r="E157" s="791"/>
      <x:c r="F157" s="794"/>
      <x:c r="G157" s="794"/>
      <x:c r="H157" s="803" t="str">
        <x:f>IF($A157="","",IF($N157="Completed","Completed",IF(NOT(ISNUMBER($G157)),"Set next contact",IF($G157&lt;TODAY(),"Overdue",IF($G157=TODAY(),"Due today","Scheduled")))))</x:f>
      </x:c>
      <x:c r="I157" s="791"/>
      <x:c r="J157" s="791"/>
      <x:c r="K157" s="791"/>
      <x:c r="L157" s="791"/>
      <x:c r="M157" s="791"/>
      <x:c r="N157" s="791"/>
      <x:c r="O157" s="803" t="str">
        <x:f>IF($A157="","",IF(COUNTIF($A$6:$A$205,$A157)&gt;1,"Duplicate Care ID",IF(COUNTIF(Clients!$A$6:$A$205,$B157)&lt;&gt;1,"Check Client ID",IF($D157="","Set touchpoint type",IF($N157="","Set task status",IF(AND($N157="Open",NOT(ISNUMBER($G157))),"Set next date",""))))))</x:f>
      </x:c>
    </x:row>
    <x:row r="158" ht="26" customHeight="1">
      <x:c r="A158" s="791"/>
      <x:c r="B158" s="791"/>
      <x:c r="C158" s="803" t="str">
        <x:f>IF($A158="","",IF($B158="","",IFERROR(INDEX(Clients!$B$6:$B$205,MATCH($B158,Clients!$A$6:$A$205,0)),"Client ID not found")))</x:f>
      </x:c>
      <x:c r="D158" s="791"/>
      <x:c r="E158" s="791"/>
      <x:c r="F158" s="794"/>
      <x:c r="G158" s="794"/>
      <x:c r="H158" s="803" t="str">
        <x:f>IF($A158="","",IF($N158="Completed","Completed",IF(NOT(ISNUMBER($G158)),"Set next contact",IF($G158&lt;TODAY(),"Overdue",IF($G158=TODAY(),"Due today","Scheduled")))))</x:f>
      </x:c>
      <x:c r="I158" s="791"/>
      <x:c r="J158" s="791"/>
      <x:c r="K158" s="791"/>
      <x:c r="L158" s="791"/>
      <x:c r="M158" s="791"/>
      <x:c r="N158" s="791"/>
      <x:c r="O158" s="803" t="str">
        <x:f>IF($A158="","",IF(COUNTIF($A$6:$A$205,$A158)&gt;1,"Duplicate Care ID",IF(COUNTIF(Clients!$A$6:$A$205,$B158)&lt;&gt;1,"Check Client ID",IF($D158="","Set touchpoint type",IF($N158="","Set task status",IF(AND($N158="Open",NOT(ISNUMBER($G158))),"Set next date",""))))))</x:f>
      </x:c>
    </x:row>
    <x:row r="159" ht="26" customHeight="1">
      <x:c r="A159" s="791"/>
      <x:c r="B159" s="791"/>
      <x:c r="C159" s="803" t="str">
        <x:f>IF($A159="","",IF($B159="","",IFERROR(INDEX(Clients!$B$6:$B$205,MATCH($B159,Clients!$A$6:$A$205,0)),"Client ID not found")))</x:f>
      </x:c>
      <x:c r="D159" s="791"/>
      <x:c r="E159" s="791"/>
      <x:c r="F159" s="794"/>
      <x:c r="G159" s="794"/>
      <x:c r="H159" s="803" t="str">
        <x:f>IF($A159="","",IF($N159="Completed","Completed",IF(NOT(ISNUMBER($G159)),"Set next contact",IF($G159&lt;TODAY(),"Overdue",IF($G159=TODAY(),"Due today","Scheduled")))))</x:f>
      </x:c>
      <x:c r="I159" s="791"/>
      <x:c r="J159" s="791"/>
      <x:c r="K159" s="791"/>
      <x:c r="L159" s="791"/>
      <x:c r="M159" s="791"/>
      <x:c r="N159" s="791"/>
      <x:c r="O159" s="803" t="str">
        <x:f>IF($A159="","",IF(COUNTIF($A$6:$A$205,$A159)&gt;1,"Duplicate Care ID",IF(COUNTIF(Clients!$A$6:$A$205,$B159)&lt;&gt;1,"Check Client ID",IF($D159="","Set touchpoint type",IF($N159="","Set task status",IF(AND($N159="Open",NOT(ISNUMBER($G159))),"Set next date",""))))))</x:f>
      </x:c>
    </x:row>
    <x:row r="160" ht="26" customHeight="1">
      <x:c r="A160" s="791"/>
      <x:c r="B160" s="791"/>
      <x:c r="C160" s="803" t="str">
        <x:f>IF($A160="","",IF($B160="","",IFERROR(INDEX(Clients!$B$6:$B$205,MATCH($B160,Clients!$A$6:$A$205,0)),"Client ID not found")))</x:f>
      </x:c>
      <x:c r="D160" s="791"/>
      <x:c r="E160" s="791"/>
      <x:c r="F160" s="794"/>
      <x:c r="G160" s="794"/>
      <x:c r="H160" s="803" t="str">
        <x:f>IF($A160="","",IF($N160="Completed","Completed",IF(NOT(ISNUMBER($G160)),"Set next contact",IF($G160&lt;TODAY(),"Overdue",IF($G160=TODAY(),"Due today","Scheduled")))))</x:f>
      </x:c>
      <x:c r="I160" s="791"/>
      <x:c r="J160" s="791"/>
      <x:c r="K160" s="791"/>
      <x:c r="L160" s="791"/>
      <x:c r="M160" s="791"/>
      <x:c r="N160" s="791"/>
      <x:c r="O160" s="803" t="str">
        <x:f>IF($A160="","",IF(COUNTIF($A$6:$A$205,$A160)&gt;1,"Duplicate Care ID",IF(COUNTIF(Clients!$A$6:$A$205,$B160)&lt;&gt;1,"Check Client ID",IF($D160="","Set touchpoint type",IF($N160="","Set task status",IF(AND($N160="Open",NOT(ISNUMBER($G160))),"Set next date",""))))))</x:f>
      </x:c>
    </x:row>
    <x:row r="161" ht="26" customHeight="1">
      <x:c r="A161" s="791"/>
      <x:c r="B161" s="791"/>
      <x:c r="C161" s="803" t="str">
        <x:f>IF($A161="","",IF($B161="","",IFERROR(INDEX(Clients!$B$6:$B$205,MATCH($B161,Clients!$A$6:$A$205,0)),"Client ID not found")))</x:f>
      </x:c>
      <x:c r="D161" s="791"/>
      <x:c r="E161" s="791"/>
      <x:c r="F161" s="794"/>
      <x:c r="G161" s="794"/>
      <x:c r="H161" s="803" t="str">
        <x:f>IF($A161="","",IF($N161="Completed","Completed",IF(NOT(ISNUMBER($G161)),"Set next contact",IF($G161&lt;TODAY(),"Overdue",IF($G161=TODAY(),"Due today","Scheduled")))))</x:f>
      </x:c>
      <x:c r="I161" s="791"/>
      <x:c r="J161" s="791"/>
      <x:c r="K161" s="791"/>
      <x:c r="L161" s="791"/>
      <x:c r="M161" s="791"/>
      <x:c r="N161" s="791"/>
      <x:c r="O161" s="803" t="str">
        <x:f>IF($A161="","",IF(COUNTIF($A$6:$A$205,$A161)&gt;1,"Duplicate Care ID",IF(COUNTIF(Clients!$A$6:$A$205,$B161)&lt;&gt;1,"Check Client ID",IF($D161="","Set touchpoint type",IF($N161="","Set task status",IF(AND($N161="Open",NOT(ISNUMBER($G161))),"Set next date",""))))))</x:f>
      </x:c>
    </x:row>
    <x:row r="162" ht="26" customHeight="1">
      <x:c r="A162" s="791"/>
      <x:c r="B162" s="791"/>
      <x:c r="C162" s="803" t="str">
        <x:f>IF($A162="","",IF($B162="","",IFERROR(INDEX(Clients!$B$6:$B$205,MATCH($B162,Clients!$A$6:$A$205,0)),"Client ID not found")))</x:f>
      </x:c>
      <x:c r="D162" s="791"/>
      <x:c r="E162" s="791"/>
      <x:c r="F162" s="794"/>
      <x:c r="G162" s="794"/>
      <x:c r="H162" s="803" t="str">
        <x:f>IF($A162="","",IF($N162="Completed","Completed",IF(NOT(ISNUMBER($G162)),"Set next contact",IF($G162&lt;TODAY(),"Overdue",IF($G162=TODAY(),"Due today","Scheduled")))))</x:f>
      </x:c>
      <x:c r="I162" s="791"/>
      <x:c r="J162" s="791"/>
      <x:c r="K162" s="791"/>
      <x:c r="L162" s="791"/>
      <x:c r="M162" s="791"/>
      <x:c r="N162" s="791"/>
      <x:c r="O162" s="803" t="str">
        <x:f>IF($A162="","",IF(COUNTIF($A$6:$A$205,$A162)&gt;1,"Duplicate Care ID",IF(COUNTIF(Clients!$A$6:$A$205,$B162)&lt;&gt;1,"Check Client ID",IF($D162="","Set touchpoint type",IF($N162="","Set task status",IF(AND($N162="Open",NOT(ISNUMBER($G162))),"Set next date",""))))))</x:f>
      </x:c>
    </x:row>
    <x:row r="163" ht="26" customHeight="1">
      <x:c r="A163" s="791"/>
      <x:c r="B163" s="791"/>
      <x:c r="C163" s="803" t="str">
        <x:f>IF($A163="","",IF($B163="","",IFERROR(INDEX(Clients!$B$6:$B$205,MATCH($B163,Clients!$A$6:$A$205,0)),"Client ID not found")))</x:f>
      </x:c>
      <x:c r="D163" s="791"/>
      <x:c r="E163" s="791"/>
      <x:c r="F163" s="794"/>
      <x:c r="G163" s="794"/>
      <x:c r="H163" s="803" t="str">
        <x:f>IF($A163="","",IF($N163="Completed","Completed",IF(NOT(ISNUMBER($G163)),"Set next contact",IF($G163&lt;TODAY(),"Overdue",IF($G163=TODAY(),"Due today","Scheduled")))))</x:f>
      </x:c>
      <x:c r="I163" s="791"/>
      <x:c r="J163" s="791"/>
      <x:c r="K163" s="791"/>
      <x:c r="L163" s="791"/>
      <x:c r="M163" s="791"/>
      <x:c r="N163" s="791"/>
      <x:c r="O163" s="803" t="str">
        <x:f>IF($A163="","",IF(COUNTIF($A$6:$A$205,$A163)&gt;1,"Duplicate Care ID",IF(COUNTIF(Clients!$A$6:$A$205,$B163)&lt;&gt;1,"Check Client ID",IF($D163="","Set touchpoint type",IF($N163="","Set task status",IF(AND($N163="Open",NOT(ISNUMBER($G163))),"Set next date",""))))))</x:f>
      </x:c>
    </x:row>
    <x:row r="164" ht="26" customHeight="1">
      <x:c r="A164" s="791"/>
      <x:c r="B164" s="791"/>
      <x:c r="C164" s="803" t="str">
        <x:f>IF($A164="","",IF($B164="","",IFERROR(INDEX(Clients!$B$6:$B$205,MATCH($B164,Clients!$A$6:$A$205,0)),"Client ID not found")))</x:f>
      </x:c>
      <x:c r="D164" s="791"/>
      <x:c r="E164" s="791"/>
      <x:c r="F164" s="794"/>
      <x:c r="G164" s="794"/>
      <x:c r="H164" s="803" t="str">
        <x:f>IF($A164="","",IF($N164="Completed","Completed",IF(NOT(ISNUMBER($G164)),"Set next contact",IF($G164&lt;TODAY(),"Overdue",IF($G164=TODAY(),"Due today","Scheduled")))))</x:f>
      </x:c>
      <x:c r="I164" s="791"/>
      <x:c r="J164" s="791"/>
      <x:c r="K164" s="791"/>
      <x:c r="L164" s="791"/>
      <x:c r="M164" s="791"/>
      <x:c r="N164" s="791"/>
      <x:c r="O164" s="803" t="str">
        <x:f>IF($A164="","",IF(COUNTIF($A$6:$A$205,$A164)&gt;1,"Duplicate Care ID",IF(COUNTIF(Clients!$A$6:$A$205,$B164)&lt;&gt;1,"Check Client ID",IF($D164="","Set touchpoint type",IF($N164="","Set task status",IF(AND($N164="Open",NOT(ISNUMBER($G164))),"Set next date",""))))))</x:f>
      </x:c>
    </x:row>
    <x:row r="165" ht="26" customHeight="1">
      <x:c r="A165" s="791"/>
      <x:c r="B165" s="791"/>
      <x:c r="C165" s="803" t="str">
        <x:f>IF($A165="","",IF($B165="","",IFERROR(INDEX(Clients!$B$6:$B$205,MATCH($B165,Clients!$A$6:$A$205,0)),"Client ID not found")))</x:f>
      </x:c>
      <x:c r="D165" s="791"/>
      <x:c r="E165" s="791"/>
      <x:c r="F165" s="794"/>
      <x:c r="G165" s="794"/>
      <x:c r="H165" s="803" t="str">
        <x:f>IF($A165="","",IF($N165="Completed","Completed",IF(NOT(ISNUMBER($G165)),"Set next contact",IF($G165&lt;TODAY(),"Overdue",IF($G165=TODAY(),"Due today","Scheduled")))))</x:f>
      </x:c>
      <x:c r="I165" s="791"/>
      <x:c r="J165" s="791"/>
      <x:c r="K165" s="791"/>
      <x:c r="L165" s="791"/>
      <x:c r="M165" s="791"/>
      <x:c r="N165" s="791"/>
      <x:c r="O165" s="803" t="str">
        <x:f>IF($A165="","",IF(COUNTIF($A$6:$A$205,$A165)&gt;1,"Duplicate Care ID",IF(COUNTIF(Clients!$A$6:$A$205,$B165)&lt;&gt;1,"Check Client ID",IF($D165="","Set touchpoint type",IF($N165="","Set task status",IF(AND($N165="Open",NOT(ISNUMBER($G165))),"Set next date",""))))))</x:f>
      </x:c>
    </x:row>
    <x:row r="166" ht="26" customHeight="1">
      <x:c r="A166" s="791"/>
      <x:c r="B166" s="791"/>
      <x:c r="C166" s="803" t="str">
        <x:f>IF($A166="","",IF($B166="","",IFERROR(INDEX(Clients!$B$6:$B$205,MATCH($B166,Clients!$A$6:$A$205,0)),"Client ID not found")))</x:f>
      </x:c>
      <x:c r="D166" s="791"/>
      <x:c r="E166" s="791"/>
      <x:c r="F166" s="794"/>
      <x:c r="G166" s="794"/>
      <x:c r="H166" s="803" t="str">
        <x:f>IF($A166="","",IF($N166="Completed","Completed",IF(NOT(ISNUMBER($G166)),"Set next contact",IF($G166&lt;TODAY(),"Overdue",IF($G166=TODAY(),"Due today","Scheduled")))))</x:f>
      </x:c>
      <x:c r="I166" s="791"/>
      <x:c r="J166" s="791"/>
      <x:c r="K166" s="791"/>
      <x:c r="L166" s="791"/>
      <x:c r="M166" s="791"/>
      <x:c r="N166" s="791"/>
      <x:c r="O166" s="803" t="str">
        <x:f>IF($A166="","",IF(COUNTIF($A$6:$A$205,$A166)&gt;1,"Duplicate Care ID",IF(COUNTIF(Clients!$A$6:$A$205,$B166)&lt;&gt;1,"Check Client ID",IF($D166="","Set touchpoint type",IF($N166="","Set task status",IF(AND($N166="Open",NOT(ISNUMBER($G166))),"Set next date",""))))))</x:f>
      </x:c>
    </x:row>
    <x:row r="167" ht="26" customHeight="1">
      <x:c r="A167" s="791"/>
      <x:c r="B167" s="791"/>
      <x:c r="C167" s="803" t="str">
        <x:f>IF($A167="","",IF($B167="","",IFERROR(INDEX(Clients!$B$6:$B$205,MATCH($B167,Clients!$A$6:$A$205,0)),"Client ID not found")))</x:f>
      </x:c>
      <x:c r="D167" s="791"/>
      <x:c r="E167" s="791"/>
      <x:c r="F167" s="794"/>
      <x:c r="G167" s="794"/>
      <x:c r="H167" s="803" t="str">
        <x:f>IF($A167="","",IF($N167="Completed","Completed",IF(NOT(ISNUMBER($G167)),"Set next contact",IF($G167&lt;TODAY(),"Overdue",IF($G167=TODAY(),"Due today","Scheduled")))))</x:f>
      </x:c>
      <x:c r="I167" s="791"/>
      <x:c r="J167" s="791"/>
      <x:c r="K167" s="791"/>
      <x:c r="L167" s="791"/>
      <x:c r="M167" s="791"/>
      <x:c r="N167" s="791"/>
      <x:c r="O167" s="803" t="str">
        <x:f>IF($A167="","",IF(COUNTIF($A$6:$A$205,$A167)&gt;1,"Duplicate Care ID",IF(COUNTIF(Clients!$A$6:$A$205,$B167)&lt;&gt;1,"Check Client ID",IF($D167="","Set touchpoint type",IF($N167="","Set task status",IF(AND($N167="Open",NOT(ISNUMBER($G167))),"Set next date",""))))))</x:f>
      </x:c>
    </x:row>
    <x:row r="168" ht="26" customHeight="1">
      <x:c r="A168" s="791"/>
      <x:c r="B168" s="791"/>
      <x:c r="C168" s="803" t="str">
        <x:f>IF($A168="","",IF($B168="","",IFERROR(INDEX(Clients!$B$6:$B$205,MATCH($B168,Clients!$A$6:$A$205,0)),"Client ID not found")))</x:f>
      </x:c>
      <x:c r="D168" s="791"/>
      <x:c r="E168" s="791"/>
      <x:c r="F168" s="794"/>
      <x:c r="G168" s="794"/>
      <x:c r="H168" s="803" t="str">
        <x:f>IF($A168="","",IF($N168="Completed","Completed",IF(NOT(ISNUMBER($G168)),"Set next contact",IF($G168&lt;TODAY(),"Overdue",IF($G168=TODAY(),"Due today","Scheduled")))))</x:f>
      </x:c>
      <x:c r="I168" s="791"/>
      <x:c r="J168" s="791"/>
      <x:c r="K168" s="791"/>
      <x:c r="L168" s="791"/>
      <x:c r="M168" s="791"/>
      <x:c r="N168" s="791"/>
      <x:c r="O168" s="803" t="str">
        <x:f>IF($A168="","",IF(COUNTIF($A$6:$A$205,$A168)&gt;1,"Duplicate Care ID",IF(COUNTIF(Clients!$A$6:$A$205,$B168)&lt;&gt;1,"Check Client ID",IF($D168="","Set touchpoint type",IF($N168="","Set task status",IF(AND($N168="Open",NOT(ISNUMBER($G168))),"Set next date",""))))))</x:f>
      </x:c>
    </x:row>
    <x:row r="169" ht="26" customHeight="1">
      <x:c r="A169" s="791"/>
      <x:c r="B169" s="791"/>
      <x:c r="C169" s="803" t="str">
        <x:f>IF($A169="","",IF($B169="","",IFERROR(INDEX(Clients!$B$6:$B$205,MATCH($B169,Clients!$A$6:$A$205,0)),"Client ID not found")))</x:f>
      </x:c>
      <x:c r="D169" s="791"/>
      <x:c r="E169" s="791"/>
      <x:c r="F169" s="794"/>
      <x:c r="G169" s="794"/>
      <x:c r="H169" s="803" t="str">
        <x:f>IF($A169="","",IF($N169="Completed","Completed",IF(NOT(ISNUMBER($G169)),"Set next contact",IF($G169&lt;TODAY(),"Overdue",IF($G169=TODAY(),"Due today","Scheduled")))))</x:f>
      </x:c>
      <x:c r="I169" s="791"/>
      <x:c r="J169" s="791"/>
      <x:c r="K169" s="791"/>
      <x:c r="L169" s="791"/>
      <x:c r="M169" s="791"/>
      <x:c r="N169" s="791"/>
      <x:c r="O169" s="803" t="str">
        <x:f>IF($A169="","",IF(COUNTIF($A$6:$A$205,$A169)&gt;1,"Duplicate Care ID",IF(COUNTIF(Clients!$A$6:$A$205,$B169)&lt;&gt;1,"Check Client ID",IF($D169="","Set touchpoint type",IF($N169="","Set task status",IF(AND($N169="Open",NOT(ISNUMBER($G169))),"Set next date",""))))))</x:f>
      </x:c>
    </x:row>
    <x:row r="170" ht="26" customHeight="1">
      <x:c r="A170" s="791"/>
      <x:c r="B170" s="791"/>
      <x:c r="C170" s="803" t="str">
        <x:f>IF($A170="","",IF($B170="","",IFERROR(INDEX(Clients!$B$6:$B$205,MATCH($B170,Clients!$A$6:$A$205,0)),"Client ID not found")))</x:f>
      </x:c>
      <x:c r="D170" s="791"/>
      <x:c r="E170" s="791"/>
      <x:c r="F170" s="794"/>
      <x:c r="G170" s="794"/>
      <x:c r="H170" s="803" t="str">
        <x:f>IF($A170="","",IF($N170="Completed","Completed",IF(NOT(ISNUMBER($G170)),"Set next contact",IF($G170&lt;TODAY(),"Overdue",IF($G170=TODAY(),"Due today","Scheduled")))))</x:f>
      </x:c>
      <x:c r="I170" s="791"/>
      <x:c r="J170" s="791"/>
      <x:c r="K170" s="791"/>
      <x:c r="L170" s="791"/>
      <x:c r="M170" s="791"/>
      <x:c r="N170" s="791"/>
      <x:c r="O170" s="803" t="str">
        <x:f>IF($A170="","",IF(COUNTIF($A$6:$A$205,$A170)&gt;1,"Duplicate Care ID",IF(COUNTIF(Clients!$A$6:$A$205,$B170)&lt;&gt;1,"Check Client ID",IF($D170="","Set touchpoint type",IF($N170="","Set task status",IF(AND($N170="Open",NOT(ISNUMBER($G170))),"Set next date",""))))))</x:f>
      </x:c>
    </x:row>
    <x:row r="171" ht="26" customHeight="1">
      <x:c r="A171" s="791"/>
      <x:c r="B171" s="791"/>
      <x:c r="C171" s="803" t="str">
        <x:f>IF($A171="","",IF($B171="","",IFERROR(INDEX(Clients!$B$6:$B$205,MATCH($B171,Clients!$A$6:$A$205,0)),"Client ID not found")))</x:f>
      </x:c>
      <x:c r="D171" s="791"/>
      <x:c r="E171" s="791"/>
      <x:c r="F171" s="794"/>
      <x:c r="G171" s="794"/>
      <x:c r="H171" s="803" t="str">
        <x:f>IF($A171="","",IF($N171="Completed","Completed",IF(NOT(ISNUMBER($G171)),"Set next contact",IF($G171&lt;TODAY(),"Overdue",IF($G171=TODAY(),"Due today","Scheduled")))))</x:f>
      </x:c>
      <x:c r="I171" s="791"/>
      <x:c r="J171" s="791"/>
      <x:c r="K171" s="791"/>
      <x:c r="L171" s="791"/>
      <x:c r="M171" s="791"/>
      <x:c r="N171" s="791"/>
      <x:c r="O171" s="803" t="str">
        <x:f>IF($A171="","",IF(COUNTIF($A$6:$A$205,$A171)&gt;1,"Duplicate Care ID",IF(COUNTIF(Clients!$A$6:$A$205,$B171)&lt;&gt;1,"Check Client ID",IF($D171="","Set touchpoint type",IF($N171="","Set task status",IF(AND($N171="Open",NOT(ISNUMBER($G171))),"Set next date",""))))))</x:f>
      </x:c>
    </x:row>
    <x:row r="172" ht="26" customHeight="1">
      <x:c r="A172" s="791"/>
      <x:c r="B172" s="791"/>
      <x:c r="C172" s="803" t="str">
        <x:f>IF($A172="","",IF($B172="","",IFERROR(INDEX(Clients!$B$6:$B$205,MATCH($B172,Clients!$A$6:$A$205,0)),"Client ID not found")))</x:f>
      </x:c>
      <x:c r="D172" s="791"/>
      <x:c r="E172" s="791"/>
      <x:c r="F172" s="794"/>
      <x:c r="G172" s="794"/>
      <x:c r="H172" s="803" t="str">
        <x:f>IF($A172="","",IF($N172="Completed","Completed",IF(NOT(ISNUMBER($G172)),"Set next contact",IF($G172&lt;TODAY(),"Overdue",IF($G172=TODAY(),"Due today","Scheduled")))))</x:f>
      </x:c>
      <x:c r="I172" s="791"/>
      <x:c r="J172" s="791"/>
      <x:c r="K172" s="791"/>
      <x:c r="L172" s="791"/>
      <x:c r="M172" s="791"/>
      <x:c r="N172" s="791"/>
      <x:c r="O172" s="803" t="str">
        <x:f>IF($A172="","",IF(COUNTIF($A$6:$A$205,$A172)&gt;1,"Duplicate Care ID",IF(COUNTIF(Clients!$A$6:$A$205,$B172)&lt;&gt;1,"Check Client ID",IF($D172="","Set touchpoint type",IF($N172="","Set task status",IF(AND($N172="Open",NOT(ISNUMBER($G172))),"Set next date",""))))))</x:f>
      </x:c>
    </x:row>
    <x:row r="173" ht="26" customHeight="1">
      <x:c r="A173" s="791"/>
      <x:c r="B173" s="791"/>
      <x:c r="C173" s="803" t="str">
        <x:f>IF($A173="","",IF($B173="","",IFERROR(INDEX(Clients!$B$6:$B$205,MATCH($B173,Clients!$A$6:$A$205,0)),"Client ID not found")))</x:f>
      </x:c>
      <x:c r="D173" s="791"/>
      <x:c r="E173" s="791"/>
      <x:c r="F173" s="794"/>
      <x:c r="G173" s="794"/>
      <x:c r="H173" s="803" t="str">
        <x:f>IF($A173="","",IF($N173="Completed","Completed",IF(NOT(ISNUMBER($G173)),"Set next contact",IF($G173&lt;TODAY(),"Overdue",IF($G173=TODAY(),"Due today","Scheduled")))))</x:f>
      </x:c>
      <x:c r="I173" s="791"/>
      <x:c r="J173" s="791"/>
      <x:c r="K173" s="791"/>
      <x:c r="L173" s="791"/>
      <x:c r="M173" s="791"/>
      <x:c r="N173" s="791"/>
      <x:c r="O173" s="803" t="str">
        <x:f>IF($A173="","",IF(COUNTIF($A$6:$A$205,$A173)&gt;1,"Duplicate Care ID",IF(COUNTIF(Clients!$A$6:$A$205,$B173)&lt;&gt;1,"Check Client ID",IF($D173="","Set touchpoint type",IF($N173="","Set task status",IF(AND($N173="Open",NOT(ISNUMBER($G173))),"Set next date",""))))))</x:f>
      </x:c>
    </x:row>
    <x:row r="174" ht="26" customHeight="1">
      <x:c r="A174" s="791"/>
      <x:c r="B174" s="791"/>
      <x:c r="C174" s="803" t="str">
        <x:f>IF($A174="","",IF($B174="","",IFERROR(INDEX(Clients!$B$6:$B$205,MATCH($B174,Clients!$A$6:$A$205,0)),"Client ID not found")))</x:f>
      </x:c>
      <x:c r="D174" s="791"/>
      <x:c r="E174" s="791"/>
      <x:c r="F174" s="794"/>
      <x:c r="G174" s="794"/>
      <x:c r="H174" s="803" t="str">
        <x:f>IF($A174="","",IF($N174="Completed","Completed",IF(NOT(ISNUMBER($G174)),"Set next contact",IF($G174&lt;TODAY(),"Overdue",IF($G174=TODAY(),"Due today","Scheduled")))))</x:f>
      </x:c>
      <x:c r="I174" s="791"/>
      <x:c r="J174" s="791"/>
      <x:c r="K174" s="791"/>
      <x:c r="L174" s="791"/>
      <x:c r="M174" s="791"/>
      <x:c r="N174" s="791"/>
      <x:c r="O174" s="803" t="str">
        <x:f>IF($A174="","",IF(COUNTIF($A$6:$A$205,$A174)&gt;1,"Duplicate Care ID",IF(COUNTIF(Clients!$A$6:$A$205,$B174)&lt;&gt;1,"Check Client ID",IF($D174="","Set touchpoint type",IF($N174="","Set task status",IF(AND($N174="Open",NOT(ISNUMBER($G174))),"Set next date",""))))))</x:f>
      </x:c>
    </x:row>
    <x:row r="175" ht="26" customHeight="1">
      <x:c r="A175" s="791"/>
      <x:c r="B175" s="791"/>
      <x:c r="C175" s="803" t="str">
        <x:f>IF($A175="","",IF($B175="","",IFERROR(INDEX(Clients!$B$6:$B$205,MATCH($B175,Clients!$A$6:$A$205,0)),"Client ID not found")))</x:f>
      </x:c>
      <x:c r="D175" s="791"/>
      <x:c r="E175" s="791"/>
      <x:c r="F175" s="794"/>
      <x:c r="G175" s="794"/>
      <x:c r="H175" s="803" t="str">
        <x:f>IF($A175="","",IF($N175="Completed","Completed",IF(NOT(ISNUMBER($G175)),"Set next contact",IF($G175&lt;TODAY(),"Overdue",IF($G175=TODAY(),"Due today","Scheduled")))))</x:f>
      </x:c>
      <x:c r="I175" s="791"/>
      <x:c r="J175" s="791"/>
      <x:c r="K175" s="791"/>
      <x:c r="L175" s="791"/>
      <x:c r="M175" s="791"/>
      <x:c r="N175" s="791"/>
      <x:c r="O175" s="803" t="str">
        <x:f>IF($A175="","",IF(COUNTIF($A$6:$A$205,$A175)&gt;1,"Duplicate Care ID",IF(COUNTIF(Clients!$A$6:$A$205,$B175)&lt;&gt;1,"Check Client ID",IF($D175="","Set touchpoint type",IF($N175="","Set task status",IF(AND($N175="Open",NOT(ISNUMBER($G175))),"Set next date",""))))))</x:f>
      </x:c>
    </x:row>
    <x:row r="176" ht="26" customHeight="1">
      <x:c r="A176" s="791"/>
      <x:c r="B176" s="791"/>
      <x:c r="C176" s="803" t="str">
        <x:f>IF($A176="","",IF($B176="","",IFERROR(INDEX(Clients!$B$6:$B$205,MATCH($B176,Clients!$A$6:$A$205,0)),"Client ID not found")))</x:f>
      </x:c>
      <x:c r="D176" s="791"/>
      <x:c r="E176" s="791"/>
      <x:c r="F176" s="794"/>
      <x:c r="G176" s="794"/>
      <x:c r="H176" s="803" t="str">
        <x:f>IF($A176="","",IF($N176="Completed","Completed",IF(NOT(ISNUMBER($G176)),"Set next contact",IF($G176&lt;TODAY(),"Overdue",IF($G176=TODAY(),"Due today","Scheduled")))))</x:f>
      </x:c>
      <x:c r="I176" s="791"/>
      <x:c r="J176" s="791"/>
      <x:c r="K176" s="791"/>
      <x:c r="L176" s="791"/>
      <x:c r="M176" s="791"/>
      <x:c r="N176" s="791"/>
      <x:c r="O176" s="803" t="str">
        <x:f>IF($A176="","",IF(COUNTIF($A$6:$A$205,$A176)&gt;1,"Duplicate Care ID",IF(COUNTIF(Clients!$A$6:$A$205,$B176)&lt;&gt;1,"Check Client ID",IF($D176="","Set touchpoint type",IF($N176="","Set task status",IF(AND($N176="Open",NOT(ISNUMBER($G176))),"Set next date",""))))))</x:f>
      </x:c>
    </x:row>
    <x:row r="177" ht="26" customHeight="1">
      <x:c r="A177" s="791"/>
      <x:c r="B177" s="791"/>
      <x:c r="C177" s="803" t="str">
        <x:f>IF($A177="","",IF($B177="","",IFERROR(INDEX(Clients!$B$6:$B$205,MATCH($B177,Clients!$A$6:$A$205,0)),"Client ID not found")))</x:f>
      </x:c>
      <x:c r="D177" s="791"/>
      <x:c r="E177" s="791"/>
      <x:c r="F177" s="794"/>
      <x:c r="G177" s="794"/>
      <x:c r="H177" s="803" t="str">
        <x:f>IF($A177="","",IF($N177="Completed","Completed",IF(NOT(ISNUMBER($G177)),"Set next contact",IF($G177&lt;TODAY(),"Overdue",IF($G177=TODAY(),"Due today","Scheduled")))))</x:f>
      </x:c>
      <x:c r="I177" s="791"/>
      <x:c r="J177" s="791"/>
      <x:c r="K177" s="791"/>
      <x:c r="L177" s="791"/>
      <x:c r="M177" s="791"/>
      <x:c r="N177" s="791"/>
      <x:c r="O177" s="803" t="str">
        <x:f>IF($A177="","",IF(COUNTIF($A$6:$A$205,$A177)&gt;1,"Duplicate Care ID",IF(COUNTIF(Clients!$A$6:$A$205,$B177)&lt;&gt;1,"Check Client ID",IF($D177="","Set touchpoint type",IF($N177="","Set task status",IF(AND($N177="Open",NOT(ISNUMBER($G177))),"Set next date",""))))))</x:f>
      </x:c>
    </x:row>
    <x:row r="178" ht="26" customHeight="1">
      <x:c r="A178" s="791"/>
      <x:c r="B178" s="791"/>
      <x:c r="C178" s="803" t="str">
        <x:f>IF($A178="","",IF($B178="","",IFERROR(INDEX(Clients!$B$6:$B$205,MATCH($B178,Clients!$A$6:$A$205,0)),"Client ID not found")))</x:f>
      </x:c>
      <x:c r="D178" s="791"/>
      <x:c r="E178" s="791"/>
      <x:c r="F178" s="794"/>
      <x:c r="G178" s="794"/>
      <x:c r="H178" s="803" t="str">
        <x:f>IF($A178="","",IF($N178="Completed","Completed",IF(NOT(ISNUMBER($G178)),"Set next contact",IF($G178&lt;TODAY(),"Overdue",IF($G178=TODAY(),"Due today","Scheduled")))))</x:f>
      </x:c>
      <x:c r="I178" s="791"/>
      <x:c r="J178" s="791"/>
      <x:c r="K178" s="791"/>
      <x:c r="L178" s="791"/>
      <x:c r="M178" s="791"/>
      <x:c r="N178" s="791"/>
      <x:c r="O178" s="803" t="str">
        <x:f>IF($A178="","",IF(COUNTIF($A$6:$A$205,$A178)&gt;1,"Duplicate Care ID",IF(COUNTIF(Clients!$A$6:$A$205,$B178)&lt;&gt;1,"Check Client ID",IF($D178="","Set touchpoint type",IF($N178="","Set task status",IF(AND($N178="Open",NOT(ISNUMBER($G178))),"Set next date",""))))))</x:f>
      </x:c>
    </x:row>
    <x:row r="179" ht="26" customHeight="1">
      <x:c r="A179" s="791"/>
      <x:c r="B179" s="791"/>
      <x:c r="C179" s="803" t="str">
        <x:f>IF($A179="","",IF($B179="","",IFERROR(INDEX(Clients!$B$6:$B$205,MATCH($B179,Clients!$A$6:$A$205,0)),"Client ID not found")))</x:f>
      </x:c>
      <x:c r="D179" s="791"/>
      <x:c r="E179" s="791"/>
      <x:c r="F179" s="794"/>
      <x:c r="G179" s="794"/>
      <x:c r="H179" s="803" t="str">
        <x:f>IF($A179="","",IF($N179="Completed","Completed",IF(NOT(ISNUMBER($G179)),"Set next contact",IF($G179&lt;TODAY(),"Overdue",IF($G179=TODAY(),"Due today","Scheduled")))))</x:f>
      </x:c>
      <x:c r="I179" s="791"/>
      <x:c r="J179" s="791"/>
      <x:c r="K179" s="791"/>
      <x:c r="L179" s="791"/>
      <x:c r="M179" s="791"/>
      <x:c r="N179" s="791"/>
      <x:c r="O179" s="803" t="str">
        <x:f>IF($A179="","",IF(COUNTIF($A$6:$A$205,$A179)&gt;1,"Duplicate Care ID",IF(COUNTIF(Clients!$A$6:$A$205,$B179)&lt;&gt;1,"Check Client ID",IF($D179="","Set touchpoint type",IF($N179="","Set task status",IF(AND($N179="Open",NOT(ISNUMBER($G179))),"Set next date",""))))))</x:f>
      </x:c>
    </x:row>
    <x:row r="180" ht="26" customHeight="1">
      <x:c r="A180" s="791"/>
      <x:c r="B180" s="791"/>
      <x:c r="C180" s="803" t="str">
        <x:f>IF($A180="","",IF($B180="","",IFERROR(INDEX(Clients!$B$6:$B$205,MATCH($B180,Clients!$A$6:$A$205,0)),"Client ID not found")))</x:f>
      </x:c>
      <x:c r="D180" s="791"/>
      <x:c r="E180" s="791"/>
      <x:c r="F180" s="794"/>
      <x:c r="G180" s="794"/>
      <x:c r="H180" s="803" t="str">
        <x:f>IF($A180="","",IF($N180="Completed","Completed",IF(NOT(ISNUMBER($G180)),"Set next contact",IF($G180&lt;TODAY(),"Overdue",IF($G180=TODAY(),"Due today","Scheduled")))))</x:f>
      </x:c>
      <x:c r="I180" s="791"/>
      <x:c r="J180" s="791"/>
      <x:c r="K180" s="791"/>
      <x:c r="L180" s="791"/>
      <x:c r="M180" s="791"/>
      <x:c r="N180" s="791"/>
      <x:c r="O180" s="803" t="str">
        <x:f>IF($A180="","",IF(COUNTIF($A$6:$A$205,$A180)&gt;1,"Duplicate Care ID",IF(COUNTIF(Clients!$A$6:$A$205,$B180)&lt;&gt;1,"Check Client ID",IF($D180="","Set touchpoint type",IF($N180="","Set task status",IF(AND($N180="Open",NOT(ISNUMBER($G180))),"Set next date",""))))))</x:f>
      </x:c>
    </x:row>
    <x:row r="181" ht="26" customHeight="1">
      <x:c r="A181" s="791"/>
      <x:c r="B181" s="791"/>
      <x:c r="C181" s="803" t="str">
        <x:f>IF($A181="","",IF($B181="","",IFERROR(INDEX(Clients!$B$6:$B$205,MATCH($B181,Clients!$A$6:$A$205,0)),"Client ID not found")))</x:f>
      </x:c>
      <x:c r="D181" s="791"/>
      <x:c r="E181" s="791"/>
      <x:c r="F181" s="794"/>
      <x:c r="G181" s="794"/>
      <x:c r="H181" s="803" t="str">
        <x:f>IF($A181="","",IF($N181="Completed","Completed",IF(NOT(ISNUMBER($G181)),"Set next contact",IF($G181&lt;TODAY(),"Overdue",IF($G181=TODAY(),"Due today","Scheduled")))))</x:f>
      </x:c>
      <x:c r="I181" s="791"/>
      <x:c r="J181" s="791"/>
      <x:c r="K181" s="791"/>
      <x:c r="L181" s="791"/>
      <x:c r="M181" s="791"/>
      <x:c r="N181" s="791"/>
      <x:c r="O181" s="803" t="str">
        <x:f>IF($A181="","",IF(COUNTIF($A$6:$A$205,$A181)&gt;1,"Duplicate Care ID",IF(COUNTIF(Clients!$A$6:$A$205,$B181)&lt;&gt;1,"Check Client ID",IF($D181="","Set touchpoint type",IF($N181="","Set task status",IF(AND($N181="Open",NOT(ISNUMBER($G181))),"Set next date",""))))))</x:f>
      </x:c>
    </x:row>
    <x:row r="182" ht="26" customHeight="1">
      <x:c r="A182" s="791"/>
      <x:c r="B182" s="791"/>
      <x:c r="C182" s="803" t="str">
        <x:f>IF($A182="","",IF($B182="","",IFERROR(INDEX(Clients!$B$6:$B$205,MATCH($B182,Clients!$A$6:$A$205,0)),"Client ID not found")))</x:f>
      </x:c>
      <x:c r="D182" s="791"/>
      <x:c r="E182" s="791"/>
      <x:c r="F182" s="794"/>
      <x:c r="G182" s="794"/>
      <x:c r="H182" s="803" t="str">
        <x:f>IF($A182="","",IF($N182="Completed","Completed",IF(NOT(ISNUMBER($G182)),"Set next contact",IF($G182&lt;TODAY(),"Overdue",IF($G182=TODAY(),"Due today","Scheduled")))))</x:f>
      </x:c>
      <x:c r="I182" s="791"/>
      <x:c r="J182" s="791"/>
      <x:c r="K182" s="791"/>
      <x:c r="L182" s="791"/>
      <x:c r="M182" s="791"/>
      <x:c r="N182" s="791"/>
      <x:c r="O182" s="803" t="str">
        <x:f>IF($A182="","",IF(COUNTIF($A$6:$A$205,$A182)&gt;1,"Duplicate Care ID",IF(COUNTIF(Clients!$A$6:$A$205,$B182)&lt;&gt;1,"Check Client ID",IF($D182="","Set touchpoint type",IF($N182="","Set task status",IF(AND($N182="Open",NOT(ISNUMBER($G182))),"Set next date",""))))))</x:f>
      </x:c>
    </x:row>
    <x:row r="183" ht="26" customHeight="1">
      <x:c r="A183" s="791"/>
      <x:c r="B183" s="791"/>
      <x:c r="C183" s="803" t="str">
        <x:f>IF($A183="","",IF($B183="","",IFERROR(INDEX(Clients!$B$6:$B$205,MATCH($B183,Clients!$A$6:$A$205,0)),"Client ID not found")))</x:f>
      </x:c>
      <x:c r="D183" s="791"/>
      <x:c r="E183" s="791"/>
      <x:c r="F183" s="794"/>
      <x:c r="G183" s="794"/>
      <x:c r="H183" s="803" t="str">
        <x:f>IF($A183="","",IF($N183="Completed","Completed",IF(NOT(ISNUMBER($G183)),"Set next contact",IF($G183&lt;TODAY(),"Overdue",IF($G183=TODAY(),"Due today","Scheduled")))))</x:f>
      </x:c>
      <x:c r="I183" s="791"/>
      <x:c r="J183" s="791"/>
      <x:c r="K183" s="791"/>
      <x:c r="L183" s="791"/>
      <x:c r="M183" s="791"/>
      <x:c r="N183" s="791"/>
      <x:c r="O183" s="803" t="str">
        <x:f>IF($A183="","",IF(COUNTIF($A$6:$A$205,$A183)&gt;1,"Duplicate Care ID",IF(COUNTIF(Clients!$A$6:$A$205,$B183)&lt;&gt;1,"Check Client ID",IF($D183="","Set touchpoint type",IF($N183="","Set task status",IF(AND($N183="Open",NOT(ISNUMBER($G183))),"Set next date",""))))))</x:f>
      </x:c>
    </x:row>
    <x:row r="184" ht="26" customHeight="1">
      <x:c r="A184" s="791"/>
      <x:c r="B184" s="791"/>
      <x:c r="C184" s="803" t="str">
        <x:f>IF($A184="","",IF($B184="","",IFERROR(INDEX(Clients!$B$6:$B$205,MATCH($B184,Clients!$A$6:$A$205,0)),"Client ID not found")))</x:f>
      </x:c>
      <x:c r="D184" s="791"/>
      <x:c r="E184" s="791"/>
      <x:c r="F184" s="794"/>
      <x:c r="G184" s="794"/>
      <x:c r="H184" s="803" t="str">
        <x:f>IF($A184="","",IF($N184="Completed","Completed",IF(NOT(ISNUMBER($G184)),"Set next contact",IF($G184&lt;TODAY(),"Overdue",IF($G184=TODAY(),"Due today","Scheduled")))))</x:f>
      </x:c>
      <x:c r="I184" s="791"/>
      <x:c r="J184" s="791"/>
      <x:c r="K184" s="791"/>
      <x:c r="L184" s="791"/>
      <x:c r="M184" s="791"/>
      <x:c r="N184" s="791"/>
      <x:c r="O184" s="803" t="str">
        <x:f>IF($A184="","",IF(COUNTIF($A$6:$A$205,$A184)&gt;1,"Duplicate Care ID",IF(COUNTIF(Clients!$A$6:$A$205,$B184)&lt;&gt;1,"Check Client ID",IF($D184="","Set touchpoint type",IF($N184="","Set task status",IF(AND($N184="Open",NOT(ISNUMBER($G184))),"Set next date",""))))))</x:f>
      </x:c>
    </x:row>
    <x:row r="185" ht="26" customHeight="1">
      <x:c r="A185" s="791"/>
      <x:c r="B185" s="791"/>
      <x:c r="C185" s="803" t="str">
        <x:f>IF($A185="","",IF($B185="","",IFERROR(INDEX(Clients!$B$6:$B$205,MATCH($B185,Clients!$A$6:$A$205,0)),"Client ID not found")))</x:f>
      </x:c>
      <x:c r="D185" s="791"/>
      <x:c r="E185" s="791"/>
      <x:c r="F185" s="794"/>
      <x:c r="G185" s="794"/>
      <x:c r="H185" s="803" t="str">
        <x:f>IF($A185="","",IF($N185="Completed","Completed",IF(NOT(ISNUMBER($G185)),"Set next contact",IF($G185&lt;TODAY(),"Overdue",IF($G185=TODAY(),"Due today","Scheduled")))))</x:f>
      </x:c>
      <x:c r="I185" s="791"/>
      <x:c r="J185" s="791"/>
      <x:c r="K185" s="791"/>
      <x:c r="L185" s="791"/>
      <x:c r="M185" s="791"/>
      <x:c r="N185" s="791"/>
      <x:c r="O185" s="803" t="str">
        <x:f>IF($A185="","",IF(COUNTIF($A$6:$A$205,$A185)&gt;1,"Duplicate Care ID",IF(COUNTIF(Clients!$A$6:$A$205,$B185)&lt;&gt;1,"Check Client ID",IF($D185="","Set touchpoint type",IF($N185="","Set task status",IF(AND($N185="Open",NOT(ISNUMBER($G185))),"Set next date",""))))))</x:f>
      </x:c>
    </x:row>
    <x:row r="186" ht="26" customHeight="1">
      <x:c r="A186" s="791"/>
      <x:c r="B186" s="791"/>
      <x:c r="C186" s="803" t="str">
        <x:f>IF($A186="","",IF($B186="","",IFERROR(INDEX(Clients!$B$6:$B$205,MATCH($B186,Clients!$A$6:$A$205,0)),"Client ID not found")))</x:f>
      </x:c>
      <x:c r="D186" s="791"/>
      <x:c r="E186" s="791"/>
      <x:c r="F186" s="794"/>
      <x:c r="G186" s="794"/>
      <x:c r="H186" s="803" t="str">
        <x:f>IF($A186="","",IF($N186="Completed","Completed",IF(NOT(ISNUMBER($G186)),"Set next contact",IF($G186&lt;TODAY(),"Overdue",IF($G186=TODAY(),"Due today","Scheduled")))))</x:f>
      </x:c>
      <x:c r="I186" s="791"/>
      <x:c r="J186" s="791"/>
      <x:c r="K186" s="791"/>
      <x:c r="L186" s="791"/>
      <x:c r="M186" s="791"/>
      <x:c r="N186" s="791"/>
      <x:c r="O186" s="803" t="str">
        <x:f>IF($A186="","",IF(COUNTIF($A$6:$A$205,$A186)&gt;1,"Duplicate Care ID",IF(COUNTIF(Clients!$A$6:$A$205,$B186)&lt;&gt;1,"Check Client ID",IF($D186="","Set touchpoint type",IF($N186="","Set task status",IF(AND($N186="Open",NOT(ISNUMBER($G186))),"Set next date",""))))))</x:f>
      </x:c>
    </x:row>
    <x:row r="187" ht="26" customHeight="1">
      <x:c r="A187" s="791"/>
      <x:c r="B187" s="791"/>
      <x:c r="C187" s="803" t="str">
        <x:f>IF($A187="","",IF($B187="","",IFERROR(INDEX(Clients!$B$6:$B$205,MATCH($B187,Clients!$A$6:$A$205,0)),"Client ID not found")))</x:f>
      </x:c>
      <x:c r="D187" s="791"/>
      <x:c r="E187" s="791"/>
      <x:c r="F187" s="794"/>
      <x:c r="G187" s="794"/>
      <x:c r="H187" s="803" t="str">
        <x:f>IF($A187="","",IF($N187="Completed","Completed",IF(NOT(ISNUMBER($G187)),"Set next contact",IF($G187&lt;TODAY(),"Overdue",IF($G187=TODAY(),"Due today","Scheduled")))))</x:f>
      </x:c>
      <x:c r="I187" s="791"/>
      <x:c r="J187" s="791"/>
      <x:c r="K187" s="791"/>
      <x:c r="L187" s="791"/>
      <x:c r="M187" s="791"/>
      <x:c r="N187" s="791"/>
      <x:c r="O187" s="803" t="str">
        <x:f>IF($A187="","",IF(COUNTIF($A$6:$A$205,$A187)&gt;1,"Duplicate Care ID",IF(COUNTIF(Clients!$A$6:$A$205,$B187)&lt;&gt;1,"Check Client ID",IF($D187="","Set touchpoint type",IF($N187="","Set task status",IF(AND($N187="Open",NOT(ISNUMBER($G187))),"Set next date",""))))))</x:f>
      </x:c>
    </x:row>
    <x:row r="188" ht="26" customHeight="1">
      <x:c r="A188" s="791"/>
      <x:c r="B188" s="791"/>
      <x:c r="C188" s="803" t="str">
        <x:f>IF($A188="","",IF($B188="","",IFERROR(INDEX(Clients!$B$6:$B$205,MATCH($B188,Clients!$A$6:$A$205,0)),"Client ID not found")))</x:f>
      </x:c>
      <x:c r="D188" s="791"/>
      <x:c r="E188" s="791"/>
      <x:c r="F188" s="794"/>
      <x:c r="G188" s="794"/>
      <x:c r="H188" s="803" t="str">
        <x:f>IF($A188="","",IF($N188="Completed","Completed",IF(NOT(ISNUMBER($G188)),"Set next contact",IF($G188&lt;TODAY(),"Overdue",IF($G188=TODAY(),"Due today","Scheduled")))))</x:f>
      </x:c>
      <x:c r="I188" s="791"/>
      <x:c r="J188" s="791"/>
      <x:c r="K188" s="791"/>
      <x:c r="L188" s="791"/>
      <x:c r="M188" s="791"/>
      <x:c r="N188" s="791"/>
      <x:c r="O188" s="803" t="str">
        <x:f>IF($A188="","",IF(COUNTIF($A$6:$A$205,$A188)&gt;1,"Duplicate Care ID",IF(COUNTIF(Clients!$A$6:$A$205,$B188)&lt;&gt;1,"Check Client ID",IF($D188="","Set touchpoint type",IF($N188="","Set task status",IF(AND($N188="Open",NOT(ISNUMBER($G188))),"Set next date",""))))))</x:f>
      </x:c>
    </x:row>
    <x:row r="189" ht="26" customHeight="1">
      <x:c r="A189" s="791"/>
      <x:c r="B189" s="791"/>
      <x:c r="C189" s="803" t="str">
        <x:f>IF($A189="","",IF($B189="","",IFERROR(INDEX(Clients!$B$6:$B$205,MATCH($B189,Clients!$A$6:$A$205,0)),"Client ID not found")))</x:f>
      </x:c>
      <x:c r="D189" s="791"/>
      <x:c r="E189" s="791"/>
      <x:c r="F189" s="794"/>
      <x:c r="G189" s="794"/>
      <x:c r="H189" s="803" t="str">
        <x:f>IF($A189="","",IF($N189="Completed","Completed",IF(NOT(ISNUMBER($G189)),"Set next contact",IF($G189&lt;TODAY(),"Overdue",IF($G189=TODAY(),"Due today","Scheduled")))))</x:f>
      </x:c>
      <x:c r="I189" s="791"/>
      <x:c r="J189" s="791"/>
      <x:c r="K189" s="791"/>
      <x:c r="L189" s="791"/>
      <x:c r="M189" s="791"/>
      <x:c r="N189" s="791"/>
      <x:c r="O189" s="803" t="str">
        <x:f>IF($A189="","",IF(COUNTIF($A$6:$A$205,$A189)&gt;1,"Duplicate Care ID",IF(COUNTIF(Clients!$A$6:$A$205,$B189)&lt;&gt;1,"Check Client ID",IF($D189="","Set touchpoint type",IF($N189="","Set task status",IF(AND($N189="Open",NOT(ISNUMBER($G189))),"Set next date",""))))))</x:f>
      </x:c>
    </x:row>
    <x:row r="190" ht="26" customHeight="1">
      <x:c r="A190" s="791"/>
      <x:c r="B190" s="791"/>
      <x:c r="C190" s="803" t="str">
        <x:f>IF($A190="","",IF($B190="","",IFERROR(INDEX(Clients!$B$6:$B$205,MATCH($B190,Clients!$A$6:$A$205,0)),"Client ID not found")))</x:f>
      </x:c>
      <x:c r="D190" s="791"/>
      <x:c r="E190" s="791"/>
      <x:c r="F190" s="794"/>
      <x:c r="G190" s="794"/>
      <x:c r="H190" s="803" t="str">
        <x:f>IF($A190="","",IF($N190="Completed","Completed",IF(NOT(ISNUMBER($G190)),"Set next contact",IF($G190&lt;TODAY(),"Overdue",IF($G190=TODAY(),"Due today","Scheduled")))))</x:f>
      </x:c>
      <x:c r="I190" s="791"/>
      <x:c r="J190" s="791"/>
      <x:c r="K190" s="791"/>
      <x:c r="L190" s="791"/>
      <x:c r="M190" s="791"/>
      <x:c r="N190" s="791"/>
      <x:c r="O190" s="803" t="str">
        <x:f>IF($A190="","",IF(COUNTIF($A$6:$A$205,$A190)&gt;1,"Duplicate Care ID",IF(COUNTIF(Clients!$A$6:$A$205,$B190)&lt;&gt;1,"Check Client ID",IF($D190="","Set touchpoint type",IF($N190="","Set task status",IF(AND($N190="Open",NOT(ISNUMBER($G190))),"Set next date",""))))))</x:f>
      </x:c>
    </x:row>
    <x:row r="191" ht="26" customHeight="1">
      <x:c r="A191" s="791"/>
      <x:c r="B191" s="791"/>
      <x:c r="C191" s="803" t="str">
        <x:f>IF($A191="","",IF($B191="","",IFERROR(INDEX(Clients!$B$6:$B$205,MATCH($B191,Clients!$A$6:$A$205,0)),"Client ID not found")))</x:f>
      </x:c>
      <x:c r="D191" s="791"/>
      <x:c r="E191" s="791"/>
      <x:c r="F191" s="794"/>
      <x:c r="G191" s="794"/>
      <x:c r="H191" s="803" t="str">
        <x:f>IF($A191="","",IF($N191="Completed","Completed",IF(NOT(ISNUMBER($G191)),"Set next contact",IF($G191&lt;TODAY(),"Overdue",IF($G191=TODAY(),"Due today","Scheduled")))))</x:f>
      </x:c>
      <x:c r="I191" s="791"/>
      <x:c r="J191" s="791"/>
      <x:c r="K191" s="791"/>
      <x:c r="L191" s="791"/>
      <x:c r="M191" s="791"/>
      <x:c r="N191" s="791"/>
      <x:c r="O191" s="803" t="str">
        <x:f>IF($A191="","",IF(COUNTIF($A$6:$A$205,$A191)&gt;1,"Duplicate Care ID",IF(COUNTIF(Clients!$A$6:$A$205,$B191)&lt;&gt;1,"Check Client ID",IF($D191="","Set touchpoint type",IF($N191="","Set task status",IF(AND($N191="Open",NOT(ISNUMBER($G191))),"Set next date",""))))))</x:f>
      </x:c>
    </x:row>
    <x:row r="192" ht="26" customHeight="1">
      <x:c r="A192" s="791"/>
      <x:c r="B192" s="791"/>
      <x:c r="C192" s="803" t="str">
        <x:f>IF($A192="","",IF($B192="","",IFERROR(INDEX(Clients!$B$6:$B$205,MATCH($B192,Clients!$A$6:$A$205,0)),"Client ID not found")))</x:f>
      </x:c>
      <x:c r="D192" s="791"/>
      <x:c r="E192" s="791"/>
      <x:c r="F192" s="794"/>
      <x:c r="G192" s="794"/>
      <x:c r="H192" s="803" t="str">
        <x:f>IF($A192="","",IF($N192="Completed","Completed",IF(NOT(ISNUMBER($G192)),"Set next contact",IF($G192&lt;TODAY(),"Overdue",IF($G192=TODAY(),"Due today","Scheduled")))))</x:f>
      </x:c>
      <x:c r="I192" s="791"/>
      <x:c r="J192" s="791"/>
      <x:c r="K192" s="791"/>
      <x:c r="L192" s="791"/>
      <x:c r="M192" s="791"/>
      <x:c r="N192" s="791"/>
      <x:c r="O192" s="803" t="str">
        <x:f>IF($A192="","",IF(COUNTIF($A$6:$A$205,$A192)&gt;1,"Duplicate Care ID",IF(COUNTIF(Clients!$A$6:$A$205,$B192)&lt;&gt;1,"Check Client ID",IF($D192="","Set touchpoint type",IF($N192="","Set task status",IF(AND($N192="Open",NOT(ISNUMBER($G192))),"Set next date",""))))))</x:f>
      </x:c>
    </x:row>
    <x:row r="193" ht="26" customHeight="1">
      <x:c r="A193" s="791"/>
      <x:c r="B193" s="791"/>
      <x:c r="C193" s="803" t="str">
        <x:f>IF($A193="","",IF($B193="","",IFERROR(INDEX(Clients!$B$6:$B$205,MATCH($B193,Clients!$A$6:$A$205,0)),"Client ID not found")))</x:f>
      </x:c>
      <x:c r="D193" s="791"/>
      <x:c r="E193" s="791"/>
      <x:c r="F193" s="794"/>
      <x:c r="G193" s="794"/>
      <x:c r="H193" s="803" t="str">
        <x:f>IF($A193="","",IF($N193="Completed","Completed",IF(NOT(ISNUMBER($G193)),"Set next contact",IF($G193&lt;TODAY(),"Overdue",IF($G193=TODAY(),"Due today","Scheduled")))))</x:f>
      </x:c>
      <x:c r="I193" s="791"/>
      <x:c r="J193" s="791"/>
      <x:c r="K193" s="791"/>
      <x:c r="L193" s="791"/>
      <x:c r="M193" s="791"/>
      <x:c r="N193" s="791"/>
      <x:c r="O193" s="803" t="str">
        <x:f>IF($A193="","",IF(COUNTIF($A$6:$A$205,$A193)&gt;1,"Duplicate Care ID",IF(COUNTIF(Clients!$A$6:$A$205,$B193)&lt;&gt;1,"Check Client ID",IF($D193="","Set touchpoint type",IF($N193="","Set task status",IF(AND($N193="Open",NOT(ISNUMBER($G193))),"Set next date",""))))))</x:f>
      </x:c>
    </x:row>
    <x:row r="194" ht="26" customHeight="1">
      <x:c r="A194" s="791"/>
      <x:c r="B194" s="791"/>
      <x:c r="C194" s="803" t="str">
        <x:f>IF($A194="","",IF($B194="","",IFERROR(INDEX(Clients!$B$6:$B$205,MATCH($B194,Clients!$A$6:$A$205,0)),"Client ID not found")))</x:f>
      </x:c>
      <x:c r="D194" s="791"/>
      <x:c r="E194" s="791"/>
      <x:c r="F194" s="794"/>
      <x:c r="G194" s="794"/>
      <x:c r="H194" s="803" t="str">
        <x:f>IF($A194="","",IF($N194="Completed","Completed",IF(NOT(ISNUMBER($G194)),"Set next contact",IF($G194&lt;TODAY(),"Overdue",IF($G194=TODAY(),"Due today","Scheduled")))))</x:f>
      </x:c>
      <x:c r="I194" s="791"/>
      <x:c r="J194" s="791"/>
      <x:c r="K194" s="791"/>
      <x:c r="L194" s="791"/>
      <x:c r="M194" s="791"/>
      <x:c r="N194" s="791"/>
      <x:c r="O194" s="803" t="str">
        <x:f>IF($A194="","",IF(COUNTIF($A$6:$A$205,$A194)&gt;1,"Duplicate Care ID",IF(COUNTIF(Clients!$A$6:$A$205,$B194)&lt;&gt;1,"Check Client ID",IF($D194="","Set touchpoint type",IF($N194="","Set task status",IF(AND($N194="Open",NOT(ISNUMBER($G194))),"Set next date",""))))))</x:f>
      </x:c>
    </x:row>
    <x:row r="195" ht="26" customHeight="1">
      <x:c r="A195" s="791"/>
      <x:c r="B195" s="791"/>
      <x:c r="C195" s="803" t="str">
        <x:f>IF($A195="","",IF($B195="","",IFERROR(INDEX(Clients!$B$6:$B$205,MATCH($B195,Clients!$A$6:$A$205,0)),"Client ID not found")))</x:f>
      </x:c>
      <x:c r="D195" s="791"/>
      <x:c r="E195" s="791"/>
      <x:c r="F195" s="794"/>
      <x:c r="G195" s="794"/>
      <x:c r="H195" s="803" t="str">
        <x:f>IF($A195="","",IF($N195="Completed","Completed",IF(NOT(ISNUMBER($G195)),"Set next contact",IF($G195&lt;TODAY(),"Overdue",IF($G195=TODAY(),"Due today","Scheduled")))))</x:f>
      </x:c>
      <x:c r="I195" s="791"/>
      <x:c r="J195" s="791"/>
      <x:c r="K195" s="791"/>
      <x:c r="L195" s="791"/>
      <x:c r="M195" s="791"/>
      <x:c r="N195" s="791"/>
      <x:c r="O195" s="803" t="str">
        <x:f>IF($A195="","",IF(COUNTIF($A$6:$A$205,$A195)&gt;1,"Duplicate Care ID",IF(COUNTIF(Clients!$A$6:$A$205,$B195)&lt;&gt;1,"Check Client ID",IF($D195="","Set touchpoint type",IF($N195="","Set task status",IF(AND($N195="Open",NOT(ISNUMBER($G195))),"Set next date",""))))))</x:f>
      </x:c>
    </x:row>
    <x:row r="196" ht="26" customHeight="1">
      <x:c r="A196" s="791"/>
      <x:c r="B196" s="791"/>
      <x:c r="C196" s="803" t="str">
        <x:f>IF($A196="","",IF($B196="","",IFERROR(INDEX(Clients!$B$6:$B$205,MATCH($B196,Clients!$A$6:$A$205,0)),"Client ID not found")))</x:f>
      </x:c>
      <x:c r="D196" s="791"/>
      <x:c r="E196" s="791"/>
      <x:c r="F196" s="794"/>
      <x:c r="G196" s="794"/>
      <x:c r="H196" s="803" t="str">
        <x:f>IF($A196="","",IF($N196="Completed","Completed",IF(NOT(ISNUMBER($G196)),"Set next contact",IF($G196&lt;TODAY(),"Overdue",IF($G196=TODAY(),"Due today","Scheduled")))))</x:f>
      </x:c>
      <x:c r="I196" s="791"/>
      <x:c r="J196" s="791"/>
      <x:c r="K196" s="791"/>
      <x:c r="L196" s="791"/>
      <x:c r="M196" s="791"/>
      <x:c r="N196" s="791"/>
      <x:c r="O196" s="803" t="str">
        <x:f>IF($A196="","",IF(COUNTIF($A$6:$A$205,$A196)&gt;1,"Duplicate Care ID",IF(COUNTIF(Clients!$A$6:$A$205,$B196)&lt;&gt;1,"Check Client ID",IF($D196="","Set touchpoint type",IF($N196="","Set task status",IF(AND($N196="Open",NOT(ISNUMBER($G196))),"Set next date",""))))))</x:f>
      </x:c>
    </x:row>
    <x:row r="197" ht="26" customHeight="1">
      <x:c r="A197" s="791"/>
      <x:c r="B197" s="791"/>
      <x:c r="C197" s="803" t="str">
        <x:f>IF($A197="","",IF($B197="","",IFERROR(INDEX(Clients!$B$6:$B$205,MATCH($B197,Clients!$A$6:$A$205,0)),"Client ID not found")))</x:f>
      </x:c>
      <x:c r="D197" s="791"/>
      <x:c r="E197" s="791"/>
      <x:c r="F197" s="794"/>
      <x:c r="G197" s="794"/>
      <x:c r="H197" s="803" t="str">
        <x:f>IF($A197="","",IF($N197="Completed","Completed",IF(NOT(ISNUMBER($G197)),"Set next contact",IF($G197&lt;TODAY(),"Overdue",IF($G197=TODAY(),"Due today","Scheduled")))))</x:f>
      </x:c>
      <x:c r="I197" s="791"/>
      <x:c r="J197" s="791"/>
      <x:c r="K197" s="791"/>
      <x:c r="L197" s="791"/>
      <x:c r="M197" s="791"/>
      <x:c r="N197" s="791"/>
      <x:c r="O197" s="803" t="str">
        <x:f>IF($A197="","",IF(COUNTIF($A$6:$A$205,$A197)&gt;1,"Duplicate Care ID",IF(COUNTIF(Clients!$A$6:$A$205,$B197)&lt;&gt;1,"Check Client ID",IF($D197="","Set touchpoint type",IF($N197="","Set task status",IF(AND($N197="Open",NOT(ISNUMBER($G197))),"Set next date",""))))))</x:f>
      </x:c>
    </x:row>
    <x:row r="198" ht="26" customHeight="1">
      <x:c r="A198" s="791"/>
      <x:c r="B198" s="791"/>
      <x:c r="C198" s="803" t="str">
        <x:f>IF($A198="","",IF($B198="","",IFERROR(INDEX(Clients!$B$6:$B$205,MATCH($B198,Clients!$A$6:$A$205,0)),"Client ID not found")))</x:f>
      </x:c>
      <x:c r="D198" s="791"/>
      <x:c r="E198" s="791"/>
      <x:c r="F198" s="794"/>
      <x:c r="G198" s="794"/>
      <x:c r="H198" s="803" t="str">
        <x:f>IF($A198="","",IF($N198="Completed","Completed",IF(NOT(ISNUMBER($G198)),"Set next contact",IF($G198&lt;TODAY(),"Overdue",IF($G198=TODAY(),"Due today","Scheduled")))))</x:f>
      </x:c>
      <x:c r="I198" s="791"/>
      <x:c r="J198" s="791"/>
      <x:c r="K198" s="791"/>
      <x:c r="L198" s="791"/>
      <x:c r="M198" s="791"/>
      <x:c r="N198" s="791"/>
      <x:c r="O198" s="803" t="str">
        <x:f>IF($A198="","",IF(COUNTIF($A$6:$A$205,$A198)&gt;1,"Duplicate Care ID",IF(COUNTIF(Clients!$A$6:$A$205,$B198)&lt;&gt;1,"Check Client ID",IF($D198="","Set touchpoint type",IF($N198="","Set task status",IF(AND($N198="Open",NOT(ISNUMBER($G198))),"Set next date",""))))))</x:f>
      </x:c>
    </x:row>
    <x:row r="199" ht="26" customHeight="1">
      <x:c r="A199" s="791"/>
      <x:c r="B199" s="791"/>
      <x:c r="C199" s="803" t="str">
        <x:f>IF($A199="","",IF($B199="","",IFERROR(INDEX(Clients!$B$6:$B$205,MATCH($B199,Clients!$A$6:$A$205,0)),"Client ID not found")))</x:f>
      </x:c>
      <x:c r="D199" s="791"/>
      <x:c r="E199" s="791"/>
      <x:c r="F199" s="794"/>
      <x:c r="G199" s="794"/>
      <x:c r="H199" s="803" t="str">
        <x:f>IF($A199="","",IF($N199="Completed","Completed",IF(NOT(ISNUMBER($G199)),"Set next contact",IF($G199&lt;TODAY(),"Overdue",IF($G199=TODAY(),"Due today","Scheduled")))))</x:f>
      </x:c>
      <x:c r="I199" s="791"/>
      <x:c r="J199" s="791"/>
      <x:c r="K199" s="791"/>
      <x:c r="L199" s="791"/>
      <x:c r="M199" s="791"/>
      <x:c r="N199" s="791"/>
      <x:c r="O199" s="803" t="str">
        <x:f>IF($A199="","",IF(COUNTIF($A$6:$A$205,$A199)&gt;1,"Duplicate Care ID",IF(COUNTIF(Clients!$A$6:$A$205,$B199)&lt;&gt;1,"Check Client ID",IF($D199="","Set touchpoint type",IF($N199="","Set task status",IF(AND($N199="Open",NOT(ISNUMBER($G199))),"Set next date",""))))))</x:f>
      </x:c>
    </x:row>
    <x:row r="200" ht="26" customHeight="1">
      <x:c r="A200" s="791"/>
      <x:c r="B200" s="791"/>
      <x:c r="C200" s="803" t="str">
        <x:f>IF($A200="","",IF($B200="","",IFERROR(INDEX(Clients!$B$6:$B$205,MATCH($B200,Clients!$A$6:$A$205,0)),"Client ID not found")))</x:f>
      </x:c>
      <x:c r="D200" s="791"/>
      <x:c r="E200" s="791"/>
      <x:c r="F200" s="794"/>
      <x:c r="G200" s="794"/>
      <x:c r="H200" s="803" t="str">
        <x:f>IF($A200="","",IF($N200="Completed","Completed",IF(NOT(ISNUMBER($G200)),"Set next contact",IF($G200&lt;TODAY(),"Overdue",IF($G200=TODAY(),"Due today","Scheduled")))))</x:f>
      </x:c>
      <x:c r="I200" s="791"/>
      <x:c r="J200" s="791"/>
      <x:c r="K200" s="791"/>
      <x:c r="L200" s="791"/>
      <x:c r="M200" s="791"/>
      <x:c r="N200" s="791"/>
      <x:c r="O200" s="803" t="str">
        <x:f>IF($A200="","",IF(COUNTIF($A$6:$A$205,$A200)&gt;1,"Duplicate Care ID",IF(COUNTIF(Clients!$A$6:$A$205,$B200)&lt;&gt;1,"Check Client ID",IF($D200="","Set touchpoint type",IF($N200="","Set task status",IF(AND($N200="Open",NOT(ISNUMBER($G200))),"Set next date",""))))))</x:f>
      </x:c>
    </x:row>
    <x:row r="201" ht="26" customHeight="1">
      <x:c r="A201" s="791"/>
      <x:c r="B201" s="791"/>
      <x:c r="C201" s="803" t="str">
        <x:f>IF($A201="","",IF($B201="","",IFERROR(INDEX(Clients!$B$6:$B$205,MATCH($B201,Clients!$A$6:$A$205,0)),"Client ID not found")))</x:f>
      </x:c>
      <x:c r="D201" s="791"/>
      <x:c r="E201" s="791"/>
      <x:c r="F201" s="794"/>
      <x:c r="G201" s="794"/>
      <x:c r="H201" s="803" t="str">
        <x:f>IF($A201="","",IF($N201="Completed","Completed",IF(NOT(ISNUMBER($G201)),"Set next contact",IF($G201&lt;TODAY(),"Overdue",IF($G201=TODAY(),"Due today","Scheduled")))))</x:f>
      </x:c>
      <x:c r="I201" s="791"/>
      <x:c r="J201" s="791"/>
      <x:c r="K201" s="791"/>
      <x:c r="L201" s="791"/>
      <x:c r="M201" s="791"/>
      <x:c r="N201" s="791"/>
      <x:c r="O201" s="803" t="str">
        <x:f>IF($A201="","",IF(COUNTIF($A$6:$A$205,$A201)&gt;1,"Duplicate Care ID",IF(COUNTIF(Clients!$A$6:$A$205,$B201)&lt;&gt;1,"Check Client ID",IF($D201="","Set touchpoint type",IF($N201="","Set task status",IF(AND($N201="Open",NOT(ISNUMBER($G201))),"Set next date",""))))))</x:f>
      </x:c>
    </x:row>
    <x:row r="202" ht="26" customHeight="1">
      <x:c r="A202" s="791"/>
      <x:c r="B202" s="791"/>
      <x:c r="C202" s="803" t="str">
        <x:f>IF($A202="","",IF($B202="","",IFERROR(INDEX(Clients!$B$6:$B$205,MATCH($B202,Clients!$A$6:$A$205,0)),"Client ID not found")))</x:f>
      </x:c>
      <x:c r="D202" s="791"/>
      <x:c r="E202" s="791"/>
      <x:c r="F202" s="794"/>
      <x:c r="G202" s="794"/>
      <x:c r="H202" s="803" t="str">
        <x:f>IF($A202="","",IF($N202="Completed","Completed",IF(NOT(ISNUMBER($G202)),"Set next contact",IF($G202&lt;TODAY(),"Overdue",IF($G202=TODAY(),"Due today","Scheduled")))))</x:f>
      </x:c>
      <x:c r="I202" s="791"/>
      <x:c r="J202" s="791"/>
      <x:c r="K202" s="791"/>
      <x:c r="L202" s="791"/>
      <x:c r="M202" s="791"/>
      <x:c r="N202" s="791"/>
      <x:c r="O202" s="803" t="str">
        <x:f>IF($A202="","",IF(COUNTIF($A$6:$A$205,$A202)&gt;1,"Duplicate Care ID",IF(COUNTIF(Clients!$A$6:$A$205,$B202)&lt;&gt;1,"Check Client ID",IF($D202="","Set touchpoint type",IF($N202="","Set task status",IF(AND($N202="Open",NOT(ISNUMBER($G202))),"Set next date",""))))))</x:f>
      </x:c>
    </x:row>
    <x:row r="203" ht="26" customHeight="1">
      <x:c r="A203" s="791"/>
      <x:c r="B203" s="791"/>
      <x:c r="C203" s="803" t="str">
        <x:f>IF($A203="","",IF($B203="","",IFERROR(INDEX(Clients!$B$6:$B$205,MATCH($B203,Clients!$A$6:$A$205,0)),"Client ID not found")))</x:f>
      </x:c>
      <x:c r="D203" s="791"/>
      <x:c r="E203" s="791"/>
      <x:c r="F203" s="794"/>
      <x:c r="G203" s="794"/>
      <x:c r="H203" s="803" t="str">
        <x:f>IF($A203="","",IF($N203="Completed","Completed",IF(NOT(ISNUMBER($G203)),"Set next contact",IF($G203&lt;TODAY(),"Overdue",IF($G203=TODAY(),"Due today","Scheduled")))))</x:f>
      </x:c>
      <x:c r="I203" s="791"/>
      <x:c r="J203" s="791"/>
      <x:c r="K203" s="791"/>
      <x:c r="L203" s="791"/>
      <x:c r="M203" s="791"/>
      <x:c r="N203" s="791"/>
      <x:c r="O203" s="803" t="str">
        <x:f>IF($A203="","",IF(COUNTIF($A$6:$A$205,$A203)&gt;1,"Duplicate Care ID",IF(COUNTIF(Clients!$A$6:$A$205,$B203)&lt;&gt;1,"Check Client ID",IF($D203="","Set touchpoint type",IF($N203="","Set task status",IF(AND($N203="Open",NOT(ISNUMBER($G203))),"Set next date",""))))))</x:f>
      </x:c>
    </x:row>
    <x:row r="204" ht="26" customHeight="1">
      <x:c r="A204" s="791"/>
      <x:c r="B204" s="791"/>
      <x:c r="C204" s="803" t="str">
        <x:f>IF($A204="","",IF($B204="","",IFERROR(INDEX(Clients!$B$6:$B$205,MATCH($B204,Clients!$A$6:$A$205,0)),"Client ID not found")))</x:f>
      </x:c>
      <x:c r="D204" s="791"/>
      <x:c r="E204" s="791"/>
      <x:c r="F204" s="794"/>
      <x:c r="G204" s="794"/>
      <x:c r="H204" s="803" t="str">
        <x:f>IF($A204="","",IF($N204="Completed","Completed",IF(NOT(ISNUMBER($G204)),"Set next contact",IF($G204&lt;TODAY(),"Overdue",IF($G204=TODAY(),"Due today","Scheduled")))))</x:f>
      </x:c>
      <x:c r="I204" s="791"/>
      <x:c r="J204" s="791"/>
      <x:c r="K204" s="791"/>
      <x:c r="L204" s="791"/>
      <x:c r="M204" s="791"/>
      <x:c r="N204" s="791"/>
      <x:c r="O204" s="803" t="str">
        <x:f>IF($A204="","",IF(COUNTIF($A$6:$A$205,$A204)&gt;1,"Duplicate Care ID",IF(COUNTIF(Clients!$A$6:$A$205,$B204)&lt;&gt;1,"Check Client ID",IF($D204="","Set touchpoint type",IF($N204="","Set task status",IF(AND($N204="Open",NOT(ISNUMBER($G204))),"Set next date",""))))))</x:f>
      </x:c>
    </x:row>
    <x:row r="205" ht="26" customHeight="1">
      <x:c r="A205" s="791"/>
      <x:c r="B205" s="791"/>
      <x:c r="C205" s="803" t="str">
        <x:f>IF($A205="","",IF($B205="","",IFERROR(INDEX(Clients!$B$6:$B$205,MATCH($B205,Clients!$A$6:$A$205,0)),"Client ID not found")))</x:f>
      </x:c>
      <x:c r="D205" s="791"/>
      <x:c r="E205" s="791"/>
      <x:c r="F205" s="794"/>
      <x:c r="G205" s="794"/>
      <x:c r="H205" s="803" t="str">
        <x:f>IF($A205="","",IF($N205="Completed","Completed",IF(NOT(ISNUMBER($G205)),"Set next contact",IF($G205&lt;TODAY(),"Overdue",IF($G205=TODAY(),"Due today","Scheduled")))))</x:f>
      </x:c>
      <x:c r="I205" s="791"/>
      <x:c r="J205" s="791"/>
      <x:c r="K205" s="791"/>
      <x:c r="L205" s="791"/>
      <x:c r="M205" s="791"/>
      <x:c r="N205" s="791"/>
      <x:c r="O205" s="803" t="str">
        <x:f>IF($A205="","",IF(COUNTIF($A$6:$A$205,$A205)&gt;1,"Duplicate Care ID",IF(COUNTIF(Clients!$A$6:$A$205,$B205)&lt;&gt;1,"Check Client ID",IF($D205="","Set touchpoint type",IF($N205="","Set task status",IF(AND($N205="Open",NOT(ISNUMBER($G205))),"Set next date",""))))))</x:f>
      </x:c>
    </x:row>
  </x:sheetData>
  <x:mergeCells>
    <x:mergeCell ref="A1:O1"/>
    <x:mergeCell ref="A2:O2"/>
    <x:mergeCell ref="A3:O3"/>
    <x:mergeCell ref="A4:E4"/>
    <x:mergeCell ref="F4:I4"/>
    <x:mergeCell ref="J4:O4"/>
  </x:mergeCells>
  <x:conditionalFormatting sqref="H6:H205">
    <x:cfRule type="expression" dxfId="54" priority="1">
      <x:formula>AND($A6&lt;&gt;"",OR($H6="Overdue",$H6="Due today"))</x:formula>
    </x:cfRule>
  </x:conditionalFormatting>
  <x:dataValidations count="4">
    <x:dataValidation type="list" sqref="D6:D205">
      <x:formula1>"Lease renewal,Post-sale check-in,Post-rental check-in,Referral request,Investor update,Property opportunity,Client birthday,Other"</x:formula1>
    </x:dataValidation>
    <x:dataValidation type="list" sqref="I6:I205">
      <x:formula1>"New client,Active prospect,Closed buyer,Closed tenant,Landlord,Seller,Investor,Referral partner,Past client"</x:formula1>
    </x:dataValidation>
    <x:dataValidation type="list" sqref="J6:J205">
      <x:formula1>"Not requested,Requested,Introduced,Qualified referral,Converted referral,Declined"</x:formula1>
    </x:dataValidation>
    <x:dataValidation type="list" sqref="N6:N205">
      <x:formula1>"Open,Completed,Deferred,Cancelled"</x:formula1>
    </x:dataValidation>
  </x:dataValidations>
  <x:pageMargins left="0.7" right="0.7" top="0.75" bottom="0.75" header="0.3" footer="0.3"/>
</x:worksheet>
</file>

<file path=xl/worksheets/sheet17.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22" hidden="0" customWidth="1"/>
    <x:col min="2" max="2" width="12" hidden="0" customWidth="1"/>
    <x:col min="3" max="3" width="12" hidden="0" customWidth="1"/>
    <x:col min="4" max="4" width="17" hidden="0" customWidth="1"/>
    <x:col min="5" max="5" width="17" hidden="0" customWidth="1"/>
    <x:col min="6" max="6" width="16" hidden="0" customWidth="1"/>
    <x:col min="7" max="7" width="4" hidden="0" customWidth="1"/>
    <x:col min="8" max="8" width="23" hidden="0" customWidth="1"/>
    <x:col min="9" max="9" width="11" hidden="0" customWidth="1"/>
    <x:col min="10" max="10" width="11" hidden="0" customWidth="1"/>
    <x:col min="11" max="11" width="15" hidden="0" customWidth="1"/>
    <x:col min="12" max="12" width="17" hidden="0" customWidth="1"/>
    <x:col min="13" max="13" width="15" hidden="0" customWidth="1"/>
    <x:col min="14" max="14" width="17" hidden="0" customWidth="1"/>
  </x:cols>
  <x:sheetData>
    <x:row r="1" ht="40" customHeight="1">
      <x:c r="A1" s="806" t="str">
        <x:v>KEYS WITH SIMONI   |   CRM INTELLIGENCE</x:v>
      </x:c>
      <x:c r="B1" s="806"/>
      <x:c r="C1" s="806"/>
      <x:c r="D1" s="806"/>
      <x:c r="E1" s="806"/>
      <x:c r="F1" s="806"/>
      <x:c r="G1" s="806"/>
      <x:c r="H1" s="806"/>
      <x:c r="I1" s="806"/>
      <x:c r="J1" s="806"/>
      <x:c r="K1" s="806"/>
      <x:c r="L1" s="806"/>
      <x:c r="M1" s="806"/>
      <x:c r="N1" s="806"/>
    </x:row>
    <x:row r="2" ht="30" customHeight="1">
      <x:c r="A2" s="808" t="str">
        <x:v>Live qualification, pipeline, lost-lead and relationship indicators  •  Data comes from existing tracker sheets</x:v>
      </x:c>
      <x:c r="B2" s="808"/>
      <x:c r="C2" s="808"/>
      <x:c r="D2" s="808"/>
      <x:c r="E2" s="808"/>
      <x:c r="F2" s="808"/>
      <x:c r="G2" s="808"/>
      <x:c r="H2" s="808"/>
      <x:c r="I2" s="808"/>
      <x:c r="J2" s="808"/>
      <x:c r="K2" s="808"/>
      <x:c r="L2" s="808"/>
      <x:c r="M2" s="808"/>
      <x:c r="N2" s="808"/>
    </x:row>
    <x:row r="4" ht="28" customHeight="1">
      <x:c r="A4" s="810" t="str">
        <x:v>HOT / PRIORITY LEADS</x:v>
      </x:c>
      <x:c r="B4" s="810"/>
      <x:c r="C4" s="810"/>
      <x:c r="D4" s="810"/>
      <x:c r="E4" s="810" t="str">
        <x:v>WARM LEADS</x:v>
      </x:c>
      <x:c r="F4" s="810"/>
      <x:c r="H4" s="810" t="str">
        <x:v>QUALIFICATION TO REVIEW</x:v>
      </x:c>
      <x:c r="I4" s="810"/>
      <x:c r="J4" s="810"/>
      <x:c r="K4" s="810"/>
      <x:c r="L4" s="810" t="str">
        <x:v>CLIENT CARE DUE</x:v>
      </x:c>
      <x:c r="M4" s="810"/>
      <x:c r="N4" s="810"/>
    </x:row>
    <x:row r="5" ht="30" customHeight="1">
      <x:c r="A5" s="814" t="n">
        <x:f>COUNTIF(Clients!$AM$6:$AM$205,"Hot")</x:f>
        <x:v>0</x:v>
      </x:c>
      <x:c r="B5" s="814"/>
      <x:c r="C5" s="814"/>
      <x:c r="D5" s="814"/>
      <x:c r="E5" s="814" t="n">
        <x:f>COUNTIF(Clients!$AM$6:$AM$205,"Warm")</x:f>
        <x:v>0</x:v>
      </x:c>
      <x:c r="F5" s="814"/>
      <x:c r="H5" s="814" t="n">
        <x:f>COUNTIFS(Clients!$A$6:$A$205,"&lt;&gt;",Clients!$AN$6:$AN$205,"")</x:f>
        <x:v>0</x:v>
      </x:c>
      <x:c r="I5" s="814"/>
      <x:c r="J5" s="814"/>
      <x:c r="K5" s="814"/>
      <x:c r="L5" s="814" t="n">
        <x:f>COUNTIF('Client care'!$H$6:$H$205,"Overdue")+COUNTIF('Client care'!$H$6:$H$205,"Due today")</x:f>
        <x:v>0</x:v>
      </x:c>
      <x:c r="M5" s="814"/>
      <x:c r="N5" s="814"/>
    </x:row>
    <x:row r="6" ht="30" customHeight="1">
      <x:c r="A6" s="814"/>
      <x:c r="B6" s="814"/>
      <x:c r="C6" s="814"/>
      <x:c r="D6" s="814"/>
      <x:c r="E6" s="814"/>
      <x:c r="F6" s="814"/>
      <x:c r="H6" s="814"/>
      <x:c r="I6" s="814"/>
      <x:c r="J6" s="814"/>
      <x:c r="K6" s="814"/>
      <x:c r="L6" s="814"/>
      <x:c r="M6" s="814"/>
      <x:c r="N6" s="814"/>
    </x:row>
    <x:row r="8" ht="24" customHeight="1">
      <x:c r="A8" s="783" t="str">
        <x:v>ACTIVE DEALS BY PIPELINE</x:v>
      </x:c>
      <x:c r="B8" s="783"/>
      <x:c r="C8" s="783"/>
      <x:c r="D8" s="783"/>
      <x:c r="E8" s="783"/>
      <x:c r="F8" s="783"/>
      <x:c r="H8" s="783" t="str">
        <x:v>WHY LEADS ARE LOST</x:v>
      </x:c>
      <x:c r="I8" s="783"/>
      <x:c r="J8" s="783"/>
      <x:c r="K8" s="783"/>
      <x:c r="L8" s="783" t="str">
        <x:v>LEAD QUALITY TIERS</x:v>
      </x:c>
      <x:c r="M8" s="783"/>
      <x:c r="N8" s="783"/>
    </x:row>
    <x:row r="9" ht="27" customHeight="1">
      <x:c r="A9" s="815" t="str">
        <x:v>Pipeline</x:v>
      </x:c>
      <x:c r="B9" s="815"/>
      <x:c r="C9" s="815"/>
      <x:c r="D9" s="815" t="str">
        <x:v>Active</x:v>
      </x:c>
      <x:c r="E9" s="815" t="str">
        <x:v>Due action</x:v>
      </x:c>
      <x:c r="F9" s="815" t="str">
        <x:v>Completed</x:v>
      </x:c>
      <x:c r="H9" s="815" t="str">
        <x:v>Lost reason</x:v>
      </x:c>
      <x:c r="I9" s="815"/>
      <x:c r="J9" s="815"/>
      <x:c r="K9" s="815" t="str">
        <x:v>Count</x:v>
      </x:c>
      <x:c r="L9" s="815" t="str">
        <x:v>Lead tier</x:v>
      </x:c>
      <x:c r="M9" s="815"/>
      <x:c r="N9" s="815" t="str">
        <x:v>Leads</x:v>
      </x:c>
    </x:row>
    <x:row r="10" ht="27" customHeight="1">
      <x:c r="A10" s="816" t="str">
        <x:v>Off-plan sale</x:v>
      </x:c>
      <x:c r="B10" s="816"/>
      <x:c r="C10" s="816"/>
      <x:c r="D10" s="816" t="n">
        <x:f>COUNTIFS(Deals!$A$6:$A$205,"&lt;&gt;",Deals!$AC$6:$AC$205,$A10,Deals!$E$6:$E$205,"&lt;&gt;Completed",Deals!$E$6:$E$205,"&lt;&gt;Cancelled")</x:f>
        <x:v>0</x:v>
      </x:c>
      <x:c r="E10" s="816" t="n">
        <x:f>COUNTIFS(Deals!$A$6:$A$205,"&lt;&gt;",Deals!$AC$6:$AC$205,$A10,Deals!$AG$6:$AG$205,"&gt;0",Deals!$AG$6:$AG$205,"&lt;"&amp;TODAY(),Deals!$E$6:$E$205,"&lt;&gt;Completed",Deals!$E$6:$E$205,"&lt;&gt;Cancelled")</x:f>
        <x:v>0</x:v>
      </x:c>
      <x:c r="F10" s="816" t="n">
        <x:f>COUNTIFS(Deals!$A$6:$A$205,"&lt;&gt;",Deals!$AC$6:$AC$205,$A10,Deals!$E$6:$E$205,"Completed")</x:f>
        <x:v>0</x:v>
      </x:c>
      <x:c r="H10" s="816" t="str">
        <x:v>Budget</x:v>
      </x:c>
      <x:c r="I10" s="816"/>
      <x:c r="J10" s="816"/>
      <x:c r="K10" s="842" t="n">
        <x:f>COUNTIFS(Clients!$H$6:$H$205,"Lost",Clients!$Y$6:$Y$205,H10)</x:f>
        <x:v>0</x:v>
      </x:c>
      <x:c r="L10" s="842" t="str">
        <x:v>Hot</x:v>
      </x:c>
      <x:c r="M10" s="842"/>
      <x:c r="N10" s="842" t="n">
        <x:f>COUNTIF(Clients!$AM$6:$AM$205,L10)</x:f>
        <x:v>0</x:v>
      </x:c>
    </x:row>
    <x:row r="11" ht="27" customHeight="1">
      <x:c r="A11" s="790" t="str">
        <x:v>Secondary sale</x:v>
      </x:c>
      <x:c r="B11" s="790"/>
      <x:c r="C11" s="790"/>
      <x:c r="D11" s="790" t="n">
        <x:f>COUNTIFS(Deals!$A$6:$A$205,"&lt;&gt;",Deals!$AC$6:$AC$205,$A11,Deals!$E$6:$E$205,"&lt;&gt;Completed",Deals!$E$6:$E$205,"&lt;&gt;Cancelled")</x:f>
        <x:v>0</x:v>
      </x:c>
      <x:c r="E11" s="790" t="n">
        <x:f>COUNTIFS(Deals!$A$6:$A$205,"&lt;&gt;",Deals!$AC$6:$AC$205,$A11,Deals!$AG$6:$AG$205,"&gt;0",Deals!$AG$6:$AG$205,"&lt;"&amp;TODAY(),Deals!$E$6:$E$205,"&lt;&gt;Completed",Deals!$E$6:$E$205,"&lt;&gt;Cancelled")</x:f>
        <x:v>0</x:v>
      </x:c>
      <x:c r="F11" s="790" t="n">
        <x:f>COUNTIFS(Deals!$A$6:$A$205,"&lt;&gt;",Deals!$AC$6:$AC$205,$A11,Deals!$E$6:$E$205,"Completed")</x:f>
        <x:v>0</x:v>
      </x:c>
      <x:c r="H11" s="790" t="str">
        <x:v>Price</x:v>
      </x:c>
      <x:c r="I11" s="790"/>
      <x:c r="J11" s="790"/>
      <x:c r="K11" s="843" t="n">
        <x:f>COUNTIFS(Clients!$H$6:$H$205,"Lost",Clients!$Y$6:$Y$205,H11)</x:f>
        <x:v>0</x:v>
      </x:c>
      <x:c r="L11" s="843" t="str">
        <x:v>Warm</x:v>
      </x:c>
      <x:c r="M11" s="843"/>
      <x:c r="N11" s="843" t="n">
        <x:f>COUNTIF(Clients!$AM$6:$AM$205,L11)</x:f>
        <x:v>0</x:v>
      </x:c>
    </x:row>
    <x:row r="12" ht="27" customHeight="1">
      <x:c r="A12" s="816" t="str">
        <x:v>Residential rental</x:v>
      </x:c>
      <x:c r="B12" s="816"/>
      <x:c r="C12" s="816"/>
      <x:c r="D12" s="816" t="n">
        <x:f>COUNTIFS(Deals!$A$6:$A$205,"&lt;&gt;",Deals!$AC$6:$AC$205,$A12,Deals!$E$6:$E$205,"&lt;&gt;Completed",Deals!$E$6:$E$205,"&lt;&gt;Cancelled")</x:f>
        <x:v>0</x:v>
      </x:c>
      <x:c r="E12" s="816" t="n">
        <x:f>COUNTIFS(Deals!$A$6:$A$205,"&lt;&gt;",Deals!$AC$6:$AC$205,$A12,Deals!$AG$6:$AG$205,"&gt;0",Deals!$AG$6:$AG$205,"&lt;"&amp;TODAY(),Deals!$E$6:$E$205,"&lt;&gt;Completed",Deals!$E$6:$E$205,"&lt;&gt;Cancelled")</x:f>
        <x:v>0</x:v>
      </x:c>
      <x:c r="F12" s="816" t="n">
        <x:f>COUNTIFS(Deals!$A$6:$A$205,"&lt;&gt;",Deals!$AC$6:$AC$205,$A12,Deals!$E$6:$E$205,"Completed")</x:f>
        <x:v>0</x:v>
      </x:c>
      <x:c r="H12" s="816" t="str">
        <x:v>Location</x:v>
      </x:c>
      <x:c r="I12" s="816"/>
      <x:c r="J12" s="816"/>
      <x:c r="K12" s="842" t="n">
        <x:f>COUNTIFS(Clients!$H$6:$H$205,"Lost",Clients!$Y$6:$Y$205,H12)</x:f>
        <x:v>0</x:v>
      </x:c>
      <x:c r="L12" s="842" t="str">
        <x:v>Nurture</x:v>
      </x:c>
      <x:c r="M12" s="842"/>
      <x:c r="N12" s="842" t="n">
        <x:f>COUNTIF(Clients!$AM$6:$AM$205,L12)</x:f>
        <x:v>0</x:v>
      </x:c>
    </x:row>
    <x:row r="13" ht="27" customHeight="1">
      <x:c r="A13" s="790" t="str">
        <x:v>Commercial sale</x:v>
      </x:c>
      <x:c r="B13" s="790"/>
      <x:c r="C13" s="790"/>
      <x:c r="D13" s="790" t="n">
        <x:f>COUNTIFS(Deals!$A$6:$A$205,"&lt;&gt;",Deals!$AC$6:$AC$205,$A13,Deals!$E$6:$E$205,"&lt;&gt;Completed",Deals!$E$6:$E$205,"&lt;&gt;Cancelled")</x:f>
        <x:v>0</x:v>
      </x:c>
      <x:c r="E13" s="790" t="n">
        <x:f>COUNTIFS(Deals!$A$6:$A$205,"&lt;&gt;",Deals!$AC$6:$AC$205,$A13,Deals!$AG$6:$AG$205,"&gt;0",Deals!$AG$6:$AG$205,"&lt;"&amp;TODAY(),Deals!$E$6:$E$205,"&lt;&gt;Completed",Deals!$E$6:$E$205,"&lt;&gt;Cancelled")</x:f>
        <x:v>0</x:v>
      </x:c>
      <x:c r="F13" s="790" t="n">
        <x:f>COUNTIFS(Deals!$A$6:$A$205,"&lt;&gt;",Deals!$AC$6:$AC$205,$A13,Deals!$E$6:$E$205,"Completed")</x:f>
        <x:v>0</x:v>
      </x:c>
      <x:c r="H13" s="790" t="str">
        <x:v>Financing</x:v>
      </x:c>
      <x:c r="I13" s="790"/>
      <x:c r="J13" s="790"/>
      <x:c r="K13" s="843" t="n">
        <x:f>COUNTIFS(Clients!$H$6:$H$205,"Lost",Clients!$Y$6:$Y$205,H13)</x:f>
        <x:v>0</x:v>
      </x:c>
      <x:c r="L13" s="843" t="str">
        <x:v>Converted</x:v>
      </x:c>
      <x:c r="M13" s="843"/>
      <x:c r="N13" s="843" t="n">
        <x:f>COUNTIF(Clients!$AM$6:$AM$205,L13)</x:f>
        <x:v>0</x:v>
      </x:c>
    </x:row>
    <x:row r="14" ht="27" customHeight="1">
      <x:c r="A14" s="816" t="str">
        <x:v>Commercial rental</x:v>
      </x:c>
      <x:c r="B14" s="816"/>
      <x:c r="C14" s="816"/>
      <x:c r="D14" s="816" t="n">
        <x:f>COUNTIFS(Deals!$A$6:$A$205,"&lt;&gt;",Deals!$AC$6:$AC$205,$A14,Deals!$E$6:$E$205,"&lt;&gt;Completed",Deals!$E$6:$E$205,"&lt;&gt;Cancelled")</x:f>
        <x:v>0</x:v>
      </x:c>
      <x:c r="E14" s="816" t="n">
        <x:f>COUNTIFS(Deals!$A$6:$A$205,"&lt;&gt;",Deals!$AC$6:$AC$205,$A14,Deals!$AG$6:$AG$205,"&gt;0",Deals!$AG$6:$AG$205,"&lt;"&amp;TODAY(),Deals!$E$6:$E$205,"&lt;&gt;Completed",Deals!$E$6:$E$205,"&lt;&gt;Cancelled")</x:f>
        <x:v>0</x:v>
      </x:c>
      <x:c r="F14" s="816" t="n">
        <x:f>COUNTIFS(Deals!$A$6:$A$205,"&lt;&gt;",Deals!$AC$6:$AC$205,$A14,Deals!$E$6:$E$205,"Completed")</x:f>
        <x:v>0</x:v>
      </x:c>
      <x:c r="H14" s="816" t="str">
        <x:v>Timing</x:v>
      </x:c>
      <x:c r="I14" s="816"/>
      <x:c r="J14" s="816"/>
      <x:c r="K14" s="842" t="n">
        <x:f>COUNTIFS(Clients!$H$6:$H$205,"Lost",Clients!$Y$6:$Y$205,H14)</x:f>
        <x:v>0</x:v>
      </x:c>
      <x:c r="L14" s="842" t="str">
        <x:v>Lost</x:v>
      </x:c>
      <x:c r="M14" s="842"/>
      <x:c r="N14" s="842" t="n">
        <x:f>COUNTIF(Clients!$AM$6:$AM$205,L14)</x:f>
        <x:v>0</x:v>
      </x:c>
    </x:row>
    <x:row r="15" ht="25" customHeight="1">
      <x:c r="A15" s="790" t="str">
        <x:v>Landlord acquisition</x:v>
      </x:c>
      <x:c r="B15" s="790"/>
      <x:c r="C15" s="790"/>
      <x:c r="D15" s="790" t="n">
        <x:f>COUNTIFS(Deals!$A$6:$A$205,"&lt;&gt;",Deals!$AC$6:$AC$205,$A15,Deals!$E$6:$E$205,"&lt;&gt;Completed",Deals!$E$6:$E$205,"&lt;&gt;Cancelled")</x:f>
        <x:v>0</x:v>
      </x:c>
      <x:c r="E15" s="790" t="n">
        <x:f>COUNTIFS(Deals!$A$6:$A$205,"&lt;&gt;",Deals!$AC$6:$AC$205,$A15,Deals!$AG$6:$AG$205,"&gt;0",Deals!$AG$6:$AG$205,"&lt;"&amp;TODAY(),Deals!$E$6:$E$205,"&lt;&gt;Completed",Deals!$E$6:$E$205,"&lt;&gt;Cancelled")</x:f>
        <x:v>0</x:v>
      </x:c>
      <x:c r="F15" s="790" t="n">
        <x:f>COUNTIFS(Deals!$A$6:$A$205,"&lt;&gt;",Deals!$AC$6:$AC$205,$A15,Deals!$E$6:$E$205,"Completed")</x:f>
        <x:v>0</x:v>
      </x:c>
      <x:c r="H15" s="790" t="str">
        <x:v>Competition</x:v>
      </x:c>
      <x:c r="I15" s="790"/>
      <x:c r="J15" s="790"/>
      <x:c r="K15" s="843" t="n">
        <x:f>COUNTIFS(Clients!$H$6:$H$205,"Lost",Clients!$Y$6:$Y$205,H15)</x:f>
        <x:v>0</x:v>
      </x:c>
    </x:row>
    <x:row r="16" ht="25" customHeight="1">
      <x:c r="H16" s="816" t="str">
        <x:v>No response</x:v>
      </x:c>
      <x:c r="I16" s="816"/>
      <x:c r="J16" s="816"/>
      <x:c r="K16" s="842" t="n">
        <x:f>COUNTIFS(Clients!$H$6:$H$205,"Lost",Clients!$Y$6:$Y$205,H16)</x:f>
        <x:v>0</x:v>
      </x:c>
    </x:row>
    <x:row r="17" ht="25" customHeight="1">
      <x:c r="H17" s="790" t="str">
        <x:v>Property quality</x:v>
      </x:c>
      <x:c r="I17" s="790"/>
      <x:c r="J17" s="790"/>
      <x:c r="K17" s="843" t="n">
        <x:f>COUNTIFS(Clients!$H$6:$H$205,"Lost",Clients!$Y$6:$Y$205,H17)</x:f>
        <x:v>0</x:v>
      </x:c>
    </x:row>
    <x:row r="18" ht="25" customHeight="1">
      <x:c r="H18" s="816" t="str">
        <x:v>Changed plans</x:v>
      </x:c>
      <x:c r="I18" s="816"/>
      <x:c r="J18" s="816"/>
      <x:c r="K18" s="842" t="n">
        <x:f>COUNTIFS(Clients!$H$6:$H$205,"Lost",Clients!$Y$6:$Y$205,H18)</x:f>
        <x:v>0</x:v>
      </x:c>
    </x:row>
    <x:row r="19" ht="25" customHeight="1">
      <x:c r="H19" s="790" t="str">
        <x:v>Other</x:v>
      </x:c>
      <x:c r="I19" s="790"/>
      <x:c r="J19" s="790"/>
      <x:c r="K19" s="843" t="n">
        <x:f>COUNTIFS(Clients!$H$6:$H$205,"Lost",Clients!$Y$6:$Y$205,H19)</x:f>
        <x:v>0</x:v>
      </x:c>
    </x:row>
    <x:row r="20" ht="25" customHeight="1">
      <x:c r="H20" s="816" t="str">
        <x:v>Reason missing</x:v>
      </x:c>
      <x:c r="I20" s="816"/>
      <x:c r="J20" s="816"/>
      <x:c r="K20" s="842" t="n">
        <x:f>COUNTIFS(Clients!$H$6:$H$205,"Lost",Clients!$Y$6:$Y$205,"")</x:f>
        <x:v>0</x:v>
      </x:c>
    </x:row>
    <x:row r="23" ht="24" customHeight="1">
      <x:c r="A23" s="783" t="str">
        <x:v>OPPORTUNITIES REQUIRING ATTENTION</x:v>
      </x:c>
      <x:c r="B23" s="783"/>
      <x:c r="C23" s="783"/>
      <x:c r="D23" s="783"/>
      <x:c r="E23" s="783"/>
      <x:c r="F23" s="783"/>
      <x:c r="G23" s="783"/>
      <x:c r="H23" s="783"/>
      <x:c r="I23" s="783"/>
      <x:c r="J23" s="783"/>
      <x:c r="K23" s="783"/>
      <x:c r="L23" s="783"/>
      <x:c r="M23" s="783"/>
      <x:c r="N23" s="783"/>
    </x:row>
    <x:row r="24" ht="28" customHeight="1">
      <x:c r="A24" s="809" t="str">
        <x:v>Lost enquiries</x:v>
      </x:c>
      <x:c r="B24" s="809"/>
      <x:c r="C24" s="809"/>
      <x:c r="D24" s="809"/>
      <x:c r="E24" s="809" t="str">
        <x:v>Cancelled deals</x:v>
      </x:c>
      <x:c r="F24" s="809"/>
      <x:c r="H24" s="809" t="str">
        <x:v>Re-engagement due</x:v>
      </x:c>
      <x:c r="I24" s="809"/>
      <x:c r="J24" s="809"/>
      <x:c r="K24" s="809"/>
      <x:c r="L24" s="809" t="str">
        <x:v>Conversation actions due</x:v>
      </x:c>
      <x:c r="M24" s="809"/>
      <x:c r="N24" s="809"/>
    </x:row>
    <x:row r="25" ht="29" customHeight="1">
      <x:c r="A25" s="820" t="n">
        <x:f>COUNTIF(Clients!$H$6:$H$205,"Lost")</x:f>
        <x:v>0</x:v>
      </x:c>
      <x:c r="B25" s="820"/>
      <x:c r="C25" s="820"/>
      <x:c r="D25" s="820"/>
      <x:c r="E25" s="820" t="n">
        <x:f>COUNTIF(Deals!$E$6:$E$205,"Cancelled")</x:f>
        <x:v>0</x:v>
      </x:c>
      <x:c r="F25" s="820"/>
      <x:c r="H25" s="820" t="n">
        <x:f>COUNTIFS(Clients!$A$6:$A$205,"&lt;&gt;",Clients!$AS$6:$AS$205,"Yes",Clients!$AQ$6:$AQ$205,"&gt;0",Clients!$AQ$6:$AQ$205,"&lt;="&amp;TODAY())</x:f>
        <x:v>0</x:v>
      </x:c>
      <x:c r="I25" s="820"/>
      <x:c r="J25" s="820"/>
      <x:c r="K25" s="820"/>
      <x:c r="L25" s="820" t="n">
        <x:f>COUNTIFS('Interaction log'!$N$6:$N$205,"Open",'Interaction log'!$M$6:$M$205,"&gt;0",'Interaction log'!$M$6:$M$205,"&lt;="&amp;TODAY())</x:f>
        <x:v>0</x:v>
      </x:c>
      <x:c r="M25" s="820"/>
      <x:c r="N25" s="820"/>
    </x:row>
    <x:row r="26" ht="29" customHeight="1">
      <x:c r="A26" s="820"/>
      <x:c r="B26" s="820"/>
      <x:c r="C26" s="820"/>
      <x:c r="D26" s="820"/>
      <x:c r="E26" s="820"/>
      <x:c r="F26" s="820"/>
      <x:c r="H26" s="820"/>
      <x:c r="I26" s="820"/>
      <x:c r="J26" s="820"/>
      <x:c r="K26" s="820"/>
      <x:c r="L26" s="820"/>
      <x:c r="M26" s="820"/>
      <x:c r="N26" s="820"/>
    </x:row>
    <x:row r="29" ht="24" customHeight="1">
      <x:c r="A29" s="783" t="str">
        <x:v>WORKFLOW   |   DO THIS DAILY</x:v>
      </x:c>
      <x:c r="B29" s="783"/>
      <x:c r="C29" s="783"/>
      <x:c r="D29" s="783"/>
      <x:c r="E29" s="783"/>
      <x:c r="F29" s="783"/>
      <x:c r="G29" s="783"/>
      <x:c r="H29" s="783"/>
      <x:c r="I29" s="783"/>
      <x:c r="J29" s="783"/>
      <x:c r="K29" s="783"/>
      <x:c r="L29" s="783"/>
      <x:c r="M29" s="783"/>
      <x:c r="N29" s="783"/>
    </x:row>
    <x:row r="31" ht="28" customHeight="1">
      <x:c r="A31" s="823" t="str">
        <x:v>01   Qualify new enquiries in Clients (AB:AK) and set Last qualified (AN). AL:AM score them automatically.</x:v>
      </x:c>
      <x:c r="B31" s="823"/>
      <x:c r="C31" s="823"/>
      <x:c r="D31" s="823"/>
      <x:c r="E31" s="823"/>
      <x:c r="F31" s="823"/>
      <x:c r="G31" s="823"/>
      <x:c r="H31" s="823"/>
      <x:c r="I31" s="823"/>
      <x:c r="J31" s="823"/>
      <x:c r="K31" s="823"/>
      <x:c r="L31" s="823"/>
      <x:c r="M31" s="823"/>
      <x:c r="N31" s="823"/>
    </x:row>
    <x:row r="32" ht="28" customHeight="1">
      <x:c r="A32" s="791" t="str">
        <x:v>02   Record important calls, WhatsApp conversations and objections in Interaction log.</x:v>
      </x:c>
      <x:c r="B32" s="791"/>
      <x:c r="C32" s="791"/>
      <x:c r="D32" s="791"/>
      <x:c r="E32" s="791"/>
      <x:c r="F32" s="791"/>
      <x:c r="G32" s="791"/>
      <x:c r="H32" s="791"/>
      <x:c r="I32" s="791"/>
      <x:c r="J32" s="791"/>
      <x:c r="K32" s="791"/>
      <x:c r="L32" s="791"/>
      <x:c r="M32" s="791"/>
      <x:c r="N32" s="791"/>
    </x:row>
    <x:row r="33" ht="28" customHeight="1">
      <x:c r="A33" s="823" t="str">
        <x:v>03   Track deal type, milestones, blockers and next actions in Deals (AC:AH).</x:v>
      </x:c>
      <x:c r="B33" s="823"/>
      <x:c r="C33" s="823"/>
      <x:c r="D33" s="823"/>
      <x:c r="E33" s="823"/>
      <x:c r="F33" s="823"/>
      <x:c r="G33" s="823"/>
      <x:c r="H33" s="823"/>
      <x:c r="I33" s="823"/>
      <x:c r="J33" s="823"/>
      <x:c r="K33" s="823"/>
      <x:c r="L33" s="823"/>
      <x:c r="M33" s="823"/>
      <x:c r="N33" s="823"/>
    </x:row>
    <x:row r="34" ht="28" customHeight="1">
      <x:c r="A34" s="791" t="str">
        <x:v>04   Mark a lost lead in Clients (H = Lost), choose its loss reason (Y), and optionally set re-engagement dates.</x:v>
      </x:c>
      <x:c r="B34" s="791"/>
      <x:c r="C34" s="791"/>
      <x:c r="D34" s="791"/>
      <x:c r="E34" s="791"/>
      <x:c r="F34" s="791"/>
      <x:c r="G34" s="791"/>
      <x:c r="H34" s="791"/>
      <x:c r="I34" s="791"/>
      <x:c r="J34" s="791"/>
      <x:c r="K34" s="791"/>
      <x:c r="L34" s="791"/>
      <x:c r="M34" s="791"/>
      <x:c r="N34" s="791"/>
    </x:row>
    <x:row r="35" ht="28" customHeight="1">
      <x:c r="A35" s="823" t="str">
        <x:v>05   After closing, schedule renewal, referral, client care and investor check-ins in Client care.</x:v>
      </x:c>
      <x:c r="B35" s="823"/>
      <x:c r="C35" s="823"/>
      <x:c r="D35" s="823"/>
      <x:c r="E35" s="823"/>
      <x:c r="F35" s="823"/>
      <x:c r="G35" s="823"/>
      <x:c r="H35" s="823"/>
      <x:c r="I35" s="823"/>
      <x:c r="J35" s="823"/>
      <x:c r="K35" s="823"/>
      <x:c r="L35" s="823"/>
      <x:c r="M35" s="823"/>
      <x:c r="N35" s="823"/>
    </x:row>
    <x:row r="36" ht="28" customHeight="1">
      <x:c r="A36" s="791" t="str">
        <x:v>NOTE   Due alerts update in Excel when opened/recalculated. This workbook does NOT send automatic messages or push notifications.</x:v>
      </x:c>
      <x:c r="B36" s="791"/>
      <x:c r="C36" s="791"/>
      <x:c r="D36" s="791"/>
      <x:c r="E36" s="791"/>
      <x:c r="F36" s="791"/>
      <x:c r="G36" s="791"/>
      <x:c r="H36" s="791"/>
      <x:c r="I36" s="791"/>
      <x:c r="J36" s="791"/>
      <x:c r="K36" s="791"/>
      <x:c r="L36" s="791"/>
      <x:c r="M36" s="791"/>
      <x:c r="N36" s="791"/>
    </x:row>
  </x:sheetData>
  <x:mergeCells>
    <x:mergeCell ref="A1:N1"/>
    <x:mergeCell ref="A2:N2"/>
    <x:mergeCell ref="A4:D4"/>
    <x:mergeCell ref="A5:D6"/>
    <x:mergeCell ref="E4:F4"/>
    <x:mergeCell ref="E5:F6"/>
    <x:mergeCell ref="H4:K4"/>
    <x:mergeCell ref="H5:K6"/>
    <x:mergeCell ref="L4:N4"/>
    <x:mergeCell ref="L5:N6"/>
    <x:mergeCell ref="A8:F8"/>
    <x:mergeCell ref="H8:K8"/>
    <x:mergeCell ref="L8:N8"/>
    <x:mergeCell ref="A9:C9"/>
    <x:mergeCell ref="H9:J9"/>
    <x:mergeCell ref="L9:M9"/>
    <x:mergeCell ref="A10:C10"/>
    <x:mergeCell ref="A11:C11"/>
    <x:mergeCell ref="A12:C12"/>
    <x:mergeCell ref="A13:C13"/>
    <x:mergeCell ref="A14:C14"/>
    <x:mergeCell ref="A15:C15"/>
    <x:mergeCell ref="H10:J10"/>
    <x:mergeCell ref="H11:J11"/>
    <x:mergeCell ref="H12:J12"/>
    <x:mergeCell ref="H13:J13"/>
    <x:mergeCell ref="H14:J14"/>
    <x:mergeCell ref="H15:J15"/>
    <x:mergeCell ref="H16:J16"/>
    <x:mergeCell ref="H17:J17"/>
    <x:mergeCell ref="H18:J18"/>
    <x:mergeCell ref="H19:J19"/>
    <x:mergeCell ref="H20:J20"/>
    <x:mergeCell ref="L10:M10"/>
    <x:mergeCell ref="L11:M11"/>
    <x:mergeCell ref="L12:M12"/>
    <x:mergeCell ref="L13:M13"/>
    <x:mergeCell ref="L14:M14"/>
    <x:mergeCell ref="A23:N23"/>
    <x:mergeCell ref="A24:D24"/>
    <x:mergeCell ref="A25:D26"/>
    <x:mergeCell ref="E24:F24"/>
    <x:mergeCell ref="E25:F26"/>
    <x:mergeCell ref="H24:K24"/>
    <x:mergeCell ref="H25:K26"/>
    <x:mergeCell ref="L24:N24"/>
    <x:mergeCell ref="L25:N26"/>
    <x:mergeCell ref="A29:N29"/>
    <x:mergeCell ref="A31:N31"/>
    <x:mergeCell ref="A32:N32"/>
    <x:mergeCell ref="A33:N33"/>
    <x:mergeCell ref="A34:N34"/>
    <x:mergeCell ref="A35:N35"/>
    <x:mergeCell ref="A36:N36"/>
  </x:mergeCells>
  <x:pageMargins left="0.7" right="0.7" top="0.75" bottom="0.75" header="0.3" footer="0.3"/>
  <x:drawing xmlns:r="http://schemas.openxmlformats.org/officeDocument/2006/relationships" r:id="R7a9cbbe3a3ab458c"/>
</x:worksheet>
</file>